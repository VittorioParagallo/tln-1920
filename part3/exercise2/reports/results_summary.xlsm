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EF0A3169-33C6-E2D0-F78B-2A1B10235526}"/>
  <workbookPr codeName="Questa_cartella_di_lavoro" defaultThemeVersion="166925"/>
  <mc:AlternateContent xmlns:mc="http://schemas.openxmlformats.org/markup-compatibility/2006">
    <mc:Choice Requires="x15">
      <x15ac:absPath xmlns:x15ac="http://schemas.microsoft.com/office/spreadsheetml/2010/11/ac" url="/Users/darka/Desktop/tln_repo/tln-1920/part3/exercise2/reports/"/>
    </mc:Choice>
  </mc:AlternateContent>
  <xr:revisionPtr revIDLastSave="0" documentId="13_ncr:1_{8E0A9AF9-A1EF-1241-B47D-B1C15AA8C2E3}" xr6:coauthVersionLast="45" xr6:coauthVersionMax="45" xr10:uidLastSave="{00000000-0000-0000-0000-000000000000}"/>
  <bookViews>
    <workbookView xWindow="980" yWindow="460" windowWidth="27820" windowHeight="17540" firstSheet="3" activeTab="8" xr2:uid="{E9BDE07A-8BC4-724E-BE54-94A4DC5B1916}"/>
  </bookViews>
  <sheets>
    <sheet name="gloss_similarity" sheetId="1" r:id="rId1"/>
    <sheet name="WINNERS" sheetId="13" r:id="rId2"/>
    <sheet name="gloss_example_similarity" sheetId="5" r:id="rId3"/>
    <sheet name="gloss_example_lemmas_similarity" sheetId="6" r:id="rId4"/>
    <sheet name="example_similarity" sheetId="7" r:id="rId5"/>
    <sheet name="example_lemmas" sheetId="8" r:id="rId6"/>
    <sheet name="Dataset_static" sheetId="3" r:id="rId7"/>
    <sheet name="scores_results" sheetId="10" r:id="rId8"/>
    <sheet name="Dataset_dynamic" sheetId="12" r:id="rId9"/>
    <sheet name="met_c" sheetId="11" r:id="rId10"/>
    <sheet name="experiments_specs" sheetId="4" r:id="rId11"/>
  </sheets>
  <functionGroups builtInGroupCount="19"/>
  <definedNames>
    <definedName name="_xlnm._FilterDatabase" localSheetId="10" hidden="1">experiments_specs!$A$1:$M$181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 i="10" l="1"/>
  <c r="T4" i="10"/>
  <c r="U4" i="10"/>
  <c r="V4" i="10"/>
  <c r="W4" i="10"/>
  <c r="X4" i="10"/>
  <c r="Y4" i="10"/>
  <c r="Z4" i="10"/>
  <c r="AA4" i="10"/>
  <c r="S5" i="10"/>
  <c r="T5" i="10"/>
  <c r="U5" i="10"/>
  <c r="V5" i="10"/>
  <c r="W5" i="10"/>
  <c r="X5" i="10"/>
  <c r="Y5" i="10"/>
  <c r="Z5" i="10"/>
  <c r="AA5" i="10"/>
  <c r="S6" i="10"/>
  <c r="T6" i="10"/>
  <c r="U6" i="10"/>
  <c r="V6" i="10"/>
  <c r="W6" i="10"/>
  <c r="X6" i="10"/>
  <c r="Y6" i="10"/>
  <c r="Z6" i="10"/>
  <c r="AA6" i="10"/>
  <c r="S7" i="10"/>
  <c r="T7" i="10"/>
  <c r="U7" i="10"/>
  <c r="V7" i="10"/>
  <c r="W7" i="10"/>
  <c r="X7" i="10"/>
  <c r="Y7" i="10"/>
  <c r="Z7" i="10"/>
  <c r="AA7" i="10"/>
  <c r="S8" i="10"/>
  <c r="T8" i="10"/>
  <c r="U8" i="10"/>
  <c r="V8" i="10"/>
  <c r="W8" i="10"/>
  <c r="X8" i="10"/>
  <c r="Y8" i="10"/>
  <c r="Z8" i="10"/>
  <c r="AA8" i="10"/>
  <c r="S9" i="10"/>
  <c r="T9" i="10"/>
  <c r="U9" i="10"/>
  <c r="V9" i="10"/>
  <c r="W9" i="10"/>
  <c r="X9" i="10"/>
  <c r="Y9" i="10"/>
  <c r="Z9" i="10"/>
  <c r="AA9" i="10"/>
  <c r="S10" i="10"/>
  <c r="T10" i="10"/>
  <c r="U10" i="10"/>
  <c r="V10" i="10"/>
  <c r="W10" i="10"/>
  <c r="X10" i="10"/>
  <c r="Y10" i="10"/>
  <c r="Z10" i="10"/>
  <c r="AA10" i="10"/>
  <c r="S11" i="10"/>
  <c r="T11" i="10"/>
  <c r="U11" i="10"/>
  <c r="V11" i="10"/>
  <c r="W11" i="10"/>
  <c r="X11" i="10"/>
  <c r="Y11" i="10"/>
  <c r="Z11" i="10"/>
  <c r="AA11" i="10"/>
  <c r="S12" i="10"/>
  <c r="T12" i="10"/>
  <c r="U12" i="10"/>
  <c r="V12" i="10"/>
  <c r="W12" i="10"/>
  <c r="X12" i="10"/>
  <c r="Y12" i="10"/>
  <c r="Z12" i="10"/>
  <c r="AA12" i="10"/>
  <c r="S13" i="10"/>
  <c r="T13" i="10"/>
  <c r="U13" i="10"/>
  <c r="V13" i="10"/>
  <c r="W13" i="10"/>
  <c r="X13" i="10"/>
  <c r="Y13" i="10"/>
  <c r="Z13" i="10"/>
  <c r="AA13" i="10"/>
  <c r="S14" i="10"/>
  <c r="T14" i="10"/>
  <c r="U14" i="10"/>
  <c r="V14" i="10"/>
  <c r="W14" i="10"/>
  <c r="X14" i="10"/>
  <c r="Y14" i="10"/>
  <c r="Z14" i="10"/>
  <c r="AA14" i="10"/>
  <c r="S15" i="10"/>
  <c r="T15" i="10"/>
  <c r="U15" i="10"/>
  <c r="V15" i="10"/>
  <c r="W15" i="10"/>
  <c r="X15" i="10"/>
  <c r="Y15" i="10"/>
  <c r="Z15" i="10"/>
  <c r="AA15" i="10"/>
  <c r="S16" i="10"/>
  <c r="T16" i="10"/>
  <c r="U16" i="10"/>
  <c r="V16" i="10"/>
  <c r="W16" i="10"/>
  <c r="X16" i="10"/>
  <c r="Y16" i="10"/>
  <c r="Z16" i="10"/>
  <c r="AA16" i="10"/>
  <c r="S17" i="10"/>
  <c r="T17" i="10"/>
  <c r="U17" i="10"/>
  <c r="V17" i="10"/>
  <c r="W17" i="10"/>
  <c r="X17" i="10"/>
  <c r="Y17" i="10"/>
  <c r="Z17" i="10"/>
  <c r="AA17" i="10"/>
  <c r="S18" i="10"/>
  <c r="T18" i="10"/>
  <c r="U18" i="10"/>
  <c r="V18" i="10"/>
  <c r="W18" i="10"/>
  <c r="X18" i="10"/>
  <c r="Y18" i="10"/>
  <c r="Z18" i="10"/>
  <c r="AA18" i="10"/>
  <c r="S19" i="10"/>
  <c r="T19" i="10"/>
  <c r="U19" i="10"/>
  <c r="V19" i="10"/>
  <c r="W19" i="10"/>
  <c r="X19" i="10"/>
  <c r="Y19" i="10"/>
  <c r="Z19" i="10"/>
  <c r="AA19" i="10"/>
  <c r="S20" i="10"/>
  <c r="T20" i="10"/>
  <c r="U20" i="10"/>
  <c r="V20" i="10"/>
  <c r="W20" i="10"/>
  <c r="X20" i="10"/>
  <c r="Y20" i="10"/>
  <c r="Z20" i="10"/>
  <c r="AA20" i="10"/>
  <c r="S21" i="10"/>
  <c r="T21" i="10"/>
  <c r="U21" i="10"/>
  <c r="V21" i="10"/>
  <c r="W21" i="10"/>
  <c r="X21" i="10"/>
  <c r="Y21" i="10"/>
  <c r="Z21" i="10"/>
  <c r="AA21" i="10"/>
  <c r="S22" i="10"/>
  <c r="T22" i="10"/>
  <c r="U22" i="10"/>
  <c r="V22" i="10"/>
  <c r="W22" i="10"/>
  <c r="X22" i="10"/>
  <c r="Y22" i="10"/>
  <c r="Z22" i="10"/>
  <c r="AA22" i="10"/>
  <c r="S23" i="10"/>
  <c r="T23" i="10"/>
  <c r="U23" i="10"/>
  <c r="V23" i="10"/>
  <c r="W23" i="10"/>
  <c r="X23" i="10"/>
  <c r="Y23" i="10"/>
  <c r="Z23" i="10"/>
  <c r="AA23" i="10"/>
  <c r="S24" i="10"/>
  <c r="T24" i="10"/>
  <c r="U24" i="10"/>
  <c r="V24" i="10"/>
  <c r="W24" i="10"/>
  <c r="X24" i="10"/>
  <c r="Y24" i="10"/>
  <c r="Z24" i="10"/>
  <c r="AA24" i="10"/>
  <c r="S25" i="10"/>
  <c r="T25" i="10"/>
  <c r="U25" i="10"/>
  <c r="V25" i="10"/>
  <c r="W25" i="10"/>
  <c r="X25" i="10"/>
  <c r="Y25" i="10"/>
  <c r="Z25" i="10"/>
  <c r="AA25" i="10"/>
  <c r="S26" i="10"/>
  <c r="T26" i="10"/>
  <c r="U26" i="10"/>
  <c r="V26" i="10"/>
  <c r="W26" i="10"/>
  <c r="X26" i="10"/>
  <c r="Y26" i="10"/>
  <c r="Z26" i="10"/>
  <c r="AA26" i="10"/>
  <c r="S27" i="10"/>
  <c r="T27" i="10"/>
  <c r="U27" i="10"/>
  <c r="V27" i="10"/>
  <c r="W27" i="10"/>
  <c r="X27" i="10"/>
  <c r="Y27" i="10"/>
  <c r="Z27" i="10"/>
  <c r="AA27" i="10"/>
  <c r="S28" i="10"/>
  <c r="T28" i="10"/>
  <c r="U28" i="10"/>
  <c r="V28" i="10"/>
  <c r="W28" i="10"/>
  <c r="X28" i="10"/>
  <c r="Y28" i="10"/>
  <c r="Z28" i="10"/>
  <c r="AA28" i="10"/>
  <c r="S29" i="10"/>
  <c r="T29" i="10"/>
  <c r="U29" i="10"/>
  <c r="V29" i="10"/>
  <c r="W29" i="10"/>
  <c r="X29" i="10"/>
  <c r="Y29" i="10"/>
  <c r="Z29" i="10"/>
  <c r="AA29" i="10"/>
  <c r="S30" i="10"/>
  <c r="T30" i="10"/>
  <c r="U30" i="10"/>
  <c r="V30" i="10"/>
  <c r="W30" i="10"/>
  <c r="X30" i="10"/>
  <c r="Y30" i="10"/>
  <c r="Z30" i="10"/>
  <c r="AA30" i="10"/>
  <c r="S31" i="10"/>
  <c r="T31" i="10"/>
  <c r="U31" i="10"/>
  <c r="V31" i="10"/>
  <c r="W31" i="10"/>
  <c r="X31" i="10"/>
  <c r="Y31" i="10"/>
  <c r="Z31" i="10"/>
  <c r="AA31" i="10"/>
  <c r="S32" i="10"/>
  <c r="T32" i="10"/>
  <c r="U32" i="10"/>
  <c r="V32" i="10"/>
  <c r="W32" i="10"/>
  <c r="X32" i="10"/>
  <c r="Y32" i="10"/>
  <c r="Z32" i="10"/>
  <c r="AA32" i="10"/>
  <c r="S33" i="10"/>
  <c r="T33" i="10"/>
  <c r="U33" i="10"/>
  <c r="V33" i="10"/>
  <c r="W33" i="10"/>
  <c r="X33" i="10"/>
  <c r="Y33" i="10"/>
  <c r="Z33" i="10"/>
  <c r="AA33" i="10"/>
  <c r="S34" i="10"/>
  <c r="T34" i="10"/>
  <c r="U34" i="10"/>
  <c r="V34" i="10"/>
  <c r="W34" i="10"/>
  <c r="X34" i="10"/>
  <c r="Y34" i="10"/>
  <c r="Z34" i="10"/>
  <c r="AA34" i="10"/>
  <c r="S35" i="10"/>
  <c r="T35" i="10"/>
  <c r="U35" i="10"/>
  <c r="V35" i="10"/>
  <c r="W35" i="10"/>
  <c r="X35" i="10"/>
  <c r="Y35" i="10"/>
  <c r="Z35" i="10"/>
  <c r="AA35" i="10"/>
  <c r="S36" i="10"/>
  <c r="T36" i="10"/>
  <c r="U36" i="10"/>
  <c r="V36" i="10"/>
  <c r="W36" i="10"/>
  <c r="X36" i="10"/>
  <c r="Y36" i="10"/>
  <c r="Z36" i="10"/>
  <c r="AA36" i="10"/>
  <c r="S37" i="10"/>
  <c r="T37" i="10"/>
  <c r="U37" i="10"/>
  <c r="V37" i="10"/>
  <c r="W37" i="10"/>
  <c r="X37" i="10"/>
  <c r="Y37" i="10"/>
  <c r="Z37" i="10"/>
  <c r="AA37" i="10"/>
  <c r="S38" i="10"/>
  <c r="T38" i="10"/>
  <c r="U38" i="10"/>
  <c r="V38" i="10"/>
  <c r="W38" i="10"/>
  <c r="X38" i="10"/>
  <c r="Y38" i="10"/>
  <c r="Z38" i="10"/>
  <c r="AA38" i="10"/>
  <c r="S39" i="10"/>
  <c r="T39" i="10"/>
  <c r="U39" i="10"/>
  <c r="V39" i="10"/>
  <c r="W39" i="10"/>
  <c r="X39" i="10"/>
  <c r="Y39" i="10"/>
  <c r="Z39" i="10"/>
  <c r="AA39" i="10"/>
  <c r="S40" i="10"/>
  <c r="T40" i="10"/>
  <c r="U40" i="10"/>
  <c r="V40" i="10"/>
  <c r="W40" i="10"/>
  <c r="X40" i="10"/>
  <c r="Y40" i="10"/>
  <c r="Z40" i="10"/>
  <c r="AA40" i="10"/>
  <c r="S41" i="10"/>
  <c r="T41" i="10"/>
  <c r="U41" i="10"/>
  <c r="V41" i="10"/>
  <c r="W41" i="10"/>
  <c r="X41" i="10"/>
  <c r="Y41" i="10"/>
  <c r="Z41" i="10"/>
  <c r="AA41" i="10"/>
  <c r="S42" i="10"/>
  <c r="T42" i="10"/>
  <c r="U42" i="10"/>
  <c r="V42" i="10"/>
  <c r="W42" i="10"/>
  <c r="X42" i="10"/>
  <c r="Y42" i="10"/>
  <c r="Z42" i="10"/>
  <c r="AA42" i="10"/>
  <c r="S43" i="10"/>
  <c r="T43" i="10"/>
  <c r="U43" i="10"/>
  <c r="V43" i="10"/>
  <c r="W43" i="10"/>
  <c r="X43" i="10"/>
  <c r="Y43" i="10"/>
  <c r="Z43" i="10"/>
  <c r="AA43" i="10"/>
  <c r="S44" i="10"/>
  <c r="T44" i="10"/>
  <c r="U44" i="10"/>
  <c r="V44" i="10"/>
  <c r="W44" i="10"/>
  <c r="X44" i="10"/>
  <c r="Y44" i="10"/>
  <c r="Z44" i="10"/>
  <c r="AA44" i="10"/>
  <c r="S45" i="10"/>
  <c r="T45" i="10"/>
  <c r="U45" i="10"/>
  <c r="V45" i="10"/>
  <c r="W45" i="10"/>
  <c r="X45" i="10"/>
  <c r="Y45" i="10"/>
  <c r="Z45" i="10"/>
  <c r="AA45" i="10"/>
  <c r="S46" i="10"/>
  <c r="T46" i="10"/>
  <c r="U46" i="10"/>
  <c r="V46" i="10"/>
  <c r="W46" i="10"/>
  <c r="X46" i="10"/>
  <c r="Y46" i="10"/>
  <c r="Z46" i="10"/>
  <c r="AA46" i="10"/>
  <c r="S47" i="10"/>
  <c r="T47" i="10"/>
  <c r="U47" i="10"/>
  <c r="V47" i="10"/>
  <c r="W47" i="10"/>
  <c r="X47" i="10"/>
  <c r="Y47" i="10"/>
  <c r="Z47" i="10"/>
  <c r="AA47" i="10"/>
  <c r="S48" i="10"/>
  <c r="T48" i="10"/>
  <c r="U48" i="10"/>
  <c r="V48" i="10"/>
  <c r="W48" i="10"/>
  <c r="X48" i="10"/>
  <c r="Y48" i="10"/>
  <c r="Z48" i="10"/>
  <c r="AA48" i="10"/>
  <c r="S49" i="10"/>
  <c r="T49" i="10"/>
  <c r="U49" i="10"/>
  <c r="V49" i="10"/>
  <c r="W49" i="10"/>
  <c r="X49" i="10"/>
  <c r="Y49" i="10"/>
  <c r="Z49" i="10"/>
  <c r="AA49" i="10"/>
  <c r="S50" i="10"/>
  <c r="T50" i="10"/>
  <c r="U50" i="10"/>
  <c r="V50" i="10"/>
  <c r="W50" i="10"/>
  <c r="X50" i="10"/>
  <c r="Y50" i="10"/>
  <c r="Z50" i="10"/>
  <c r="AA50" i="10"/>
  <c r="S51" i="10"/>
  <c r="T51" i="10"/>
  <c r="U51" i="10"/>
  <c r="V51" i="10"/>
  <c r="W51" i="10"/>
  <c r="X51" i="10"/>
  <c r="Y51" i="10"/>
  <c r="Z51" i="10"/>
  <c r="AA51" i="10"/>
  <c r="S52" i="10"/>
  <c r="T52" i="10"/>
  <c r="U52" i="10"/>
  <c r="V52" i="10"/>
  <c r="W52" i="10"/>
  <c r="X52" i="10"/>
  <c r="Y52" i="10"/>
  <c r="Z52" i="10"/>
  <c r="AA52" i="10"/>
  <c r="S53" i="10"/>
  <c r="T53" i="10"/>
  <c r="U53" i="10"/>
  <c r="V53" i="10"/>
  <c r="W53" i="10"/>
  <c r="X53" i="10"/>
  <c r="Y53" i="10"/>
  <c r="Z53" i="10"/>
  <c r="AA53" i="10"/>
  <c r="S54" i="10"/>
  <c r="T54" i="10"/>
  <c r="U54" i="10"/>
  <c r="V54" i="10"/>
  <c r="W54" i="10"/>
  <c r="X54" i="10"/>
  <c r="Y54" i="10"/>
  <c r="Z54" i="10"/>
  <c r="AA54" i="10"/>
  <c r="S55" i="10"/>
  <c r="T55" i="10"/>
  <c r="U55" i="10"/>
  <c r="V55" i="10"/>
  <c r="W55" i="10"/>
  <c r="X55" i="10"/>
  <c r="Y55" i="10"/>
  <c r="Z55" i="10"/>
  <c r="AA55" i="10"/>
  <c r="S56" i="10"/>
  <c r="T56" i="10"/>
  <c r="U56" i="10"/>
  <c r="V56" i="10"/>
  <c r="W56" i="10"/>
  <c r="X56" i="10"/>
  <c r="Y56" i="10"/>
  <c r="Z56" i="10"/>
  <c r="AA56" i="10"/>
  <c r="S57" i="10"/>
  <c r="T57" i="10"/>
  <c r="U57" i="10"/>
  <c r="V57" i="10"/>
  <c r="W57" i="10"/>
  <c r="X57" i="10"/>
  <c r="Y57" i="10"/>
  <c r="Z57" i="10"/>
  <c r="AA57" i="10"/>
  <c r="S58" i="10"/>
  <c r="T58" i="10"/>
  <c r="U58" i="10"/>
  <c r="V58" i="10"/>
  <c r="W58" i="10"/>
  <c r="X58" i="10"/>
  <c r="Y58" i="10"/>
  <c r="Z58" i="10"/>
  <c r="AA58" i="10"/>
  <c r="S59" i="10"/>
  <c r="T59" i="10"/>
  <c r="U59" i="10"/>
  <c r="V59" i="10"/>
  <c r="W59" i="10"/>
  <c r="X59" i="10"/>
  <c r="Y59" i="10"/>
  <c r="Z59" i="10"/>
  <c r="AA59" i="10"/>
  <c r="S60" i="10"/>
  <c r="T60" i="10"/>
  <c r="U60" i="10"/>
  <c r="V60" i="10"/>
  <c r="W60" i="10"/>
  <c r="X60" i="10"/>
  <c r="Y60" i="10"/>
  <c r="Z60" i="10"/>
  <c r="AA60" i="10"/>
  <c r="S61" i="10"/>
  <c r="T61" i="10"/>
  <c r="U61" i="10"/>
  <c r="V61" i="10"/>
  <c r="W61" i="10"/>
  <c r="X61" i="10"/>
  <c r="Y61" i="10"/>
  <c r="Z61" i="10"/>
  <c r="AA61" i="10"/>
  <c r="S62" i="10"/>
  <c r="T62" i="10"/>
  <c r="U62" i="10"/>
  <c r="V62" i="10"/>
  <c r="W62" i="10"/>
  <c r="X62" i="10"/>
  <c r="Y62" i="10"/>
  <c r="Z62" i="10"/>
  <c r="AA62" i="10"/>
  <c r="S63" i="10"/>
  <c r="T63" i="10"/>
  <c r="U63" i="10"/>
  <c r="V63" i="10"/>
  <c r="W63" i="10"/>
  <c r="X63" i="10"/>
  <c r="Y63" i="10"/>
  <c r="Z63" i="10"/>
  <c r="AA63" i="10"/>
  <c r="S64" i="10"/>
  <c r="T64" i="10"/>
  <c r="U64" i="10"/>
  <c r="V64" i="10"/>
  <c r="W64" i="10"/>
  <c r="X64" i="10"/>
  <c r="Y64" i="10"/>
  <c r="Z64" i="10"/>
  <c r="AA64" i="10"/>
  <c r="S65" i="10"/>
  <c r="T65" i="10"/>
  <c r="U65" i="10"/>
  <c r="V65" i="10"/>
  <c r="W65" i="10"/>
  <c r="X65" i="10"/>
  <c r="Y65" i="10"/>
  <c r="Z65" i="10"/>
  <c r="AA65" i="10"/>
  <c r="S66" i="10"/>
  <c r="T66" i="10"/>
  <c r="U66" i="10"/>
  <c r="V66" i="10"/>
  <c r="W66" i="10"/>
  <c r="X66" i="10"/>
  <c r="Y66" i="10"/>
  <c r="Z66" i="10"/>
  <c r="AA66" i="10"/>
  <c r="S67" i="10"/>
  <c r="T67" i="10"/>
  <c r="U67" i="10"/>
  <c r="V67" i="10"/>
  <c r="W67" i="10"/>
  <c r="X67" i="10"/>
  <c r="Y67" i="10"/>
  <c r="Z67" i="10"/>
  <c r="AA67" i="10"/>
  <c r="S68" i="10"/>
  <c r="T68" i="10"/>
  <c r="U68" i="10"/>
  <c r="V68" i="10"/>
  <c r="W68" i="10"/>
  <c r="X68" i="10"/>
  <c r="Y68" i="10"/>
  <c r="Z68" i="10"/>
  <c r="AA68" i="10"/>
  <c r="S69" i="10"/>
  <c r="T69" i="10"/>
  <c r="U69" i="10"/>
  <c r="V69" i="10"/>
  <c r="W69" i="10"/>
  <c r="X69" i="10"/>
  <c r="Y69" i="10"/>
  <c r="Z69" i="10"/>
  <c r="AA69" i="10"/>
  <c r="S70" i="10"/>
  <c r="T70" i="10"/>
  <c r="U70" i="10"/>
  <c r="V70" i="10"/>
  <c r="W70" i="10"/>
  <c r="X70" i="10"/>
  <c r="Y70" i="10"/>
  <c r="Z70" i="10"/>
  <c r="AA70" i="10"/>
  <c r="S71" i="10"/>
  <c r="T71" i="10"/>
  <c r="U71" i="10"/>
  <c r="V71" i="10"/>
  <c r="W71" i="10"/>
  <c r="X71" i="10"/>
  <c r="Y71" i="10"/>
  <c r="Z71" i="10"/>
  <c r="AA71" i="10"/>
  <c r="S72" i="10"/>
  <c r="T72" i="10"/>
  <c r="U72" i="10"/>
  <c r="V72" i="10"/>
  <c r="W72" i="10"/>
  <c r="X72" i="10"/>
  <c r="Y72" i="10"/>
  <c r="Z72" i="10"/>
  <c r="AA72" i="10"/>
  <c r="S73" i="10"/>
  <c r="T73" i="10"/>
  <c r="U73" i="10"/>
  <c r="V73" i="10"/>
  <c r="W73" i="10"/>
  <c r="X73" i="10"/>
  <c r="Y73" i="10"/>
  <c r="Z73" i="10"/>
  <c r="AA73" i="10"/>
  <c r="S74" i="10"/>
  <c r="T74" i="10"/>
  <c r="U74" i="10"/>
  <c r="V74" i="10"/>
  <c r="W74" i="10"/>
  <c r="X74" i="10"/>
  <c r="Y74" i="10"/>
  <c r="Z74" i="10"/>
  <c r="AA74" i="10"/>
  <c r="S75" i="10"/>
  <c r="T75" i="10"/>
  <c r="U75" i="10"/>
  <c r="V75" i="10"/>
  <c r="W75" i="10"/>
  <c r="X75" i="10"/>
  <c r="Y75" i="10"/>
  <c r="Z75" i="10"/>
  <c r="AA75" i="10"/>
  <c r="S76" i="10"/>
  <c r="T76" i="10"/>
  <c r="U76" i="10"/>
  <c r="V76" i="10"/>
  <c r="W76" i="10"/>
  <c r="X76" i="10"/>
  <c r="Y76" i="10"/>
  <c r="Z76" i="10"/>
  <c r="AA76" i="10"/>
  <c r="S77" i="10"/>
  <c r="T77" i="10"/>
  <c r="U77" i="10"/>
  <c r="V77" i="10"/>
  <c r="W77" i="10"/>
  <c r="X77" i="10"/>
  <c r="Y77" i="10"/>
  <c r="Z77" i="10"/>
  <c r="AA77" i="10"/>
  <c r="S78" i="10"/>
  <c r="T78" i="10"/>
  <c r="U78" i="10"/>
  <c r="V78" i="10"/>
  <c r="W78" i="10"/>
  <c r="X78" i="10"/>
  <c r="Y78" i="10"/>
  <c r="Z78" i="10"/>
  <c r="AA78" i="10"/>
  <c r="S79" i="10"/>
  <c r="T79" i="10"/>
  <c r="U79" i="10"/>
  <c r="V79" i="10"/>
  <c r="W79" i="10"/>
  <c r="X79" i="10"/>
  <c r="Y79" i="10"/>
  <c r="Z79" i="10"/>
  <c r="AA79" i="10"/>
  <c r="S80" i="10"/>
  <c r="T80" i="10"/>
  <c r="U80" i="10"/>
  <c r="V80" i="10"/>
  <c r="W80" i="10"/>
  <c r="X80" i="10"/>
  <c r="Y80" i="10"/>
  <c r="Z80" i="10"/>
  <c r="AA80" i="10"/>
  <c r="S81" i="10"/>
  <c r="T81" i="10"/>
  <c r="U81" i="10"/>
  <c r="V81" i="10"/>
  <c r="W81" i="10"/>
  <c r="X81" i="10"/>
  <c r="Y81" i="10"/>
  <c r="Z81" i="10"/>
  <c r="AA81" i="10"/>
  <c r="S82" i="10"/>
  <c r="T82" i="10"/>
  <c r="U82" i="10"/>
  <c r="V82" i="10"/>
  <c r="W82" i="10"/>
  <c r="X82" i="10"/>
  <c r="Y82" i="10"/>
  <c r="Z82" i="10"/>
  <c r="AA82" i="10"/>
  <c r="S83" i="10"/>
  <c r="T83" i="10"/>
  <c r="U83" i="10"/>
  <c r="V83" i="10"/>
  <c r="W83" i="10"/>
  <c r="X83" i="10"/>
  <c r="Y83" i="10"/>
  <c r="Z83" i="10"/>
  <c r="AA83" i="10"/>
  <c r="S84" i="10"/>
  <c r="T84" i="10"/>
  <c r="U84" i="10"/>
  <c r="V84" i="10"/>
  <c r="W84" i="10"/>
  <c r="X84" i="10"/>
  <c r="Y84" i="10"/>
  <c r="Z84" i="10"/>
  <c r="AA84" i="10"/>
  <c r="S85" i="10"/>
  <c r="T85" i="10"/>
  <c r="U85" i="10"/>
  <c r="V85" i="10"/>
  <c r="W85" i="10"/>
  <c r="X85" i="10"/>
  <c r="Y85" i="10"/>
  <c r="Z85" i="10"/>
  <c r="AA85" i="10"/>
  <c r="S86" i="10"/>
  <c r="T86" i="10"/>
  <c r="U86" i="10"/>
  <c r="V86" i="10"/>
  <c r="W86" i="10"/>
  <c r="X86" i="10"/>
  <c r="Y86" i="10"/>
  <c r="Z86" i="10"/>
  <c r="AA86" i="10"/>
  <c r="S87" i="10"/>
  <c r="T87" i="10"/>
  <c r="U87" i="10"/>
  <c r="V87" i="10"/>
  <c r="W87" i="10"/>
  <c r="X87" i="10"/>
  <c r="Y87" i="10"/>
  <c r="Z87" i="10"/>
  <c r="AA87" i="10"/>
  <c r="S88" i="10"/>
  <c r="T88" i="10"/>
  <c r="U88" i="10"/>
  <c r="V88" i="10"/>
  <c r="W88" i="10"/>
  <c r="X88" i="10"/>
  <c r="Y88" i="10"/>
  <c r="Z88" i="10"/>
  <c r="AA88" i="10"/>
  <c r="S89" i="10"/>
  <c r="T89" i="10"/>
  <c r="U89" i="10"/>
  <c r="V89" i="10"/>
  <c r="W89" i="10"/>
  <c r="X89" i="10"/>
  <c r="Y89" i="10"/>
  <c r="Z89" i="10"/>
  <c r="AA89" i="10"/>
  <c r="S90" i="10"/>
  <c r="T90" i="10"/>
  <c r="U90" i="10"/>
  <c r="V90" i="10"/>
  <c r="W90" i="10"/>
  <c r="X90" i="10"/>
  <c r="Y90" i="10"/>
  <c r="Z90" i="10"/>
  <c r="AA90" i="10"/>
  <c r="S91" i="10"/>
  <c r="T91" i="10"/>
  <c r="U91" i="10"/>
  <c r="V91" i="10"/>
  <c r="W91" i="10"/>
  <c r="X91" i="10"/>
  <c r="Y91" i="10"/>
  <c r="Z91" i="10"/>
  <c r="AA91" i="10"/>
  <c r="S92" i="10"/>
  <c r="T92" i="10"/>
  <c r="U92" i="10"/>
  <c r="V92" i="10"/>
  <c r="W92" i="10"/>
  <c r="X92" i="10"/>
  <c r="Y92" i="10"/>
  <c r="Z92" i="10"/>
  <c r="AA92" i="10"/>
  <c r="R14" i="10"/>
  <c r="R15" i="10" s="1"/>
  <c r="R16" i="10" s="1"/>
  <c r="R17" i="10" s="1"/>
  <c r="R18" i="10" s="1"/>
  <c r="R19" i="10" s="1"/>
  <c r="R20" i="10" s="1"/>
  <c r="R21" i="10" s="1"/>
  <c r="R22" i="10" s="1"/>
  <c r="R23" i="10" s="1"/>
  <c r="R24" i="10" s="1"/>
  <c r="R25" i="10" s="1"/>
  <c r="R26" i="10" s="1"/>
  <c r="R27" i="10" s="1"/>
  <c r="R28" i="10" s="1"/>
  <c r="R29" i="10" s="1"/>
  <c r="R30" i="10" s="1"/>
  <c r="R31" i="10" s="1"/>
  <c r="R32" i="10" s="1"/>
  <c r="R33" i="10" s="1"/>
  <c r="R34" i="10" s="1"/>
  <c r="R35" i="10" s="1"/>
  <c r="R36" i="10" s="1"/>
  <c r="R37" i="10" s="1"/>
  <c r="R38" i="10" s="1"/>
  <c r="R39" i="10" s="1"/>
  <c r="R40" i="10" s="1"/>
  <c r="R41" i="10" s="1"/>
  <c r="R42" i="10" s="1"/>
  <c r="R43" i="10" s="1"/>
  <c r="R44" i="10" s="1"/>
  <c r="R45" i="10" s="1"/>
  <c r="R46" i="10" s="1"/>
  <c r="R47" i="10" s="1"/>
  <c r="R48" i="10" s="1"/>
  <c r="R49" i="10" s="1"/>
  <c r="R50" i="10" s="1"/>
  <c r="R51" i="10" s="1"/>
  <c r="R52" i="10" s="1"/>
  <c r="R53" i="10" s="1"/>
  <c r="R54" i="10" s="1"/>
  <c r="R55" i="10" s="1"/>
  <c r="R56" i="10" s="1"/>
  <c r="R57" i="10" s="1"/>
  <c r="R58" i="10" s="1"/>
  <c r="R59" i="10" s="1"/>
  <c r="R60" i="10" s="1"/>
  <c r="R61" i="10" s="1"/>
  <c r="R62" i="10" s="1"/>
  <c r="R63" i="10" s="1"/>
  <c r="R64" i="10" s="1"/>
  <c r="R65" i="10" s="1"/>
  <c r="R66" i="10" s="1"/>
  <c r="R67" i="10" s="1"/>
  <c r="R68" i="10" s="1"/>
  <c r="R69" i="10" s="1"/>
  <c r="R70" i="10" s="1"/>
  <c r="R71" i="10" s="1"/>
  <c r="R72" i="10" s="1"/>
  <c r="R73" i="10" s="1"/>
  <c r="R74" i="10" s="1"/>
  <c r="R75" i="10" s="1"/>
  <c r="R76" i="10" s="1"/>
  <c r="R77" i="10" s="1"/>
  <c r="R78" i="10" s="1"/>
  <c r="R79" i="10" s="1"/>
  <c r="R80" i="10" s="1"/>
  <c r="R81" i="10" s="1"/>
  <c r="R82" i="10" s="1"/>
  <c r="R83" i="10" s="1"/>
  <c r="R84" i="10" s="1"/>
  <c r="R85" i="10" s="1"/>
  <c r="R86" i="10" s="1"/>
  <c r="R87" i="10" s="1"/>
  <c r="R88" i="10" s="1"/>
  <c r="R89" i="10" s="1"/>
  <c r="R90" i="10" s="1"/>
  <c r="R91" i="10" s="1"/>
  <c r="R92" i="10" s="1"/>
  <c r="R13" i="10"/>
  <c r="R5" i="10"/>
  <c r="R6" i="10" s="1"/>
  <c r="R7" i="10" s="1"/>
  <c r="R8" i="10" s="1"/>
  <c r="R9" i="10" s="1"/>
  <c r="R10" i="10" s="1"/>
  <c r="R11" i="10" s="1"/>
  <c r="R12" i="10" s="1"/>
  <c r="R4" i="10"/>
  <c r="AA3" i="10"/>
  <c r="Z3" i="10"/>
  <c r="S3" i="10"/>
  <c r="T3" i="10"/>
  <c r="U3" i="10"/>
  <c r="V3" i="10"/>
  <c r="W3" i="10"/>
  <c r="X3" i="10"/>
  <c r="Y3" i="10"/>
  <c r="B722" i="12"/>
  <c r="C722" i="12"/>
  <c r="D722" i="12"/>
  <c r="E722" i="12"/>
  <c r="F722" i="12"/>
  <c r="G722" i="12"/>
  <c r="H722" i="12"/>
  <c r="I722" i="12"/>
  <c r="J722" i="12"/>
  <c r="B721" i="12"/>
  <c r="C721" i="12"/>
  <c r="D721" i="12"/>
  <c r="E721" i="12"/>
  <c r="F721" i="12"/>
  <c r="G721" i="12"/>
  <c r="H721" i="12"/>
  <c r="I721" i="12"/>
  <c r="J721" i="12"/>
  <c r="B720" i="12"/>
  <c r="C720" i="12"/>
  <c r="D720" i="12"/>
  <c r="E720" i="12"/>
  <c r="F720" i="12"/>
  <c r="G720" i="12"/>
  <c r="H720" i="12"/>
  <c r="I720" i="12"/>
  <c r="J720" i="12"/>
  <c r="B719" i="12"/>
  <c r="C719" i="12"/>
  <c r="D719" i="12"/>
  <c r="E719" i="12"/>
  <c r="F719" i="12"/>
  <c r="G719" i="12"/>
  <c r="H719" i="12"/>
  <c r="I719" i="12"/>
  <c r="J719" i="12"/>
  <c r="B718" i="12"/>
  <c r="C718" i="12"/>
  <c r="D718" i="12"/>
  <c r="E718" i="12"/>
  <c r="F718" i="12"/>
  <c r="G718" i="12"/>
  <c r="H718" i="12"/>
  <c r="I718" i="12"/>
  <c r="J718" i="12"/>
  <c r="B717" i="12"/>
  <c r="C717" i="12"/>
  <c r="D717" i="12"/>
  <c r="E717" i="12"/>
  <c r="F717" i="12"/>
  <c r="G717" i="12"/>
  <c r="H717" i="12"/>
  <c r="I717" i="12"/>
  <c r="J717" i="12"/>
  <c r="B716" i="12"/>
  <c r="C716" i="12"/>
  <c r="D716" i="12"/>
  <c r="E716" i="12"/>
  <c r="F716" i="12"/>
  <c r="G716" i="12"/>
  <c r="H716" i="12"/>
  <c r="I716" i="12"/>
  <c r="J716" i="12"/>
  <c r="B715" i="12"/>
  <c r="C715" i="12"/>
  <c r="D715" i="12"/>
  <c r="E715" i="12"/>
  <c r="F715" i="12"/>
  <c r="G715" i="12"/>
  <c r="H715" i="12"/>
  <c r="I715" i="12"/>
  <c r="J715" i="12"/>
  <c r="B714" i="12"/>
  <c r="C714" i="12"/>
  <c r="D714" i="12"/>
  <c r="E714" i="12"/>
  <c r="F714" i="12"/>
  <c r="G714" i="12"/>
  <c r="H714" i="12"/>
  <c r="I714" i="12"/>
  <c r="J714" i="12"/>
  <c r="B713" i="12"/>
  <c r="C713" i="12"/>
  <c r="D713" i="12"/>
  <c r="E713" i="12"/>
  <c r="F713" i="12"/>
  <c r="G713" i="12"/>
  <c r="H713" i="12"/>
  <c r="I713" i="12"/>
  <c r="J713" i="12"/>
  <c r="B712" i="12"/>
  <c r="C712" i="12"/>
  <c r="D712" i="12"/>
  <c r="E712" i="12"/>
  <c r="F712" i="12"/>
  <c r="G712" i="12"/>
  <c r="H712" i="12"/>
  <c r="I712" i="12"/>
  <c r="J712" i="12"/>
  <c r="B711" i="12"/>
  <c r="C711" i="12"/>
  <c r="D711" i="12"/>
  <c r="E711" i="12"/>
  <c r="F711" i="12"/>
  <c r="G711" i="12"/>
  <c r="H711" i="12"/>
  <c r="I711" i="12"/>
  <c r="J711" i="12"/>
  <c r="B710" i="12"/>
  <c r="C710" i="12"/>
  <c r="D710" i="12"/>
  <c r="E710" i="12"/>
  <c r="F710" i="12"/>
  <c r="G710" i="12"/>
  <c r="H710" i="12"/>
  <c r="I710" i="12"/>
  <c r="J710" i="12"/>
  <c r="B709" i="12"/>
  <c r="C709" i="12"/>
  <c r="D709" i="12"/>
  <c r="E709" i="12"/>
  <c r="F709" i="12"/>
  <c r="G709" i="12"/>
  <c r="H709" i="12"/>
  <c r="I709" i="12"/>
  <c r="J709" i="12"/>
  <c r="B708" i="12"/>
  <c r="C708" i="12"/>
  <c r="D708" i="12"/>
  <c r="E708" i="12"/>
  <c r="F708" i="12"/>
  <c r="G708" i="12"/>
  <c r="H708" i="12"/>
  <c r="I708" i="12"/>
  <c r="J708" i="12"/>
  <c r="B707" i="12"/>
  <c r="C707" i="12"/>
  <c r="D707" i="12"/>
  <c r="E707" i="12"/>
  <c r="F707" i="12"/>
  <c r="G707" i="12"/>
  <c r="H707" i="12"/>
  <c r="I707" i="12"/>
  <c r="J707" i="12"/>
  <c r="B706" i="12"/>
  <c r="C706" i="12"/>
  <c r="D706" i="12"/>
  <c r="E706" i="12"/>
  <c r="F706" i="12"/>
  <c r="G706" i="12"/>
  <c r="H706" i="12"/>
  <c r="I706" i="12"/>
  <c r="J706" i="12"/>
  <c r="B705" i="12"/>
  <c r="C705" i="12"/>
  <c r="D705" i="12"/>
  <c r="E705" i="12"/>
  <c r="F705" i="12"/>
  <c r="G705" i="12"/>
  <c r="H705" i="12"/>
  <c r="I705" i="12"/>
  <c r="J705" i="12"/>
  <c r="B704" i="12"/>
  <c r="C704" i="12"/>
  <c r="D704" i="12"/>
  <c r="E704" i="12"/>
  <c r="F704" i="12"/>
  <c r="G704" i="12"/>
  <c r="H704" i="12"/>
  <c r="I704" i="12"/>
  <c r="J704" i="12"/>
  <c r="B703" i="12"/>
  <c r="C703" i="12"/>
  <c r="D703" i="12"/>
  <c r="E703" i="12"/>
  <c r="F703" i="12"/>
  <c r="G703" i="12"/>
  <c r="H703" i="12"/>
  <c r="I703" i="12"/>
  <c r="J703" i="12"/>
  <c r="B702" i="12"/>
  <c r="C702" i="12"/>
  <c r="D702" i="12"/>
  <c r="E702" i="12"/>
  <c r="F702" i="12"/>
  <c r="G702" i="12"/>
  <c r="H702" i="12"/>
  <c r="I702" i="12"/>
  <c r="J702" i="12"/>
  <c r="B701" i="12"/>
  <c r="C701" i="12"/>
  <c r="D701" i="12"/>
  <c r="E701" i="12"/>
  <c r="F701" i="12"/>
  <c r="G701" i="12"/>
  <c r="H701" i="12"/>
  <c r="I701" i="12"/>
  <c r="J701" i="12"/>
  <c r="B700" i="12"/>
  <c r="C700" i="12"/>
  <c r="D700" i="12"/>
  <c r="E700" i="12"/>
  <c r="F700" i="12"/>
  <c r="G700" i="12"/>
  <c r="H700" i="12"/>
  <c r="I700" i="12"/>
  <c r="J700" i="12"/>
  <c r="B699" i="12"/>
  <c r="C699" i="12"/>
  <c r="D699" i="12"/>
  <c r="E699" i="12"/>
  <c r="F699" i="12"/>
  <c r="G699" i="12"/>
  <c r="H699" i="12"/>
  <c r="I699" i="12"/>
  <c r="J699" i="12"/>
  <c r="B698" i="12"/>
  <c r="C698" i="12"/>
  <c r="D698" i="12"/>
  <c r="E698" i="12"/>
  <c r="F698" i="12"/>
  <c r="G698" i="12"/>
  <c r="H698" i="12"/>
  <c r="I698" i="12"/>
  <c r="J698" i="12"/>
  <c r="B697" i="12"/>
  <c r="C697" i="12"/>
  <c r="D697" i="12"/>
  <c r="E697" i="12"/>
  <c r="F697" i="12"/>
  <c r="G697" i="12"/>
  <c r="H697" i="12"/>
  <c r="I697" i="12"/>
  <c r="J697" i="12"/>
  <c r="B696" i="12"/>
  <c r="C696" i="12"/>
  <c r="D696" i="12"/>
  <c r="E696" i="12"/>
  <c r="F696" i="12"/>
  <c r="G696" i="12"/>
  <c r="H696" i="12"/>
  <c r="I696" i="12"/>
  <c r="J696" i="12"/>
  <c r="B695" i="12"/>
  <c r="C695" i="12"/>
  <c r="D695" i="12"/>
  <c r="E695" i="12"/>
  <c r="F695" i="12"/>
  <c r="G695" i="12"/>
  <c r="H695" i="12"/>
  <c r="I695" i="12"/>
  <c r="J695" i="12"/>
  <c r="B694" i="12"/>
  <c r="C694" i="12"/>
  <c r="D694" i="12"/>
  <c r="E694" i="12"/>
  <c r="F694" i="12"/>
  <c r="G694" i="12"/>
  <c r="H694" i="12"/>
  <c r="I694" i="12"/>
  <c r="J694" i="12"/>
  <c r="B693" i="12"/>
  <c r="C693" i="12"/>
  <c r="D693" i="12"/>
  <c r="E693" i="12"/>
  <c r="F693" i="12"/>
  <c r="G693" i="12"/>
  <c r="H693" i="12"/>
  <c r="I693" i="12"/>
  <c r="J693" i="12"/>
  <c r="B692" i="12"/>
  <c r="C692" i="12"/>
  <c r="D692" i="12"/>
  <c r="E692" i="12"/>
  <c r="F692" i="12"/>
  <c r="G692" i="12"/>
  <c r="H692" i="12"/>
  <c r="I692" i="12"/>
  <c r="J692" i="12"/>
  <c r="B691" i="12"/>
  <c r="C691" i="12"/>
  <c r="D691" i="12"/>
  <c r="E691" i="12"/>
  <c r="F691" i="12"/>
  <c r="G691" i="12"/>
  <c r="H691" i="12"/>
  <c r="I691" i="12"/>
  <c r="J691" i="12"/>
  <c r="B690" i="12"/>
  <c r="C690" i="12"/>
  <c r="D690" i="12"/>
  <c r="E690" i="12"/>
  <c r="F690" i="12"/>
  <c r="G690" i="12"/>
  <c r="H690" i="12"/>
  <c r="I690" i="12"/>
  <c r="J690" i="12"/>
  <c r="B689" i="12"/>
  <c r="C689" i="12"/>
  <c r="D689" i="12"/>
  <c r="E689" i="12"/>
  <c r="F689" i="12"/>
  <c r="G689" i="12"/>
  <c r="H689" i="12"/>
  <c r="I689" i="12"/>
  <c r="J689" i="12"/>
  <c r="B688" i="12"/>
  <c r="C688" i="12"/>
  <c r="D688" i="12"/>
  <c r="E688" i="12"/>
  <c r="F688" i="12"/>
  <c r="G688" i="12"/>
  <c r="H688" i="12"/>
  <c r="I688" i="12"/>
  <c r="J688" i="12"/>
  <c r="B687" i="12"/>
  <c r="C687" i="12"/>
  <c r="D687" i="12"/>
  <c r="E687" i="12"/>
  <c r="F687" i="12"/>
  <c r="G687" i="12"/>
  <c r="H687" i="12"/>
  <c r="I687" i="12"/>
  <c r="J687" i="12"/>
  <c r="B686" i="12"/>
  <c r="C686" i="12"/>
  <c r="D686" i="12"/>
  <c r="E686" i="12"/>
  <c r="F686" i="12"/>
  <c r="G686" i="12"/>
  <c r="H686" i="12"/>
  <c r="I686" i="12"/>
  <c r="J686" i="12"/>
  <c r="B685" i="12"/>
  <c r="C685" i="12"/>
  <c r="D685" i="12"/>
  <c r="E685" i="12"/>
  <c r="F685" i="12"/>
  <c r="G685" i="12"/>
  <c r="H685" i="12"/>
  <c r="I685" i="12"/>
  <c r="J685" i="12"/>
  <c r="B684" i="12"/>
  <c r="C684" i="12"/>
  <c r="D684" i="12"/>
  <c r="E684" i="12"/>
  <c r="F684" i="12"/>
  <c r="G684" i="12"/>
  <c r="H684" i="12"/>
  <c r="I684" i="12"/>
  <c r="J684" i="12"/>
  <c r="B683" i="12"/>
  <c r="C683" i="12"/>
  <c r="D683" i="12"/>
  <c r="E683" i="12"/>
  <c r="F683" i="12"/>
  <c r="G683" i="12"/>
  <c r="H683" i="12"/>
  <c r="I683" i="12"/>
  <c r="J683" i="12"/>
  <c r="B682" i="12"/>
  <c r="C682" i="12"/>
  <c r="D682" i="12"/>
  <c r="E682" i="12"/>
  <c r="F682" i="12"/>
  <c r="G682" i="12"/>
  <c r="H682" i="12"/>
  <c r="I682" i="12"/>
  <c r="J682" i="12"/>
  <c r="B681" i="12"/>
  <c r="C681" i="12"/>
  <c r="D681" i="12"/>
  <c r="E681" i="12"/>
  <c r="F681" i="12"/>
  <c r="G681" i="12"/>
  <c r="H681" i="12"/>
  <c r="I681" i="12"/>
  <c r="J681" i="12"/>
  <c r="B680" i="12"/>
  <c r="C680" i="12"/>
  <c r="D680" i="12"/>
  <c r="E680" i="12"/>
  <c r="F680" i="12"/>
  <c r="G680" i="12"/>
  <c r="H680" i="12"/>
  <c r="I680" i="12"/>
  <c r="J680" i="12"/>
  <c r="B679" i="12"/>
  <c r="C679" i="12"/>
  <c r="D679" i="12"/>
  <c r="E679" i="12"/>
  <c r="F679" i="12"/>
  <c r="G679" i="12"/>
  <c r="H679" i="12"/>
  <c r="I679" i="12"/>
  <c r="J679" i="12"/>
  <c r="B678" i="12"/>
  <c r="C678" i="12"/>
  <c r="D678" i="12"/>
  <c r="E678" i="12"/>
  <c r="F678" i="12"/>
  <c r="G678" i="12"/>
  <c r="H678" i="12"/>
  <c r="I678" i="12"/>
  <c r="J678" i="12"/>
  <c r="B677" i="12"/>
  <c r="C677" i="12"/>
  <c r="D677" i="12"/>
  <c r="E677" i="12"/>
  <c r="F677" i="12"/>
  <c r="G677" i="12"/>
  <c r="H677" i="12"/>
  <c r="I677" i="12"/>
  <c r="J677" i="12"/>
  <c r="B676" i="12"/>
  <c r="C676" i="12"/>
  <c r="D676" i="12"/>
  <c r="E676" i="12"/>
  <c r="F676" i="12"/>
  <c r="G676" i="12"/>
  <c r="H676" i="12"/>
  <c r="I676" i="12"/>
  <c r="J676" i="12"/>
  <c r="B675" i="12"/>
  <c r="C675" i="12"/>
  <c r="D675" i="12"/>
  <c r="E675" i="12"/>
  <c r="F675" i="12"/>
  <c r="G675" i="12"/>
  <c r="H675" i="12"/>
  <c r="I675" i="12"/>
  <c r="J675" i="12"/>
  <c r="B674" i="12"/>
  <c r="C674" i="12"/>
  <c r="D674" i="12"/>
  <c r="E674" i="12"/>
  <c r="F674" i="12"/>
  <c r="G674" i="12"/>
  <c r="H674" i="12"/>
  <c r="I674" i="12"/>
  <c r="J674" i="12"/>
  <c r="B673" i="12"/>
  <c r="C673" i="12"/>
  <c r="D673" i="12"/>
  <c r="E673" i="12"/>
  <c r="F673" i="12"/>
  <c r="G673" i="12"/>
  <c r="H673" i="12"/>
  <c r="I673" i="12"/>
  <c r="J673" i="12"/>
  <c r="B672" i="12"/>
  <c r="C672" i="12"/>
  <c r="D672" i="12"/>
  <c r="E672" i="12"/>
  <c r="F672" i="12"/>
  <c r="G672" i="12"/>
  <c r="H672" i="12"/>
  <c r="I672" i="12"/>
  <c r="J672" i="12"/>
  <c r="B671" i="12"/>
  <c r="C671" i="12"/>
  <c r="D671" i="12"/>
  <c r="E671" i="12"/>
  <c r="F671" i="12"/>
  <c r="G671" i="12"/>
  <c r="H671" i="12"/>
  <c r="I671" i="12"/>
  <c r="J671" i="12"/>
  <c r="B670" i="12"/>
  <c r="C670" i="12"/>
  <c r="D670" i="12"/>
  <c r="E670" i="12"/>
  <c r="F670" i="12"/>
  <c r="G670" i="12"/>
  <c r="H670" i="12"/>
  <c r="I670" i="12"/>
  <c r="J670" i="12"/>
  <c r="B669" i="12"/>
  <c r="C669" i="12"/>
  <c r="D669" i="12"/>
  <c r="E669" i="12"/>
  <c r="F669" i="12"/>
  <c r="G669" i="12"/>
  <c r="H669" i="12"/>
  <c r="I669" i="12"/>
  <c r="J669" i="12"/>
  <c r="B668" i="12"/>
  <c r="C668" i="12"/>
  <c r="D668" i="12"/>
  <c r="E668" i="12"/>
  <c r="F668" i="12"/>
  <c r="G668" i="12"/>
  <c r="H668" i="12"/>
  <c r="I668" i="12"/>
  <c r="J668" i="12"/>
  <c r="B667" i="12"/>
  <c r="C667" i="12"/>
  <c r="D667" i="12"/>
  <c r="E667" i="12"/>
  <c r="F667" i="12"/>
  <c r="G667" i="12"/>
  <c r="H667" i="12"/>
  <c r="I667" i="12"/>
  <c r="J667" i="12"/>
  <c r="B666" i="12"/>
  <c r="C666" i="12"/>
  <c r="D666" i="12"/>
  <c r="E666" i="12"/>
  <c r="F666" i="12"/>
  <c r="G666" i="12"/>
  <c r="H666" i="12"/>
  <c r="I666" i="12"/>
  <c r="J666" i="12"/>
  <c r="B665" i="12"/>
  <c r="C665" i="12"/>
  <c r="D665" i="12"/>
  <c r="E665" i="12"/>
  <c r="F665" i="12"/>
  <c r="G665" i="12"/>
  <c r="H665" i="12"/>
  <c r="I665" i="12"/>
  <c r="J665" i="12"/>
  <c r="B664" i="12"/>
  <c r="C664" i="12"/>
  <c r="D664" i="12"/>
  <c r="E664" i="12"/>
  <c r="F664" i="12"/>
  <c r="G664" i="12"/>
  <c r="H664" i="12"/>
  <c r="I664" i="12"/>
  <c r="J664" i="12"/>
  <c r="B663" i="12"/>
  <c r="C663" i="12"/>
  <c r="D663" i="12"/>
  <c r="E663" i="12"/>
  <c r="F663" i="12"/>
  <c r="G663" i="12"/>
  <c r="H663" i="12"/>
  <c r="I663" i="12"/>
  <c r="J663" i="12"/>
  <c r="B662" i="12"/>
  <c r="C662" i="12"/>
  <c r="D662" i="12"/>
  <c r="E662" i="12"/>
  <c r="F662" i="12"/>
  <c r="G662" i="12"/>
  <c r="H662" i="12"/>
  <c r="I662" i="12"/>
  <c r="J662" i="12"/>
  <c r="B661" i="12"/>
  <c r="C661" i="12"/>
  <c r="D661" i="12"/>
  <c r="E661" i="12"/>
  <c r="F661" i="12"/>
  <c r="G661" i="12"/>
  <c r="H661" i="12"/>
  <c r="I661" i="12"/>
  <c r="J661" i="12"/>
  <c r="B660" i="12"/>
  <c r="C660" i="12"/>
  <c r="D660" i="12"/>
  <c r="E660" i="12"/>
  <c r="F660" i="12"/>
  <c r="G660" i="12"/>
  <c r="H660" i="12"/>
  <c r="I660" i="12"/>
  <c r="J660" i="12"/>
  <c r="B659" i="12"/>
  <c r="C659" i="12"/>
  <c r="D659" i="12"/>
  <c r="E659" i="12"/>
  <c r="F659" i="12"/>
  <c r="G659" i="12"/>
  <c r="H659" i="12"/>
  <c r="I659" i="12"/>
  <c r="J659" i="12"/>
  <c r="B658" i="12"/>
  <c r="C658" i="12"/>
  <c r="D658" i="12"/>
  <c r="E658" i="12"/>
  <c r="F658" i="12"/>
  <c r="G658" i="12"/>
  <c r="H658" i="12"/>
  <c r="I658" i="12"/>
  <c r="J658" i="12"/>
  <c r="B657" i="12"/>
  <c r="C657" i="12"/>
  <c r="D657" i="12"/>
  <c r="E657" i="12"/>
  <c r="F657" i="12"/>
  <c r="G657" i="12"/>
  <c r="H657" i="12"/>
  <c r="I657" i="12"/>
  <c r="J657" i="12"/>
  <c r="B656" i="12"/>
  <c r="C656" i="12"/>
  <c r="D656" i="12"/>
  <c r="E656" i="12"/>
  <c r="F656" i="12"/>
  <c r="G656" i="12"/>
  <c r="H656" i="12"/>
  <c r="I656" i="12"/>
  <c r="J656" i="12"/>
  <c r="B655" i="12"/>
  <c r="C655" i="12"/>
  <c r="D655" i="12"/>
  <c r="E655" i="12"/>
  <c r="F655" i="12"/>
  <c r="G655" i="12"/>
  <c r="H655" i="12"/>
  <c r="I655" i="12"/>
  <c r="J655" i="12"/>
  <c r="B654" i="12"/>
  <c r="C654" i="12"/>
  <c r="D654" i="12"/>
  <c r="E654" i="12"/>
  <c r="F654" i="12"/>
  <c r="G654" i="12"/>
  <c r="H654" i="12"/>
  <c r="I654" i="12"/>
  <c r="J654" i="12"/>
  <c r="B653" i="12"/>
  <c r="C653" i="12"/>
  <c r="D653" i="12"/>
  <c r="E653" i="12"/>
  <c r="F653" i="12"/>
  <c r="G653" i="12"/>
  <c r="H653" i="12"/>
  <c r="I653" i="12"/>
  <c r="J653" i="12"/>
  <c r="B652" i="12"/>
  <c r="C652" i="12"/>
  <c r="D652" i="12"/>
  <c r="E652" i="12"/>
  <c r="F652" i="12"/>
  <c r="G652" i="12"/>
  <c r="H652" i="12"/>
  <c r="I652" i="12"/>
  <c r="J652" i="12"/>
  <c r="B651" i="12"/>
  <c r="C651" i="12"/>
  <c r="D651" i="12"/>
  <c r="E651" i="12"/>
  <c r="F651" i="12"/>
  <c r="G651" i="12"/>
  <c r="H651" i="12"/>
  <c r="I651" i="12"/>
  <c r="J651" i="12"/>
  <c r="B722" i="3"/>
  <c r="C722" i="3"/>
  <c r="D722" i="3"/>
  <c r="E722" i="3"/>
  <c r="F722" i="3"/>
  <c r="G722" i="3"/>
  <c r="H722" i="3"/>
  <c r="I722" i="3"/>
  <c r="J722" i="3"/>
  <c r="B721" i="3"/>
  <c r="C721" i="3"/>
  <c r="D721" i="3"/>
  <c r="E721" i="3"/>
  <c r="F721" i="3"/>
  <c r="G721" i="3"/>
  <c r="H721" i="3"/>
  <c r="I721" i="3"/>
  <c r="J721" i="3"/>
  <c r="B720" i="3"/>
  <c r="C720" i="3"/>
  <c r="D720" i="3"/>
  <c r="E720" i="3"/>
  <c r="F720" i="3"/>
  <c r="G720" i="3"/>
  <c r="H720" i="3"/>
  <c r="I720" i="3"/>
  <c r="J720" i="3"/>
  <c r="B719" i="3"/>
  <c r="C719" i="3"/>
  <c r="D719" i="3"/>
  <c r="E719" i="3"/>
  <c r="F719" i="3"/>
  <c r="G719" i="3"/>
  <c r="H719" i="3"/>
  <c r="I719" i="3"/>
  <c r="J719" i="3"/>
  <c r="B718" i="3"/>
  <c r="C718" i="3"/>
  <c r="D718" i="3"/>
  <c r="E718" i="3"/>
  <c r="F718" i="3"/>
  <c r="G718" i="3"/>
  <c r="H718" i="3"/>
  <c r="I718" i="3"/>
  <c r="J718" i="3"/>
  <c r="B717" i="3"/>
  <c r="C717" i="3"/>
  <c r="D717" i="3"/>
  <c r="E717" i="3"/>
  <c r="F717" i="3"/>
  <c r="G717" i="3"/>
  <c r="H717" i="3"/>
  <c r="I717" i="3"/>
  <c r="J717" i="3"/>
  <c r="B716" i="3"/>
  <c r="C716" i="3"/>
  <c r="D716" i="3"/>
  <c r="E716" i="3"/>
  <c r="F716" i="3"/>
  <c r="G716" i="3"/>
  <c r="H716" i="3"/>
  <c r="I716" i="3"/>
  <c r="J716" i="3"/>
  <c r="B715" i="3"/>
  <c r="C715" i="3"/>
  <c r="D715" i="3"/>
  <c r="E715" i="3"/>
  <c r="F715" i="3"/>
  <c r="G715" i="3"/>
  <c r="H715" i="3"/>
  <c r="I715" i="3"/>
  <c r="J715" i="3"/>
  <c r="B714" i="3"/>
  <c r="C714" i="3"/>
  <c r="D714" i="3"/>
  <c r="E714" i="3"/>
  <c r="F714" i="3"/>
  <c r="G714" i="3"/>
  <c r="H714" i="3"/>
  <c r="I714" i="3"/>
  <c r="J714" i="3"/>
  <c r="B713" i="3"/>
  <c r="C713" i="3"/>
  <c r="D713" i="3"/>
  <c r="E713" i="3"/>
  <c r="F713" i="3"/>
  <c r="G713" i="3"/>
  <c r="H713" i="3"/>
  <c r="I713" i="3"/>
  <c r="J713" i="3"/>
  <c r="B712" i="3"/>
  <c r="C712" i="3"/>
  <c r="D712" i="3"/>
  <c r="E712" i="3"/>
  <c r="F712" i="3"/>
  <c r="G712" i="3"/>
  <c r="H712" i="3"/>
  <c r="I712" i="3"/>
  <c r="J712" i="3"/>
  <c r="B711" i="3"/>
  <c r="C711" i="3"/>
  <c r="D711" i="3"/>
  <c r="E711" i="3"/>
  <c r="F711" i="3"/>
  <c r="G711" i="3"/>
  <c r="H711" i="3"/>
  <c r="I711" i="3"/>
  <c r="J711" i="3"/>
  <c r="B710" i="3"/>
  <c r="C710" i="3"/>
  <c r="D710" i="3"/>
  <c r="E710" i="3"/>
  <c r="F710" i="3"/>
  <c r="G710" i="3"/>
  <c r="H710" i="3"/>
  <c r="I710" i="3"/>
  <c r="J710" i="3"/>
  <c r="B709" i="3"/>
  <c r="C709" i="3"/>
  <c r="D709" i="3"/>
  <c r="E709" i="3"/>
  <c r="F709" i="3"/>
  <c r="G709" i="3"/>
  <c r="H709" i="3"/>
  <c r="I709" i="3"/>
  <c r="J709" i="3"/>
  <c r="B708" i="3"/>
  <c r="C708" i="3"/>
  <c r="D708" i="3"/>
  <c r="E708" i="3"/>
  <c r="F708" i="3"/>
  <c r="G708" i="3"/>
  <c r="H708" i="3"/>
  <c r="I708" i="3"/>
  <c r="J708" i="3"/>
  <c r="B707" i="3"/>
  <c r="C707" i="3"/>
  <c r="D707" i="3"/>
  <c r="E707" i="3"/>
  <c r="F707" i="3"/>
  <c r="G707" i="3"/>
  <c r="H707" i="3"/>
  <c r="I707" i="3"/>
  <c r="J707" i="3"/>
  <c r="B706" i="3"/>
  <c r="C706" i="3"/>
  <c r="D706" i="3"/>
  <c r="E706" i="3"/>
  <c r="F706" i="3"/>
  <c r="G706" i="3"/>
  <c r="H706" i="3"/>
  <c r="I706" i="3"/>
  <c r="J706" i="3"/>
  <c r="B705" i="3"/>
  <c r="C705" i="3"/>
  <c r="D705" i="3"/>
  <c r="E705" i="3"/>
  <c r="F705" i="3"/>
  <c r="G705" i="3"/>
  <c r="H705" i="3"/>
  <c r="I705" i="3"/>
  <c r="J705" i="3"/>
  <c r="B704" i="3"/>
  <c r="C704" i="3"/>
  <c r="D704" i="3"/>
  <c r="E704" i="3"/>
  <c r="F704" i="3"/>
  <c r="G704" i="3"/>
  <c r="H704" i="3"/>
  <c r="I704" i="3"/>
  <c r="J704" i="3"/>
  <c r="B703" i="3"/>
  <c r="C703" i="3"/>
  <c r="D703" i="3"/>
  <c r="E703" i="3"/>
  <c r="F703" i="3"/>
  <c r="G703" i="3"/>
  <c r="H703" i="3"/>
  <c r="I703" i="3"/>
  <c r="J703" i="3"/>
  <c r="B702" i="3"/>
  <c r="C702" i="3"/>
  <c r="D702" i="3"/>
  <c r="E702" i="3"/>
  <c r="F702" i="3"/>
  <c r="G702" i="3"/>
  <c r="H702" i="3"/>
  <c r="I702" i="3"/>
  <c r="J702" i="3"/>
  <c r="B701" i="3"/>
  <c r="C701" i="3"/>
  <c r="D701" i="3"/>
  <c r="E701" i="3"/>
  <c r="F701" i="3"/>
  <c r="G701" i="3"/>
  <c r="H701" i="3"/>
  <c r="I701" i="3"/>
  <c r="J701" i="3"/>
  <c r="B700" i="3"/>
  <c r="C700" i="3"/>
  <c r="D700" i="3"/>
  <c r="E700" i="3"/>
  <c r="F700" i="3"/>
  <c r="G700" i="3"/>
  <c r="H700" i="3"/>
  <c r="I700" i="3"/>
  <c r="J700" i="3"/>
  <c r="B699" i="3"/>
  <c r="C699" i="3"/>
  <c r="D699" i="3"/>
  <c r="E699" i="3"/>
  <c r="F699" i="3"/>
  <c r="G699" i="3"/>
  <c r="H699" i="3"/>
  <c r="I699" i="3"/>
  <c r="J699" i="3"/>
  <c r="B698" i="3"/>
  <c r="C698" i="3"/>
  <c r="D698" i="3"/>
  <c r="E698" i="3"/>
  <c r="F698" i="3"/>
  <c r="G698" i="3"/>
  <c r="H698" i="3"/>
  <c r="I698" i="3"/>
  <c r="J698" i="3"/>
  <c r="B697" i="3"/>
  <c r="C697" i="3"/>
  <c r="D697" i="3"/>
  <c r="E697" i="3"/>
  <c r="F697" i="3"/>
  <c r="G697" i="3"/>
  <c r="H697" i="3"/>
  <c r="I697" i="3"/>
  <c r="J697" i="3"/>
  <c r="B696" i="3"/>
  <c r="C696" i="3"/>
  <c r="D696" i="3"/>
  <c r="E696" i="3"/>
  <c r="F696" i="3"/>
  <c r="G696" i="3"/>
  <c r="H696" i="3"/>
  <c r="I696" i="3"/>
  <c r="J696" i="3"/>
  <c r="B695" i="3"/>
  <c r="C695" i="3"/>
  <c r="D695" i="3"/>
  <c r="E695" i="3"/>
  <c r="F695" i="3"/>
  <c r="G695" i="3"/>
  <c r="H695" i="3"/>
  <c r="I695" i="3"/>
  <c r="J695" i="3"/>
  <c r="B694" i="3"/>
  <c r="C694" i="3"/>
  <c r="D694" i="3"/>
  <c r="E694" i="3"/>
  <c r="F694" i="3"/>
  <c r="G694" i="3"/>
  <c r="H694" i="3"/>
  <c r="I694" i="3"/>
  <c r="J694" i="3"/>
  <c r="B693" i="3"/>
  <c r="C693" i="3"/>
  <c r="D693" i="3"/>
  <c r="E693" i="3"/>
  <c r="F693" i="3"/>
  <c r="G693" i="3"/>
  <c r="H693" i="3"/>
  <c r="I693" i="3"/>
  <c r="J693" i="3"/>
  <c r="B692" i="3"/>
  <c r="C692" i="3"/>
  <c r="D692" i="3"/>
  <c r="E692" i="3"/>
  <c r="F692" i="3"/>
  <c r="G692" i="3"/>
  <c r="H692" i="3"/>
  <c r="I692" i="3"/>
  <c r="J692" i="3"/>
  <c r="B691" i="3"/>
  <c r="C691" i="3"/>
  <c r="D691" i="3"/>
  <c r="E691" i="3"/>
  <c r="F691" i="3"/>
  <c r="G691" i="3"/>
  <c r="H691" i="3"/>
  <c r="I691" i="3"/>
  <c r="J691" i="3"/>
  <c r="B690" i="3"/>
  <c r="C690" i="3"/>
  <c r="D690" i="3"/>
  <c r="E690" i="3"/>
  <c r="F690" i="3"/>
  <c r="G690" i="3"/>
  <c r="H690" i="3"/>
  <c r="I690" i="3"/>
  <c r="J690" i="3"/>
  <c r="B689" i="3"/>
  <c r="C689" i="3"/>
  <c r="D689" i="3"/>
  <c r="E689" i="3"/>
  <c r="F689" i="3"/>
  <c r="G689" i="3"/>
  <c r="H689" i="3"/>
  <c r="I689" i="3"/>
  <c r="J689" i="3"/>
  <c r="B688" i="3"/>
  <c r="C688" i="3"/>
  <c r="D688" i="3"/>
  <c r="E688" i="3"/>
  <c r="F688" i="3"/>
  <c r="G688" i="3"/>
  <c r="H688" i="3"/>
  <c r="I688" i="3"/>
  <c r="J688" i="3"/>
  <c r="B687" i="3"/>
  <c r="C687" i="3"/>
  <c r="D687" i="3"/>
  <c r="E687" i="3"/>
  <c r="F687" i="3"/>
  <c r="G687" i="3"/>
  <c r="H687" i="3"/>
  <c r="I687" i="3"/>
  <c r="J687" i="3"/>
  <c r="B686" i="3"/>
  <c r="C686" i="3"/>
  <c r="D686" i="3"/>
  <c r="E686" i="3"/>
  <c r="F686" i="3"/>
  <c r="G686" i="3"/>
  <c r="H686" i="3"/>
  <c r="I686" i="3"/>
  <c r="J686" i="3"/>
  <c r="B685" i="3"/>
  <c r="C685" i="3"/>
  <c r="D685" i="3"/>
  <c r="E685" i="3"/>
  <c r="F685" i="3"/>
  <c r="G685" i="3"/>
  <c r="H685" i="3"/>
  <c r="I685" i="3"/>
  <c r="J685" i="3"/>
  <c r="B684" i="3"/>
  <c r="C684" i="3"/>
  <c r="D684" i="3"/>
  <c r="E684" i="3"/>
  <c r="F684" i="3"/>
  <c r="G684" i="3"/>
  <c r="H684" i="3"/>
  <c r="I684" i="3"/>
  <c r="J684" i="3"/>
  <c r="B683" i="3"/>
  <c r="C683" i="3"/>
  <c r="D683" i="3"/>
  <c r="E683" i="3"/>
  <c r="F683" i="3"/>
  <c r="G683" i="3"/>
  <c r="H683" i="3"/>
  <c r="I683" i="3"/>
  <c r="J683" i="3"/>
  <c r="B682" i="3"/>
  <c r="C682" i="3"/>
  <c r="D682" i="3"/>
  <c r="E682" i="3"/>
  <c r="F682" i="3"/>
  <c r="G682" i="3"/>
  <c r="H682" i="3"/>
  <c r="I682" i="3"/>
  <c r="J682" i="3"/>
  <c r="B681" i="3"/>
  <c r="C681" i="3"/>
  <c r="D681" i="3"/>
  <c r="E681" i="3"/>
  <c r="F681" i="3"/>
  <c r="G681" i="3"/>
  <c r="H681" i="3"/>
  <c r="I681" i="3"/>
  <c r="J681" i="3"/>
  <c r="B680" i="3"/>
  <c r="C680" i="3"/>
  <c r="D680" i="3"/>
  <c r="E680" i="3"/>
  <c r="F680" i="3"/>
  <c r="G680" i="3"/>
  <c r="H680" i="3"/>
  <c r="I680" i="3"/>
  <c r="J680" i="3"/>
  <c r="B679" i="3"/>
  <c r="C679" i="3"/>
  <c r="D679" i="3"/>
  <c r="E679" i="3"/>
  <c r="F679" i="3"/>
  <c r="G679" i="3"/>
  <c r="H679" i="3"/>
  <c r="I679" i="3"/>
  <c r="J679" i="3"/>
  <c r="B678" i="3"/>
  <c r="C678" i="3"/>
  <c r="D678" i="3"/>
  <c r="E678" i="3"/>
  <c r="F678" i="3"/>
  <c r="G678" i="3"/>
  <c r="H678" i="3"/>
  <c r="I678" i="3"/>
  <c r="J678" i="3"/>
  <c r="B677" i="3"/>
  <c r="C677" i="3"/>
  <c r="D677" i="3"/>
  <c r="E677" i="3"/>
  <c r="F677" i="3"/>
  <c r="G677" i="3"/>
  <c r="H677" i="3"/>
  <c r="I677" i="3"/>
  <c r="J677" i="3"/>
  <c r="B676" i="3"/>
  <c r="C676" i="3"/>
  <c r="D676" i="3"/>
  <c r="E676" i="3"/>
  <c r="F676" i="3"/>
  <c r="G676" i="3"/>
  <c r="H676" i="3"/>
  <c r="I676" i="3"/>
  <c r="J676" i="3"/>
  <c r="B675" i="3"/>
  <c r="C675" i="3"/>
  <c r="D675" i="3"/>
  <c r="E675" i="3"/>
  <c r="F675" i="3"/>
  <c r="G675" i="3"/>
  <c r="H675" i="3"/>
  <c r="I675" i="3"/>
  <c r="J675" i="3"/>
  <c r="B674" i="3"/>
  <c r="C674" i="3"/>
  <c r="D674" i="3"/>
  <c r="E674" i="3"/>
  <c r="F674" i="3"/>
  <c r="G674" i="3"/>
  <c r="H674" i="3"/>
  <c r="I674" i="3"/>
  <c r="J674" i="3"/>
  <c r="B673" i="3"/>
  <c r="C673" i="3"/>
  <c r="D673" i="3"/>
  <c r="E673" i="3"/>
  <c r="F673" i="3"/>
  <c r="G673" i="3"/>
  <c r="H673" i="3"/>
  <c r="I673" i="3"/>
  <c r="J673" i="3"/>
  <c r="B672" i="3"/>
  <c r="C672" i="3"/>
  <c r="D672" i="3"/>
  <c r="E672" i="3"/>
  <c r="F672" i="3"/>
  <c r="G672" i="3"/>
  <c r="H672" i="3"/>
  <c r="I672" i="3"/>
  <c r="J672" i="3"/>
  <c r="B671" i="3"/>
  <c r="C671" i="3"/>
  <c r="D671" i="3"/>
  <c r="E671" i="3"/>
  <c r="F671" i="3"/>
  <c r="G671" i="3"/>
  <c r="H671" i="3"/>
  <c r="I671" i="3"/>
  <c r="J671" i="3"/>
  <c r="B670" i="3"/>
  <c r="C670" i="3"/>
  <c r="D670" i="3"/>
  <c r="E670" i="3"/>
  <c r="F670" i="3"/>
  <c r="G670" i="3"/>
  <c r="H670" i="3"/>
  <c r="I670" i="3"/>
  <c r="J670" i="3"/>
  <c r="B669" i="3"/>
  <c r="C669" i="3"/>
  <c r="D669" i="3"/>
  <c r="E669" i="3"/>
  <c r="F669" i="3"/>
  <c r="G669" i="3"/>
  <c r="H669" i="3"/>
  <c r="I669" i="3"/>
  <c r="J669" i="3"/>
  <c r="B668" i="3"/>
  <c r="C668" i="3"/>
  <c r="D668" i="3"/>
  <c r="E668" i="3"/>
  <c r="F668" i="3"/>
  <c r="G668" i="3"/>
  <c r="H668" i="3"/>
  <c r="I668" i="3"/>
  <c r="J668" i="3"/>
  <c r="B667" i="3"/>
  <c r="C667" i="3"/>
  <c r="D667" i="3"/>
  <c r="E667" i="3"/>
  <c r="F667" i="3"/>
  <c r="G667" i="3"/>
  <c r="H667" i="3"/>
  <c r="I667" i="3"/>
  <c r="J667" i="3"/>
  <c r="B666" i="3"/>
  <c r="C666" i="3"/>
  <c r="D666" i="3"/>
  <c r="E666" i="3"/>
  <c r="F666" i="3"/>
  <c r="G666" i="3"/>
  <c r="H666" i="3"/>
  <c r="I666" i="3"/>
  <c r="J666" i="3"/>
  <c r="B665" i="3"/>
  <c r="C665" i="3"/>
  <c r="D665" i="3"/>
  <c r="E665" i="3"/>
  <c r="F665" i="3"/>
  <c r="G665" i="3"/>
  <c r="H665" i="3"/>
  <c r="I665" i="3"/>
  <c r="J665" i="3"/>
  <c r="B664" i="3"/>
  <c r="C664" i="3"/>
  <c r="D664" i="3"/>
  <c r="E664" i="3"/>
  <c r="F664" i="3"/>
  <c r="G664" i="3"/>
  <c r="H664" i="3"/>
  <c r="I664" i="3"/>
  <c r="J664" i="3"/>
  <c r="B663" i="3"/>
  <c r="C663" i="3"/>
  <c r="D663" i="3"/>
  <c r="E663" i="3"/>
  <c r="F663" i="3"/>
  <c r="G663" i="3"/>
  <c r="H663" i="3"/>
  <c r="I663" i="3"/>
  <c r="J663" i="3"/>
  <c r="B662" i="3"/>
  <c r="C662" i="3"/>
  <c r="D662" i="3"/>
  <c r="E662" i="3"/>
  <c r="F662" i="3"/>
  <c r="G662" i="3"/>
  <c r="H662" i="3"/>
  <c r="I662" i="3"/>
  <c r="J662" i="3"/>
  <c r="B661" i="3"/>
  <c r="C661" i="3"/>
  <c r="D661" i="3"/>
  <c r="E661" i="3"/>
  <c r="F661" i="3"/>
  <c r="G661" i="3"/>
  <c r="H661" i="3"/>
  <c r="I661" i="3"/>
  <c r="J661" i="3"/>
  <c r="B660" i="3"/>
  <c r="C660" i="3"/>
  <c r="D660" i="3"/>
  <c r="E660" i="3"/>
  <c r="F660" i="3"/>
  <c r="G660" i="3"/>
  <c r="H660" i="3"/>
  <c r="I660" i="3"/>
  <c r="J660" i="3"/>
  <c r="B659" i="3"/>
  <c r="C659" i="3"/>
  <c r="D659" i="3"/>
  <c r="E659" i="3"/>
  <c r="F659" i="3"/>
  <c r="G659" i="3"/>
  <c r="H659" i="3"/>
  <c r="I659" i="3"/>
  <c r="J659" i="3"/>
  <c r="B658" i="3"/>
  <c r="C658" i="3"/>
  <c r="D658" i="3"/>
  <c r="E658" i="3"/>
  <c r="F658" i="3"/>
  <c r="G658" i="3"/>
  <c r="H658" i="3"/>
  <c r="I658" i="3"/>
  <c r="J658" i="3"/>
  <c r="B657" i="3"/>
  <c r="C657" i="3"/>
  <c r="D657" i="3"/>
  <c r="E657" i="3"/>
  <c r="F657" i="3"/>
  <c r="G657" i="3"/>
  <c r="H657" i="3"/>
  <c r="I657" i="3"/>
  <c r="J657" i="3"/>
  <c r="B656" i="3"/>
  <c r="C656" i="3"/>
  <c r="D656" i="3"/>
  <c r="E656" i="3"/>
  <c r="F656" i="3"/>
  <c r="G656" i="3"/>
  <c r="H656" i="3"/>
  <c r="I656" i="3"/>
  <c r="J656" i="3"/>
  <c r="B655" i="3"/>
  <c r="C655" i="3"/>
  <c r="D655" i="3"/>
  <c r="E655" i="3"/>
  <c r="F655" i="3"/>
  <c r="G655" i="3"/>
  <c r="H655" i="3"/>
  <c r="I655" i="3"/>
  <c r="J655" i="3"/>
  <c r="B654" i="3"/>
  <c r="C654" i="3"/>
  <c r="D654" i="3"/>
  <c r="E654" i="3"/>
  <c r="F654" i="3"/>
  <c r="G654" i="3"/>
  <c r="H654" i="3"/>
  <c r="I654" i="3"/>
  <c r="J654" i="3"/>
  <c r="B653" i="3"/>
  <c r="C653" i="3"/>
  <c r="D653" i="3"/>
  <c r="E653" i="3"/>
  <c r="F653" i="3"/>
  <c r="G653" i="3"/>
  <c r="H653" i="3"/>
  <c r="I653" i="3"/>
  <c r="J653" i="3"/>
  <c r="B652" i="3"/>
  <c r="C652" i="3"/>
  <c r="D652" i="3"/>
  <c r="E652" i="3"/>
  <c r="F652" i="3"/>
  <c r="G652" i="3"/>
  <c r="H652" i="3"/>
  <c r="I652" i="3"/>
  <c r="J652" i="3"/>
  <c r="B651" i="3"/>
  <c r="C651" i="3"/>
  <c r="D651" i="3"/>
  <c r="E651" i="3"/>
  <c r="F651" i="3"/>
  <c r="G651" i="3"/>
  <c r="H651" i="3"/>
  <c r="I651" i="3"/>
  <c r="J651" i="3"/>
  <c r="B650" i="3"/>
  <c r="C650" i="3"/>
  <c r="D650" i="3"/>
  <c r="E650" i="3"/>
  <c r="F650" i="3"/>
  <c r="G650" i="3"/>
  <c r="H650" i="3"/>
  <c r="I650" i="3"/>
  <c r="J650" i="3"/>
  <c r="B649" i="3"/>
  <c r="C649" i="3"/>
  <c r="D649" i="3"/>
  <c r="E649" i="3"/>
  <c r="F649" i="3"/>
  <c r="G649" i="3"/>
  <c r="H649" i="3"/>
  <c r="I649" i="3"/>
  <c r="J649" i="3"/>
  <c r="B648" i="3"/>
  <c r="C648" i="3"/>
  <c r="D648" i="3"/>
  <c r="E648" i="3"/>
  <c r="F648" i="3"/>
  <c r="G648" i="3"/>
  <c r="H648" i="3"/>
  <c r="I648" i="3"/>
  <c r="J648" i="3"/>
  <c r="B647" i="3"/>
  <c r="C647" i="3"/>
  <c r="D647" i="3"/>
  <c r="E647" i="3"/>
  <c r="F647" i="3"/>
  <c r="G647" i="3"/>
  <c r="H647" i="3"/>
  <c r="I647" i="3"/>
  <c r="J647" i="3"/>
  <c r="B646" i="3"/>
  <c r="C646" i="3"/>
  <c r="D646" i="3"/>
  <c r="E646" i="3"/>
  <c r="F646" i="3"/>
  <c r="G646" i="3"/>
  <c r="H646" i="3"/>
  <c r="I646" i="3"/>
  <c r="J646" i="3"/>
  <c r="B645" i="3"/>
  <c r="C645" i="3"/>
  <c r="D645" i="3"/>
  <c r="E645" i="3"/>
  <c r="F645" i="3"/>
  <c r="G645" i="3"/>
  <c r="H645" i="3"/>
  <c r="I645" i="3"/>
  <c r="J645" i="3"/>
  <c r="B644" i="3"/>
  <c r="C644" i="3"/>
  <c r="D644" i="3"/>
  <c r="E644" i="3"/>
  <c r="F644" i="3"/>
  <c r="G644" i="3"/>
  <c r="H644" i="3"/>
  <c r="I644" i="3"/>
  <c r="J644" i="3"/>
  <c r="B643" i="3"/>
  <c r="C643" i="3"/>
  <c r="D643" i="3"/>
  <c r="E643" i="3"/>
  <c r="F643" i="3"/>
  <c r="G643" i="3"/>
  <c r="H643" i="3"/>
  <c r="I643" i="3"/>
  <c r="J643" i="3"/>
  <c r="B642" i="3"/>
  <c r="C642" i="3"/>
  <c r="D642" i="3"/>
  <c r="E642" i="3"/>
  <c r="F642" i="3"/>
  <c r="G642" i="3"/>
  <c r="H642" i="3"/>
  <c r="I642" i="3"/>
  <c r="J642" i="3"/>
  <c r="B641" i="3"/>
  <c r="C641" i="3"/>
  <c r="D641" i="3"/>
  <c r="E641" i="3"/>
  <c r="F641" i="3"/>
  <c r="G641" i="3"/>
  <c r="H641" i="3"/>
  <c r="I641" i="3"/>
  <c r="J641" i="3"/>
  <c r="B640" i="3"/>
  <c r="C640" i="3"/>
  <c r="D640" i="3"/>
  <c r="E640" i="3"/>
  <c r="F640" i="3"/>
  <c r="G640" i="3"/>
  <c r="H640" i="3"/>
  <c r="I640" i="3"/>
  <c r="J640" i="3"/>
  <c r="B639" i="3"/>
  <c r="C639" i="3"/>
  <c r="D639" i="3"/>
  <c r="E639" i="3"/>
  <c r="F639" i="3"/>
  <c r="G639" i="3"/>
  <c r="H639" i="3"/>
  <c r="I639" i="3"/>
  <c r="J639" i="3"/>
  <c r="B638" i="3"/>
  <c r="C638" i="3"/>
  <c r="D638" i="3"/>
  <c r="E638" i="3"/>
  <c r="F638" i="3"/>
  <c r="G638" i="3"/>
  <c r="H638" i="3"/>
  <c r="I638" i="3"/>
  <c r="J638" i="3"/>
  <c r="B637" i="3"/>
  <c r="C637" i="3"/>
  <c r="D637" i="3"/>
  <c r="E637" i="3"/>
  <c r="F637" i="3"/>
  <c r="G637" i="3"/>
  <c r="H637" i="3"/>
  <c r="I637" i="3"/>
  <c r="J637" i="3"/>
  <c r="B636" i="3"/>
  <c r="C636" i="3"/>
  <c r="D636" i="3"/>
  <c r="E636" i="3"/>
  <c r="F636" i="3"/>
  <c r="G636" i="3"/>
  <c r="H636" i="3"/>
  <c r="I636" i="3"/>
  <c r="J636" i="3"/>
  <c r="B635" i="3"/>
  <c r="C635" i="3"/>
  <c r="D635" i="3"/>
  <c r="E635" i="3"/>
  <c r="F635" i="3"/>
  <c r="G635" i="3"/>
  <c r="H635" i="3"/>
  <c r="I635" i="3"/>
  <c r="J635" i="3"/>
  <c r="B634" i="3"/>
  <c r="C634" i="3"/>
  <c r="D634" i="3"/>
  <c r="E634" i="3"/>
  <c r="F634" i="3"/>
  <c r="G634" i="3"/>
  <c r="H634" i="3"/>
  <c r="I634" i="3"/>
  <c r="J634" i="3"/>
  <c r="B633" i="3"/>
  <c r="C633" i="3"/>
  <c r="D633" i="3"/>
  <c r="E633" i="3"/>
  <c r="F633" i="3"/>
  <c r="G633" i="3"/>
  <c r="H633" i="3"/>
  <c r="I633" i="3"/>
  <c r="J633" i="3"/>
  <c r="B632" i="3"/>
  <c r="C632" i="3"/>
  <c r="D632" i="3"/>
  <c r="E632" i="3"/>
  <c r="F632" i="3"/>
  <c r="G632" i="3"/>
  <c r="H632" i="3"/>
  <c r="I632" i="3"/>
  <c r="J632" i="3"/>
  <c r="B631" i="3"/>
  <c r="C631" i="3"/>
  <c r="D631" i="3"/>
  <c r="E631" i="3"/>
  <c r="F631" i="3"/>
  <c r="G631" i="3"/>
  <c r="H631" i="3"/>
  <c r="I631" i="3"/>
  <c r="J631" i="3"/>
  <c r="B630" i="3"/>
  <c r="C630" i="3"/>
  <c r="D630" i="3"/>
  <c r="E630" i="3"/>
  <c r="F630" i="3"/>
  <c r="G630" i="3"/>
  <c r="H630" i="3"/>
  <c r="I630" i="3"/>
  <c r="J630" i="3"/>
  <c r="B629" i="3"/>
  <c r="C629" i="3"/>
  <c r="D629" i="3"/>
  <c r="E629" i="3"/>
  <c r="F629" i="3"/>
  <c r="G629" i="3"/>
  <c r="H629" i="3"/>
  <c r="I629" i="3"/>
  <c r="J629" i="3"/>
  <c r="B628" i="3"/>
  <c r="C628" i="3"/>
  <c r="D628" i="3"/>
  <c r="E628" i="3"/>
  <c r="F628" i="3"/>
  <c r="G628" i="3"/>
  <c r="H628" i="3"/>
  <c r="I628" i="3"/>
  <c r="J628" i="3"/>
  <c r="B627" i="3"/>
  <c r="C627" i="3"/>
  <c r="D627" i="3"/>
  <c r="E627" i="3"/>
  <c r="F627" i="3"/>
  <c r="G627" i="3"/>
  <c r="H627" i="3"/>
  <c r="I627" i="3"/>
  <c r="J627" i="3"/>
  <c r="B626" i="3"/>
  <c r="C626" i="3"/>
  <c r="D626" i="3"/>
  <c r="E626" i="3"/>
  <c r="F626" i="3"/>
  <c r="G626" i="3"/>
  <c r="H626" i="3"/>
  <c r="I626" i="3"/>
  <c r="J626" i="3"/>
  <c r="B625" i="3"/>
  <c r="C625" i="3"/>
  <c r="D625" i="3"/>
  <c r="E625" i="3"/>
  <c r="F625" i="3"/>
  <c r="G625" i="3"/>
  <c r="H625" i="3"/>
  <c r="I625" i="3"/>
  <c r="J625" i="3"/>
  <c r="B624" i="3"/>
  <c r="C624" i="3"/>
  <c r="D624" i="3"/>
  <c r="E624" i="3"/>
  <c r="F624" i="3"/>
  <c r="G624" i="3"/>
  <c r="H624" i="3"/>
  <c r="I624" i="3"/>
  <c r="J624" i="3"/>
  <c r="B623" i="3"/>
  <c r="C623" i="3"/>
  <c r="D623" i="3"/>
  <c r="E623" i="3"/>
  <c r="F623" i="3"/>
  <c r="G623" i="3"/>
  <c r="H623" i="3"/>
  <c r="I623" i="3"/>
  <c r="J623" i="3"/>
  <c r="B622" i="3"/>
  <c r="C622" i="3"/>
  <c r="D622" i="3"/>
  <c r="E622" i="3"/>
  <c r="F622" i="3"/>
  <c r="G622" i="3"/>
  <c r="H622" i="3"/>
  <c r="I622" i="3"/>
  <c r="J622" i="3"/>
  <c r="B621" i="3"/>
  <c r="C621" i="3"/>
  <c r="D621" i="3"/>
  <c r="E621" i="3"/>
  <c r="F621" i="3"/>
  <c r="G621" i="3"/>
  <c r="H621" i="3"/>
  <c r="I621" i="3"/>
  <c r="J621" i="3"/>
  <c r="B620" i="3"/>
  <c r="C620" i="3"/>
  <c r="D620" i="3"/>
  <c r="E620" i="3"/>
  <c r="F620" i="3"/>
  <c r="G620" i="3"/>
  <c r="H620" i="3"/>
  <c r="I620" i="3"/>
  <c r="J620" i="3"/>
  <c r="B619" i="3"/>
  <c r="C619" i="3"/>
  <c r="D619" i="3"/>
  <c r="E619" i="3"/>
  <c r="F619" i="3"/>
  <c r="G619" i="3"/>
  <c r="H619" i="3"/>
  <c r="I619" i="3"/>
  <c r="J619" i="3"/>
  <c r="B618" i="3"/>
  <c r="C618" i="3"/>
  <c r="D618" i="3"/>
  <c r="E618" i="3"/>
  <c r="F618" i="3"/>
  <c r="G618" i="3"/>
  <c r="H618" i="3"/>
  <c r="I618" i="3"/>
  <c r="J618" i="3"/>
  <c r="B617" i="3"/>
  <c r="C617" i="3"/>
  <c r="D617" i="3"/>
  <c r="E617" i="3"/>
  <c r="F617" i="3"/>
  <c r="G617" i="3"/>
  <c r="H617" i="3"/>
  <c r="I617" i="3"/>
  <c r="J617" i="3"/>
  <c r="B616" i="3"/>
  <c r="C616" i="3"/>
  <c r="D616" i="3"/>
  <c r="E616" i="3"/>
  <c r="F616" i="3"/>
  <c r="G616" i="3"/>
  <c r="H616" i="3"/>
  <c r="I616" i="3"/>
  <c r="J616" i="3"/>
  <c r="B615" i="3"/>
  <c r="C615" i="3"/>
  <c r="D615" i="3"/>
  <c r="E615" i="3"/>
  <c r="F615" i="3"/>
  <c r="G615" i="3"/>
  <c r="H615" i="3"/>
  <c r="I615" i="3"/>
  <c r="J615" i="3"/>
  <c r="B614" i="3"/>
  <c r="C614" i="3"/>
  <c r="D614" i="3"/>
  <c r="E614" i="3"/>
  <c r="F614" i="3"/>
  <c r="G614" i="3"/>
  <c r="H614" i="3"/>
  <c r="I614" i="3"/>
  <c r="J614" i="3"/>
  <c r="B613" i="3"/>
  <c r="C613" i="3"/>
  <c r="D613" i="3"/>
  <c r="E613" i="3"/>
  <c r="F613" i="3"/>
  <c r="G613" i="3"/>
  <c r="H613" i="3"/>
  <c r="I613" i="3"/>
  <c r="J613" i="3"/>
  <c r="B612" i="3"/>
  <c r="C612" i="3"/>
  <c r="D612" i="3"/>
  <c r="E612" i="3"/>
  <c r="F612" i="3"/>
  <c r="G612" i="3"/>
  <c r="H612" i="3"/>
  <c r="I612" i="3"/>
  <c r="J612" i="3"/>
  <c r="B611" i="3"/>
  <c r="C611" i="3"/>
  <c r="D611" i="3"/>
  <c r="E611" i="3"/>
  <c r="F611" i="3"/>
  <c r="G611" i="3"/>
  <c r="H611" i="3"/>
  <c r="I611" i="3"/>
  <c r="J611" i="3"/>
  <c r="B610" i="3"/>
  <c r="C610" i="3"/>
  <c r="D610" i="3"/>
  <c r="E610" i="3"/>
  <c r="F610" i="3"/>
  <c r="G610" i="3"/>
  <c r="H610" i="3"/>
  <c r="I610" i="3"/>
  <c r="J610" i="3"/>
  <c r="B609" i="3"/>
  <c r="C609" i="3"/>
  <c r="D609" i="3"/>
  <c r="E609" i="3"/>
  <c r="F609" i="3"/>
  <c r="G609" i="3"/>
  <c r="H609" i="3"/>
  <c r="I609" i="3"/>
  <c r="J609" i="3"/>
  <c r="B608" i="3"/>
  <c r="C608" i="3"/>
  <c r="D608" i="3"/>
  <c r="E608" i="3"/>
  <c r="F608" i="3"/>
  <c r="G608" i="3"/>
  <c r="H608" i="3"/>
  <c r="I608" i="3"/>
  <c r="J608" i="3"/>
  <c r="B607" i="3"/>
  <c r="C607" i="3"/>
  <c r="D607" i="3"/>
  <c r="E607" i="3"/>
  <c r="F607" i="3"/>
  <c r="G607" i="3"/>
  <c r="H607" i="3"/>
  <c r="I607" i="3"/>
  <c r="J607" i="3"/>
  <c r="B606" i="3"/>
  <c r="C606" i="3"/>
  <c r="D606" i="3"/>
  <c r="E606" i="3"/>
  <c r="F606" i="3"/>
  <c r="G606" i="3"/>
  <c r="H606" i="3"/>
  <c r="I606" i="3"/>
  <c r="J606" i="3"/>
  <c r="B605" i="3"/>
  <c r="C605" i="3"/>
  <c r="D605" i="3"/>
  <c r="E605" i="3"/>
  <c r="F605" i="3"/>
  <c r="G605" i="3"/>
  <c r="H605" i="3"/>
  <c r="I605" i="3"/>
  <c r="J605" i="3"/>
  <c r="B604" i="3"/>
  <c r="C604" i="3"/>
  <c r="D604" i="3"/>
  <c r="E604" i="3"/>
  <c r="F604" i="3"/>
  <c r="G604" i="3"/>
  <c r="H604" i="3"/>
  <c r="I604" i="3"/>
  <c r="J604" i="3"/>
  <c r="B603" i="3"/>
  <c r="C603" i="3"/>
  <c r="D603" i="3"/>
  <c r="E603" i="3"/>
  <c r="F603" i="3"/>
  <c r="G603" i="3"/>
  <c r="H603" i="3"/>
  <c r="I603" i="3"/>
  <c r="J603" i="3"/>
  <c r="B602" i="3"/>
  <c r="C602" i="3"/>
  <c r="D602" i="3"/>
  <c r="E602" i="3"/>
  <c r="F602" i="3"/>
  <c r="G602" i="3"/>
  <c r="H602" i="3"/>
  <c r="I602" i="3"/>
  <c r="J602" i="3"/>
  <c r="B601" i="3"/>
  <c r="C601" i="3"/>
  <c r="D601" i="3"/>
  <c r="E601" i="3"/>
  <c r="F601" i="3"/>
  <c r="G601" i="3"/>
  <c r="H601" i="3"/>
  <c r="I601" i="3"/>
  <c r="J601" i="3"/>
  <c r="B600" i="3"/>
  <c r="C600" i="3"/>
  <c r="D600" i="3"/>
  <c r="E600" i="3"/>
  <c r="F600" i="3"/>
  <c r="G600" i="3"/>
  <c r="H600" i="3"/>
  <c r="I600" i="3"/>
  <c r="J600" i="3"/>
  <c r="B599" i="3"/>
  <c r="C599" i="3"/>
  <c r="D599" i="3"/>
  <c r="E599" i="3"/>
  <c r="F599" i="3"/>
  <c r="G599" i="3"/>
  <c r="H599" i="3"/>
  <c r="I599" i="3"/>
  <c r="J599" i="3"/>
  <c r="B598" i="3"/>
  <c r="C598" i="3"/>
  <c r="D598" i="3"/>
  <c r="E598" i="3"/>
  <c r="F598" i="3"/>
  <c r="G598" i="3"/>
  <c r="H598" i="3"/>
  <c r="I598" i="3"/>
  <c r="J598" i="3"/>
  <c r="B597" i="3"/>
  <c r="C597" i="3"/>
  <c r="D597" i="3"/>
  <c r="E597" i="3"/>
  <c r="F597" i="3"/>
  <c r="G597" i="3"/>
  <c r="H597" i="3"/>
  <c r="I597" i="3"/>
  <c r="J597" i="3"/>
  <c r="B596" i="3"/>
  <c r="C596" i="3"/>
  <c r="D596" i="3"/>
  <c r="E596" i="3"/>
  <c r="F596" i="3"/>
  <c r="G596" i="3"/>
  <c r="H596" i="3"/>
  <c r="I596" i="3"/>
  <c r="J596" i="3"/>
  <c r="B595" i="3"/>
  <c r="C595" i="3"/>
  <c r="D595" i="3"/>
  <c r="E595" i="3"/>
  <c r="F595" i="3"/>
  <c r="G595" i="3"/>
  <c r="H595" i="3"/>
  <c r="I595" i="3"/>
  <c r="J595" i="3"/>
  <c r="B594" i="3"/>
  <c r="C594" i="3"/>
  <c r="D594" i="3"/>
  <c r="E594" i="3"/>
  <c r="F594" i="3"/>
  <c r="G594" i="3"/>
  <c r="H594" i="3"/>
  <c r="I594" i="3"/>
  <c r="J594" i="3"/>
  <c r="B593" i="3"/>
  <c r="C593" i="3"/>
  <c r="D593" i="3"/>
  <c r="E593" i="3"/>
  <c r="F593" i="3"/>
  <c r="G593" i="3"/>
  <c r="H593" i="3"/>
  <c r="I593" i="3"/>
  <c r="J593" i="3"/>
  <c r="B592" i="3"/>
  <c r="C592" i="3"/>
  <c r="D592" i="3"/>
  <c r="E592" i="3"/>
  <c r="F592" i="3"/>
  <c r="G592" i="3"/>
  <c r="H592" i="3"/>
  <c r="I592" i="3"/>
  <c r="J592" i="3"/>
  <c r="B591" i="3"/>
  <c r="C591" i="3"/>
  <c r="D591" i="3"/>
  <c r="E591" i="3"/>
  <c r="F591" i="3"/>
  <c r="G591" i="3"/>
  <c r="H591" i="3"/>
  <c r="I591" i="3"/>
  <c r="J591" i="3"/>
  <c r="B590" i="3"/>
  <c r="C590" i="3"/>
  <c r="D590" i="3"/>
  <c r="E590" i="3"/>
  <c r="F590" i="3"/>
  <c r="G590" i="3"/>
  <c r="H590" i="3"/>
  <c r="I590" i="3"/>
  <c r="J590" i="3"/>
  <c r="B589" i="3"/>
  <c r="C589" i="3"/>
  <c r="D589" i="3"/>
  <c r="E589" i="3"/>
  <c r="F589" i="3"/>
  <c r="G589" i="3"/>
  <c r="H589" i="3"/>
  <c r="I589" i="3"/>
  <c r="J589" i="3"/>
  <c r="B588" i="3"/>
  <c r="C588" i="3"/>
  <c r="D588" i="3"/>
  <c r="E588" i="3"/>
  <c r="F588" i="3"/>
  <c r="G588" i="3"/>
  <c r="H588" i="3"/>
  <c r="I588" i="3"/>
  <c r="J588" i="3"/>
  <c r="B587" i="3"/>
  <c r="C587" i="3"/>
  <c r="D587" i="3"/>
  <c r="E587" i="3"/>
  <c r="F587" i="3"/>
  <c r="G587" i="3"/>
  <c r="H587" i="3"/>
  <c r="I587" i="3"/>
  <c r="J587" i="3"/>
  <c r="B586" i="3"/>
  <c r="C586" i="3"/>
  <c r="D586" i="3"/>
  <c r="E586" i="3"/>
  <c r="F586" i="3"/>
  <c r="G586" i="3"/>
  <c r="H586" i="3"/>
  <c r="I586" i="3"/>
  <c r="J586" i="3"/>
  <c r="B585" i="3"/>
  <c r="C585" i="3"/>
  <c r="D585" i="3"/>
  <c r="E585" i="3"/>
  <c r="F585" i="3"/>
  <c r="G585" i="3"/>
  <c r="H585" i="3"/>
  <c r="I585" i="3"/>
  <c r="J585" i="3"/>
  <c r="B584" i="3"/>
  <c r="C584" i="3"/>
  <c r="D584" i="3"/>
  <c r="E584" i="3"/>
  <c r="F584" i="3"/>
  <c r="G584" i="3"/>
  <c r="H584" i="3"/>
  <c r="I584" i="3"/>
  <c r="J584" i="3"/>
  <c r="B583" i="3"/>
  <c r="C583" i="3"/>
  <c r="D583" i="3"/>
  <c r="E583" i="3"/>
  <c r="F583" i="3"/>
  <c r="G583" i="3"/>
  <c r="H583" i="3"/>
  <c r="I583" i="3"/>
  <c r="J583" i="3"/>
  <c r="B582" i="3"/>
  <c r="C582" i="3"/>
  <c r="D582" i="3"/>
  <c r="E582" i="3"/>
  <c r="F582" i="3"/>
  <c r="G582" i="3"/>
  <c r="H582" i="3"/>
  <c r="I582" i="3"/>
  <c r="J582" i="3"/>
  <c r="B581" i="3"/>
  <c r="C581" i="3"/>
  <c r="D581" i="3"/>
  <c r="E581" i="3"/>
  <c r="F581" i="3"/>
  <c r="G581" i="3"/>
  <c r="H581" i="3"/>
  <c r="I581" i="3"/>
  <c r="J581" i="3"/>
  <c r="B580" i="3"/>
  <c r="C580" i="3"/>
  <c r="D580" i="3"/>
  <c r="E580" i="3"/>
  <c r="F580" i="3"/>
  <c r="G580" i="3"/>
  <c r="H580" i="3"/>
  <c r="I580" i="3"/>
  <c r="J580" i="3"/>
  <c r="B579" i="3"/>
  <c r="C579" i="3"/>
  <c r="D579" i="3"/>
  <c r="E579" i="3"/>
  <c r="F579" i="3"/>
  <c r="G579" i="3"/>
  <c r="H579" i="3"/>
  <c r="I579" i="3"/>
  <c r="J579" i="3"/>
  <c r="B578" i="3"/>
  <c r="C578" i="3"/>
  <c r="D578" i="3"/>
  <c r="E578" i="3"/>
  <c r="F578" i="3"/>
  <c r="G578" i="3"/>
  <c r="H578" i="3"/>
  <c r="I578" i="3"/>
  <c r="J578" i="3"/>
  <c r="B577" i="3"/>
  <c r="C577" i="3"/>
  <c r="D577" i="3"/>
  <c r="E577" i="3"/>
  <c r="F577" i="3"/>
  <c r="G577" i="3"/>
  <c r="H577" i="3"/>
  <c r="I577" i="3"/>
  <c r="J577" i="3"/>
  <c r="B576" i="3"/>
  <c r="C576" i="3"/>
  <c r="D576" i="3"/>
  <c r="E576" i="3"/>
  <c r="F576" i="3"/>
  <c r="G576" i="3"/>
  <c r="H576" i="3"/>
  <c r="I576" i="3"/>
  <c r="J576" i="3"/>
  <c r="B575" i="3"/>
  <c r="C575" i="3"/>
  <c r="D575" i="3"/>
  <c r="E575" i="3"/>
  <c r="F575" i="3"/>
  <c r="G575" i="3"/>
  <c r="H575" i="3"/>
  <c r="I575" i="3"/>
  <c r="J575" i="3"/>
  <c r="B574" i="3"/>
  <c r="C574" i="3"/>
  <c r="D574" i="3"/>
  <c r="E574" i="3"/>
  <c r="F574" i="3"/>
  <c r="G574" i="3"/>
  <c r="H574" i="3"/>
  <c r="I574" i="3"/>
  <c r="J574" i="3"/>
  <c r="B573" i="3"/>
  <c r="C573" i="3"/>
  <c r="D573" i="3"/>
  <c r="E573" i="3"/>
  <c r="F573" i="3"/>
  <c r="G573" i="3"/>
  <c r="H573" i="3"/>
  <c r="I573" i="3"/>
  <c r="J573" i="3"/>
  <c r="B572" i="3"/>
  <c r="C572" i="3"/>
  <c r="D572" i="3"/>
  <c r="E572" i="3"/>
  <c r="F572" i="3"/>
  <c r="G572" i="3"/>
  <c r="H572" i="3"/>
  <c r="I572" i="3"/>
  <c r="J572" i="3"/>
  <c r="B571" i="3"/>
  <c r="C571" i="3"/>
  <c r="D571" i="3"/>
  <c r="E571" i="3"/>
  <c r="F571" i="3"/>
  <c r="G571" i="3"/>
  <c r="H571" i="3"/>
  <c r="I571" i="3"/>
  <c r="J571" i="3"/>
  <c r="B570" i="3"/>
  <c r="C570" i="3"/>
  <c r="D570" i="3"/>
  <c r="E570" i="3"/>
  <c r="F570" i="3"/>
  <c r="G570" i="3"/>
  <c r="H570" i="3"/>
  <c r="I570" i="3"/>
  <c r="J570" i="3"/>
  <c r="B569" i="3"/>
  <c r="C569" i="3"/>
  <c r="D569" i="3"/>
  <c r="E569" i="3"/>
  <c r="F569" i="3"/>
  <c r="G569" i="3"/>
  <c r="H569" i="3"/>
  <c r="I569" i="3"/>
  <c r="J569" i="3"/>
  <c r="B568" i="3"/>
  <c r="C568" i="3"/>
  <c r="D568" i="3"/>
  <c r="E568" i="3"/>
  <c r="F568" i="3"/>
  <c r="G568" i="3"/>
  <c r="H568" i="3"/>
  <c r="I568" i="3"/>
  <c r="J568" i="3"/>
  <c r="B567" i="3"/>
  <c r="C567" i="3"/>
  <c r="D567" i="3"/>
  <c r="E567" i="3"/>
  <c r="F567" i="3"/>
  <c r="G567" i="3"/>
  <c r="H567" i="3"/>
  <c r="I567" i="3"/>
  <c r="J567" i="3"/>
  <c r="B566" i="3"/>
  <c r="C566" i="3"/>
  <c r="D566" i="3"/>
  <c r="E566" i="3"/>
  <c r="F566" i="3"/>
  <c r="G566" i="3"/>
  <c r="H566" i="3"/>
  <c r="I566" i="3"/>
  <c r="J566" i="3"/>
  <c r="B565" i="3"/>
  <c r="C565" i="3"/>
  <c r="D565" i="3"/>
  <c r="E565" i="3"/>
  <c r="F565" i="3"/>
  <c r="G565" i="3"/>
  <c r="H565" i="3"/>
  <c r="I565" i="3"/>
  <c r="J565" i="3"/>
  <c r="B564" i="3"/>
  <c r="C564" i="3"/>
  <c r="D564" i="3"/>
  <c r="E564" i="3"/>
  <c r="F564" i="3"/>
  <c r="G564" i="3"/>
  <c r="H564" i="3"/>
  <c r="I564" i="3"/>
  <c r="J564" i="3"/>
  <c r="B563" i="3"/>
  <c r="C563" i="3"/>
  <c r="D563" i="3"/>
  <c r="E563" i="3"/>
  <c r="F563" i="3"/>
  <c r="G563" i="3"/>
  <c r="H563" i="3"/>
  <c r="I563" i="3"/>
  <c r="J563" i="3"/>
  <c r="B562" i="3"/>
  <c r="C562" i="3"/>
  <c r="D562" i="3"/>
  <c r="E562" i="3"/>
  <c r="F562" i="3"/>
  <c r="G562" i="3"/>
  <c r="H562" i="3"/>
  <c r="I562" i="3"/>
  <c r="J562" i="3"/>
  <c r="B561" i="3"/>
  <c r="C561" i="3"/>
  <c r="D561" i="3"/>
  <c r="E561" i="3"/>
  <c r="F561" i="3"/>
  <c r="G561" i="3"/>
  <c r="H561" i="3"/>
  <c r="I561" i="3"/>
  <c r="J561" i="3"/>
  <c r="B560" i="3"/>
  <c r="C560" i="3"/>
  <c r="D560" i="3"/>
  <c r="E560" i="3"/>
  <c r="F560" i="3"/>
  <c r="G560" i="3"/>
  <c r="H560" i="3"/>
  <c r="I560" i="3"/>
  <c r="J560" i="3"/>
  <c r="B559" i="3"/>
  <c r="C559" i="3"/>
  <c r="D559" i="3"/>
  <c r="E559" i="3"/>
  <c r="F559" i="3"/>
  <c r="G559" i="3"/>
  <c r="H559" i="3"/>
  <c r="I559" i="3"/>
  <c r="J559" i="3"/>
  <c r="B558" i="3"/>
  <c r="C558" i="3"/>
  <c r="D558" i="3"/>
  <c r="E558" i="3"/>
  <c r="F558" i="3"/>
  <c r="G558" i="3"/>
  <c r="H558" i="3"/>
  <c r="I558" i="3"/>
  <c r="J558" i="3"/>
  <c r="B557" i="3"/>
  <c r="C557" i="3"/>
  <c r="D557" i="3"/>
  <c r="E557" i="3"/>
  <c r="F557" i="3"/>
  <c r="G557" i="3"/>
  <c r="H557" i="3"/>
  <c r="I557" i="3"/>
  <c r="J557" i="3"/>
  <c r="B556" i="3"/>
  <c r="C556" i="3"/>
  <c r="D556" i="3"/>
  <c r="E556" i="3"/>
  <c r="F556" i="3"/>
  <c r="G556" i="3"/>
  <c r="H556" i="3"/>
  <c r="I556" i="3"/>
  <c r="J556" i="3"/>
  <c r="B555" i="3"/>
  <c r="C555" i="3"/>
  <c r="D555" i="3"/>
  <c r="E555" i="3"/>
  <c r="F555" i="3"/>
  <c r="G555" i="3"/>
  <c r="H555" i="3"/>
  <c r="I555" i="3"/>
  <c r="J555" i="3"/>
  <c r="B554" i="3"/>
  <c r="C554" i="3"/>
  <c r="D554" i="3"/>
  <c r="E554" i="3"/>
  <c r="F554" i="3"/>
  <c r="G554" i="3"/>
  <c r="H554" i="3"/>
  <c r="I554" i="3"/>
  <c r="J554" i="3"/>
  <c r="B553" i="3"/>
  <c r="C553" i="3"/>
  <c r="D553" i="3"/>
  <c r="E553" i="3"/>
  <c r="F553" i="3"/>
  <c r="G553" i="3"/>
  <c r="H553" i="3"/>
  <c r="I553" i="3"/>
  <c r="J553" i="3"/>
  <c r="B552" i="3"/>
  <c r="C552" i="3"/>
  <c r="D552" i="3"/>
  <c r="E552" i="3"/>
  <c r="F552" i="3"/>
  <c r="G552" i="3"/>
  <c r="H552" i="3"/>
  <c r="I552" i="3"/>
  <c r="J552" i="3"/>
  <c r="B551" i="3"/>
  <c r="C551" i="3"/>
  <c r="D551" i="3"/>
  <c r="E551" i="3"/>
  <c r="F551" i="3"/>
  <c r="G551" i="3"/>
  <c r="H551" i="3"/>
  <c r="I551" i="3"/>
  <c r="J551" i="3"/>
  <c r="B550" i="3"/>
  <c r="C550" i="3"/>
  <c r="D550" i="3"/>
  <c r="E550" i="3"/>
  <c r="F550" i="3"/>
  <c r="G550" i="3"/>
  <c r="H550" i="3"/>
  <c r="I550" i="3"/>
  <c r="J550" i="3"/>
  <c r="B549" i="3"/>
  <c r="C549" i="3"/>
  <c r="D549" i="3"/>
  <c r="E549" i="3"/>
  <c r="F549" i="3"/>
  <c r="G549" i="3"/>
  <c r="H549" i="3"/>
  <c r="I549" i="3"/>
  <c r="J549" i="3"/>
  <c r="B548" i="3"/>
  <c r="C548" i="3"/>
  <c r="D548" i="3"/>
  <c r="E548" i="3"/>
  <c r="F548" i="3"/>
  <c r="G548" i="3"/>
  <c r="H548" i="3"/>
  <c r="I548" i="3"/>
  <c r="J548" i="3"/>
  <c r="B547" i="3"/>
  <c r="C547" i="3"/>
  <c r="D547" i="3"/>
  <c r="E547" i="3"/>
  <c r="F547" i="3"/>
  <c r="G547" i="3"/>
  <c r="H547" i="3"/>
  <c r="I547" i="3"/>
  <c r="J547" i="3"/>
  <c r="B546" i="3"/>
  <c r="C546" i="3"/>
  <c r="D546" i="3"/>
  <c r="E546" i="3"/>
  <c r="F546" i="3"/>
  <c r="G546" i="3"/>
  <c r="H546" i="3"/>
  <c r="I546" i="3"/>
  <c r="J546" i="3"/>
  <c r="B545" i="3"/>
  <c r="C545" i="3"/>
  <c r="D545" i="3"/>
  <c r="E545" i="3"/>
  <c r="F545" i="3"/>
  <c r="G545" i="3"/>
  <c r="H545" i="3"/>
  <c r="I545" i="3"/>
  <c r="J545" i="3"/>
  <c r="B544" i="3"/>
  <c r="C544" i="3"/>
  <c r="D544" i="3"/>
  <c r="E544" i="3"/>
  <c r="F544" i="3"/>
  <c r="G544" i="3"/>
  <c r="H544" i="3"/>
  <c r="I544" i="3"/>
  <c r="J544" i="3"/>
  <c r="B543" i="3"/>
  <c r="C543" i="3"/>
  <c r="D543" i="3"/>
  <c r="E543" i="3"/>
  <c r="F543" i="3"/>
  <c r="G543" i="3"/>
  <c r="H543" i="3"/>
  <c r="I543" i="3"/>
  <c r="J543" i="3"/>
  <c r="B542" i="3"/>
  <c r="C542" i="3"/>
  <c r="D542" i="3"/>
  <c r="E542" i="3"/>
  <c r="F542" i="3"/>
  <c r="G542" i="3"/>
  <c r="H542" i="3"/>
  <c r="I542" i="3"/>
  <c r="J542" i="3"/>
  <c r="B541" i="3"/>
  <c r="C541" i="3"/>
  <c r="D541" i="3"/>
  <c r="E541" i="3"/>
  <c r="F541" i="3"/>
  <c r="G541" i="3"/>
  <c r="H541" i="3"/>
  <c r="I541" i="3"/>
  <c r="J541" i="3"/>
  <c r="B540" i="3"/>
  <c r="C540" i="3"/>
  <c r="D540" i="3"/>
  <c r="E540" i="3"/>
  <c r="F540" i="3"/>
  <c r="G540" i="3"/>
  <c r="H540" i="3"/>
  <c r="I540" i="3"/>
  <c r="J540" i="3"/>
  <c r="B539" i="3"/>
  <c r="C539" i="3"/>
  <c r="D539" i="3"/>
  <c r="E539" i="3"/>
  <c r="F539" i="3"/>
  <c r="G539" i="3"/>
  <c r="H539" i="3"/>
  <c r="I539" i="3"/>
  <c r="J539" i="3"/>
  <c r="B538" i="3"/>
  <c r="C538" i="3"/>
  <c r="D538" i="3"/>
  <c r="E538" i="3"/>
  <c r="F538" i="3"/>
  <c r="G538" i="3"/>
  <c r="H538" i="3"/>
  <c r="I538" i="3"/>
  <c r="J538" i="3"/>
  <c r="B537" i="3"/>
  <c r="C537" i="3"/>
  <c r="D537" i="3"/>
  <c r="E537" i="3"/>
  <c r="F537" i="3"/>
  <c r="G537" i="3"/>
  <c r="H537" i="3"/>
  <c r="I537" i="3"/>
  <c r="J537" i="3"/>
  <c r="B536" i="3"/>
  <c r="C536" i="3"/>
  <c r="D536" i="3"/>
  <c r="E536" i="3"/>
  <c r="F536" i="3"/>
  <c r="G536" i="3"/>
  <c r="H536" i="3"/>
  <c r="I536" i="3"/>
  <c r="J536" i="3"/>
  <c r="B535" i="3"/>
  <c r="C535" i="3"/>
  <c r="D535" i="3"/>
  <c r="E535" i="3"/>
  <c r="F535" i="3"/>
  <c r="G535" i="3"/>
  <c r="H535" i="3"/>
  <c r="I535" i="3"/>
  <c r="J535" i="3"/>
  <c r="B534" i="3"/>
  <c r="C534" i="3"/>
  <c r="D534" i="3"/>
  <c r="E534" i="3"/>
  <c r="F534" i="3"/>
  <c r="G534" i="3"/>
  <c r="H534" i="3"/>
  <c r="I534" i="3"/>
  <c r="J534" i="3"/>
  <c r="B533" i="3"/>
  <c r="C533" i="3"/>
  <c r="D533" i="3"/>
  <c r="E533" i="3"/>
  <c r="F533" i="3"/>
  <c r="G533" i="3"/>
  <c r="H533" i="3"/>
  <c r="I533" i="3"/>
  <c r="J533" i="3"/>
  <c r="B532" i="3"/>
  <c r="C532" i="3"/>
  <c r="D532" i="3"/>
  <c r="E532" i="3"/>
  <c r="F532" i="3"/>
  <c r="G532" i="3"/>
  <c r="H532" i="3"/>
  <c r="I532" i="3"/>
  <c r="J532" i="3"/>
  <c r="B531" i="3"/>
  <c r="C531" i="3"/>
  <c r="D531" i="3"/>
  <c r="E531" i="3"/>
  <c r="F531" i="3"/>
  <c r="G531" i="3"/>
  <c r="H531" i="3"/>
  <c r="I531" i="3"/>
  <c r="J531" i="3"/>
  <c r="B530" i="3"/>
  <c r="C530" i="3"/>
  <c r="D530" i="3"/>
  <c r="E530" i="3"/>
  <c r="F530" i="3"/>
  <c r="G530" i="3"/>
  <c r="H530" i="3"/>
  <c r="I530" i="3"/>
  <c r="J530" i="3"/>
  <c r="B529" i="3"/>
  <c r="C529" i="3"/>
  <c r="D529" i="3"/>
  <c r="E529" i="3"/>
  <c r="F529" i="3"/>
  <c r="G529" i="3"/>
  <c r="H529" i="3"/>
  <c r="I529" i="3"/>
  <c r="J529" i="3"/>
  <c r="B528" i="3"/>
  <c r="C528" i="3"/>
  <c r="D528" i="3"/>
  <c r="E528" i="3"/>
  <c r="F528" i="3"/>
  <c r="G528" i="3"/>
  <c r="H528" i="3"/>
  <c r="I528" i="3"/>
  <c r="J528" i="3"/>
  <c r="B527" i="3"/>
  <c r="C527" i="3"/>
  <c r="D527" i="3"/>
  <c r="E527" i="3"/>
  <c r="F527" i="3"/>
  <c r="G527" i="3"/>
  <c r="H527" i="3"/>
  <c r="I527" i="3"/>
  <c r="J527" i="3"/>
  <c r="B526" i="3"/>
  <c r="C526" i="3"/>
  <c r="D526" i="3"/>
  <c r="E526" i="3"/>
  <c r="F526" i="3"/>
  <c r="G526" i="3"/>
  <c r="H526" i="3"/>
  <c r="I526" i="3"/>
  <c r="J526" i="3"/>
  <c r="B525" i="3"/>
  <c r="C525" i="3"/>
  <c r="D525" i="3"/>
  <c r="E525" i="3"/>
  <c r="F525" i="3"/>
  <c r="G525" i="3"/>
  <c r="H525" i="3"/>
  <c r="I525" i="3"/>
  <c r="J525" i="3"/>
  <c r="B524" i="3"/>
  <c r="C524" i="3"/>
  <c r="D524" i="3"/>
  <c r="E524" i="3"/>
  <c r="F524" i="3"/>
  <c r="G524" i="3"/>
  <c r="H524" i="3"/>
  <c r="I524" i="3"/>
  <c r="J524" i="3"/>
  <c r="B523" i="3"/>
  <c r="C523" i="3"/>
  <c r="D523" i="3"/>
  <c r="E523" i="3"/>
  <c r="F523" i="3"/>
  <c r="G523" i="3"/>
  <c r="H523" i="3"/>
  <c r="I523" i="3"/>
  <c r="J523" i="3"/>
  <c r="B522" i="3"/>
  <c r="C522" i="3"/>
  <c r="D522" i="3"/>
  <c r="E522" i="3"/>
  <c r="F522" i="3"/>
  <c r="G522" i="3"/>
  <c r="H522" i="3"/>
  <c r="I522" i="3"/>
  <c r="J522" i="3"/>
  <c r="B521" i="3"/>
  <c r="C521" i="3"/>
  <c r="D521" i="3"/>
  <c r="E521" i="3"/>
  <c r="F521" i="3"/>
  <c r="G521" i="3"/>
  <c r="H521" i="3"/>
  <c r="I521" i="3"/>
  <c r="J521" i="3"/>
  <c r="B520" i="3"/>
  <c r="C520" i="3"/>
  <c r="D520" i="3"/>
  <c r="E520" i="3"/>
  <c r="F520" i="3"/>
  <c r="G520" i="3"/>
  <c r="H520" i="3"/>
  <c r="I520" i="3"/>
  <c r="J520" i="3"/>
  <c r="B519" i="3"/>
  <c r="C519" i="3"/>
  <c r="D519" i="3"/>
  <c r="E519" i="3"/>
  <c r="F519" i="3"/>
  <c r="G519" i="3"/>
  <c r="H519" i="3"/>
  <c r="I519" i="3"/>
  <c r="J519" i="3"/>
  <c r="B518" i="3"/>
  <c r="C518" i="3"/>
  <c r="D518" i="3"/>
  <c r="E518" i="3"/>
  <c r="F518" i="3"/>
  <c r="G518" i="3"/>
  <c r="H518" i="3"/>
  <c r="I518" i="3"/>
  <c r="J518" i="3"/>
  <c r="B517" i="3"/>
  <c r="C517" i="3"/>
  <c r="D517" i="3"/>
  <c r="E517" i="3"/>
  <c r="F517" i="3"/>
  <c r="G517" i="3"/>
  <c r="H517" i="3"/>
  <c r="I517" i="3"/>
  <c r="J517" i="3"/>
  <c r="B516" i="3"/>
  <c r="C516" i="3"/>
  <c r="D516" i="3"/>
  <c r="E516" i="3"/>
  <c r="F516" i="3"/>
  <c r="G516" i="3"/>
  <c r="H516" i="3"/>
  <c r="I516" i="3"/>
  <c r="J516" i="3"/>
  <c r="B515" i="3"/>
  <c r="C515" i="3"/>
  <c r="D515" i="3"/>
  <c r="E515" i="3"/>
  <c r="F515" i="3"/>
  <c r="G515" i="3"/>
  <c r="H515" i="3"/>
  <c r="I515" i="3"/>
  <c r="J515" i="3"/>
  <c r="B514" i="3"/>
  <c r="C514" i="3"/>
  <c r="D514" i="3"/>
  <c r="E514" i="3"/>
  <c r="F514" i="3"/>
  <c r="G514" i="3"/>
  <c r="H514" i="3"/>
  <c r="I514" i="3"/>
  <c r="J514" i="3"/>
  <c r="B513" i="3"/>
  <c r="C513" i="3"/>
  <c r="D513" i="3"/>
  <c r="E513" i="3"/>
  <c r="F513" i="3"/>
  <c r="G513" i="3"/>
  <c r="H513" i="3"/>
  <c r="I513" i="3"/>
  <c r="J513" i="3"/>
  <c r="B512" i="3"/>
  <c r="C512" i="3"/>
  <c r="D512" i="3"/>
  <c r="E512" i="3"/>
  <c r="F512" i="3"/>
  <c r="G512" i="3"/>
  <c r="H512" i="3"/>
  <c r="I512" i="3"/>
  <c r="J512" i="3"/>
  <c r="B511" i="3"/>
  <c r="C511" i="3"/>
  <c r="D511" i="3"/>
  <c r="E511" i="3"/>
  <c r="F511" i="3"/>
  <c r="G511" i="3"/>
  <c r="H511" i="3"/>
  <c r="I511" i="3"/>
  <c r="J511" i="3"/>
  <c r="B510" i="3"/>
  <c r="C510" i="3"/>
  <c r="D510" i="3"/>
  <c r="E510" i="3"/>
  <c r="F510" i="3"/>
  <c r="G510" i="3"/>
  <c r="H510" i="3"/>
  <c r="I510" i="3"/>
  <c r="J510" i="3"/>
  <c r="B509" i="3"/>
  <c r="C509" i="3"/>
  <c r="D509" i="3"/>
  <c r="E509" i="3"/>
  <c r="F509" i="3"/>
  <c r="G509" i="3"/>
  <c r="H509" i="3"/>
  <c r="I509" i="3"/>
  <c r="J509" i="3"/>
  <c r="B508" i="3"/>
  <c r="C508" i="3"/>
  <c r="D508" i="3"/>
  <c r="E508" i="3"/>
  <c r="F508" i="3"/>
  <c r="G508" i="3"/>
  <c r="H508" i="3"/>
  <c r="I508" i="3"/>
  <c r="J508" i="3"/>
  <c r="B507" i="3"/>
  <c r="C507" i="3"/>
  <c r="D507" i="3"/>
  <c r="E507" i="3"/>
  <c r="F507" i="3"/>
  <c r="G507" i="3"/>
  <c r="H507" i="3"/>
  <c r="I507" i="3"/>
  <c r="J507" i="3"/>
  <c r="B506" i="3"/>
  <c r="C506" i="3"/>
  <c r="D506" i="3"/>
  <c r="E506" i="3"/>
  <c r="F506" i="3"/>
  <c r="G506" i="3"/>
  <c r="H506" i="3"/>
  <c r="I506" i="3"/>
  <c r="J506" i="3"/>
  <c r="B505" i="3"/>
  <c r="C505" i="3"/>
  <c r="D505" i="3"/>
  <c r="E505" i="3"/>
  <c r="F505" i="3"/>
  <c r="G505" i="3"/>
  <c r="H505" i="3"/>
  <c r="I505" i="3"/>
  <c r="J505" i="3"/>
  <c r="B504" i="3"/>
  <c r="C504" i="3"/>
  <c r="D504" i="3"/>
  <c r="E504" i="3"/>
  <c r="F504" i="3"/>
  <c r="G504" i="3"/>
  <c r="H504" i="3"/>
  <c r="I504" i="3"/>
  <c r="J504" i="3"/>
  <c r="B503" i="3"/>
  <c r="C503" i="3"/>
  <c r="D503" i="3"/>
  <c r="E503" i="3"/>
  <c r="F503" i="3"/>
  <c r="G503" i="3"/>
  <c r="H503" i="3"/>
  <c r="I503" i="3"/>
  <c r="J503" i="3"/>
  <c r="B502" i="3"/>
  <c r="C502" i="3"/>
  <c r="D502" i="3"/>
  <c r="E502" i="3"/>
  <c r="F502" i="3"/>
  <c r="G502" i="3"/>
  <c r="H502" i="3"/>
  <c r="I502" i="3"/>
  <c r="J502" i="3"/>
  <c r="B501" i="3"/>
  <c r="C501" i="3"/>
  <c r="D501" i="3"/>
  <c r="E501" i="3"/>
  <c r="F501" i="3"/>
  <c r="G501" i="3"/>
  <c r="H501" i="3"/>
  <c r="I501" i="3"/>
  <c r="J501" i="3"/>
  <c r="B500" i="3"/>
  <c r="C500" i="3"/>
  <c r="D500" i="3"/>
  <c r="E500" i="3"/>
  <c r="F500" i="3"/>
  <c r="G500" i="3"/>
  <c r="H500" i="3"/>
  <c r="I500" i="3"/>
  <c r="J500" i="3"/>
  <c r="B499" i="3"/>
  <c r="C499" i="3"/>
  <c r="D499" i="3"/>
  <c r="E499" i="3"/>
  <c r="F499" i="3"/>
  <c r="G499" i="3"/>
  <c r="H499" i="3"/>
  <c r="I499" i="3"/>
  <c r="J499" i="3"/>
  <c r="B498" i="3"/>
  <c r="C498" i="3"/>
  <c r="D498" i="3"/>
  <c r="E498" i="3"/>
  <c r="F498" i="3"/>
  <c r="G498" i="3"/>
  <c r="H498" i="3"/>
  <c r="I498" i="3"/>
  <c r="J498" i="3"/>
  <c r="B497" i="3"/>
  <c r="C497" i="3"/>
  <c r="D497" i="3"/>
  <c r="E497" i="3"/>
  <c r="F497" i="3"/>
  <c r="G497" i="3"/>
  <c r="H497" i="3"/>
  <c r="I497" i="3"/>
  <c r="J497" i="3"/>
  <c r="B496" i="3"/>
  <c r="C496" i="3"/>
  <c r="D496" i="3"/>
  <c r="E496" i="3"/>
  <c r="F496" i="3"/>
  <c r="G496" i="3"/>
  <c r="H496" i="3"/>
  <c r="I496" i="3"/>
  <c r="J496" i="3"/>
  <c r="B495" i="3"/>
  <c r="C495" i="3"/>
  <c r="D495" i="3"/>
  <c r="E495" i="3"/>
  <c r="F495" i="3"/>
  <c r="G495" i="3"/>
  <c r="H495" i="3"/>
  <c r="I495" i="3"/>
  <c r="J495" i="3"/>
  <c r="B494" i="3"/>
  <c r="C494" i="3"/>
  <c r="D494" i="3"/>
  <c r="E494" i="3"/>
  <c r="F494" i="3"/>
  <c r="G494" i="3"/>
  <c r="H494" i="3"/>
  <c r="I494" i="3"/>
  <c r="J494" i="3"/>
  <c r="B493" i="3"/>
  <c r="C493" i="3"/>
  <c r="D493" i="3"/>
  <c r="E493" i="3"/>
  <c r="F493" i="3"/>
  <c r="G493" i="3"/>
  <c r="H493" i="3"/>
  <c r="I493" i="3"/>
  <c r="J493" i="3"/>
  <c r="B492" i="3"/>
  <c r="C492" i="3"/>
  <c r="D492" i="3"/>
  <c r="E492" i="3"/>
  <c r="F492" i="3"/>
  <c r="G492" i="3"/>
  <c r="H492" i="3"/>
  <c r="I492" i="3"/>
  <c r="J492" i="3"/>
  <c r="B491" i="3"/>
  <c r="C491" i="3"/>
  <c r="D491" i="3"/>
  <c r="E491" i="3"/>
  <c r="F491" i="3"/>
  <c r="G491" i="3"/>
  <c r="H491" i="3"/>
  <c r="I491" i="3"/>
  <c r="J491" i="3"/>
  <c r="B490" i="3"/>
  <c r="C490" i="3"/>
  <c r="D490" i="3"/>
  <c r="E490" i="3"/>
  <c r="F490" i="3"/>
  <c r="G490" i="3"/>
  <c r="H490" i="3"/>
  <c r="I490" i="3"/>
  <c r="J490" i="3"/>
  <c r="B489" i="3"/>
  <c r="C489" i="3"/>
  <c r="D489" i="3"/>
  <c r="E489" i="3"/>
  <c r="F489" i="3"/>
  <c r="G489" i="3"/>
  <c r="H489" i="3"/>
  <c r="I489" i="3"/>
  <c r="J489" i="3"/>
  <c r="B488" i="3"/>
  <c r="C488" i="3"/>
  <c r="D488" i="3"/>
  <c r="E488" i="3"/>
  <c r="F488" i="3"/>
  <c r="G488" i="3"/>
  <c r="H488" i="3"/>
  <c r="I488" i="3"/>
  <c r="J488" i="3"/>
  <c r="B487" i="3"/>
  <c r="C487" i="3"/>
  <c r="D487" i="3"/>
  <c r="E487" i="3"/>
  <c r="F487" i="3"/>
  <c r="G487" i="3"/>
  <c r="H487" i="3"/>
  <c r="I487" i="3"/>
  <c r="J487" i="3"/>
  <c r="B486" i="3"/>
  <c r="C486" i="3"/>
  <c r="D486" i="3"/>
  <c r="E486" i="3"/>
  <c r="F486" i="3"/>
  <c r="G486" i="3"/>
  <c r="H486" i="3"/>
  <c r="I486" i="3"/>
  <c r="J486" i="3"/>
  <c r="B485" i="3"/>
  <c r="C485" i="3"/>
  <c r="D485" i="3"/>
  <c r="E485" i="3"/>
  <c r="F485" i="3"/>
  <c r="G485" i="3"/>
  <c r="H485" i="3"/>
  <c r="I485" i="3"/>
  <c r="J485" i="3"/>
  <c r="B484" i="3"/>
  <c r="C484" i="3"/>
  <c r="D484" i="3"/>
  <c r="E484" i="3"/>
  <c r="F484" i="3"/>
  <c r="G484" i="3"/>
  <c r="H484" i="3"/>
  <c r="I484" i="3"/>
  <c r="J484" i="3"/>
  <c r="B483" i="3"/>
  <c r="C483" i="3"/>
  <c r="D483" i="3"/>
  <c r="E483" i="3"/>
  <c r="F483" i="3"/>
  <c r="G483" i="3"/>
  <c r="H483" i="3"/>
  <c r="I483" i="3"/>
  <c r="J483" i="3"/>
  <c r="B482" i="3"/>
  <c r="C482" i="3"/>
  <c r="D482" i="3"/>
  <c r="E482" i="3"/>
  <c r="F482" i="3"/>
  <c r="G482" i="3"/>
  <c r="H482" i="3"/>
  <c r="I482" i="3"/>
  <c r="J482" i="3"/>
  <c r="B481" i="3"/>
  <c r="C481" i="3"/>
  <c r="D481" i="3"/>
  <c r="E481" i="3"/>
  <c r="F481" i="3"/>
  <c r="G481" i="3"/>
  <c r="H481" i="3"/>
  <c r="I481" i="3"/>
  <c r="J481" i="3"/>
  <c r="B480" i="3"/>
  <c r="C480" i="3"/>
  <c r="D480" i="3"/>
  <c r="E480" i="3"/>
  <c r="F480" i="3"/>
  <c r="G480" i="3"/>
  <c r="H480" i="3"/>
  <c r="I480" i="3"/>
  <c r="J480" i="3"/>
  <c r="B479" i="3"/>
  <c r="C479" i="3"/>
  <c r="D479" i="3"/>
  <c r="E479" i="3"/>
  <c r="F479" i="3"/>
  <c r="G479" i="3"/>
  <c r="H479" i="3"/>
  <c r="I479" i="3"/>
  <c r="J479" i="3"/>
  <c r="B478" i="3"/>
  <c r="C478" i="3"/>
  <c r="D478" i="3"/>
  <c r="E478" i="3"/>
  <c r="F478" i="3"/>
  <c r="G478" i="3"/>
  <c r="H478" i="3"/>
  <c r="I478" i="3"/>
  <c r="J478" i="3"/>
  <c r="B477" i="3"/>
  <c r="C477" i="3"/>
  <c r="D477" i="3"/>
  <c r="E477" i="3"/>
  <c r="F477" i="3"/>
  <c r="G477" i="3"/>
  <c r="H477" i="3"/>
  <c r="I477" i="3"/>
  <c r="J477" i="3"/>
  <c r="B476" i="3"/>
  <c r="C476" i="3"/>
  <c r="D476" i="3"/>
  <c r="E476" i="3"/>
  <c r="F476" i="3"/>
  <c r="G476" i="3"/>
  <c r="H476" i="3"/>
  <c r="I476" i="3"/>
  <c r="J476" i="3"/>
  <c r="B475" i="3"/>
  <c r="C475" i="3"/>
  <c r="D475" i="3"/>
  <c r="E475" i="3"/>
  <c r="F475" i="3"/>
  <c r="G475" i="3"/>
  <c r="H475" i="3"/>
  <c r="I475" i="3"/>
  <c r="J475" i="3"/>
  <c r="B474" i="3"/>
  <c r="C474" i="3"/>
  <c r="D474" i="3"/>
  <c r="E474" i="3"/>
  <c r="F474" i="3"/>
  <c r="G474" i="3"/>
  <c r="H474" i="3"/>
  <c r="I474" i="3"/>
  <c r="J474" i="3"/>
  <c r="B473" i="3"/>
  <c r="C473" i="3"/>
  <c r="D473" i="3"/>
  <c r="E473" i="3"/>
  <c r="F473" i="3"/>
  <c r="G473" i="3"/>
  <c r="H473" i="3"/>
  <c r="I473" i="3"/>
  <c r="J473" i="3"/>
  <c r="B472" i="3"/>
  <c r="C472" i="3"/>
  <c r="D472" i="3"/>
  <c r="E472" i="3"/>
  <c r="F472" i="3"/>
  <c r="G472" i="3"/>
  <c r="H472" i="3"/>
  <c r="I472" i="3"/>
  <c r="J472" i="3"/>
  <c r="B471" i="3"/>
  <c r="C471" i="3"/>
  <c r="D471" i="3"/>
  <c r="E471" i="3"/>
  <c r="F471" i="3"/>
  <c r="G471" i="3"/>
  <c r="H471" i="3"/>
  <c r="I471" i="3"/>
  <c r="J471" i="3"/>
  <c r="B470" i="3"/>
  <c r="C470" i="3"/>
  <c r="D470" i="3"/>
  <c r="E470" i="3"/>
  <c r="F470" i="3"/>
  <c r="G470" i="3"/>
  <c r="H470" i="3"/>
  <c r="I470" i="3"/>
  <c r="J470" i="3"/>
  <c r="B469" i="3"/>
  <c r="C469" i="3"/>
  <c r="D469" i="3"/>
  <c r="E469" i="3"/>
  <c r="F469" i="3"/>
  <c r="G469" i="3"/>
  <c r="H469" i="3"/>
  <c r="I469" i="3"/>
  <c r="J469" i="3"/>
  <c r="B468" i="3"/>
  <c r="C468" i="3"/>
  <c r="D468" i="3"/>
  <c r="E468" i="3"/>
  <c r="F468" i="3"/>
  <c r="G468" i="3"/>
  <c r="H468" i="3"/>
  <c r="I468" i="3"/>
  <c r="J468" i="3"/>
  <c r="B467" i="3"/>
  <c r="C467" i="3"/>
  <c r="D467" i="3"/>
  <c r="E467" i="3"/>
  <c r="F467" i="3"/>
  <c r="G467" i="3"/>
  <c r="H467" i="3"/>
  <c r="I467" i="3"/>
  <c r="J467" i="3"/>
  <c r="B466" i="3"/>
  <c r="C466" i="3"/>
  <c r="D466" i="3"/>
  <c r="E466" i="3"/>
  <c r="F466" i="3"/>
  <c r="G466" i="3"/>
  <c r="H466" i="3"/>
  <c r="I466" i="3"/>
  <c r="J466" i="3"/>
  <c r="B465" i="3"/>
  <c r="C465" i="3"/>
  <c r="D465" i="3"/>
  <c r="E465" i="3"/>
  <c r="F465" i="3"/>
  <c r="G465" i="3"/>
  <c r="H465" i="3"/>
  <c r="I465" i="3"/>
  <c r="J465" i="3"/>
  <c r="B464" i="3"/>
  <c r="C464" i="3"/>
  <c r="D464" i="3"/>
  <c r="E464" i="3"/>
  <c r="F464" i="3"/>
  <c r="G464" i="3"/>
  <c r="H464" i="3"/>
  <c r="I464" i="3"/>
  <c r="J464" i="3"/>
  <c r="B463" i="3"/>
  <c r="C463" i="3"/>
  <c r="D463" i="3"/>
  <c r="E463" i="3"/>
  <c r="F463" i="3"/>
  <c r="G463" i="3"/>
  <c r="H463" i="3"/>
  <c r="I463" i="3"/>
  <c r="J463" i="3"/>
  <c r="B462" i="3"/>
  <c r="C462" i="3"/>
  <c r="D462" i="3"/>
  <c r="E462" i="3"/>
  <c r="F462" i="3"/>
  <c r="G462" i="3"/>
  <c r="H462" i="3"/>
  <c r="I462" i="3"/>
  <c r="J462" i="3"/>
  <c r="B461" i="3"/>
  <c r="C461" i="3"/>
  <c r="D461" i="3"/>
  <c r="E461" i="3"/>
  <c r="F461" i="3"/>
  <c r="G461" i="3"/>
  <c r="H461" i="3"/>
  <c r="I461" i="3"/>
  <c r="J461" i="3"/>
  <c r="B460" i="3"/>
  <c r="C460" i="3"/>
  <c r="D460" i="3"/>
  <c r="E460" i="3"/>
  <c r="F460" i="3"/>
  <c r="G460" i="3"/>
  <c r="H460" i="3"/>
  <c r="I460" i="3"/>
  <c r="J460" i="3"/>
  <c r="B459" i="3"/>
  <c r="C459" i="3"/>
  <c r="D459" i="3"/>
  <c r="E459" i="3"/>
  <c r="F459" i="3"/>
  <c r="G459" i="3"/>
  <c r="H459" i="3"/>
  <c r="I459" i="3"/>
  <c r="J459" i="3"/>
  <c r="B458" i="3"/>
  <c r="C458" i="3"/>
  <c r="D458" i="3"/>
  <c r="E458" i="3"/>
  <c r="F458" i="3"/>
  <c r="G458" i="3"/>
  <c r="H458" i="3"/>
  <c r="I458" i="3"/>
  <c r="J458" i="3"/>
  <c r="B457" i="3"/>
  <c r="C457" i="3"/>
  <c r="D457" i="3"/>
  <c r="E457" i="3"/>
  <c r="F457" i="3"/>
  <c r="G457" i="3"/>
  <c r="H457" i="3"/>
  <c r="I457" i="3"/>
  <c r="J457" i="3"/>
  <c r="B456" i="3"/>
  <c r="C456" i="3"/>
  <c r="D456" i="3"/>
  <c r="E456" i="3"/>
  <c r="F456" i="3"/>
  <c r="G456" i="3"/>
  <c r="H456" i="3"/>
  <c r="I456" i="3"/>
  <c r="J456" i="3"/>
  <c r="B455" i="3"/>
  <c r="C455" i="3"/>
  <c r="D455" i="3"/>
  <c r="E455" i="3"/>
  <c r="F455" i="3"/>
  <c r="G455" i="3"/>
  <c r="H455" i="3"/>
  <c r="I455" i="3"/>
  <c r="J455" i="3"/>
  <c r="B454" i="3"/>
  <c r="C454" i="3"/>
  <c r="D454" i="3"/>
  <c r="E454" i="3"/>
  <c r="F454" i="3"/>
  <c r="G454" i="3"/>
  <c r="H454" i="3"/>
  <c r="I454" i="3"/>
  <c r="J454" i="3"/>
  <c r="B453" i="3"/>
  <c r="C453" i="3"/>
  <c r="D453" i="3"/>
  <c r="E453" i="3"/>
  <c r="F453" i="3"/>
  <c r="G453" i="3"/>
  <c r="H453" i="3"/>
  <c r="I453" i="3"/>
  <c r="J453" i="3"/>
  <c r="B452" i="3"/>
  <c r="C452" i="3"/>
  <c r="D452" i="3"/>
  <c r="E452" i="3"/>
  <c r="F452" i="3"/>
  <c r="G452" i="3"/>
  <c r="H452" i="3"/>
  <c r="I452" i="3"/>
  <c r="J452" i="3"/>
  <c r="B451" i="3"/>
  <c r="C451" i="3"/>
  <c r="D451" i="3"/>
  <c r="E451" i="3"/>
  <c r="F451" i="3"/>
  <c r="G451" i="3"/>
  <c r="H451" i="3"/>
  <c r="I451" i="3"/>
  <c r="J451" i="3"/>
  <c r="B450" i="3"/>
  <c r="C450" i="3"/>
  <c r="D450" i="3"/>
  <c r="E450" i="3"/>
  <c r="F450" i="3"/>
  <c r="G450" i="3"/>
  <c r="H450" i="3"/>
  <c r="I450" i="3"/>
  <c r="J450" i="3"/>
  <c r="B449" i="3"/>
  <c r="C449" i="3"/>
  <c r="D449" i="3"/>
  <c r="E449" i="3"/>
  <c r="F449" i="3"/>
  <c r="G449" i="3"/>
  <c r="H449" i="3"/>
  <c r="I449" i="3"/>
  <c r="J449" i="3"/>
  <c r="B448" i="3"/>
  <c r="C448" i="3"/>
  <c r="D448" i="3"/>
  <c r="E448" i="3"/>
  <c r="F448" i="3"/>
  <c r="G448" i="3"/>
  <c r="H448" i="3"/>
  <c r="I448" i="3"/>
  <c r="J448" i="3"/>
  <c r="B447" i="3"/>
  <c r="C447" i="3"/>
  <c r="D447" i="3"/>
  <c r="E447" i="3"/>
  <c r="F447" i="3"/>
  <c r="G447" i="3"/>
  <c r="H447" i="3"/>
  <c r="I447" i="3"/>
  <c r="J447" i="3"/>
  <c r="B446" i="3"/>
  <c r="C446" i="3"/>
  <c r="D446" i="3"/>
  <c r="E446" i="3"/>
  <c r="F446" i="3"/>
  <c r="G446" i="3"/>
  <c r="H446" i="3"/>
  <c r="I446" i="3"/>
  <c r="J446" i="3"/>
  <c r="B445" i="3"/>
  <c r="C445" i="3"/>
  <c r="D445" i="3"/>
  <c r="E445" i="3"/>
  <c r="F445" i="3"/>
  <c r="G445" i="3"/>
  <c r="H445" i="3"/>
  <c r="I445" i="3"/>
  <c r="J445" i="3"/>
  <c r="B444" i="3"/>
  <c r="C444" i="3"/>
  <c r="D444" i="3"/>
  <c r="E444" i="3"/>
  <c r="F444" i="3"/>
  <c r="G444" i="3"/>
  <c r="H444" i="3"/>
  <c r="I444" i="3"/>
  <c r="J444" i="3"/>
  <c r="B443" i="3"/>
  <c r="C443" i="3"/>
  <c r="D443" i="3"/>
  <c r="E443" i="3"/>
  <c r="F443" i="3"/>
  <c r="G443" i="3"/>
  <c r="H443" i="3"/>
  <c r="I443" i="3"/>
  <c r="J443" i="3"/>
  <c r="B442" i="3"/>
  <c r="C442" i="3"/>
  <c r="D442" i="3"/>
  <c r="E442" i="3"/>
  <c r="F442" i="3"/>
  <c r="G442" i="3"/>
  <c r="H442" i="3"/>
  <c r="I442" i="3"/>
  <c r="J442" i="3"/>
  <c r="B441" i="3"/>
  <c r="C441" i="3"/>
  <c r="D441" i="3"/>
  <c r="E441" i="3"/>
  <c r="F441" i="3"/>
  <c r="G441" i="3"/>
  <c r="H441" i="3"/>
  <c r="I441" i="3"/>
  <c r="J441" i="3"/>
  <c r="B440" i="3"/>
  <c r="C440" i="3"/>
  <c r="D440" i="3"/>
  <c r="E440" i="3"/>
  <c r="F440" i="3"/>
  <c r="G440" i="3"/>
  <c r="H440" i="3"/>
  <c r="I440" i="3"/>
  <c r="J440" i="3"/>
  <c r="B439" i="3"/>
  <c r="C439" i="3"/>
  <c r="D439" i="3"/>
  <c r="E439" i="3"/>
  <c r="F439" i="3"/>
  <c r="G439" i="3"/>
  <c r="H439" i="3"/>
  <c r="I439" i="3"/>
  <c r="J439" i="3"/>
  <c r="B438" i="3"/>
  <c r="C438" i="3"/>
  <c r="D438" i="3"/>
  <c r="E438" i="3"/>
  <c r="F438" i="3"/>
  <c r="G438" i="3"/>
  <c r="H438" i="3"/>
  <c r="I438" i="3"/>
  <c r="J438" i="3"/>
  <c r="B437" i="3"/>
  <c r="C437" i="3"/>
  <c r="D437" i="3"/>
  <c r="E437" i="3"/>
  <c r="F437" i="3"/>
  <c r="G437" i="3"/>
  <c r="H437" i="3"/>
  <c r="I437" i="3"/>
  <c r="J437" i="3"/>
  <c r="B436" i="3"/>
  <c r="C436" i="3"/>
  <c r="D436" i="3"/>
  <c r="E436" i="3"/>
  <c r="F436" i="3"/>
  <c r="G436" i="3"/>
  <c r="H436" i="3"/>
  <c r="I436" i="3"/>
  <c r="J436" i="3"/>
  <c r="B435" i="3"/>
  <c r="C435" i="3"/>
  <c r="D435" i="3"/>
  <c r="E435" i="3"/>
  <c r="F435" i="3"/>
  <c r="G435" i="3"/>
  <c r="H435" i="3"/>
  <c r="I435" i="3"/>
  <c r="J435" i="3"/>
  <c r="B434" i="3"/>
  <c r="C434" i="3"/>
  <c r="D434" i="3"/>
  <c r="E434" i="3"/>
  <c r="F434" i="3"/>
  <c r="G434" i="3"/>
  <c r="H434" i="3"/>
  <c r="I434" i="3"/>
  <c r="J434" i="3"/>
  <c r="B433" i="3"/>
  <c r="C433" i="3"/>
  <c r="D433" i="3"/>
  <c r="E433" i="3"/>
  <c r="F433" i="3"/>
  <c r="G433" i="3"/>
  <c r="H433" i="3"/>
  <c r="I433" i="3"/>
  <c r="J433" i="3"/>
  <c r="B432" i="3"/>
  <c r="C432" i="3"/>
  <c r="D432" i="3"/>
  <c r="E432" i="3"/>
  <c r="F432" i="3"/>
  <c r="G432" i="3"/>
  <c r="H432" i="3"/>
  <c r="I432" i="3"/>
  <c r="J432" i="3"/>
  <c r="B431" i="3"/>
  <c r="C431" i="3"/>
  <c r="D431" i="3"/>
  <c r="E431" i="3"/>
  <c r="F431" i="3"/>
  <c r="G431" i="3"/>
  <c r="H431" i="3"/>
  <c r="I431" i="3"/>
  <c r="J431" i="3"/>
  <c r="B430" i="3"/>
  <c r="C430" i="3"/>
  <c r="D430" i="3"/>
  <c r="E430" i="3"/>
  <c r="F430" i="3"/>
  <c r="G430" i="3"/>
  <c r="H430" i="3"/>
  <c r="I430" i="3"/>
  <c r="J430" i="3"/>
  <c r="B429" i="3"/>
  <c r="C429" i="3"/>
  <c r="D429" i="3"/>
  <c r="E429" i="3"/>
  <c r="F429" i="3"/>
  <c r="G429" i="3"/>
  <c r="H429" i="3"/>
  <c r="I429" i="3"/>
  <c r="J429" i="3"/>
  <c r="B428" i="3"/>
  <c r="C428" i="3"/>
  <c r="D428" i="3"/>
  <c r="E428" i="3"/>
  <c r="F428" i="3"/>
  <c r="G428" i="3"/>
  <c r="H428" i="3"/>
  <c r="I428" i="3"/>
  <c r="J428" i="3"/>
  <c r="B427" i="3"/>
  <c r="C427" i="3"/>
  <c r="D427" i="3"/>
  <c r="E427" i="3"/>
  <c r="F427" i="3"/>
  <c r="G427" i="3"/>
  <c r="H427" i="3"/>
  <c r="I427" i="3"/>
  <c r="J427" i="3"/>
  <c r="B426" i="3"/>
  <c r="C426" i="3"/>
  <c r="D426" i="3"/>
  <c r="E426" i="3"/>
  <c r="F426" i="3"/>
  <c r="G426" i="3"/>
  <c r="H426" i="3"/>
  <c r="I426" i="3"/>
  <c r="J426" i="3"/>
  <c r="B425" i="3"/>
  <c r="C425" i="3"/>
  <c r="D425" i="3"/>
  <c r="E425" i="3"/>
  <c r="F425" i="3"/>
  <c r="G425" i="3"/>
  <c r="H425" i="3"/>
  <c r="I425" i="3"/>
  <c r="J425" i="3"/>
  <c r="B424" i="3"/>
  <c r="C424" i="3"/>
  <c r="D424" i="3"/>
  <c r="E424" i="3"/>
  <c r="F424" i="3"/>
  <c r="G424" i="3"/>
  <c r="H424" i="3"/>
  <c r="I424" i="3"/>
  <c r="J424" i="3"/>
  <c r="B423" i="3"/>
  <c r="C423" i="3"/>
  <c r="D423" i="3"/>
  <c r="E423" i="3"/>
  <c r="F423" i="3"/>
  <c r="G423" i="3"/>
  <c r="H423" i="3"/>
  <c r="I423" i="3"/>
  <c r="J423" i="3"/>
  <c r="B422" i="3"/>
  <c r="C422" i="3"/>
  <c r="D422" i="3"/>
  <c r="E422" i="3"/>
  <c r="F422" i="3"/>
  <c r="G422" i="3"/>
  <c r="H422" i="3"/>
  <c r="I422" i="3"/>
  <c r="J422" i="3"/>
  <c r="B421" i="3"/>
  <c r="C421" i="3"/>
  <c r="D421" i="3"/>
  <c r="E421" i="3"/>
  <c r="F421" i="3"/>
  <c r="G421" i="3"/>
  <c r="H421" i="3"/>
  <c r="I421" i="3"/>
  <c r="J421" i="3"/>
  <c r="B420" i="3"/>
  <c r="C420" i="3"/>
  <c r="D420" i="3"/>
  <c r="E420" i="3"/>
  <c r="F420" i="3"/>
  <c r="G420" i="3"/>
  <c r="H420" i="3"/>
  <c r="I420" i="3"/>
  <c r="J420" i="3"/>
  <c r="B419" i="3"/>
  <c r="C419" i="3"/>
  <c r="D419" i="3"/>
  <c r="E419" i="3"/>
  <c r="F419" i="3"/>
  <c r="G419" i="3"/>
  <c r="H419" i="3"/>
  <c r="I419" i="3"/>
  <c r="J419" i="3"/>
  <c r="B418" i="3"/>
  <c r="C418" i="3"/>
  <c r="D418" i="3"/>
  <c r="E418" i="3"/>
  <c r="F418" i="3"/>
  <c r="G418" i="3"/>
  <c r="H418" i="3"/>
  <c r="I418" i="3"/>
  <c r="J418" i="3"/>
  <c r="B417" i="3"/>
  <c r="C417" i="3"/>
  <c r="D417" i="3"/>
  <c r="E417" i="3"/>
  <c r="F417" i="3"/>
  <c r="G417" i="3"/>
  <c r="H417" i="3"/>
  <c r="I417" i="3"/>
  <c r="J417" i="3"/>
  <c r="B416" i="3"/>
  <c r="C416" i="3"/>
  <c r="D416" i="3"/>
  <c r="E416" i="3"/>
  <c r="F416" i="3"/>
  <c r="G416" i="3"/>
  <c r="H416" i="3"/>
  <c r="I416" i="3"/>
  <c r="J416" i="3"/>
  <c r="B415" i="3"/>
  <c r="C415" i="3"/>
  <c r="D415" i="3"/>
  <c r="E415" i="3"/>
  <c r="F415" i="3"/>
  <c r="G415" i="3"/>
  <c r="H415" i="3"/>
  <c r="I415" i="3"/>
  <c r="J415" i="3"/>
  <c r="B414" i="3"/>
  <c r="C414" i="3"/>
  <c r="D414" i="3"/>
  <c r="E414" i="3"/>
  <c r="F414" i="3"/>
  <c r="G414" i="3"/>
  <c r="H414" i="3"/>
  <c r="I414" i="3"/>
  <c r="J414" i="3"/>
  <c r="B413" i="3"/>
  <c r="C413" i="3"/>
  <c r="D413" i="3"/>
  <c r="E413" i="3"/>
  <c r="F413" i="3"/>
  <c r="G413" i="3"/>
  <c r="H413" i="3"/>
  <c r="I413" i="3"/>
  <c r="J413" i="3"/>
  <c r="B412" i="3"/>
  <c r="C412" i="3"/>
  <c r="D412" i="3"/>
  <c r="E412" i="3"/>
  <c r="F412" i="3"/>
  <c r="G412" i="3"/>
  <c r="H412" i="3"/>
  <c r="I412" i="3"/>
  <c r="J412" i="3"/>
  <c r="B411" i="3"/>
  <c r="C411" i="3"/>
  <c r="D411" i="3"/>
  <c r="E411" i="3"/>
  <c r="F411" i="3"/>
  <c r="G411" i="3"/>
  <c r="H411" i="3"/>
  <c r="I411" i="3"/>
  <c r="J411" i="3"/>
  <c r="B410" i="3"/>
  <c r="C410" i="3"/>
  <c r="D410" i="3"/>
  <c r="E410" i="3"/>
  <c r="F410" i="3"/>
  <c r="G410" i="3"/>
  <c r="H410" i="3"/>
  <c r="I410" i="3"/>
  <c r="J410" i="3"/>
  <c r="B409" i="3"/>
  <c r="C409" i="3"/>
  <c r="D409" i="3"/>
  <c r="E409" i="3"/>
  <c r="F409" i="3"/>
  <c r="G409" i="3"/>
  <c r="H409" i="3"/>
  <c r="I409" i="3"/>
  <c r="J409" i="3"/>
  <c r="B408" i="3"/>
  <c r="C408" i="3"/>
  <c r="D408" i="3"/>
  <c r="E408" i="3"/>
  <c r="F408" i="3"/>
  <c r="G408" i="3"/>
  <c r="H408" i="3"/>
  <c r="I408" i="3"/>
  <c r="J408" i="3"/>
  <c r="B407" i="3"/>
  <c r="C407" i="3"/>
  <c r="D407" i="3"/>
  <c r="E407" i="3"/>
  <c r="F407" i="3"/>
  <c r="G407" i="3"/>
  <c r="H407" i="3"/>
  <c r="I407" i="3"/>
  <c r="J407" i="3"/>
  <c r="B406" i="3"/>
  <c r="C406" i="3"/>
  <c r="D406" i="3"/>
  <c r="E406" i="3"/>
  <c r="F406" i="3"/>
  <c r="G406" i="3"/>
  <c r="H406" i="3"/>
  <c r="I406" i="3"/>
  <c r="J406" i="3"/>
  <c r="B405" i="3"/>
  <c r="C405" i="3"/>
  <c r="D405" i="3"/>
  <c r="E405" i="3"/>
  <c r="F405" i="3"/>
  <c r="G405" i="3"/>
  <c r="H405" i="3"/>
  <c r="I405" i="3"/>
  <c r="J405" i="3"/>
  <c r="B404" i="3"/>
  <c r="C404" i="3"/>
  <c r="D404" i="3"/>
  <c r="E404" i="3"/>
  <c r="F404" i="3"/>
  <c r="G404" i="3"/>
  <c r="H404" i="3"/>
  <c r="I404" i="3"/>
  <c r="J404" i="3"/>
  <c r="B403" i="3"/>
  <c r="C403" i="3"/>
  <c r="D403" i="3"/>
  <c r="E403" i="3"/>
  <c r="F403" i="3"/>
  <c r="G403" i="3"/>
  <c r="H403" i="3"/>
  <c r="I403" i="3"/>
  <c r="J403" i="3"/>
  <c r="B402" i="3"/>
  <c r="C402" i="3"/>
  <c r="D402" i="3"/>
  <c r="E402" i="3"/>
  <c r="F402" i="3"/>
  <c r="G402" i="3"/>
  <c r="H402" i="3"/>
  <c r="I402" i="3"/>
  <c r="J402" i="3"/>
  <c r="B401" i="3"/>
  <c r="C401" i="3"/>
  <c r="D401" i="3"/>
  <c r="E401" i="3"/>
  <c r="F401" i="3"/>
  <c r="G401" i="3"/>
  <c r="H401" i="3"/>
  <c r="I401" i="3"/>
  <c r="J401" i="3"/>
  <c r="B400" i="3"/>
  <c r="C400" i="3"/>
  <c r="D400" i="3"/>
  <c r="E400" i="3"/>
  <c r="F400" i="3"/>
  <c r="G400" i="3"/>
  <c r="H400" i="3"/>
  <c r="I400" i="3"/>
  <c r="J400" i="3"/>
  <c r="B399" i="3"/>
  <c r="C399" i="3"/>
  <c r="D399" i="3"/>
  <c r="E399" i="3"/>
  <c r="F399" i="3"/>
  <c r="G399" i="3"/>
  <c r="H399" i="3"/>
  <c r="I399" i="3"/>
  <c r="J399" i="3"/>
  <c r="B398" i="3"/>
  <c r="C398" i="3"/>
  <c r="D398" i="3"/>
  <c r="E398" i="3"/>
  <c r="F398" i="3"/>
  <c r="G398" i="3"/>
  <c r="H398" i="3"/>
  <c r="I398" i="3"/>
  <c r="J398" i="3"/>
  <c r="B397" i="3"/>
  <c r="C397" i="3"/>
  <c r="D397" i="3"/>
  <c r="E397" i="3"/>
  <c r="F397" i="3"/>
  <c r="G397" i="3"/>
  <c r="H397" i="3"/>
  <c r="I397" i="3"/>
  <c r="J397" i="3"/>
  <c r="B396" i="3"/>
  <c r="C396" i="3"/>
  <c r="D396" i="3"/>
  <c r="E396" i="3"/>
  <c r="F396" i="3"/>
  <c r="G396" i="3"/>
  <c r="H396" i="3"/>
  <c r="I396" i="3"/>
  <c r="J396" i="3"/>
  <c r="B395" i="3"/>
  <c r="C395" i="3"/>
  <c r="D395" i="3"/>
  <c r="E395" i="3"/>
  <c r="F395" i="3"/>
  <c r="G395" i="3"/>
  <c r="H395" i="3"/>
  <c r="I395" i="3"/>
  <c r="J395" i="3"/>
  <c r="B394" i="3"/>
  <c r="C394" i="3"/>
  <c r="D394" i="3"/>
  <c r="E394" i="3"/>
  <c r="F394" i="3"/>
  <c r="G394" i="3"/>
  <c r="H394" i="3"/>
  <c r="I394" i="3"/>
  <c r="J394" i="3"/>
  <c r="B393" i="3"/>
  <c r="C393" i="3"/>
  <c r="D393" i="3"/>
  <c r="E393" i="3"/>
  <c r="F393" i="3"/>
  <c r="G393" i="3"/>
  <c r="H393" i="3"/>
  <c r="I393" i="3"/>
  <c r="J393" i="3"/>
  <c r="B392" i="3"/>
  <c r="C392" i="3"/>
  <c r="D392" i="3"/>
  <c r="E392" i="3"/>
  <c r="F392" i="3"/>
  <c r="G392" i="3"/>
  <c r="H392" i="3"/>
  <c r="I392" i="3"/>
  <c r="J392" i="3"/>
  <c r="B391" i="3"/>
  <c r="C391" i="3"/>
  <c r="D391" i="3"/>
  <c r="E391" i="3"/>
  <c r="F391" i="3"/>
  <c r="G391" i="3"/>
  <c r="H391" i="3"/>
  <c r="I391" i="3"/>
  <c r="J391" i="3"/>
  <c r="B390" i="3"/>
  <c r="C390" i="3"/>
  <c r="D390" i="3"/>
  <c r="E390" i="3"/>
  <c r="F390" i="3"/>
  <c r="G390" i="3"/>
  <c r="H390" i="3"/>
  <c r="I390" i="3"/>
  <c r="J390" i="3"/>
  <c r="B389" i="3"/>
  <c r="C389" i="3"/>
  <c r="D389" i="3"/>
  <c r="E389" i="3"/>
  <c r="F389" i="3"/>
  <c r="G389" i="3"/>
  <c r="H389" i="3"/>
  <c r="I389" i="3"/>
  <c r="J389" i="3"/>
  <c r="B388" i="3"/>
  <c r="C388" i="3"/>
  <c r="D388" i="3"/>
  <c r="E388" i="3"/>
  <c r="F388" i="3"/>
  <c r="G388" i="3"/>
  <c r="H388" i="3"/>
  <c r="I388" i="3"/>
  <c r="J388" i="3"/>
  <c r="B387" i="3"/>
  <c r="C387" i="3"/>
  <c r="D387" i="3"/>
  <c r="E387" i="3"/>
  <c r="F387" i="3"/>
  <c r="G387" i="3"/>
  <c r="H387" i="3"/>
  <c r="I387" i="3"/>
  <c r="J387" i="3"/>
  <c r="B386" i="3"/>
  <c r="C386" i="3"/>
  <c r="D386" i="3"/>
  <c r="E386" i="3"/>
  <c r="F386" i="3"/>
  <c r="G386" i="3"/>
  <c r="H386" i="3"/>
  <c r="I386" i="3"/>
  <c r="J386" i="3"/>
  <c r="B385" i="3"/>
  <c r="C385" i="3"/>
  <c r="D385" i="3"/>
  <c r="E385" i="3"/>
  <c r="F385" i="3"/>
  <c r="G385" i="3"/>
  <c r="H385" i="3"/>
  <c r="I385" i="3"/>
  <c r="J385" i="3"/>
  <c r="B384" i="3"/>
  <c r="C384" i="3"/>
  <c r="D384" i="3"/>
  <c r="E384" i="3"/>
  <c r="F384" i="3"/>
  <c r="G384" i="3"/>
  <c r="H384" i="3"/>
  <c r="I384" i="3"/>
  <c r="J384" i="3"/>
  <c r="B383" i="3"/>
  <c r="C383" i="3"/>
  <c r="D383" i="3"/>
  <c r="E383" i="3"/>
  <c r="F383" i="3"/>
  <c r="G383" i="3"/>
  <c r="H383" i="3"/>
  <c r="I383" i="3"/>
  <c r="J383" i="3"/>
  <c r="B382" i="3"/>
  <c r="C382" i="3"/>
  <c r="D382" i="3"/>
  <c r="E382" i="3"/>
  <c r="F382" i="3"/>
  <c r="G382" i="3"/>
  <c r="H382" i="3"/>
  <c r="I382" i="3"/>
  <c r="J382" i="3"/>
  <c r="B381" i="3"/>
  <c r="C381" i="3"/>
  <c r="D381" i="3"/>
  <c r="E381" i="3"/>
  <c r="F381" i="3"/>
  <c r="G381" i="3"/>
  <c r="H381" i="3"/>
  <c r="I381" i="3"/>
  <c r="J381" i="3"/>
  <c r="B380" i="3"/>
  <c r="C380" i="3"/>
  <c r="D380" i="3"/>
  <c r="E380" i="3"/>
  <c r="F380" i="3"/>
  <c r="G380" i="3"/>
  <c r="H380" i="3"/>
  <c r="I380" i="3"/>
  <c r="J380" i="3"/>
  <c r="B379" i="3"/>
  <c r="C379" i="3"/>
  <c r="D379" i="3"/>
  <c r="E379" i="3"/>
  <c r="F379" i="3"/>
  <c r="G379" i="3"/>
  <c r="H379" i="3"/>
  <c r="I379" i="3"/>
  <c r="J379" i="3"/>
  <c r="B378" i="3"/>
  <c r="C378" i="3"/>
  <c r="D378" i="3"/>
  <c r="E378" i="3"/>
  <c r="F378" i="3"/>
  <c r="G378" i="3"/>
  <c r="H378" i="3"/>
  <c r="I378" i="3"/>
  <c r="J378" i="3"/>
  <c r="B377" i="3"/>
  <c r="C377" i="3"/>
  <c r="D377" i="3"/>
  <c r="E377" i="3"/>
  <c r="F377" i="3"/>
  <c r="G377" i="3"/>
  <c r="H377" i="3"/>
  <c r="I377" i="3"/>
  <c r="J377" i="3"/>
  <c r="B376" i="3"/>
  <c r="C376" i="3"/>
  <c r="D376" i="3"/>
  <c r="E376" i="3"/>
  <c r="F376" i="3"/>
  <c r="G376" i="3"/>
  <c r="H376" i="3"/>
  <c r="I376" i="3"/>
  <c r="J376" i="3"/>
  <c r="B375" i="3"/>
  <c r="C375" i="3"/>
  <c r="D375" i="3"/>
  <c r="E375" i="3"/>
  <c r="F375" i="3"/>
  <c r="G375" i="3"/>
  <c r="H375" i="3"/>
  <c r="I375" i="3"/>
  <c r="J375" i="3"/>
  <c r="B374" i="3"/>
  <c r="C374" i="3"/>
  <c r="D374" i="3"/>
  <c r="E374" i="3"/>
  <c r="F374" i="3"/>
  <c r="G374" i="3"/>
  <c r="H374" i="3"/>
  <c r="I374" i="3"/>
  <c r="J374" i="3"/>
  <c r="B373" i="3"/>
  <c r="C373" i="3"/>
  <c r="D373" i="3"/>
  <c r="E373" i="3"/>
  <c r="F373" i="3"/>
  <c r="G373" i="3"/>
  <c r="H373" i="3"/>
  <c r="I373" i="3"/>
  <c r="J373" i="3"/>
  <c r="B372" i="3"/>
  <c r="C372" i="3"/>
  <c r="D372" i="3"/>
  <c r="E372" i="3"/>
  <c r="F372" i="3"/>
  <c r="G372" i="3"/>
  <c r="H372" i="3"/>
  <c r="I372" i="3"/>
  <c r="J372" i="3"/>
  <c r="B371" i="3"/>
  <c r="C371" i="3"/>
  <c r="D371" i="3"/>
  <c r="E371" i="3"/>
  <c r="F371" i="3"/>
  <c r="G371" i="3"/>
  <c r="H371" i="3"/>
  <c r="I371" i="3"/>
  <c r="J371" i="3"/>
  <c r="B370" i="3"/>
  <c r="C370" i="3"/>
  <c r="D370" i="3"/>
  <c r="E370" i="3"/>
  <c r="F370" i="3"/>
  <c r="G370" i="3"/>
  <c r="H370" i="3"/>
  <c r="I370" i="3"/>
  <c r="J370" i="3"/>
  <c r="B369" i="3"/>
  <c r="C369" i="3"/>
  <c r="D369" i="3"/>
  <c r="E369" i="3"/>
  <c r="F369" i="3"/>
  <c r="G369" i="3"/>
  <c r="H369" i="3"/>
  <c r="I369" i="3"/>
  <c r="J369" i="3"/>
  <c r="B368" i="3"/>
  <c r="C368" i="3"/>
  <c r="D368" i="3"/>
  <c r="E368" i="3"/>
  <c r="F368" i="3"/>
  <c r="G368" i="3"/>
  <c r="H368" i="3"/>
  <c r="I368" i="3"/>
  <c r="J368" i="3"/>
  <c r="B367" i="3"/>
  <c r="C367" i="3"/>
  <c r="D367" i="3"/>
  <c r="E367" i="3"/>
  <c r="F367" i="3"/>
  <c r="G367" i="3"/>
  <c r="H367" i="3"/>
  <c r="I367" i="3"/>
  <c r="J367" i="3"/>
  <c r="B366" i="3"/>
  <c r="C366" i="3"/>
  <c r="D366" i="3"/>
  <c r="E366" i="3"/>
  <c r="F366" i="3"/>
  <c r="G366" i="3"/>
  <c r="H366" i="3"/>
  <c r="I366" i="3"/>
  <c r="J366" i="3"/>
  <c r="B365" i="3"/>
  <c r="C365" i="3"/>
  <c r="D365" i="3"/>
  <c r="E365" i="3"/>
  <c r="F365" i="3"/>
  <c r="G365" i="3"/>
  <c r="H365" i="3"/>
  <c r="I365" i="3"/>
  <c r="J365" i="3"/>
  <c r="B364" i="3"/>
  <c r="C364" i="3"/>
  <c r="D364" i="3"/>
  <c r="E364" i="3"/>
  <c r="F364" i="3"/>
  <c r="G364" i="3"/>
  <c r="H364" i="3"/>
  <c r="I364" i="3"/>
  <c r="J364" i="3"/>
  <c r="B363" i="3"/>
  <c r="C363" i="3"/>
  <c r="D363" i="3"/>
  <c r="E363" i="3"/>
  <c r="F363" i="3"/>
  <c r="G363" i="3"/>
  <c r="H363" i="3"/>
  <c r="I363" i="3"/>
  <c r="J363" i="3"/>
  <c r="B362" i="3"/>
  <c r="C362" i="3"/>
  <c r="D362" i="3"/>
  <c r="E362" i="3"/>
  <c r="F362" i="3"/>
  <c r="G362" i="3"/>
  <c r="H362" i="3"/>
  <c r="I362" i="3"/>
  <c r="J362" i="3"/>
  <c r="B361" i="3"/>
  <c r="C361" i="3"/>
  <c r="D361" i="3"/>
  <c r="E361" i="3"/>
  <c r="F361" i="3"/>
  <c r="G361" i="3"/>
  <c r="H361" i="3"/>
  <c r="I361" i="3"/>
  <c r="J361" i="3"/>
  <c r="B360" i="3"/>
  <c r="C360" i="3"/>
  <c r="D360" i="3"/>
  <c r="E360" i="3"/>
  <c r="F360" i="3"/>
  <c r="G360" i="3"/>
  <c r="H360" i="3"/>
  <c r="I360" i="3"/>
  <c r="J360" i="3"/>
  <c r="B359" i="3"/>
  <c r="C359" i="3"/>
  <c r="D359" i="3"/>
  <c r="E359" i="3"/>
  <c r="F359" i="3"/>
  <c r="G359" i="3"/>
  <c r="H359" i="3"/>
  <c r="I359" i="3"/>
  <c r="J359" i="3"/>
  <c r="B358" i="3"/>
  <c r="C358" i="3"/>
  <c r="D358" i="3"/>
  <c r="E358" i="3"/>
  <c r="F358" i="3"/>
  <c r="G358" i="3"/>
  <c r="H358" i="3"/>
  <c r="I358" i="3"/>
  <c r="J358" i="3"/>
  <c r="B357" i="3"/>
  <c r="C357" i="3"/>
  <c r="D357" i="3"/>
  <c r="E357" i="3"/>
  <c r="F357" i="3"/>
  <c r="G357" i="3"/>
  <c r="H357" i="3"/>
  <c r="I357" i="3"/>
  <c r="J357" i="3"/>
  <c r="B356" i="3"/>
  <c r="C356" i="3"/>
  <c r="D356" i="3"/>
  <c r="E356" i="3"/>
  <c r="F356" i="3"/>
  <c r="G356" i="3"/>
  <c r="H356" i="3"/>
  <c r="I356" i="3"/>
  <c r="J356" i="3"/>
  <c r="B355" i="3"/>
  <c r="C355" i="3"/>
  <c r="D355" i="3"/>
  <c r="E355" i="3"/>
  <c r="F355" i="3"/>
  <c r="G355" i="3"/>
  <c r="H355" i="3"/>
  <c r="I355" i="3"/>
  <c r="J355" i="3"/>
  <c r="B354" i="3"/>
  <c r="C354" i="3"/>
  <c r="D354" i="3"/>
  <c r="E354" i="3"/>
  <c r="F354" i="3"/>
  <c r="G354" i="3"/>
  <c r="H354" i="3"/>
  <c r="I354" i="3"/>
  <c r="J354" i="3"/>
  <c r="B353" i="3"/>
  <c r="C353" i="3"/>
  <c r="D353" i="3"/>
  <c r="E353" i="3"/>
  <c r="F353" i="3"/>
  <c r="G353" i="3"/>
  <c r="H353" i="3"/>
  <c r="I353" i="3"/>
  <c r="J353" i="3"/>
  <c r="B352" i="3"/>
  <c r="C352" i="3"/>
  <c r="D352" i="3"/>
  <c r="E352" i="3"/>
  <c r="F352" i="3"/>
  <c r="G352" i="3"/>
  <c r="H352" i="3"/>
  <c r="I352" i="3"/>
  <c r="J352" i="3"/>
  <c r="B351" i="3"/>
  <c r="C351" i="3"/>
  <c r="D351" i="3"/>
  <c r="E351" i="3"/>
  <c r="F351" i="3"/>
  <c r="G351" i="3"/>
  <c r="H351" i="3"/>
  <c r="I351" i="3"/>
  <c r="J351" i="3"/>
  <c r="B350" i="3"/>
  <c r="C350" i="3"/>
  <c r="D350" i="3"/>
  <c r="E350" i="3"/>
  <c r="F350" i="3"/>
  <c r="G350" i="3"/>
  <c r="H350" i="3"/>
  <c r="I350" i="3"/>
  <c r="J350" i="3"/>
  <c r="B349" i="3"/>
  <c r="C349" i="3"/>
  <c r="D349" i="3"/>
  <c r="E349" i="3"/>
  <c r="F349" i="3"/>
  <c r="G349" i="3"/>
  <c r="H349" i="3"/>
  <c r="I349" i="3"/>
  <c r="J349" i="3"/>
  <c r="B348" i="3"/>
  <c r="C348" i="3"/>
  <c r="D348" i="3"/>
  <c r="E348" i="3"/>
  <c r="F348" i="3"/>
  <c r="G348" i="3"/>
  <c r="H348" i="3"/>
  <c r="I348" i="3"/>
  <c r="J348" i="3"/>
  <c r="B347" i="3"/>
  <c r="C347" i="3"/>
  <c r="D347" i="3"/>
  <c r="E347" i="3"/>
  <c r="F347" i="3"/>
  <c r="G347" i="3"/>
  <c r="H347" i="3"/>
  <c r="I347" i="3"/>
  <c r="J347" i="3"/>
  <c r="B346" i="3"/>
  <c r="C346" i="3"/>
  <c r="D346" i="3"/>
  <c r="E346" i="3"/>
  <c r="F346" i="3"/>
  <c r="G346" i="3"/>
  <c r="H346" i="3"/>
  <c r="I346" i="3"/>
  <c r="J346" i="3"/>
  <c r="B345" i="3"/>
  <c r="C345" i="3"/>
  <c r="D345" i="3"/>
  <c r="E345" i="3"/>
  <c r="F345" i="3"/>
  <c r="G345" i="3"/>
  <c r="H345" i="3"/>
  <c r="I345" i="3"/>
  <c r="J345" i="3"/>
  <c r="B344" i="3"/>
  <c r="C344" i="3"/>
  <c r="D344" i="3"/>
  <c r="E344" i="3"/>
  <c r="F344" i="3"/>
  <c r="G344" i="3"/>
  <c r="H344" i="3"/>
  <c r="I344" i="3"/>
  <c r="J344" i="3"/>
  <c r="B343" i="3"/>
  <c r="C343" i="3"/>
  <c r="D343" i="3"/>
  <c r="E343" i="3"/>
  <c r="F343" i="3"/>
  <c r="G343" i="3"/>
  <c r="H343" i="3"/>
  <c r="I343" i="3"/>
  <c r="J343" i="3"/>
  <c r="B342" i="3"/>
  <c r="C342" i="3"/>
  <c r="D342" i="3"/>
  <c r="E342" i="3"/>
  <c r="F342" i="3"/>
  <c r="G342" i="3"/>
  <c r="H342" i="3"/>
  <c r="I342" i="3"/>
  <c r="J342" i="3"/>
  <c r="B341" i="3"/>
  <c r="C341" i="3"/>
  <c r="D341" i="3"/>
  <c r="E341" i="3"/>
  <c r="F341" i="3"/>
  <c r="G341" i="3"/>
  <c r="H341" i="3"/>
  <c r="I341" i="3"/>
  <c r="J341" i="3"/>
  <c r="B340" i="3"/>
  <c r="C340" i="3"/>
  <c r="D340" i="3"/>
  <c r="E340" i="3"/>
  <c r="F340" i="3"/>
  <c r="G340" i="3"/>
  <c r="H340" i="3"/>
  <c r="I340" i="3"/>
  <c r="J340" i="3"/>
  <c r="B339" i="3"/>
  <c r="C339" i="3"/>
  <c r="D339" i="3"/>
  <c r="E339" i="3"/>
  <c r="F339" i="3"/>
  <c r="G339" i="3"/>
  <c r="H339" i="3"/>
  <c r="I339" i="3"/>
  <c r="J339" i="3"/>
  <c r="B338" i="3"/>
  <c r="C338" i="3"/>
  <c r="D338" i="3"/>
  <c r="E338" i="3"/>
  <c r="F338" i="3"/>
  <c r="G338" i="3"/>
  <c r="H338" i="3"/>
  <c r="I338" i="3"/>
  <c r="J338" i="3"/>
  <c r="B337" i="3"/>
  <c r="C337" i="3"/>
  <c r="D337" i="3"/>
  <c r="E337" i="3"/>
  <c r="F337" i="3"/>
  <c r="G337" i="3"/>
  <c r="H337" i="3"/>
  <c r="I337" i="3"/>
  <c r="J337" i="3"/>
  <c r="B336" i="3"/>
  <c r="C336" i="3"/>
  <c r="D336" i="3"/>
  <c r="E336" i="3"/>
  <c r="F336" i="3"/>
  <c r="G336" i="3"/>
  <c r="H336" i="3"/>
  <c r="I336" i="3"/>
  <c r="J336" i="3"/>
  <c r="B335" i="3"/>
  <c r="C335" i="3"/>
  <c r="D335" i="3"/>
  <c r="E335" i="3"/>
  <c r="F335" i="3"/>
  <c r="G335" i="3"/>
  <c r="H335" i="3"/>
  <c r="I335" i="3"/>
  <c r="J335" i="3"/>
  <c r="B334" i="3"/>
  <c r="C334" i="3"/>
  <c r="D334" i="3"/>
  <c r="E334" i="3"/>
  <c r="F334" i="3"/>
  <c r="G334" i="3"/>
  <c r="H334" i="3"/>
  <c r="I334" i="3"/>
  <c r="J334" i="3"/>
  <c r="B333" i="3"/>
  <c r="C333" i="3"/>
  <c r="D333" i="3"/>
  <c r="E333" i="3"/>
  <c r="F333" i="3"/>
  <c r="G333" i="3"/>
  <c r="H333" i="3"/>
  <c r="I333" i="3"/>
  <c r="J333" i="3"/>
  <c r="B332" i="3"/>
  <c r="C332" i="3"/>
  <c r="D332" i="3"/>
  <c r="E332" i="3"/>
  <c r="F332" i="3"/>
  <c r="G332" i="3"/>
  <c r="H332" i="3"/>
  <c r="I332" i="3"/>
  <c r="J332" i="3"/>
  <c r="B331" i="3"/>
  <c r="C331" i="3"/>
  <c r="D331" i="3"/>
  <c r="E331" i="3"/>
  <c r="F331" i="3"/>
  <c r="G331" i="3"/>
  <c r="H331" i="3"/>
  <c r="I331" i="3"/>
  <c r="J331" i="3"/>
  <c r="B330" i="3"/>
  <c r="C330" i="3"/>
  <c r="D330" i="3"/>
  <c r="E330" i="3"/>
  <c r="F330" i="3"/>
  <c r="G330" i="3"/>
  <c r="H330" i="3"/>
  <c r="I330" i="3"/>
  <c r="J330" i="3"/>
  <c r="B329" i="3"/>
  <c r="C329" i="3"/>
  <c r="D329" i="3"/>
  <c r="E329" i="3"/>
  <c r="F329" i="3"/>
  <c r="G329" i="3"/>
  <c r="H329" i="3"/>
  <c r="I329" i="3"/>
  <c r="J329" i="3"/>
  <c r="B328" i="3"/>
  <c r="C328" i="3"/>
  <c r="D328" i="3"/>
  <c r="E328" i="3"/>
  <c r="F328" i="3"/>
  <c r="G328" i="3"/>
  <c r="H328" i="3"/>
  <c r="I328" i="3"/>
  <c r="J328" i="3"/>
  <c r="B327" i="3"/>
  <c r="C327" i="3"/>
  <c r="D327" i="3"/>
  <c r="E327" i="3"/>
  <c r="F327" i="3"/>
  <c r="G327" i="3"/>
  <c r="H327" i="3"/>
  <c r="I327" i="3"/>
  <c r="J327" i="3"/>
  <c r="B326" i="3"/>
  <c r="C326" i="3"/>
  <c r="D326" i="3"/>
  <c r="E326" i="3"/>
  <c r="F326" i="3"/>
  <c r="G326" i="3"/>
  <c r="H326" i="3"/>
  <c r="I326" i="3"/>
  <c r="J326" i="3"/>
  <c r="B325" i="3"/>
  <c r="C325" i="3"/>
  <c r="D325" i="3"/>
  <c r="E325" i="3"/>
  <c r="F325" i="3"/>
  <c r="G325" i="3"/>
  <c r="H325" i="3"/>
  <c r="I325" i="3"/>
  <c r="J325" i="3"/>
  <c r="B324" i="3"/>
  <c r="C324" i="3"/>
  <c r="D324" i="3"/>
  <c r="E324" i="3"/>
  <c r="F324" i="3"/>
  <c r="G324" i="3"/>
  <c r="H324" i="3"/>
  <c r="I324" i="3"/>
  <c r="J324" i="3"/>
  <c r="B323" i="3"/>
  <c r="C323" i="3"/>
  <c r="D323" i="3"/>
  <c r="E323" i="3"/>
  <c r="F323" i="3"/>
  <c r="G323" i="3"/>
  <c r="H323" i="3"/>
  <c r="I323" i="3"/>
  <c r="J323" i="3"/>
  <c r="B322" i="3"/>
  <c r="C322" i="3"/>
  <c r="D322" i="3"/>
  <c r="E322" i="3"/>
  <c r="F322" i="3"/>
  <c r="G322" i="3"/>
  <c r="H322" i="3"/>
  <c r="I322" i="3"/>
  <c r="J322" i="3"/>
  <c r="B321" i="3"/>
  <c r="C321" i="3"/>
  <c r="D321" i="3"/>
  <c r="E321" i="3"/>
  <c r="F321" i="3"/>
  <c r="G321" i="3"/>
  <c r="H321" i="3"/>
  <c r="I321" i="3"/>
  <c r="J321" i="3"/>
  <c r="B320" i="3"/>
  <c r="C320" i="3"/>
  <c r="D320" i="3"/>
  <c r="E320" i="3"/>
  <c r="F320" i="3"/>
  <c r="G320" i="3"/>
  <c r="H320" i="3"/>
  <c r="I320" i="3"/>
  <c r="J320" i="3"/>
  <c r="B319" i="3"/>
  <c r="C319" i="3"/>
  <c r="D319" i="3"/>
  <c r="E319" i="3"/>
  <c r="F319" i="3"/>
  <c r="G319" i="3"/>
  <c r="H319" i="3"/>
  <c r="I319" i="3"/>
  <c r="J319" i="3"/>
  <c r="B318" i="3"/>
  <c r="C318" i="3"/>
  <c r="D318" i="3"/>
  <c r="E318" i="3"/>
  <c r="F318" i="3"/>
  <c r="G318" i="3"/>
  <c r="H318" i="3"/>
  <c r="I318" i="3"/>
  <c r="J318" i="3"/>
  <c r="B317" i="3"/>
  <c r="C317" i="3"/>
  <c r="D317" i="3"/>
  <c r="E317" i="3"/>
  <c r="F317" i="3"/>
  <c r="G317" i="3"/>
  <c r="H317" i="3"/>
  <c r="I317" i="3"/>
  <c r="J317" i="3"/>
  <c r="B316" i="3"/>
  <c r="C316" i="3"/>
  <c r="D316" i="3"/>
  <c r="E316" i="3"/>
  <c r="F316" i="3"/>
  <c r="G316" i="3"/>
  <c r="H316" i="3"/>
  <c r="I316" i="3"/>
  <c r="J316" i="3"/>
  <c r="B315" i="3"/>
  <c r="C315" i="3"/>
  <c r="D315" i="3"/>
  <c r="E315" i="3"/>
  <c r="F315" i="3"/>
  <c r="G315" i="3"/>
  <c r="H315" i="3"/>
  <c r="I315" i="3"/>
  <c r="J315" i="3"/>
  <c r="B314" i="3"/>
  <c r="C314" i="3"/>
  <c r="D314" i="3"/>
  <c r="E314" i="3"/>
  <c r="F314" i="3"/>
  <c r="G314" i="3"/>
  <c r="H314" i="3"/>
  <c r="I314" i="3"/>
  <c r="J314" i="3"/>
  <c r="B313" i="3"/>
  <c r="C313" i="3"/>
  <c r="D313" i="3"/>
  <c r="E313" i="3"/>
  <c r="F313" i="3"/>
  <c r="G313" i="3"/>
  <c r="H313" i="3"/>
  <c r="I313" i="3"/>
  <c r="J313" i="3"/>
  <c r="B312" i="3"/>
  <c r="C312" i="3"/>
  <c r="D312" i="3"/>
  <c r="E312" i="3"/>
  <c r="F312" i="3"/>
  <c r="G312" i="3"/>
  <c r="H312" i="3"/>
  <c r="I312" i="3"/>
  <c r="J312" i="3"/>
  <c r="B311" i="3"/>
  <c r="C311" i="3"/>
  <c r="D311" i="3"/>
  <c r="E311" i="3"/>
  <c r="F311" i="3"/>
  <c r="G311" i="3"/>
  <c r="H311" i="3"/>
  <c r="I311" i="3"/>
  <c r="J311" i="3"/>
  <c r="B310" i="3"/>
  <c r="C310" i="3"/>
  <c r="D310" i="3"/>
  <c r="E310" i="3"/>
  <c r="F310" i="3"/>
  <c r="G310" i="3"/>
  <c r="H310" i="3"/>
  <c r="I310" i="3"/>
  <c r="J310" i="3"/>
  <c r="B309" i="3"/>
  <c r="C309" i="3"/>
  <c r="D309" i="3"/>
  <c r="E309" i="3"/>
  <c r="F309" i="3"/>
  <c r="G309" i="3"/>
  <c r="H309" i="3"/>
  <c r="I309" i="3"/>
  <c r="J309" i="3"/>
  <c r="B308" i="3"/>
  <c r="C308" i="3"/>
  <c r="D308" i="3"/>
  <c r="E308" i="3"/>
  <c r="F308" i="3"/>
  <c r="G308" i="3"/>
  <c r="H308" i="3"/>
  <c r="I308" i="3"/>
  <c r="J308" i="3"/>
  <c r="B307" i="3"/>
  <c r="C307" i="3"/>
  <c r="D307" i="3"/>
  <c r="E307" i="3"/>
  <c r="F307" i="3"/>
  <c r="G307" i="3"/>
  <c r="H307" i="3"/>
  <c r="I307" i="3"/>
  <c r="J307" i="3"/>
  <c r="B306" i="3"/>
  <c r="C306" i="3"/>
  <c r="D306" i="3"/>
  <c r="E306" i="3"/>
  <c r="F306" i="3"/>
  <c r="G306" i="3"/>
  <c r="H306" i="3"/>
  <c r="I306" i="3"/>
  <c r="J306" i="3"/>
  <c r="B305" i="3"/>
  <c r="C305" i="3"/>
  <c r="D305" i="3"/>
  <c r="E305" i="3"/>
  <c r="F305" i="3"/>
  <c r="G305" i="3"/>
  <c r="H305" i="3"/>
  <c r="I305" i="3"/>
  <c r="J305" i="3"/>
  <c r="B304" i="3"/>
  <c r="C304" i="3"/>
  <c r="D304" i="3"/>
  <c r="E304" i="3"/>
  <c r="F304" i="3"/>
  <c r="G304" i="3"/>
  <c r="H304" i="3"/>
  <c r="I304" i="3"/>
  <c r="J304" i="3"/>
  <c r="B303" i="3"/>
  <c r="C303" i="3"/>
  <c r="D303" i="3"/>
  <c r="E303" i="3"/>
  <c r="F303" i="3"/>
  <c r="G303" i="3"/>
  <c r="H303" i="3"/>
  <c r="I303" i="3"/>
  <c r="J303" i="3"/>
  <c r="B302" i="3"/>
  <c r="C302" i="3"/>
  <c r="D302" i="3"/>
  <c r="E302" i="3"/>
  <c r="F302" i="3"/>
  <c r="G302" i="3"/>
  <c r="H302" i="3"/>
  <c r="I302" i="3"/>
  <c r="J302" i="3"/>
  <c r="B301" i="3"/>
  <c r="C301" i="3"/>
  <c r="D301" i="3"/>
  <c r="E301" i="3"/>
  <c r="F301" i="3"/>
  <c r="G301" i="3"/>
  <c r="H301" i="3"/>
  <c r="I301" i="3"/>
  <c r="J301" i="3"/>
  <c r="B300" i="3"/>
  <c r="C300" i="3"/>
  <c r="D300" i="3"/>
  <c r="E300" i="3"/>
  <c r="F300" i="3"/>
  <c r="G300" i="3"/>
  <c r="H300" i="3"/>
  <c r="I300" i="3"/>
  <c r="J300" i="3"/>
  <c r="B299" i="3"/>
  <c r="C299" i="3"/>
  <c r="D299" i="3"/>
  <c r="E299" i="3"/>
  <c r="F299" i="3"/>
  <c r="G299" i="3"/>
  <c r="H299" i="3"/>
  <c r="I299" i="3"/>
  <c r="J299" i="3"/>
  <c r="B298" i="3"/>
  <c r="C298" i="3"/>
  <c r="D298" i="3"/>
  <c r="E298" i="3"/>
  <c r="F298" i="3"/>
  <c r="G298" i="3"/>
  <c r="H298" i="3"/>
  <c r="I298" i="3"/>
  <c r="J298" i="3"/>
  <c r="B297" i="3"/>
  <c r="C297" i="3"/>
  <c r="D297" i="3"/>
  <c r="E297" i="3"/>
  <c r="F297" i="3"/>
  <c r="G297" i="3"/>
  <c r="H297" i="3"/>
  <c r="I297" i="3"/>
  <c r="J297" i="3"/>
  <c r="B296" i="3"/>
  <c r="C296" i="3"/>
  <c r="D296" i="3"/>
  <c r="E296" i="3"/>
  <c r="F296" i="3"/>
  <c r="G296" i="3"/>
  <c r="H296" i="3"/>
  <c r="I296" i="3"/>
  <c r="J296" i="3"/>
  <c r="B295" i="3"/>
  <c r="C295" i="3"/>
  <c r="D295" i="3"/>
  <c r="E295" i="3"/>
  <c r="F295" i="3"/>
  <c r="G295" i="3"/>
  <c r="H295" i="3"/>
  <c r="I295" i="3"/>
  <c r="J295" i="3"/>
  <c r="B294" i="3"/>
  <c r="C294" i="3"/>
  <c r="D294" i="3"/>
  <c r="E294" i="3"/>
  <c r="F294" i="3"/>
  <c r="G294" i="3"/>
  <c r="H294" i="3"/>
  <c r="I294" i="3"/>
  <c r="J294" i="3"/>
  <c r="B293" i="3"/>
  <c r="C293" i="3"/>
  <c r="D293" i="3"/>
  <c r="E293" i="3"/>
  <c r="F293" i="3"/>
  <c r="G293" i="3"/>
  <c r="H293" i="3"/>
  <c r="I293" i="3"/>
  <c r="J293" i="3"/>
  <c r="B292" i="3"/>
  <c r="C292" i="3"/>
  <c r="D292" i="3"/>
  <c r="E292" i="3"/>
  <c r="F292" i="3"/>
  <c r="G292" i="3"/>
  <c r="H292" i="3"/>
  <c r="I292" i="3"/>
  <c r="J292" i="3"/>
  <c r="B291" i="3"/>
  <c r="C291" i="3"/>
  <c r="D291" i="3"/>
  <c r="E291" i="3"/>
  <c r="F291" i="3"/>
  <c r="G291" i="3"/>
  <c r="H291" i="3"/>
  <c r="I291" i="3"/>
  <c r="J291" i="3"/>
  <c r="B290" i="3"/>
  <c r="C290" i="3"/>
  <c r="D290" i="3"/>
  <c r="E290" i="3"/>
  <c r="F290" i="3"/>
  <c r="G290" i="3"/>
  <c r="H290" i="3"/>
  <c r="I290" i="3"/>
  <c r="J290" i="3"/>
  <c r="B289" i="3"/>
  <c r="C289" i="3"/>
  <c r="D289" i="3"/>
  <c r="E289" i="3"/>
  <c r="F289" i="3"/>
  <c r="G289" i="3"/>
  <c r="H289" i="3"/>
  <c r="I289" i="3"/>
  <c r="J289" i="3"/>
  <c r="B288" i="3"/>
  <c r="C288" i="3"/>
  <c r="D288" i="3"/>
  <c r="E288" i="3"/>
  <c r="F288" i="3"/>
  <c r="G288" i="3"/>
  <c r="H288" i="3"/>
  <c r="I288" i="3"/>
  <c r="J288" i="3"/>
  <c r="B287" i="3"/>
  <c r="C287" i="3"/>
  <c r="D287" i="3"/>
  <c r="E287" i="3"/>
  <c r="F287" i="3"/>
  <c r="G287" i="3"/>
  <c r="H287" i="3"/>
  <c r="I287" i="3"/>
  <c r="J287" i="3"/>
  <c r="B286" i="3"/>
  <c r="C286" i="3"/>
  <c r="D286" i="3"/>
  <c r="E286" i="3"/>
  <c r="F286" i="3"/>
  <c r="G286" i="3"/>
  <c r="H286" i="3"/>
  <c r="I286" i="3"/>
  <c r="J286" i="3"/>
  <c r="B285" i="3"/>
  <c r="C285" i="3"/>
  <c r="D285" i="3"/>
  <c r="E285" i="3"/>
  <c r="F285" i="3"/>
  <c r="G285" i="3"/>
  <c r="H285" i="3"/>
  <c r="I285" i="3"/>
  <c r="J285" i="3"/>
  <c r="B284" i="3"/>
  <c r="C284" i="3"/>
  <c r="D284" i="3"/>
  <c r="E284" i="3"/>
  <c r="F284" i="3"/>
  <c r="G284" i="3"/>
  <c r="H284" i="3"/>
  <c r="I284" i="3"/>
  <c r="J284" i="3"/>
  <c r="B283" i="3"/>
  <c r="C283" i="3"/>
  <c r="D283" i="3"/>
  <c r="E283" i="3"/>
  <c r="F283" i="3"/>
  <c r="G283" i="3"/>
  <c r="H283" i="3"/>
  <c r="I283" i="3"/>
  <c r="J283" i="3"/>
  <c r="B282" i="3"/>
  <c r="C282" i="3"/>
  <c r="D282" i="3"/>
  <c r="E282" i="3"/>
  <c r="F282" i="3"/>
  <c r="G282" i="3"/>
  <c r="H282" i="3"/>
  <c r="I282" i="3"/>
  <c r="J282" i="3"/>
  <c r="B281" i="3"/>
  <c r="C281" i="3"/>
  <c r="D281" i="3"/>
  <c r="E281" i="3"/>
  <c r="F281" i="3"/>
  <c r="G281" i="3"/>
  <c r="H281" i="3"/>
  <c r="I281" i="3"/>
  <c r="J281" i="3"/>
  <c r="B280" i="3"/>
  <c r="C280" i="3"/>
  <c r="D280" i="3"/>
  <c r="E280" i="3"/>
  <c r="F280" i="3"/>
  <c r="G280" i="3"/>
  <c r="H280" i="3"/>
  <c r="I280" i="3"/>
  <c r="J280" i="3"/>
  <c r="B279" i="3"/>
  <c r="C279" i="3"/>
  <c r="D279" i="3"/>
  <c r="E279" i="3"/>
  <c r="F279" i="3"/>
  <c r="G279" i="3"/>
  <c r="H279" i="3"/>
  <c r="I279" i="3"/>
  <c r="J279" i="3"/>
  <c r="B278" i="3"/>
  <c r="C278" i="3"/>
  <c r="D278" i="3"/>
  <c r="E278" i="3"/>
  <c r="F278" i="3"/>
  <c r="G278" i="3"/>
  <c r="H278" i="3"/>
  <c r="I278" i="3"/>
  <c r="J278" i="3"/>
  <c r="B277" i="3"/>
  <c r="C277" i="3"/>
  <c r="D277" i="3"/>
  <c r="E277" i="3"/>
  <c r="F277" i="3"/>
  <c r="G277" i="3"/>
  <c r="H277" i="3"/>
  <c r="I277" i="3"/>
  <c r="J277" i="3"/>
  <c r="B276" i="3"/>
  <c r="C276" i="3"/>
  <c r="D276" i="3"/>
  <c r="E276" i="3"/>
  <c r="F276" i="3"/>
  <c r="G276" i="3"/>
  <c r="H276" i="3"/>
  <c r="I276" i="3"/>
  <c r="J276" i="3"/>
  <c r="B275" i="3"/>
  <c r="C275" i="3"/>
  <c r="D275" i="3"/>
  <c r="E275" i="3"/>
  <c r="F275" i="3"/>
  <c r="G275" i="3"/>
  <c r="H275" i="3"/>
  <c r="I275" i="3"/>
  <c r="J275" i="3"/>
  <c r="B274" i="3"/>
  <c r="C274" i="3"/>
  <c r="D274" i="3"/>
  <c r="E274" i="3"/>
  <c r="F274" i="3"/>
  <c r="G274" i="3"/>
  <c r="H274" i="3"/>
  <c r="I274" i="3"/>
  <c r="J274" i="3"/>
  <c r="B273" i="3"/>
  <c r="C273" i="3"/>
  <c r="D273" i="3"/>
  <c r="E273" i="3"/>
  <c r="F273" i="3"/>
  <c r="G273" i="3"/>
  <c r="H273" i="3"/>
  <c r="I273" i="3"/>
  <c r="J273" i="3"/>
  <c r="B272" i="3"/>
  <c r="C272" i="3"/>
  <c r="D272" i="3"/>
  <c r="E272" i="3"/>
  <c r="F272" i="3"/>
  <c r="G272" i="3"/>
  <c r="H272" i="3"/>
  <c r="I272" i="3"/>
  <c r="J272" i="3"/>
  <c r="B271" i="3"/>
  <c r="C271" i="3"/>
  <c r="D271" i="3"/>
  <c r="E271" i="3"/>
  <c r="F271" i="3"/>
  <c r="G271" i="3"/>
  <c r="H271" i="3"/>
  <c r="I271" i="3"/>
  <c r="J271" i="3"/>
  <c r="B270" i="3"/>
  <c r="C270" i="3"/>
  <c r="D270" i="3"/>
  <c r="E270" i="3"/>
  <c r="F270" i="3"/>
  <c r="G270" i="3"/>
  <c r="H270" i="3"/>
  <c r="I270" i="3"/>
  <c r="J270" i="3"/>
  <c r="B269" i="3"/>
  <c r="C269" i="3"/>
  <c r="D269" i="3"/>
  <c r="E269" i="3"/>
  <c r="F269" i="3"/>
  <c r="G269" i="3"/>
  <c r="H269" i="3"/>
  <c r="I269" i="3"/>
  <c r="J269" i="3"/>
  <c r="B268" i="3"/>
  <c r="C268" i="3"/>
  <c r="D268" i="3"/>
  <c r="E268" i="3"/>
  <c r="F268" i="3"/>
  <c r="G268" i="3"/>
  <c r="H268" i="3"/>
  <c r="I268" i="3"/>
  <c r="J268" i="3"/>
  <c r="B267" i="3"/>
  <c r="C267" i="3"/>
  <c r="D267" i="3"/>
  <c r="E267" i="3"/>
  <c r="F267" i="3"/>
  <c r="G267" i="3"/>
  <c r="H267" i="3"/>
  <c r="I267" i="3"/>
  <c r="J267" i="3"/>
  <c r="B266" i="3"/>
  <c r="C266" i="3"/>
  <c r="D266" i="3"/>
  <c r="E266" i="3"/>
  <c r="F266" i="3"/>
  <c r="G266" i="3"/>
  <c r="H266" i="3"/>
  <c r="I266" i="3"/>
  <c r="J266" i="3"/>
  <c r="B265" i="3"/>
  <c r="C265" i="3"/>
  <c r="D265" i="3"/>
  <c r="E265" i="3"/>
  <c r="F265" i="3"/>
  <c r="G265" i="3"/>
  <c r="H265" i="3"/>
  <c r="I265" i="3"/>
  <c r="J265" i="3"/>
  <c r="B264" i="3"/>
  <c r="C264" i="3"/>
  <c r="D264" i="3"/>
  <c r="E264" i="3"/>
  <c r="F264" i="3"/>
  <c r="G264" i="3"/>
  <c r="H264" i="3"/>
  <c r="I264" i="3"/>
  <c r="J264" i="3"/>
  <c r="B263" i="3"/>
  <c r="C263" i="3"/>
  <c r="D263" i="3"/>
  <c r="E263" i="3"/>
  <c r="F263" i="3"/>
  <c r="G263" i="3"/>
  <c r="H263" i="3"/>
  <c r="I263" i="3"/>
  <c r="J263" i="3"/>
  <c r="B262" i="3"/>
  <c r="C262" i="3"/>
  <c r="D262" i="3"/>
  <c r="E262" i="3"/>
  <c r="F262" i="3"/>
  <c r="G262" i="3"/>
  <c r="H262" i="3"/>
  <c r="I262" i="3"/>
  <c r="J262" i="3"/>
  <c r="B261" i="3"/>
  <c r="C261" i="3"/>
  <c r="D261" i="3"/>
  <c r="E261" i="3"/>
  <c r="F261" i="3"/>
  <c r="G261" i="3"/>
  <c r="H261" i="3"/>
  <c r="I261" i="3"/>
  <c r="J261" i="3"/>
  <c r="B260" i="3"/>
  <c r="C260" i="3"/>
  <c r="D260" i="3"/>
  <c r="E260" i="3"/>
  <c r="F260" i="3"/>
  <c r="G260" i="3"/>
  <c r="H260" i="3"/>
  <c r="I260" i="3"/>
  <c r="J260" i="3"/>
  <c r="B259" i="3"/>
  <c r="C259" i="3"/>
  <c r="D259" i="3"/>
  <c r="E259" i="3"/>
  <c r="F259" i="3"/>
  <c r="G259" i="3"/>
  <c r="H259" i="3"/>
  <c r="I259" i="3"/>
  <c r="J259" i="3"/>
  <c r="B258" i="3"/>
  <c r="C258" i="3"/>
  <c r="D258" i="3"/>
  <c r="E258" i="3"/>
  <c r="F258" i="3"/>
  <c r="G258" i="3"/>
  <c r="H258" i="3"/>
  <c r="I258" i="3"/>
  <c r="J258" i="3"/>
  <c r="B257" i="3"/>
  <c r="C257" i="3"/>
  <c r="D257" i="3"/>
  <c r="E257" i="3"/>
  <c r="F257" i="3"/>
  <c r="G257" i="3"/>
  <c r="H257" i="3"/>
  <c r="I257" i="3"/>
  <c r="J257" i="3"/>
  <c r="B256" i="3"/>
  <c r="C256" i="3"/>
  <c r="D256" i="3"/>
  <c r="E256" i="3"/>
  <c r="F256" i="3"/>
  <c r="G256" i="3"/>
  <c r="H256" i="3"/>
  <c r="I256" i="3"/>
  <c r="J256" i="3"/>
  <c r="B255" i="3"/>
  <c r="C255" i="3"/>
  <c r="D255" i="3"/>
  <c r="E255" i="3"/>
  <c r="F255" i="3"/>
  <c r="G255" i="3"/>
  <c r="H255" i="3"/>
  <c r="I255" i="3"/>
  <c r="J255" i="3"/>
  <c r="B254" i="3"/>
  <c r="C254" i="3"/>
  <c r="D254" i="3"/>
  <c r="E254" i="3"/>
  <c r="F254" i="3"/>
  <c r="G254" i="3"/>
  <c r="H254" i="3"/>
  <c r="I254" i="3"/>
  <c r="J254" i="3"/>
  <c r="B253" i="3"/>
  <c r="C253" i="3"/>
  <c r="D253" i="3"/>
  <c r="E253" i="3"/>
  <c r="F253" i="3"/>
  <c r="G253" i="3"/>
  <c r="H253" i="3"/>
  <c r="I253" i="3"/>
  <c r="J253" i="3"/>
  <c r="B252" i="3"/>
  <c r="C252" i="3"/>
  <c r="D252" i="3"/>
  <c r="E252" i="3"/>
  <c r="F252" i="3"/>
  <c r="G252" i="3"/>
  <c r="H252" i="3"/>
  <c r="I252" i="3"/>
  <c r="J252" i="3"/>
  <c r="B251" i="3"/>
  <c r="C251" i="3"/>
  <c r="D251" i="3"/>
  <c r="E251" i="3"/>
  <c r="F251" i="3"/>
  <c r="G251" i="3"/>
  <c r="H251" i="3"/>
  <c r="I251" i="3"/>
  <c r="J251" i="3"/>
  <c r="B250" i="3"/>
  <c r="C250" i="3"/>
  <c r="D250" i="3"/>
  <c r="E250" i="3"/>
  <c r="F250" i="3"/>
  <c r="G250" i="3"/>
  <c r="H250" i="3"/>
  <c r="I250" i="3"/>
  <c r="J250" i="3"/>
  <c r="B249" i="3"/>
  <c r="C249" i="3"/>
  <c r="D249" i="3"/>
  <c r="E249" i="3"/>
  <c r="F249" i="3"/>
  <c r="G249" i="3"/>
  <c r="H249" i="3"/>
  <c r="I249" i="3"/>
  <c r="J249" i="3"/>
  <c r="B248" i="3"/>
  <c r="C248" i="3"/>
  <c r="D248" i="3"/>
  <c r="E248" i="3"/>
  <c r="F248" i="3"/>
  <c r="G248" i="3"/>
  <c r="H248" i="3"/>
  <c r="I248" i="3"/>
  <c r="J248" i="3"/>
  <c r="B247" i="3"/>
  <c r="C247" i="3"/>
  <c r="D247" i="3"/>
  <c r="E247" i="3"/>
  <c r="F247" i="3"/>
  <c r="G247" i="3"/>
  <c r="H247" i="3"/>
  <c r="I247" i="3"/>
  <c r="J247" i="3"/>
  <c r="B246" i="3"/>
  <c r="C246" i="3"/>
  <c r="D246" i="3"/>
  <c r="E246" i="3"/>
  <c r="F246" i="3"/>
  <c r="G246" i="3"/>
  <c r="H246" i="3"/>
  <c r="I246" i="3"/>
  <c r="J246" i="3"/>
  <c r="B245" i="3"/>
  <c r="C245" i="3"/>
  <c r="D245" i="3"/>
  <c r="E245" i="3"/>
  <c r="F245" i="3"/>
  <c r="G245" i="3"/>
  <c r="H245" i="3"/>
  <c r="I245" i="3"/>
  <c r="J245" i="3"/>
  <c r="B244" i="3"/>
  <c r="C244" i="3"/>
  <c r="D244" i="3"/>
  <c r="E244" i="3"/>
  <c r="F244" i="3"/>
  <c r="G244" i="3"/>
  <c r="H244" i="3"/>
  <c r="I244" i="3"/>
  <c r="J244" i="3"/>
  <c r="B243" i="3"/>
  <c r="C243" i="3"/>
  <c r="D243" i="3"/>
  <c r="E243" i="3"/>
  <c r="F243" i="3"/>
  <c r="G243" i="3"/>
  <c r="H243" i="3"/>
  <c r="I243" i="3"/>
  <c r="J243" i="3"/>
  <c r="B242" i="3"/>
  <c r="C242" i="3"/>
  <c r="D242" i="3"/>
  <c r="E242" i="3"/>
  <c r="F242" i="3"/>
  <c r="G242" i="3"/>
  <c r="H242" i="3"/>
  <c r="I242" i="3"/>
  <c r="J242" i="3"/>
  <c r="B241" i="3"/>
  <c r="C241" i="3"/>
  <c r="D241" i="3"/>
  <c r="E241" i="3"/>
  <c r="F241" i="3"/>
  <c r="G241" i="3"/>
  <c r="H241" i="3"/>
  <c r="I241" i="3"/>
  <c r="J241" i="3"/>
  <c r="B240" i="3"/>
  <c r="C240" i="3"/>
  <c r="D240" i="3"/>
  <c r="E240" i="3"/>
  <c r="F240" i="3"/>
  <c r="G240" i="3"/>
  <c r="H240" i="3"/>
  <c r="I240" i="3"/>
  <c r="J240" i="3"/>
  <c r="B239" i="3"/>
  <c r="C239" i="3"/>
  <c r="D239" i="3"/>
  <c r="E239" i="3"/>
  <c r="F239" i="3"/>
  <c r="G239" i="3"/>
  <c r="H239" i="3"/>
  <c r="I239" i="3"/>
  <c r="J239" i="3"/>
  <c r="B238" i="3"/>
  <c r="C238" i="3"/>
  <c r="D238" i="3"/>
  <c r="E238" i="3"/>
  <c r="F238" i="3"/>
  <c r="G238" i="3"/>
  <c r="H238" i="3"/>
  <c r="I238" i="3"/>
  <c r="J238" i="3"/>
  <c r="B237" i="3"/>
  <c r="C237" i="3"/>
  <c r="D237" i="3"/>
  <c r="E237" i="3"/>
  <c r="F237" i="3"/>
  <c r="G237" i="3"/>
  <c r="H237" i="3"/>
  <c r="I237" i="3"/>
  <c r="J237" i="3"/>
  <c r="B236" i="3"/>
  <c r="C236" i="3"/>
  <c r="D236" i="3"/>
  <c r="E236" i="3"/>
  <c r="F236" i="3"/>
  <c r="G236" i="3"/>
  <c r="H236" i="3"/>
  <c r="I236" i="3"/>
  <c r="J236" i="3"/>
  <c r="B235" i="3"/>
  <c r="C235" i="3"/>
  <c r="D235" i="3"/>
  <c r="E235" i="3"/>
  <c r="F235" i="3"/>
  <c r="G235" i="3"/>
  <c r="H235" i="3"/>
  <c r="I235" i="3"/>
  <c r="J235" i="3"/>
  <c r="B234" i="3"/>
  <c r="C234" i="3"/>
  <c r="D234" i="3"/>
  <c r="E234" i="3"/>
  <c r="F234" i="3"/>
  <c r="G234" i="3"/>
  <c r="H234" i="3"/>
  <c r="I234" i="3"/>
  <c r="J234" i="3"/>
  <c r="B233" i="3"/>
  <c r="C233" i="3"/>
  <c r="D233" i="3"/>
  <c r="E233" i="3"/>
  <c r="F233" i="3"/>
  <c r="G233" i="3"/>
  <c r="H233" i="3"/>
  <c r="I233" i="3"/>
  <c r="J233" i="3"/>
  <c r="B232" i="3"/>
  <c r="C232" i="3"/>
  <c r="D232" i="3"/>
  <c r="E232" i="3"/>
  <c r="F232" i="3"/>
  <c r="G232" i="3"/>
  <c r="H232" i="3"/>
  <c r="I232" i="3"/>
  <c r="J232" i="3"/>
  <c r="B231" i="3"/>
  <c r="C231" i="3"/>
  <c r="D231" i="3"/>
  <c r="E231" i="3"/>
  <c r="F231" i="3"/>
  <c r="G231" i="3"/>
  <c r="H231" i="3"/>
  <c r="I231" i="3"/>
  <c r="J231" i="3"/>
  <c r="B230" i="3"/>
  <c r="C230" i="3"/>
  <c r="D230" i="3"/>
  <c r="E230" i="3"/>
  <c r="F230" i="3"/>
  <c r="G230" i="3"/>
  <c r="H230" i="3"/>
  <c r="I230" i="3"/>
  <c r="J230" i="3"/>
  <c r="B229" i="3"/>
  <c r="C229" i="3"/>
  <c r="D229" i="3"/>
  <c r="E229" i="3"/>
  <c r="F229" i="3"/>
  <c r="G229" i="3"/>
  <c r="H229" i="3"/>
  <c r="I229" i="3"/>
  <c r="J229" i="3"/>
  <c r="B228" i="3"/>
  <c r="C228" i="3"/>
  <c r="D228" i="3"/>
  <c r="E228" i="3"/>
  <c r="F228" i="3"/>
  <c r="G228" i="3"/>
  <c r="H228" i="3"/>
  <c r="I228" i="3"/>
  <c r="J228" i="3"/>
  <c r="B227" i="3"/>
  <c r="C227" i="3"/>
  <c r="D227" i="3"/>
  <c r="E227" i="3"/>
  <c r="F227" i="3"/>
  <c r="G227" i="3"/>
  <c r="H227" i="3"/>
  <c r="I227" i="3"/>
  <c r="J227" i="3"/>
  <c r="B226" i="3"/>
  <c r="C226" i="3"/>
  <c r="D226" i="3"/>
  <c r="E226" i="3"/>
  <c r="F226" i="3"/>
  <c r="G226" i="3"/>
  <c r="H226" i="3"/>
  <c r="I226" i="3"/>
  <c r="J226" i="3"/>
  <c r="B225" i="3"/>
  <c r="C225" i="3"/>
  <c r="D225" i="3"/>
  <c r="E225" i="3"/>
  <c r="F225" i="3"/>
  <c r="G225" i="3"/>
  <c r="H225" i="3"/>
  <c r="I225" i="3"/>
  <c r="J225" i="3"/>
  <c r="B224" i="3"/>
  <c r="C224" i="3"/>
  <c r="D224" i="3"/>
  <c r="E224" i="3"/>
  <c r="F224" i="3"/>
  <c r="G224" i="3"/>
  <c r="H224" i="3"/>
  <c r="I224" i="3"/>
  <c r="J224" i="3"/>
  <c r="B223" i="3"/>
  <c r="C223" i="3"/>
  <c r="D223" i="3"/>
  <c r="E223" i="3"/>
  <c r="F223" i="3"/>
  <c r="G223" i="3"/>
  <c r="H223" i="3"/>
  <c r="I223" i="3"/>
  <c r="J223" i="3"/>
  <c r="B222" i="3"/>
  <c r="C222" i="3"/>
  <c r="D222" i="3"/>
  <c r="E222" i="3"/>
  <c r="F222" i="3"/>
  <c r="G222" i="3"/>
  <c r="H222" i="3"/>
  <c r="I222" i="3"/>
  <c r="J222" i="3"/>
  <c r="B221" i="3"/>
  <c r="C221" i="3"/>
  <c r="D221" i="3"/>
  <c r="E221" i="3"/>
  <c r="F221" i="3"/>
  <c r="G221" i="3"/>
  <c r="H221" i="3"/>
  <c r="I221" i="3"/>
  <c r="J221" i="3"/>
  <c r="B220" i="3"/>
  <c r="C220" i="3"/>
  <c r="D220" i="3"/>
  <c r="E220" i="3"/>
  <c r="F220" i="3"/>
  <c r="G220" i="3"/>
  <c r="H220" i="3"/>
  <c r="I220" i="3"/>
  <c r="J220" i="3"/>
  <c r="B219" i="3"/>
  <c r="C219" i="3"/>
  <c r="D219" i="3"/>
  <c r="E219" i="3"/>
  <c r="F219" i="3"/>
  <c r="G219" i="3"/>
  <c r="H219" i="3"/>
  <c r="I219" i="3"/>
  <c r="J219" i="3"/>
  <c r="B218" i="3"/>
  <c r="C218" i="3"/>
  <c r="D218" i="3"/>
  <c r="E218" i="3"/>
  <c r="F218" i="3"/>
  <c r="G218" i="3"/>
  <c r="H218" i="3"/>
  <c r="I218" i="3"/>
  <c r="J218" i="3"/>
  <c r="B217" i="3"/>
  <c r="C217" i="3"/>
  <c r="D217" i="3"/>
  <c r="E217" i="3"/>
  <c r="F217" i="3"/>
  <c r="G217" i="3"/>
  <c r="H217" i="3"/>
  <c r="I217" i="3"/>
  <c r="J217" i="3"/>
  <c r="B216" i="3"/>
  <c r="C216" i="3"/>
  <c r="D216" i="3"/>
  <c r="E216" i="3"/>
  <c r="F216" i="3"/>
  <c r="G216" i="3"/>
  <c r="H216" i="3"/>
  <c r="I216" i="3"/>
  <c r="J216" i="3"/>
  <c r="B215" i="3"/>
  <c r="C215" i="3"/>
  <c r="D215" i="3"/>
  <c r="E215" i="3"/>
  <c r="F215" i="3"/>
  <c r="G215" i="3"/>
  <c r="H215" i="3"/>
  <c r="I215" i="3"/>
  <c r="J215" i="3"/>
  <c r="B214" i="3"/>
  <c r="C214" i="3"/>
  <c r="D214" i="3"/>
  <c r="E214" i="3"/>
  <c r="F214" i="3"/>
  <c r="G214" i="3"/>
  <c r="H214" i="3"/>
  <c r="I214" i="3"/>
  <c r="J214" i="3"/>
  <c r="B213" i="3"/>
  <c r="C213" i="3"/>
  <c r="D213" i="3"/>
  <c r="E213" i="3"/>
  <c r="F213" i="3"/>
  <c r="G213" i="3"/>
  <c r="H213" i="3"/>
  <c r="I213" i="3"/>
  <c r="J213" i="3"/>
  <c r="B212" i="3"/>
  <c r="C212" i="3"/>
  <c r="D212" i="3"/>
  <c r="E212" i="3"/>
  <c r="F212" i="3"/>
  <c r="G212" i="3"/>
  <c r="H212" i="3"/>
  <c r="I212" i="3"/>
  <c r="J212" i="3"/>
  <c r="B211" i="3"/>
  <c r="C211" i="3"/>
  <c r="D211" i="3"/>
  <c r="E211" i="3"/>
  <c r="F211" i="3"/>
  <c r="G211" i="3"/>
  <c r="H211" i="3"/>
  <c r="I211" i="3"/>
  <c r="J211" i="3"/>
  <c r="B210" i="3"/>
  <c r="C210" i="3"/>
  <c r="D210" i="3"/>
  <c r="E210" i="3"/>
  <c r="F210" i="3"/>
  <c r="G210" i="3"/>
  <c r="H210" i="3"/>
  <c r="I210" i="3"/>
  <c r="J210" i="3"/>
  <c r="B209" i="3"/>
  <c r="C209" i="3"/>
  <c r="D209" i="3"/>
  <c r="E209" i="3"/>
  <c r="F209" i="3"/>
  <c r="G209" i="3"/>
  <c r="H209" i="3"/>
  <c r="I209" i="3"/>
  <c r="J209" i="3"/>
  <c r="B208" i="3"/>
  <c r="C208" i="3"/>
  <c r="D208" i="3"/>
  <c r="E208" i="3"/>
  <c r="F208" i="3"/>
  <c r="G208" i="3"/>
  <c r="H208" i="3"/>
  <c r="I208" i="3"/>
  <c r="J208" i="3"/>
  <c r="B207" i="3"/>
  <c r="C207" i="3"/>
  <c r="D207" i="3"/>
  <c r="E207" i="3"/>
  <c r="F207" i="3"/>
  <c r="G207" i="3"/>
  <c r="H207" i="3"/>
  <c r="I207" i="3"/>
  <c r="J207" i="3"/>
  <c r="B206" i="3"/>
  <c r="C206" i="3"/>
  <c r="D206" i="3"/>
  <c r="E206" i="3"/>
  <c r="F206" i="3"/>
  <c r="G206" i="3"/>
  <c r="H206" i="3"/>
  <c r="I206" i="3"/>
  <c r="J206" i="3"/>
  <c r="B205" i="3"/>
  <c r="C205" i="3"/>
  <c r="D205" i="3"/>
  <c r="E205" i="3"/>
  <c r="F205" i="3"/>
  <c r="G205" i="3"/>
  <c r="H205" i="3"/>
  <c r="I205" i="3"/>
  <c r="J205" i="3"/>
  <c r="B204" i="3"/>
  <c r="C204" i="3"/>
  <c r="D204" i="3"/>
  <c r="E204" i="3"/>
  <c r="F204" i="3"/>
  <c r="G204" i="3"/>
  <c r="H204" i="3"/>
  <c r="I204" i="3"/>
  <c r="J204" i="3"/>
  <c r="B203" i="3"/>
  <c r="C203" i="3"/>
  <c r="D203" i="3"/>
  <c r="E203" i="3"/>
  <c r="F203" i="3"/>
  <c r="G203" i="3"/>
  <c r="H203" i="3"/>
  <c r="I203" i="3"/>
  <c r="J203" i="3"/>
  <c r="B202" i="3"/>
  <c r="C202" i="3"/>
  <c r="D202" i="3"/>
  <c r="E202" i="3"/>
  <c r="F202" i="3"/>
  <c r="G202" i="3"/>
  <c r="H202" i="3"/>
  <c r="I202" i="3"/>
  <c r="J202" i="3"/>
  <c r="B201" i="3"/>
  <c r="C201" i="3"/>
  <c r="D201" i="3"/>
  <c r="E201" i="3"/>
  <c r="F201" i="3"/>
  <c r="G201" i="3"/>
  <c r="H201" i="3"/>
  <c r="I201" i="3"/>
  <c r="J201" i="3"/>
  <c r="B200" i="3"/>
  <c r="C200" i="3"/>
  <c r="D200" i="3"/>
  <c r="E200" i="3"/>
  <c r="F200" i="3"/>
  <c r="G200" i="3"/>
  <c r="H200" i="3"/>
  <c r="I200" i="3"/>
  <c r="J200" i="3"/>
  <c r="B199" i="3"/>
  <c r="C199" i="3"/>
  <c r="D199" i="3"/>
  <c r="E199" i="3"/>
  <c r="F199" i="3"/>
  <c r="G199" i="3"/>
  <c r="H199" i="3"/>
  <c r="I199" i="3"/>
  <c r="J199" i="3"/>
  <c r="B198" i="3"/>
  <c r="C198" i="3"/>
  <c r="D198" i="3"/>
  <c r="E198" i="3"/>
  <c r="F198" i="3"/>
  <c r="G198" i="3"/>
  <c r="H198" i="3"/>
  <c r="I198" i="3"/>
  <c r="J198" i="3"/>
  <c r="B197" i="3"/>
  <c r="C197" i="3"/>
  <c r="D197" i="3"/>
  <c r="E197" i="3"/>
  <c r="F197" i="3"/>
  <c r="G197" i="3"/>
  <c r="H197" i="3"/>
  <c r="I197" i="3"/>
  <c r="J197" i="3"/>
  <c r="B196" i="3"/>
  <c r="C196" i="3"/>
  <c r="D196" i="3"/>
  <c r="E196" i="3"/>
  <c r="F196" i="3"/>
  <c r="G196" i="3"/>
  <c r="H196" i="3"/>
  <c r="I196" i="3"/>
  <c r="J196" i="3"/>
  <c r="B195" i="3"/>
  <c r="C195" i="3"/>
  <c r="D195" i="3"/>
  <c r="E195" i="3"/>
  <c r="F195" i="3"/>
  <c r="G195" i="3"/>
  <c r="H195" i="3"/>
  <c r="I195" i="3"/>
  <c r="J195" i="3"/>
  <c r="B194" i="3"/>
  <c r="C194" i="3"/>
  <c r="D194" i="3"/>
  <c r="E194" i="3"/>
  <c r="F194" i="3"/>
  <c r="G194" i="3"/>
  <c r="H194" i="3"/>
  <c r="I194" i="3"/>
  <c r="J194" i="3"/>
  <c r="B193" i="3"/>
  <c r="C193" i="3"/>
  <c r="D193" i="3"/>
  <c r="E193" i="3"/>
  <c r="F193" i="3"/>
  <c r="G193" i="3"/>
  <c r="H193" i="3"/>
  <c r="I193" i="3"/>
  <c r="J193" i="3"/>
  <c r="B192" i="3"/>
  <c r="C192" i="3"/>
  <c r="D192" i="3"/>
  <c r="E192" i="3"/>
  <c r="F192" i="3"/>
  <c r="G192" i="3"/>
  <c r="H192" i="3"/>
  <c r="I192" i="3"/>
  <c r="J192" i="3"/>
  <c r="B191" i="3"/>
  <c r="C191" i="3"/>
  <c r="D191" i="3"/>
  <c r="E191" i="3"/>
  <c r="F191" i="3"/>
  <c r="G191" i="3"/>
  <c r="H191" i="3"/>
  <c r="I191" i="3"/>
  <c r="J191" i="3"/>
  <c r="B190" i="3"/>
  <c r="C190" i="3"/>
  <c r="D190" i="3"/>
  <c r="E190" i="3"/>
  <c r="F190" i="3"/>
  <c r="G190" i="3"/>
  <c r="H190" i="3"/>
  <c r="I190" i="3"/>
  <c r="J190" i="3"/>
  <c r="B189" i="3"/>
  <c r="C189" i="3"/>
  <c r="D189" i="3"/>
  <c r="E189" i="3"/>
  <c r="F189" i="3"/>
  <c r="G189" i="3"/>
  <c r="H189" i="3"/>
  <c r="I189" i="3"/>
  <c r="J189" i="3"/>
  <c r="B188" i="3"/>
  <c r="C188" i="3"/>
  <c r="D188" i="3"/>
  <c r="E188" i="3"/>
  <c r="F188" i="3"/>
  <c r="G188" i="3"/>
  <c r="H188" i="3"/>
  <c r="I188" i="3"/>
  <c r="J188" i="3"/>
  <c r="B187" i="3"/>
  <c r="C187" i="3"/>
  <c r="D187" i="3"/>
  <c r="E187" i="3"/>
  <c r="F187" i="3"/>
  <c r="G187" i="3"/>
  <c r="H187" i="3"/>
  <c r="I187" i="3"/>
  <c r="J187" i="3"/>
  <c r="B186" i="3"/>
  <c r="C186" i="3"/>
  <c r="D186" i="3"/>
  <c r="E186" i="3"/>
  <c r="F186" i="3"/>
  <c r="G186" i="3"/>
  <c r="H186" i="3"/>
  <c r="I186" i="3"/>
  <c r="J186" i="3"/>
  <c r="B185" i="3"/>
  <c r="C185" i="3"/>
  <c r="D185" i="3"/>
  <c r="E185" i="3"/>
  <c r="F185" i="3"/>
  <c r="G185" i="3"/>
  <c r="H185" i="3"/>
  <c r="I185" i="3"/>
  <c r="J185" i="3"/>
  <c r="B184" i="3"/>
  <c r="C184" i="3"/>
  <c r="D184" i="3"/>
  <c r="E184" i="3"/>
  <c r="F184" i="3"/>
  <c r="G184" i="3"/>
  <c r="H184" i="3"/>
  <c r="I184" i="3"/>
  <c r="J184" i="3"/>
  <c r="B183" i="3"/>
  <c r="C183" i="3"/>
  <c r="D183" i="3"/>
  <c r="E183" i="3"/>
  <c r="F183" i="3"/>
  <c r="G183" i="3"/>
  <c r="H183" i="3"/>
  <c r="I183" i="3"/>
  <c r="J183" i="3"/>
  <c r="B182" i="3"/>
  <c r="C182" i="3"/>
  <c r="D182" i="3"/>
  <c r="E182" i="3"/>
  <c r="F182" i="3"/>
  <c r="G182" i="3"/>
  <c r="H182" i="3"/>
  <c r="I182" i="3"/>
  <c r="J182" i="3"/>
  <c r="B181" i="3"/>
  <c r="C181" i="3"/>
  <c r="D181" i="3"/>
  <c r="E181" i="3"/>
  <c r="F181" i="3"/>
  <c r="G181" i="3"/>
  <c r="H181" i="3"/>
  <c r="I181" i="3"/>
  <c r="J181" i="3"/>
  <c r="B180" i="3"/>
  <c r="C180" i="3"/>
  <c r="D180" i="3"/>
  <c r="E180" i="3"/>
  <c r="F180" i="3"/>
  <c r="G180" i="3"/>
  <c r="H180" i="3"/>
  <c r="I180" i="3"/>
  <c r="J180" i="3"/>
  <c r="B179" i="3"/>
  <c r="C179" i="3"/>
  <c r="D179" i="3"/>
  <c r="E179" i="3"/>
  <c r="F179" i="3"/>
  <c r="G179" i="3"/>
  <c r="H179" i="3"/>
  <c r="I179" i="3"/>
  <c r="J179" i="3"/>
  <c r="B178" i="3"/>
  <c r="C178" i="3"/>
  <c r="D178" i="3"/>
  <c r="E178" i="3"/>
  <c r="F178" i="3"/>
  <c r="G178" i="3"/>
  <c r="H178" i="3"/>
  <c r="I178" i="3"/>
  <c r="J178" i="3"/>
  <c r="B177" i="3"/>
  <c r="C177" i="3"/>
  <c r="D177" i="3"/>
  <c r="E177" i="3"/>
  <c r="F177" i="3"/>
  <c r="G177" i="3"/>
  <c r="H177" i="3"/>
  <c r="I177" i="3"/>
  <c r="J177" i="3"/>
  <c r="B176" i="3"/>
  <c r="C176" i="3"/>
  <c r="D176" i="3"/>
  <c r="E176" i="3"/>
  <c r="F176" i="3"/>
  <c r="G176" i="3"/>
  <c r="H176" i="3"/>
  <c r="I176" i="3"/>
  <c r="J176" i="3"/>
  <c r="B175" i="3"/>
  <c r="C175" i="3"/>
  <c r="D175" i="3"/>
  <c r="E175" i="3"/>
  <c r="F175" i="3"/>
  <c r="G175" i="3"/>
  <c r="H175" i="3"/>
  <c r="I175" i="3"/>
  <c r="J175" i="3"/>
  <c r="B174" i="3"/>
  <c r="C174" i="3"/>
  <c r="D174" i="3"/>
  <c r="E174" i="3"/>
  <c r="F174" i="3"/>
  <c r="G174" i="3"/>
  <c r="H174" i="3"/>
  <c r="I174" i="3"/>
  <c r="J174" i="3"/>
  <c r="B173" i="3"/>
  <c r="C173" i="3"/>
  <c r="D173" i="3"/>
  <c r="E173" i="3"/>
  <c r="F173" i="3"/>
  <c r="G173" i="3"/>
  <c r="H173" i="3"/>
  <c r="I173" i="3"/>
  <c r="J173" i="3"/>
  <c r="B172" i="3"/>
  <c r="C172" i="3"/>
  <c r="D172" i="3"/>
  <c r="E172" i="3"/>
  <c r="F172" i="3"/>
  <c r="G172" i="3"/>
  <c r="H172" i="3"/>
  <c r="I172" i="3"/>
  <c r="J172" i="3"/>
  <c r="B171" i="3"/>
  <c r="C171" i="3"/>
  <c r="D171" i="3"/>
  <c r="E171" i="3"/>
  <c r="F171" i="3"/>
  <c r="G171" i="3"/>
  <c r="H171" i="3"/>
  <c r="I171" i="3"/>
  <c r="J171" i="3"/>
  <c r="B170" i="3"/>
  <c r="C170" i="3"/>
  <c r="D170" i="3"/>
  <c r="E170" i="3"/>
  <c r="F170" i="3"/>
  <c r="G170" i="3"/>
  <c r="H170" i="3"/>
  <c r="I170" i="3"/>
  <c r="J170" i="3"/>
  <c r="B169" i="3"/>
  <c r="C169" i="3"/>
  <c r="D169" i="3"/>
  <c r="E169" i="3"/>
  <c r="F169" i="3"/>
  <c r="G169" i="3"/>
  <c r="H169" i="3"/>
  <c r="I169" i="3"/>
  <c r="J169" i="3"/>
  <c r="B168" i="3"/>
  <c r="C168" i="3"/>
  <c r="D168" i="3"/>
  <c r="E168" i="3"/>
  <c r="F168" i="3"/>
  <c r="G168" i="3"/>
  <c r="H168" i="3"/>
  <c r="I168" i="3"/>
  <c r="J168" i="3"/>
  <c r="B167" i="3"/>
  <c r="C167" i="3"/>
  <c r="D167" i="3"/>
  <c r="E167" i="3"/>
  <c r="F167" i="3"/>
  <c r="G167" i="3"/>
  <c r="H167" i="3"/>
  <c r="I167" i="3"/>
  <c r="J167" i="3"/>
  <c r="B166" i="3"/>
  <c r="C166" i="3"/>
  <c r="D166" i="3"/>
  <c r="E166" i="3"/>
  <c r="F166" i="3"/>
  <c r="G166" i="3"/>
  <c r="H166" i="3"/>
  <c r="I166" i="3"/>
  <c r="J166" i="3"/>
  <c r="B165" i="3"/>
  <c r="C165" i="3"/>
  <c r="D165" i="3"/>
  <c r="E165" i="3"/>
  <c r="F165" i="3"/>
  <c r="G165" i="3"/>
  <c r="H165" i="3"/>
  <c r="I165" i="3"/>
  <c r="J165" i="3"/>
  <c r="B164" i="3"/>
  <c r="C164" i="3"/>
  <c r="D164" i="3"/>
  <c r="E164" i="3"/>
  <c r="F164" i="3"/>
  <c r="G164" i="3"/>
  <c r="H164" i="3"/>
  <c r="I164" i="3"/>
  <c r="J164" i="3"/>
  <c r="B163" i="3"/>
  <c r="C163" i="3"/>
  <c r="D163" i="3"/>
  <c r="E163" i="3"/>
  <c r="F163" i="3"/>
  <c r="G163" i="3"/>
  <c r="H163" i="3"/>
  <c r="I163" i="3"/>
  <c r="J163" i="3"/>
  <c r="B162" i="3"/>
  <c r="C162" i="3"/>
  <c r="D162" i="3"/>
  <c r="E162" i="3"/>
  <c r="F162" i="3"/>
  <c r="G162" i="3"/>
  <c r="H162" i="3"/>
  <c r="I162" i="3"/>
  <c r="J162" i="3"/>
  <c r="B161" i="3"/>
  <c r="C161" i="3"/>
  <c r="D161" i="3"/>
  <c r="E161" i="3"/>
  <c r="F161" i="3"/>
  <c r="G161" i="3"/>
  <c r="H161" i="3"/>
  <c r="I161" i="3"/>
  <c r="J161" i="3"/>
  <c r="B160" i="3"/>
  <c r="C160" i="3"/>
  <c r="D160" i="3"/>
  <c r="E160" i="3"/>
  <c r="F160" i="3"/>
  <c r="G160" i="3"/>
  <c r="H160" i="3"/>
  <c r="I160" i="3"/>
  <c r="J160" i="3"/>
  <c r="B159" i="3"/>
  <c r="C159" i="3"/>
  <c r="D159" i="3"/>
  <c r="E159" i="3"/>
  <c r="F159" i="3"/>
  <c r="G159" i="3"/>
  <c r="H159" i="3"/>
  <c r="I159" i="3"/>
  <c r="J159" i="3"/>
  <c r="B158" i="3"/>
  <c r="C158" i="3"/>
  <c r="D158" i="3"/>
  <c r="E158" i="3"/>
  <c r="F158" i="3"/>
  <c r="G158" i="3"/>
  <c r="H158" i="3"/>
  <c r="I158" i="3"/>
  <c r="J158" i="3"/>
  <c r="B157" i="3"/>
  <c r="C157" i="3"/>
  <c r="D157" i="3"/>
  <c r="E157" i="3"/>
  <c r="F157" i="3"/>
  <c r="G157" i="3"/>
  <c r="H157" i="3"/>
  <c r="I157" i="3"/>
  <c r="J157" i="3"/>
  <c r="B156" i="3"/>
  <c r="C156" i="3"/>
  <c r="D156" i="3"/>
  <c r="E156" i="3"/>
  <c r="F156" i="3"/>
  <c r="G156" i="3"/>
  <c r="H156" i="3"/>
  <c r="I156" i="3"/>
  <c r="J156" i="3"/>
  <c r="B155" i="3"/>
  <c r="C155" i="3"/>
  <c r="D155" i="3"/>
  <c r="E155" i="3"/>
  <c r="F155" i="3"/>
  <c r="G155" i="3"/>
  <c r="H155" i="3"/>
  <c r="I155" i="3"/>
  <c r="J155" i="3"/>
  <c r="B154" i="3"/>
  <c r="C154" i="3"/>
  <c r="D154" i="3"/>
  <c r="E154" i="3"/>
  <c r="F154" i="3"/>
  <c r="G154" i="3"/>
  <c r="H154" i="3"/>
  <c r="I154" i="3"/>
  <c r="J154" i="3"/>
  <c r="B153" i="3"/>
  <c r="C153" i="3"/>
  <c r="D153" i="3"/>
  <c r="E153" i="3"/>
  <c r="F153" i="3"/>
  <c r="G153" i="3"/>
  <c r="H153" i="3"/>
  <c r="I153" i="3"/>
  <c r="J153" i="3"/>
  <c r="B152" i="3"/>
  <c r="C152" i="3"/>
  <c r="D152" i="3"/>
  <c r="E152" i="3"/>
  <c r="F152" i="3"/>
  <c r="G152" i="3"/>
  <c r="H152" i="3"/>
  <c r="I152" i="3"/>
  <c r="J152" i="3"/>
  <c r="B151" i="3"/>
  <c r="C151" i="3"/>
  <c r="D151" i="3"/>
  <c r="E151" i="3"/>
  <c r="F151" i="3"/>
  <c r="G151" i="3"/>
  <c r="H151" i="3"/>
  <c r="I151" i="3"/>
  <c r="J151" i="3"/>
  <c r="B150" i="3"/>
  <c r="C150" i="3"/>
  <c r="D150" i="3"/>
  <c r="E150" i="3"/>
  <c r="F150" i="3"/>
  <c r="G150" i="3"/>
  <c r="H150" i="3"/>
  <c r="I150" i="3"/>
  <c r="J150" i="3"/>
  <c r="B149" i="3"/>
  <c r="C149" i="3"/>
  <c r="D149" i="3"/>
  <c r="E149" i="3"/>
  <c r="F149" i="3"/>
  <c r="G149" i="3"/>
  <c r="H149" i="3"/>
  <c r="I149" i="3"/>
  <c r="J149" i="3"/>
  <c r="B148" i="3"/>
  <c r="C148" i="3"/>
  <c r="D148" i="3"/>
  <c r="E148" i="3"/>
  <c r="F148" i="3"/>
  <c r="G148" i="3"/>
  <c r="H148" i="3"/>
  <c r="I148" i="3"/>
  <c r="J148" i="3"/>
  <c r="B147" i="3"/>
  <c r="C147" i="3"/>
  <c r="D147" i="3"/>
  <c r="E147" i="3"/>
  <c r="F147" i="3"/>
  <c r="G147" i="3"/>
  <c r="H147" i="3"/>
  <c r="I147" i="3"/>
  <c r="J147" i="3"/>
  <c r="B650" i="12"/>
  <c r="C650" i="12"/>
  <c r="D650" i="12"/>
  <c r="E650" i="12"/>
  <c r="F650" i="12"/>
  <c r="G650" i="12"/>
  <c r="H650" i="12"/>
  <c r="I650" i="12"/>
  <c r="J650" i="12"/>
  <c r="B649" i="12"/>
  <c r="C649" i="12"/>
  <c r="D649" i="12"/>
  <c r="E649" i="12"/>
  <c r="F649" i="12"/>
  <c r="G649" i="12"/>
  <c r="H649" i="12"/>
  <c r="I649" i="12"/>
  <c r="J649" i="12"/>
  <c r="B648" i="12"/>
  <c r="C648" i="12"/>
  <c r="D648" i="12"/>
  <c r="E648" i="12"/>
  <c r="F648" i="12"/>
  <c r="G648" i="12"/>
  <c r="H648" i="12"/>
  <c r="I648" i="12"/>
  <c r="J648" i="12"/>
  <c r="B647" i="12"/>
  <c r="C647" i="12"/>
  <c r="D647" i="12"/>
  <c r="E647" i="12"/>
  <c r="F647" i="12"/>
  <c r="G647" i="12"/>
  <c r="H647" i="12"/>
  <c r="I647" i="12"/>
  <c r="J647" i="12"/>
  <c r="B646" i="12"/>
  <c r="C646" i="12"/>
  <c r="D646" i="12"/>
  <c r="E646" i="12"/>
  <c r="F646" i="12"/>
  <c r="G646" i="12"/>
  <c r="H646" i="12"/>
  <c r="I646" i="12"/>
  <c r="J646" i="12"/>
  <c r="B645" i="12"/>
  <c r="C645" i="12"/>
  <c r="D645" i="12"/>
  <c r="E645" i="12"/>
  <c r="F645" i="12"/>
  <c r="G645" i="12"/>
  <c r="H645" i="12"/>
  <c r="I645" i="12"/>
  <c r="J645" i="12"/>
  <c r="B644" i="12"/>
  <c r="C644" i="12"/>
  <c r="D644" i="12"/>
  <c r="E644" i="12"/>
  <c r="F644" i="12"/>
  <c r="G644" i="12"/>
  <c r="H644" i="12"/>
  <c r="I644" i="12"/>
  <c r="J644" i="12"/>
  <c r="B643" i="12"/>
  <c r="C643" i="12"/>
  <c r="D643" i="12"/>
  <c r="E643" i="12"/>
  <c r="F643" i="12"/>
  <c r="G643" i="12"/>
  <c r="H643" i="12"/>
  <c r="I643" i="12"/>
  <c r="J643" i="12"/>
  <c r="B146" i="3"/>
  <c r="C146" i="3"/>
  <c r="D146" i="3"/>
  <c r="E146" i="3"/>
  <c r="F146" i="3"/>
  <c r="G146" i="3"/>
  <c r="H146" i="3"/>
  <c r="I146" i="3"/>
  <c r="J146" i="3"/>
  <c r="B145" i="3"/>
  <c r="C145" i="3"/>
  <c r="D145" i="3"/>
  <c r="E145" i="3"/>
  <c r="F145" i="3"/>
  <c r="G145" i="3"/>
  <c r="H145" i="3"/>
  <c r="I145" i="3"/>
  <c r="J145" i="3"/>
  <c r="B144" i="3"/>
  <c r="C144" i="3"/>
  <c r="D144" i="3"/>
  <c r="E144" i="3"/>
  <c r="F144" i="3"/>
  <c r="G144" i="3"/>
  <c r="H144" i="3"/>
  <c r="I144" i="3"/>
  <c r="J144" i="3"/>
  <c r="B143" i="3"/>
  <c r="C143" i="3"/>
  <c r="D143" i="3"/>
  <c r="E143" i="3"/>
  <c r="F143" i="3"/>
  <c r="G143" i="3"/>
  <c r="H143" i="3"/>
  <c r="I143" i="3"/>
  <c r="J143" i="3"/>
  <c r="B142" i="3"/>
  <c r="C142" i="3"/>
  <c r="D142" i="3"/>
  <c r="E142" i="3"/>
  <c r="F142" i="3"/>
  <c r="G142" i="3"/>
  <c r="H142" i="3"/>
  <c r="I142" i="3"/>
  <c r="J142" i="3"/>
  <c r="B141" i="3"/>
  <c r="C141" i="3"/>
  <c r="D141" i="3"/>
  <c r="E141" i="3"/>
  <c r="F141" i="3"/>
  <c r="G141" i="3"/>
  <c r="H141" i="3"/>
  <c r="I141" i="3"/>
  <c r="J141" i="3"/>
  <c r="B140" i="3"/>
  <c r="C140" i="3"/>
  <c r="D140" i="3"/>
  <c r="E140" i="3"/>
  <c r="F140" i="3"/>
  <c r="G140" i="3"/>
  <c r="H140" i="3"/>
  <c r="I140" i="3"/>
  <c r="J140" i="3"/>
  <c r="B139" i="3"/>
  <c r="C139" i="3"/>
  <c r="D139" i="3"/>
  <c r="E139" i="3"/>
  <c r="F139" i="3"/>
  <c r="G139" i="3"/>
  <c r="H139" i="3"/>
  <c r="I139" i="3"/>
  <c r="J139" i="3"/>
  <c r="B642" i="12"/>
  <c r="C642" i="12"/>
  <c r="D642" i="12"/>
  <c r="E642" i="12"/>
  <c r="F642" i="12"/>
  <c r="G642" i="12"/>
  <c r="H642" i="12"/>
  <c r="I642" i="12"/>
  <c r="J642" i="12"/>
  <c r="B641" i="12"/>
  <c r="C641" i="12"/>
  <c r="D641" i="12"/>
  <c r="E641" i="12"/>
  <c r="F641" i="12"/>
  <c r="G641" i="12"/>
  <c r="H641" i="12"/>
  <c r="I641" i="12"/>
  <c r="J641" i="12"/>
  <c r="B640" i="12"/>
  <c r="C640" i="12"/>
  <c r="D640" i="12"/>
  <c r="E640" i="12"/>
  <c r="F640" i="12"/>
  <c r="G640" i="12"/>
  <c r="H640" i="12"/>
  <c r="I640" i="12"/>
  <c r="J640" i="12"/>
  <c r="B639" i="12"/>
  <c r="C639" i="12"/>
  <c r="D639" i="12"/>
  <c r="E639" i="12"/>
  <c r="F639" i="12"/>
  <c r="G639" i="12"/>
  <c r="H639" i="12"/>
  <c r="I639" i="12"/>
  <c r="J639" i="12"/>
  <c r="B638" i="12"/>
  <c r="C638" i="12"/>
  <c r="D638" i="12"/>
  <c r="E638" i="12"/>
  <c r="F638" i="12"/>
  <c r="G638" i="12"/>
  <c r="H638" i="12"/>
  <c r="I638" i="12"/>
  <c r="J638" i="12"/>
  <c r="B637" i="12"/>
  <c r="C637" i="12"/>
  <c r="D637" i="12"/>
  <c r="E637" i="12"/>
  <c r="F637" i="12"/>
  <c r="G637" i="12"/>
  <c r="H637" i="12"/>
  <c r="I637" i="12"/>
  <c r="J637" i="12"/>
  <c r="B636" i="12"/>
  <c r="C636" i="12"/>
  <c r="D636" i="12"/>
  <c r="E636" i="12"/>
  <c r="F636" i="12"/>
  <c r="G636" i="12"/>
  <c r="H636" i="12"/>
  <c r="I636" i="12"/>
  <c r="J636" i="12"/>
  <c r="B635" i="12"/>
  <c r="C635" i="12"/>
  <c r="D635" i="12"/>
  <c r="E635" i="12"/>
  <c r="F635" i="12"/>
  <c r="G635" i="12"/>
  <c r="H635" i="12"/>
  <c r="I635" i="12"/>
  <c r="J635" i="12"/>
  <c r="B634" i="12"/>
  <c r="C634" i="12"/>
  <c r="D634" i="12"/>
  <c r="E634" i="12"/>
  <c r="F634" i="12"/>
  <c r="G634" i="12"/>
  <c r="H634" i="12"/>
  <c r="I634" i="12"/>
  <c r="J634" i="12"/>
  <c r="B633" i="12"/>
  <c r="C633" i="12"/>
  <c r="D633" i="12"/>
  <c r="E633" i="12"/>
  <c r="F633" i="12"/>
  <c r="G633" i="12"/>
  <c r="H633" i="12"/>
  <c r="I633" i="12"/>
  <c r="J633" i="12"/>
  <c r="B632" i="12"/>
  <c r="C632" i="12"/>
  <c r="D632" i="12"/>
  <c r="E632" i="12"/>
  <c r="F632" i="12"/>
  <c r="G632" i="12"/>
  <c r="H632" i="12"/>
  <c r="I632" i="12"/>
  <c r="J632" i="12"/>
  <c r="B631" i="12"/>
  <c r="C631" i="12"/>
  <c r="D631" i="12"/>
  <c r="E631" i="12"/>
  <c r="F631" i="12"/>
  <c r="G631" i="12"/>
  <c r="H631" i="12"/>
  <c r="I631" i="12"/>
  <c r="J631" i="12"/>
  <c r="B630" i="12"/>
  <c r="C630" i="12"/>
  <c r="D630" i="12"/>
  <c r="E630" i="12"/>
  <c r="F630" i="12"/>
  <c r="G630" i="12"/>
  <c r="H630" i="12"/>
  <c r="I630" i="12"/>
  <c r="J630" i="12"/>
  <c r="B629" i="12"/>
  <c r="C629" i="12"/>
  <c r="D629" i="12"/>
  <c r="E629" i="12"/>
  <c r="F629" i="12"/>
  <c r="G629" i="12"/>
  <c r="H629" i="12"/>
  <c r="I629" i="12"/>
  <c r="J629" i="12"/>
  <c r="B628" i="12"/>
  <c r="C628" i="12"/>
  <c r="D628" i="12"/>
  <c r="E628" i="12"/>
  <c r="F628" i="12"/>
  <c r="G628" i="12"/>
  <c r="H628" i="12"/>
  <c r="I628" i="12"/>
  <c r="J628" i="12"/>
  <c r="B627" i="12"/>
  <c r="C627" i="12"/>
  <c r="D627" i="12"/>
  <c r="E627" i="12"/>
  <c r="F627" i="12"/>
  <c r="G627" i="12"/>
  <c r="H627" i="12"/>
  <c r="I627" i="12"/>
  <c r="J627" i="12"/>
  <c r="B626" i="12"/>
  <c r="C626" i="12"/>
  <c r="D626" i="12"/>
  <c r="E626" i="12"/>
  <c r="F626" i="12"/>
  <c r="G626" i="12"/>
  <c r="H626" i="12"/>
  <c r="I626" i="12"/>
  <c r="J626" i="12"/>
  <c r="B625" i="12"/>
  <c r="C625" i="12"/>
  <c r="D625" i="12"/>
  <c r="E625" i="12"/>
  <c r="F625" i="12"/>
  <c r="G625" i="12"/>
  <c r="H625" i="12"/>
  <c r="I625" i="12"/>
  <c r="J625" i="12"/>
  <c r="B624" i="12"/>
  <c r="C624" i="12"/>
  <c r="D624" i="12"/>
  <c r="E624" i="12"/>
  <c r="F624" i="12"/>
  <c r="G624" i="12"/>
  <c r="H624" i="12"/>
  <c r="I624" i="12"/>
  <c r="J624" i="12"/>
  <c r="B623" i="12"/>
  <c r="C623" i="12"/>
  <c r="D623" i="12"/>
  <c r="E623" i="12"/>
  <c r="F623" i="12"/>
  <c r="G623" i="12"/>
  <c r="H623" i="12"/>
  <c r="I623" i="12"/>
  <c r="J623" i="12"/>
  <c r="B622" i="12"/>
  <c r="C622" i="12"/>
  <c r="D622" i="12"/>
  <c r="E622" i="12"/>
  <c r="F622" i="12"/>
  <c r="G622" i="12"/>
  <c r="H622" i="12"/>
  <c r="I622" i="12"/>
  <c r="J622" i="12"/>
  <c r="B621" i="12"/>
  <c r="C621" i="12"/>
  <c r="D621" i="12"/>
  <c r="E621" i="12"/>
  <c r="F621" i="12"/>
  <c r="G621" i="12"/>
  <c r="H621" i="12"/>
  <c r="I621" i="12"/>
  <c r="J621" i="12"/>
  <c r="B620" i="12"/>
  <c r="C620" i="12"/>
  <c r="D620" i="12"/>
  <c r="E620" i="12"/>
  <c r="F620" i="12"/>
  <c r="G620" i="12"/>
  <c r="H620" i="12"/>
  <c r="I620" i="12"/>
  <c r="J620" i="12"/>
  <c r="B619" i="12"/>
  <c r="C619" i="12"/>
  <c r="D619" i="12"/>
  <c r="E619" i="12"/>
  <c r="F619" i="12"/>
  <c r="G619" i="12"/>
  <c r="H619" i="12"/>
  <c r="I619" i="12"/>
  <c r="J619" i="12"/>
  <c r="B618" i="12"/>
  <c r="C618" i="12"/>
  <c r="D618" i="12"/>
  <c r="E618" i="12"/>
  <c r="F618" i="12"/>
  <c r="G618" i="12"/>
  <c r="H618" i="12"/>
  <c r="I618" i="12"/>
  <c r="J618" i="12"/>
  <c r="B617" i="12"/>
  <c r="C617" i="12"/>
  <c r="D617" i="12"/>
  <c r="E617" i="12"/>
  <c r="F617" i="12"/>
  <c r="G617" i="12"/>
  <c r="H617" i="12"/>
  <c r="I617" i="12"/>
  <c r="J617" i="12"/>
  <c r="B616" i="12"/>
  <c r="C616" i="12"/>
  <c r="D616" i="12"/>
  <c r="E616" i="12"/>
  <c r="F616" i="12"/>
  <c r="G616" i="12"/>
  <c r="H616" i="12"/>
  <c r="I616" i="12"/>
  <c r="J616" i="12"/>
  <c r="B615" i="12"/>
  <c r="C615" i="12"/>
  <c r="D615" i="12"/>
  <c r="E615" i="12"/>
  <c r="F615" i="12"/>
  <c r="G615" i="12"/>
  <c r="H615" i="12"/>
  <c r="I615" i="12"/>
  <c r="J615" i="12"/>
  <c r="B614" i="12"/>
  <c r="C614" i="12"/>
  <c r="D614" i="12"/>
  <c r="E614" i="12"/>
  <c r="F614" i="12"/>
  <c r="G614" i="12"/>
  <c r="H614" i="12"/>
  <c r="I614" i="12"/>
  <c r="J614" i="12"/>
  <c r="B613" i="12"/>
  <c r="C613" i="12"/>
  <c r="D613" i="12"/>
  <c r="E613" i="12"/>
  <c r="F613" i="12"/>
  <c r="G613" i="12"/>
  <c r="H613" i="12"/>
  <c r="I613" i="12"/>
  <c r="J613" i="12"/>
  <c r="B612" i="12"/>
  <c r="C612" i="12"/>
  <c r="D612" i="12"/>
  <c r="E612" i="12"/>
  <c r="F612" i="12"/>
  <c r="G612" i="12"/>
  <c r="H612" i="12"/>
  <c r="I612" i="12"/>
  <c r="J612" i="12"/>
  <c r="B611" i="12"/>
  <c r="C611" i="12"/>
  <c r="D611" i="12"/>
  <c r="E611" i="12"/>
  <c r="F611" i="12"/>
  <c r="G611" i="12"/>
  <c r="H611" i="12"/>
  <c r="I611" i="12"/>
  <c r="J611" i="12"/>
  <c r="B610" i="12"/>
  <c r="C610" i="12"/>
  <c r="D610" i="12"/>
  <c r="E610" i="12"/>
  <c r="F610" i="12"/>
  <c r="G610" i="12"/>
  <c r="H610" i="12"/>
  <c r="I610" i="12"/>
  <c r="J610" i="12"/>
  <c r="B609" i="12"/>
  <c r="C609" i="12"/>
  <c r="D609" i="12"/>
  <c r="E609" i="12"/>
  <c r="F609" i="12"/>
  <c r="G609" i="12"/>
  <c r="H609" i="12"/>
  <c r="I609" i="12"/>
  <c r="J609" i="12"/>
  <c r="B608" i="12"/>
  <c r="C608" i="12"/>
  <c r="D608" i="12"/>
  <c r="E608" i="12"/>
  <c r="F608" i="12"/>
  <c r="G608" i="12"/>
  <c r="H608" i="12"/>
  <c r="I608" i="12"/>
  <c r="J608" i="12"/>
  <c r="B607" i="12"/>
  <c r="C607" i="12"/>
  <c r="D607" i="12"/>
  <c r="E607" i="12"/>
  <c r="F607" i="12"/>
  <c r="G607" i="12"/>
  <c r="H607" i="12"/>
  <c r="I607" i="12"/>
  <c r="J607" i="12"/>
  <c r="B606" i="12"/>
  <c r="C606" i="12"/>
  <c r="D606" i="12"/>
  <c r="E606" i="12"/>
  <c r="F606" i="12"/>
  <c r="G606" i="12"/>
  <c r="H606" i="12"/>
  <c r="I606" i="12"/>
  <c r="J606" i="12"/>
  <c r="B605" i="12"/>
  <c r="C605" i="12"/>
  <c r="D605" i="12"/>
  <c r="E605" i="12"/>
  <c r="F605" i="12"/>
  <c r="G605" i="12"/>
  <c r="H605" i="12"/>
  <c r="I605" i="12"/>
  <c r="J605" i="12"/>
  <c r="B604" i="12"/>
  <c r="C604" i="12"/>
  <c r="D604" i="12"/>
  <c r="E604" i="12"/>
  <c r="F604" i="12"/>
  <c r="G604" i="12"/>
  <c r="H604" i="12"/>
  <c r="I604" i="12"/>
  <c r="J604" i="12"/>
  <c r="B603" i="12"/>
  <c r="C603" i="12"/>
  <c r="D603" i="12"/>
  <c r="E603" i="12"/>
  <c r="F603" i="12"/>
  <c r="G603" i="12"/>
  <c r="H603" i="12"/>
  <c r="I603" i="12"/>
  <c r="J603" i="12"/>
  <c r="B602" i="12"/>
  <c r="C602" i="12"/>
  <c r="D602" i="12"/>
  <c r="E602" i="12"/>
  <c r="F602" i="12"/>
  <c r="G602" i="12"/>
  <c r="H602" i="12"/>
  <c r="I602" i="12"/>
  <c r="J602" i="12"/>
  <c r="B601" i="12"/>
  <c r="C601" i="12"/>
  <c r="D601" i="12"/>
  <c r="E601" i="12"/>
  <c r="F601" i="12"/>
  <c r="G601" i="12"/>
  <c r="H601" i="12"/>
  <c r="I601" i="12"/>
  <c r="J601" i="12"/>
  <c r="B600" i="12"/>
  <c r="C600" i="12"/>
  <c r="D600" i="12"/>
  <c r="E600" i="12"/>
  <c r="F600" i="12"/>
  <c r="G600" i="12"/>
  <c r="H600" i="12"/>
  <c r="I600" i="12"/>
  <c r="J600" i="12"/>
  <c r="B599" i="12"/>
  <c r="C599" i="12"/>
  <c r="D599" i="12"/>
  <c r="E599" i="12"/>
  <c r="F599" i="12"/>
  <c r="G599" i="12"/>
  <c r="H599" i="12"/>
  <c r="I599" i="12"/>
  <c r="J599" i="12"/>
  <c r="B598" i="12"/>
  <c r="C598" i="12"/>
  <c r="D598" i="12"/>
  <c r="E598" i="12"/>
  <c r="F598" i="12"/>
  <c r="G598" i="12"/>
  <c r="H598" i="12"/>
  <c r="I598" i="12"/>
  <c r="J598" i="12"/>
  <c r="B597" i="12"/>
  <c r="C597" i="12"/>
  <c r="D597" i="12"/>
  <c r="E597" i="12"/>
  <c r="F597" i="12"/>
  <c r="G597" i="12"/>
  <c r="H597" i="12"/>
  <c r="I597" i="12"/>
  <c r="J597" i="12"/>
  <c r="B596" i="12"/>
  <c r="C596" i="12"/>
  <c r="D596" i="12"/>
  <c r="E596" i="12"/>
  <c r="F596" i="12"/>
  <c r="G596" i="12"/>
  <c r="H596" i="12"/>
  <c r="I596" i="12"/>
  <c r="J596" i="12"/>
  <c r="B595" i="12"/>
  <c r="C595" i="12"/>
  <c r="D595" i="12"/>
  <c r="E595" i="12"/>
  <c r="F595" i="12"/>
  <c r="G595" i="12"/>
  <c r="H595" i="12"/>
  <c r="I595" i="12"/>
  <c r="J595" i="12"/>
  <c r="B594" i="12"/>
  <c r="C594" i="12"/>
  <c r="D594" i="12"/>
  <c r="E594" i="12"/>
  <c r="F594" i="12"/>
  <c r="G594" i="12"/>
  <c r="H594" i="12"/>
  <c r="I594" i="12"/>
  <c r="J594" i="12"/>
  <c r="B593" i="12"/>
  <c r="C593" i="12"/>
  <c r="D593" i="12"/>
  <c r="E593" i="12"/>
  <c r="F593" i="12"/>
  <c r="G593" i="12"/>
  <c r="H593" i="12"/>
  <c r="I593" i="12"/>
  <c r="J593" i="12"/>
  <c r="B592" i="12"/>
  <c r="C592" i="12"/>
  <c r="D592" i="12"/>
  <c r="E592" i="12"/>
  <c r="F592" i="12"/>
  <c r="G592" i="12"/>
  <c r="H592" i="12"/>
  <c r="I592" i="12"/>
  <c r="J592" i="12"/>
  <c r="B591" i="12"/>
  <c r="C591" i="12"/>
  <c r="D591" i="12"/>
  <c r="E591" i="12"/>
  <c r="F591" i="12"/>
  <c r="G591" i="12"/>
  <c r="H591" i="12"/>
  <c r="I591" i="12"/>
  <c r="J591" i="12"/>
  <c r="B590" i="12"/>
  <c r="C590" i="12"/>
  <c r="D590" i="12"/>
  <c r="E590" i="12"/>
  <c r="F590" i="12"/>
  <c r="G590" i="12"/>
  <c r="H590" i="12"/>
  <c r="I590" i="12"/>
  <c r="J590" i="12"/>
  <c r="B589" i="12"/>
  <c r="C589" i="12"/>
  <c r="D589" i="12"/>
  <c r="E589" i="12"/>
  <c r="F589" i="12"/>
  <c r="G589" i="12"/>
  <c r="H589" i="12"/>
  <c r="I589" i="12"/>
  <c r="J589" i="12"/>
  <c r="B588" i="12"/>
  <c r="C588" i="12"/>
  <c r="D588" i="12"/>
  <c r="E588" i="12"/>
  <c r="F588" i="12"/>
  <c r="G588" i="12"/>
  <c r="H588" i="12"/>
  <c r="I588" i="12"/>
  <c r="J588" i="12"/>
  <c r="B587" i="12"/>
  <c r="C587" i="12"/>
  <c r="D587" i="12"/>
  <c r="E587" i="12"/>
  <c r="F587" i="12"/>
  <c r="G587" i="12"/>
  <c r="H587" i="12"/>
  <c r="I587" i="12"/>
  <c r="J587" i="12"/>
  <c r="B586" i="12"/>
  <c r="C586" i="12"/>
  <c r="D586" i="12"/>
  <c r="E586" i="12"/>
  <c r="F586" i="12"/>
  <c r="G586" i="12"/>
  <c r="H586" i="12"/>
  <c r="I586" i="12"/>
  <c r="J586" i="12"/>
  <c r="B585" i="12"/>
  <c r="C585" i="12"/>
  <c r="D585" i="12"/>
  <c r="E585" i="12"/>
  <c r="F585" i="12"/>
  <c r="G585" i="12"/>
  <c r="H585" i="12"/>
  <c r="I585" i="12"/>
  <c r="J585" i="12"/>
  <c r="B584" i="12"/>
  <c r="C584" i="12"/>
  <c r="D584" i="12"/>
  <c r="E584" i="12"/>
  <c r="F584" i="12"/>
  <c r="G584" i="12"/>
  <c r="H584" i="12"/>
  <c r="I584" i="12"/>
  <c r="J584" i="12"/>
  <c r="B583" i="12"/>
  <c r="C583" i="12"/>
  <c r="D583" i="12"/>
  <c r="E583" i="12"/>
  <c r="F583" i="12"/>
  <c r="G583" i="12"/>
  <c r="H583" i="12"/>
  <c r="I583" i="12"/>
  <c r="J583" i="12"/>
  <c r="B582" i="12"/>
  <c r="C582" i="12"/>
  <c r="D582" i="12"/>
  <c r="E582" i="12"/>
  <c r="F582" i="12"/>
  <c r="G582" i="12"/>
  <c r="H582" i="12"/>
  <c r="I582" i="12"/>
  <c r="J582" i="12"/>
  <c r="B581" i="12"/>
  <c r="C581" i="12"/>
  <c r="D581" i="12"/>
  <c r="E581" i="12"/>
  <c r="F581" i="12"/>
  <c r="G581" i="12"/>
  <c r="H581" i="12"/>
  <c r="I581" i="12"/>
  <c r="J581" i="12"/>
  <c r="B580" i="12"/>
  <c r="C580" i="12"/>
  <c r="D580" i="12"/>
  <c r="E580" i="12"/>
  <c r="F580" i="12"/>
  <c r="G580" i="12"/>
  <c r="H580" i="12"/>
  <c r="I580" i="12"/>
  <c r="J580" i="12"/>
  <c r="B579" i="12"/>
  <c r="C579" i="12"/>
  <c r="D579" i="12"/>
  <c r="E579" i="12"/>
  <c r="F579" i="12"/>
  <c r="G579" i="12"/>
  <c r="H579" i="12"/>
  <c r="I579" i="12"/>
  <c r="J579" i="12"/>
  <c r="B578" i="12"/>
  <c r="C578" i="12"/>
  <c r="D578" i="12"/>
  <c r="E578" i="12"/>
  <c r="F578" i="12"/>
  <c r="G578" i="12"/>
  <c r="H578" i="12"/>
  <c r="I578" i="12"/>
  <c r="J578" i="12"/>
  <c r="B577" i="12"/>
  <c r="C577" i="12"/>
  <c r="D577" i="12"/>
  <c r="E577" i="12"/>
  <c r="F577" i="12"/>
  <c r="G577" i="12"/>
  <c r="H577" i="12"/>
  <c r="I577" i="12"/>
  <c r="J577" i="12"/>
  <c r="B576" i="12"/>
  <c r="C576" i="12"/>
  <c r="D576" i="12"/>
  <c r="E576" i="12"/>
  <c r="F576" i="12"/>
  <c r="G576" i="12"/>
  <c r="H576" i="12"/>
  <c r="I576" i="12"/>
  <c r="J576" i="12"/>
  <c r="B575" i="12"/>
  <c r="C575" i="12"/>
  <c r="D575" i="12"/>
  <c r="E575" i="12"/>
  <c r="F575" i="12"/>
  <c r="G575" i="12"/>
  <c r="H575" i="12"/>
  <c r="I575" i="12"/>
  <c r="J575" i="12"/>
  <c r="B574" i="12"/>
  <c r="C574" i="12"/>
  <c r="D574" i="12"/>
  <c r="E574" i="12"/>
  <c r="F574" i="12"/>
  <c r="G574" i="12"/>
  <c r="H574" i="12"/>
  <c r="I574" i="12"/>
  <c r="J574" i="12"/>
  <c r="B573" i="12"/>
  <c r="C573" i="12"/>
  <c r="D573" i="12"/>
  <c r="E573" i="12"/>
  <c r="F573" i="12"/>
  <c r="G573" i="12"/>
  <c r="H573" i="12"/>
  <c r="I573" i="12"/>
  <c r="J573" i="12"/>
  <c r="B572" i="12"/>
  <c r="C572" i="12"/>
  <c r="D572" i="12"/>
  <c r="E572" i="12"/>
  <c r="F572" i="12"/>
  <c r="G572" i="12"/>
  <c r="H572" i="12"/>
  <c r="I572" i="12"/>
  <c r="J572" i="12"/>
  <c r="B571" i="12"/>
  <c r="C571" i="12"/>
  <c r="D571" i="12"/>
  <c r="E571" i="12"/>
  <c r="F571" i="12"/>
  <c r="G571" i="12"/>
  <c r="H571" i="12"/>
  <c r="I571" i="12"/>
  <c r="J571" i="12"/>
  <c r="B570" i="12"/>
  <c r="C570" i="12"/>
  <c r="D570" i="12"/>
  <c r="E570" i="12"/>
  <c r="F570" i="12"/>
  <c r="G570" i="12"/>
  <c r="H570" i="12"/>
  <c r="I570" i="12"/>
  <c r="J570" i="12"/>
  <c r="B569" i="12"/>
  <c r="C569" i="12"/>
  <c r="D569" i="12"/>
  <c r="E569" i="12"/>
  <c r="F569" i="12"/>
  <c r="G569" i="12"/>
  <c r="H569" i="12"/>
  <c r="I569" i="12"/>
  <c r="J569" i="12"/>
  <c r="B568" i="12"/>
  <c r="C568" i="12"/>
  <c r="D568" i="12"/>
  <c r="E568" i="12"/>
  <c r="F568" i="12"/>
  <c r="G568" i="12"/>
  <c r="H568" i="12"/>
  <c r="I568" i="12"/>
  <c r="J568" i="12"/>
  <c r="B567" i="12"/>
  <c r="C567" i="12"/>
  <c r="D567" i="12"/>
  <c r="E567" i="12"/>
  <c r="F567" i="12"/>
  <c r="G567" i="12"/>
  <c r="H567" i="12"/>
  <c r="I567" i="12"/>
  <c r="J567" i="12"/>
  <c r="B566" i="12"/>
  <c r="C566" i="12"/>
  <c r="D566" i="12"/>
  <c r="E566" i="12"/>
  <c r="F566" i="12"/>
  <c r="G566" i="12"/>
  <c r="H566" i="12"/>
  <c r="I566" i="12"/>
  <c r="J566" i="12"/>
  <c r="B565" i="12"/>
  <c r="C565" i="12"/>
  <c r="D565" i="12"/>
  <c r="E565" i="12"/>
  <c r="F565" i="12"/>
  <c r="G565" i="12"/>
  <c r="H565" i="12"/>
  <c r="I565" i="12"/>
  <c r="J565" i="12"/>
  <c r="B564" i="12"/>
  <c r="C564" i="12"/>
  <c r="D564" i="12"/>
  <c r="E564" i="12"/>
  <c r="F564" i="12"/>
  <c r="G564" i="12"/>
  <c r="H564" i="12"/>
  <c r="I564" i="12"/>
  <c r="J564" i="12"/>
  <c r="B563" i="12"/>
  <c r="C563" i="12"/>
  <c r="D563" i="12"/>
  <c r="E563" i="12"/>
  <c r="F563" i="12"/>
  <c r="G563" i="12"/>
  <c r="H563" i="12"/>
  <c r="I563" i="12"/>
  <c r="J563" i="12"/>
  <c r="B138" i="3"/>
  <c r="C138" i="3"/>
  <c r="D138" i="3"/>
  <c r="E138" i="3"/>
  <c r="F138" i="3"/>
  <c r="G138" i="3"/>
  <c r="H138" i="3"/>
  <c r="I138" i="3"/>
  <c r="J138" i="3"/>
  <c r="B137" i="3"/>
  <c r="C137" i="3"/>
  <c r="D137" i="3"/>
  <c r="E137" i="3"/>
  <c r="F137" i="3"/>
  <c r="G137" i="3"/>
  <c r="H137" i="3"/>
  <c r="I137" i="3"/>
  <c r="J137" i="3"/>
  <c r="B136" i="3"/>
  <c r="C136" i="3"/>
  <c r="D136" i="3"/>
  <c r="E136" i="3"/>
  <c r="F136" i="3"/>
  <c r="G136" i="3"/>
  <c r="H136" i="3"/>
  <c r="I136" i="3"/>
  <c r="J136" i="3"/>
  <c r="B135" i="3"/>
  <c r="C135" i="3"/>
  <c r="D135" i="3"/>
  <c r="E135" i="3"/>
  <c r="F135" i="3"/>
  <c r="G135" i="3"/>
  <c r="H135" i="3"/>
  <c r="I135" i="3"/>
  <c r="J135" i="3"/>
  <c r="B134" i="3"/>
  <c r="C134" i="3"/>
  <c r="D134" i="3"/>
  <c r="E134" i="3"/>
  <c r="F134" i="3"/>
  <c r="G134" i="3"/>
  <c r="H134" i="3"/>
  <c r="I134" i="3"/>
  <c r="J134" i="3"/>
  <c r="B133" i="3"/>
  <c r="C133" i="3"/>
  <c r="D133" i="3"/>
  <c r="E133" i="3"/>
  <c r="F133" i="3"/>
  <c r="G133" i="3"/>
  <c r="H133" i="3"/>
  <c r="I133" i="3"/>
  <c r="J133" i="3"/>
  <c r="B132" i="3"/>
  <c r="C132" i="3"/>
  <c r="D132" i="3"/>
  <c r="E132" i="3"/>
  <c r="F132" i="3"/>
  <c r="G132" i="3"/>
  <c r="H132" i="3"/>
  <c r="I132" i="3"/>
  <c r="J132" i="3"/>
  <c r="B131" i="3"/>
  <c r="C131" i="3"/>
  <c r="D131" i="3"/>
  <c r="E131" i="3"/>
  <c r="F131" i="3"/>
  <c r="G131" i="3"/>
  <c r="H131" i="3"/>
  <c r="I131" i="3"/>
  <c r="J131" i="3"/>
  <c r="B562" i="12"/>
  <c r="C562" i="12"/>
  <c r="D562" i="12"/>
  <c r="E562" i="12"/>
  <c r="F562" i="12"/>
  <c r="G562" i="12"/>
  <c r="H562" i="12"/>
  <c r="I562" i="12"/>
  <c r="J562" i="12"/>
  <c r="B561" i="12"/>
  <c r="C561" i="12"/>
  <c r="D561" i="12"/>
  <c r="E561" i="12"/>
  <c r="F561" i="12"/>
  <c r="G561" i="12"/>
  <c r="H561" i="12"/>
  <c r="I561" i="12"/>
  <c r="J561" i="12"/>
  <c r="B560" i="12"/>
  <c r="C560" i="12"/>
  <c r="D560" i="12"/>
  <c r="E560" i="12"/>
  <c r="F560" i="12"/>
  <c r="G560" i="12"/>
  <c r="H560" i="12"/>
  <c r="I560" i="12"/>
  <c r="J560" i="12"/>
  <c r="B559" i="12"/>
  <c r="C559" i="12"/>
  <c r="D559" i="12"/>
  <c r="E559" i="12"/>
  <c r="F559" i="12"/>
  <c r="G559" i="12"/>
  <c r="H559" i="12"/>
  <c r="I559" i="12"/>
  <c r="J559" i="12"/>
  <c r="B558" i="12"/>
  <c r="C558" i="12"/>
  <c r="D558" i="12"/>
  <c r="E558" i="12"/>
  <c r="F558" i="12"/>
  <c r="G558" i="12"/>
  <c r="H558" i="12"/>
  <c r="I558" i="12"/>
  <c r="J558" i="12"/>
  <c r="B557" i="12"/>
  <c r="C557" i="12"/>
  <c r="D557" i="12"/>
  <c r="E557" i="12"/>
  <c r="F557" i="12"/>
  <c r="G557" i="12"/>
  <c r="H557" i="12"/>
  <c r="I557" i="12"/>
  <c r="J557" i="12"/>
  <c r="B556" i="12"/>
  <c r="C556" i="12"/>
  <c r="D556" i="12"/>
  <c r="E556" i="12"/>
  <c r="F556" i="12"/>
  <c r="G556" i="12"/>
  <c r="H556" i="12"/>
  <c r="I556" i="12"/>
  <c r="J556" i="12"/>
  <c r="B555" i="12"/>
  <c r="C555" i="12"/>
  <c r="D555" i="12"/>
  <c r="E555" i="12"/>
  <c r="F555" i="12"/>
  <c r="G555" i="12"/>
  <c r="H555" i="12"/>
  <c r="I555" i="12"/>
  <c r="J555" i="12"/>
  <c r="B554" i="12"/>
  <c r="C554" i="12"/>
  <c r="D554" i="12"/>
  <c r="E554" i="12"/>
  <c r="F554" i="12"/>
  <c r="G554" i="12"/>
  <c r="H554" i="12"/>
  <c r="I554" i="12"/>
  <c r="J554" i="12"/>
  <c r="B553" i="12"/>
  <c r="C553" i="12"/>
  <c r="D553" i="12"/>
  <c r="E553" i="12"/>
  <c r="F553" i="12"/>
  <c r="G553" i="12"/>
  <c r="H553" i="12"/>
  <c r="I553" i="12"/>
  <c r="J553" i="12"/>
  <c r="B552" i="12"/>
  <c r="C552" i="12"/>
  <c r="D552" i="12"/>
  <c r="E552" i="12"/>
  <c r="F552" i="12"/>
  <c r="G552" i="12"/>
  <c r="H552" i="12"/>
  <c r="I552" i="12"/>
  <c r="J552" i="12"/>
  <c r="B551" i="12"/>
  <c r="C551" i="12"/>
  <c r="D551" i="12"/>
  <c r="E551" i="12"/>
  <c r="F551" i="12"/>
  <c r="G551" i="12"/>
  <c r="H551" i="12"/>
  <c r="I551" i="12"/>
  <c r="J551" i="12"/>
  <c r="B550" i="12"/>
  <c r="C550" i="12"/>
  <c r="D550" i="12"/>
  <c r="E550" i="12"/>
  <c r="F550" i="12"/>
  <c r="G550" i="12"/>
  <c r="H550" i="12"/>
  <c r="I550" i="12"/>
  <c r="J550" i="12"/>
  <c r="B549" i="12"/>
  <c r="C549" i="12"/>
  <c r="D549" i="12"/>
  <c r="E549" i="12"/>
  <c r="F549" i="12"/>
  <c r="G549" i="12"/>
  <c r="H549" i="12"/>
  <c r="I549" i="12"/>
  <c r="J549" i="12"/>
  <c r="B548" i="12"/>
  <c r="C548" i="12"/>
  <c r="D548" i="12"/>
  <c r="E548" i="12"/>
  <c r="F548" i="12"/>
  <c r="G548" i="12"/>
  <c r="H548" i="12"/>
  <c r="I548" i="12"/>
  <c r="J548" i="12"/>
  <c r="B547" i="12"/>
  <c r="C547" i="12"/>
  <c r="D547" i="12"/>
  <c r="E547" i="12"/>
  <c r="F547" i="12"/>
  <c r="G547" i="12"/>
  <c r="H547" i="12"/>
  <c r="I547" i="12"/>
  <c r="J547" i="12"/>
  <c r="B546" i="12"/>
  <c r="C546" i="12"/>
  <c r="D546" i="12"/>
  <c r="E546" i="12"/>
  <c r="F546" i="12"/>
  <c r="G546" i="12"/>
  <c r="H546" i="12"/>
  <c r="I546" i="12"/>
  <c r="J546" i="12"/>
  <c r="B545" i="12"/>
  <c r="C545" i="12"/>
  <c r="D545" i="12"/>
  <c r="E545" i="12"/>
  <c r="F545" i="12"/>
  <c r="G545" i="12"/>
  <c r="H545" i="12"/>
  <c r="I545" i="12"/>
  <c r="J545" i="12"/>
  <c r="B544" i="12"/>
  <c r="C544" i="12"/>
  <c r="D544" i="12"/>
  <c r="E544" i="12"/>
  <c r="F544" i="12"/>
  <c r="G544" i="12"/>
  <c r="H544" i="12"/>
  <c r="I544" i="12"/>
  <c r="J544" i="12"/>
  <c r="B543" i="12"/>
  <c r="C543" i="12"/>
  <c r="D543" i="12"/>
  <c r="E543" i="12"/>
  <c r="F543" i="12"/>
  <c r="G543" i="12"/>
  <c r="H543" i="12"/>
  <c r="I543" i="12"/>
  <c r="J543" i="12"/>
  <c r="B542" i="12"/>
  <c r="C542" i="12"/>
  <c r="D542" i="12"/>
  <c r="E542" i="12"/>
  <c r="F542" i="12"/>
  <c r="G542" i="12"/>
  <c r="H542" i="12"/>
  <c r="I542" i="12"/>
  <c r="J542" i="12"/>
  <c r="B541" i="12"/>
  <c r="C541" i="12"/>
  <c r="D541" i="12"/>
  <c r="E541" i="12"/>
  <c r="F541" i="12"/>
  <c r="G541" i="12"/>
  <c r="H541" i="12"/>
  <c r="I541" i="12"/>
  <c r="J541" i="12"/>
  <c r="B540" i="12"/>
  <c r="C540" i="12"/>
  <c r="D540" i="12"/>
  <c r="E540" i="12"/>
  <c r="F540" i="12"/>
  <c r="G540" i="12"/>
  <c r="H540" i="12"/>
  <c r="I540" i="12"/>
  <c r="J540" i="12"/>
  <c r="B539" i="12"/>
  <c r="C539" i="12"/>
  <c r="D539" i="12"/>
  <c r="E539" i="12"/>
  <c r="F539" i="12"/>
  <c r="G539" i="12"/>
  <c r="H539" i="12"/>
  <c r="I539" i="12"/>
  <c r="J539" i="12"/>
  <c r="B538" i="12"/>
  <c r="C538" i="12"/>
  <c r="D538" i="12"/>
  <c r="E538" i="12"/>
  <c r="F538" i="12"/>
  <c r="G538" i="12"/>
  <c r="H538" i="12"/>
  <c r="I538" i="12"/>
  <c r="J538" i="12"/>
  <c r="B537" i="12"/>
  <c r="C537" i="12"/>
  <c r="D537" i="12"/>
  <c r="E537" i="12"/>
  <c r="F537" i="12"/>
  <c r="G537" i="12"/>
  <c r="H537" i="12"/>
  <c r="I537" i="12"/>
  <c r="J537" i="12"/>
  <c r="B536" i="12"/>
  <c r="C536" i="12"/>
  <c r="D536" i="12"/>
  <c r="E536" i="12"/>
  <c r="F536" i="12"/>
  <c r="G536" i="12"/>
  <c r="H536" i="12"/>
  <c r="I536" i="12"/>
  <c r="J536" i="12"/>
  <c r="B535" i="12"/>
  <c r="C535" i="12"/>
  <c r="D535" i="12"/>
  <c r="E535" i="12"/>
  <c r="F535" i="12"/>
  <c r="G535" i="12"/>
  <c r="H535" i="12"/>
  <c r="I535" i="12"/>
  <c r="J535" i="12"/>
  <c r="B534" i="12"/>
  <c r="C534" i="12"/>
  <c r="D534" i="12"/>
  <c r="E534" i="12"/>
  <c r="F534" i="12"/>
  <c r="G534" i="12"/>
  <c r="H534" i="12"/>
  <c r="I534" i="12"/>
  <c r="J534" i="12"/>
  <c r="B533" i="12"/>
  <c r="C533" i="12"/>
  <c r="D533" i="12"/>
  <c r="E533" i="12"/>
  <c r="F533" i="12"/>
  <c r="G533" i="12"/>
  <c r="H533" i="12"/>
  <c r="I533" i="12"/>
  <c r="J533" i="12"/>
  <c r="B532" i="12"/>
  <c r="C532" i="12"/>
  <c r="D532" i="12"/>
  <c r="E532" i="12"/>
  <c r="F532" i="12"/>
  <c r="G532" i="12"/>
  <c r="H532" i="12"/>
  <c r="I532" i="12"/>
  <c r="J532" i="12"/>
  <c r="B531" i="12"/>
  <c r="C531" i="12"/>
  <c r="D531" i="12"/>
  <c r="E531" i="12"/>
  <c r="F531" i="12"/>
  <c r="G531" i="12"/>
  <c r="H531" i="12"/>
  <c r="I531" i="12"/>
  <c r="J531" i="12"/>
  <c r="B530" i="12"/>
  <c r="C530" i="12"/>
  <c r="D530" i="12"/>
  <c r="E530" i="12"/>
  <c r="F530" i="12"/>
  <c r="G530" i="12"/>
  <c r="H530" i="12"/>
  <c r="I530" i="12"/>
  <c r="J530" i="12"/>
  <c r="B529" i="12"/>
  <c r="C529" i="12"/>
  <c r="D529" i="12"/>
  <c r="E529" i="12"/>
  <c r="F529" i="12"/>
  <c r="G529" i="12"/>
  <c r="H529" i="12"/>
  <c r="I529" i="12"/>
  <c r="J529" i="12"/>
  <c r="B528" i="12"/>
  <c r="C528" i="12"/>
  <c r="D528" i="12"/>
  <c r="E528" i="12"/>
  <c r="F528" i="12"/>
  <c r="G528" i="12"/>
  <c r="H528" i="12"/>
  <c r="I528" i="12"/>
  <c r="J528" i="12"/>
  <c r="B527" i="12"/>
  <c r="C527" i="12"/>
  <c r="D527" i="12"/>
  <c r="E527" i="12"/>
  <c r="F527" i="12"/>
  <c r="G527" i="12"/>
  <c r="H527" i="12"/>
  <c r="I527" i="12"/>
  <c r="J527" i="12"/>
  <c r="B526" i="12"/>
  <c r="C526" i="12"/>
  <c r="D526" i="12"/>
  <c r="E526" i="12"/>
  <c r="F526" i="12"/>
  <c r="G526" i="12"/>
  <c r="H526" i="12"/>
  <c r="I526" i="12"/>
  <c r="J526" i="12"/>
  <c r="B525" i="12"/>
  <c r="C525" i="12"/>
  <c r="D525" i="12"/>
  <c r="E525" i="12"/>
  <c r="F525" i="12"/>
  <c r="G525" i="12"/>
  <c r="H525" i="12"/>
  <c r="I525" i="12"/>
  <c r="J525" i="12"/>
  <c r="B524" i="12"/>
  <c r="C524" i="12"/>
  <c r="D524" i="12"/>
  <c r="E524" i="12"/>
  <c r="F524" i="12"/>
  <c r="G524" i="12"/>
  <c r="H524" i="12"/>
  <c r="I524" i="12"/>
  <c r="J524" i="12"/>
  <c r="B523" i="12"/>
  <c r="C523" i="12"/>
  <c r="D523" i="12"/>
  <c r="E523" i="12"/>
  <c r="F523" i="12"/>
  <c r="G523" i="12"/>
  <c r="H523" i="12"/>
  <c r="I523" i="12"/>
  <c r="J523" i="12"/>
  <c r="B522" i="12"/>
  <c r="C522" i="12"/>
  <c r="D522" i="12"/>
  <c r="E522" i="12"/>
  <c r="F522" i="12"/>
  <c r="G522" i="12"/>
  <c r="H522" i="12"/>
  <c r="I522" i="12"/>
  <c r="J522" i="12"/>
  <c r="B521" i="12"/>
  <c r="C521" i="12"/>
  <c r="D521" i="12"/>
  <c r="E521" i="12"/>
  <c r="F521" i="12"/>
  <c r="G521" i="12"/>
  <c r="H521" i="12"/>
  <c r="I521" i="12"/>
  <c r="J521" i="12"/>
  <c r="B520" i="12"/>
  <c r="C520" i="12"/>
  <c r="D520" i="12"/>
  <c r="E520" i="12"/>
  <c r="F520" i="12"/>
  <c r="G520" i="12"/>
  <c r="H520" i="12"/>
  <c r="I520" i="12"/>
  <c r="J520" i="12"/>
  <c r="B519" i="12"/>
  <c r="C519" i="12"/>
  <c r="D519" i="12"/>
  <c r="E519" i="12"/>
  <c r="F519" i="12"/>
  <c r="G519" i="12"/>
  <c r="H519" i="12"/>
  <c r="I519" i="12"/>
  <c r="J519" i="12"/>
  <c r="B518" i="12"/>
  <c r="C518" i="12"/>
  <c r="D518" i="12"/>
  <c r="E518" i="12"/>
  <c r="F518" i="12"/>
  <c r="G518" i="12"/>
  <c r="H518" i="12"/>
  <c r="I518" i="12"/>
  <c r="J518" i="12"/>
  <c r="B517" i="12"/>
  <c r="C517" i="12"/>
  <c r="D517" i="12"/>
  <c r="E517" i="12"/>
  <c r="F517" i="12"/>
  <c r="G517" i="12"/>
  <c r="H517" i="12"/>
  <c r="I517" i="12"/>
  <c r="J517" i="12"/>
  <c r="B516" i="12"/>
  <c r="C516" i="12"/>
  <c r="D516" i="12"/>
  <c r="E516" i="12"/>
  <c r="F516" i="12"/>
  <c r="G516" i="12"/>
  <c r="H516" i="12"/>
  <c r="I516" i="12"/>
  <c r="J516" i="12"/>
  <c r="B515" i="12"/>
  <c r="C515" i="12"/>
  <c r="D515" i="12"/>
  <c r="E515" i="12"/>
  <c r="F515" i="12"/>
  <c r="G515" i="12"/>
  <c r="H515" i="12"/>
  <c r="I515" i="12"/>
  <c r="J515" i="12"/>
  <c r="B514" i="12"/>
  <c r="C514" i="12"/>
  <c r="D514" i="12"/>
  <c r="E514" i="12"/>
  <c r="F514" i="12"/>
  <c r="G514" i="12"/>
  <c r="H514" i="12"/>
  <c r="I514" i="12"/>
  <c r="J514" i="12"/>
  <c r="B513" i="12"/>
  <c r="C513" i="12"/>
  <c r="D513" i="12"/>
  <c r="E513" i="12"/>
  <c r="F513" i="12"/>
  <c r="G513" i="12"/>
  <c r="H513" i="12"/>
  <c r="I513" i="12"/>
  <c r="J513" i="12"/>
  <c r="B512" i="12"/>
  <c r="C512" i="12"/>
  <c r="D512" i="12"/>
  <c r="E512" i="12"/>
  <c r="F512" i="12"/>
  <c r="G512" i="12"/>
  <c r="H512" i="12"/>
  <c r="I512" i="12"/>
  <c r="J512" i="12"/>
  <c r="B511" i="12"/>
  <c r="C511" i="12"/>
  <c r="D511" i="12"/>
  <c r="E511" i="12"/>
  <c r="F511" i="12"/>
  <c r="G511" i="12"/>
  <c r="H511" i="12"/>
  <c r="I511" i="12"/>
  <c r="J511" i="12"/>
  <c r="B510" i="12"/>
  <c r="C510" i="12"/>
  <c r="D510" i="12"/>
  <c r="E510" i="12"/>
  <c r="F510" i="12"/>
  <c r="G510" i="12"/>
  <c r="H510" i="12"/>
  <c r="I510" i="12"/>
  <c r="J510" i="12"/>
  <c r="B509" i="12"/>
  <c r="C509" i="12"/>
  <c r="D509" i="12"/>
  <c r="E509" i="12"/>
  <c r="F509" i="12"/>
  <c r="G509" i="12"/>
  <c r="H509" i="12"/>
  <c r="I509" i="12"/>
  <c r="J509" i="12"/>
  <c r="B508" i="12"/>
  <c r="C508" i="12"/>
  <c r="D508" i="12"/>
  <c r="E508" i="12"/>
  <c r="F508" i="12"/>
  <c r="G508" i="12"/>
  <c r="H508" i="12"/>
  <c r="I508" i="12"/>
  <c r="J508" i="12"/>
  <c r="B507" i="12"/>
  <c r="C507" i="12"/>
  <c r="D507" i="12"/>
  <c r="E507" i="12"/>
  <c r="F507" i="12"/>
  <c r="G507" i="12"/>
  <c r="H507" i="12"/>
  <c r="I507" i="12"/>
  <c r="J507" i="12"/>
  <c r="B506" i="12"/>
  <c r="C506" i="12"/>
  <c r="D506" i="12"/>
  <c r="E506" i="12"/>
  <c r="F506" i="12"/>
  <c r="G506" i="12"/>
  <c r="H506" i="12"/>
  <c r="I506" i="12"/>
  <c r="J506" i="12"/>
  <c r="B505" i="12"/>
  <c r="C505" i="12"/>
  <c r="D505" i="12"/>
  <c r="E505" i="12"/>
  <c r="F505" i="12"/>
  <c r="G505" i="12"/>
  <c r="H505" i="12"/>
  <c r="I505" i="12"/>
  <c r="J505" i="12"/>
  <c r="B504" i="12"/>
  <c r="C504" i="12"/>
  <c r="D504" i="12"/>
  <c r="E504" i="12"/>
  <c r="F504" i="12"/>
  <c r="G504" i="12"/>
  <c r="H504" i="12"/>
  <c r="I504" i="12"/>
  <c r="J504" i="12"/>
  <c r="B503" i="12"/>
  <c r="C503" i="12"/>
  <c r="D503" i="12"/>
  <c r="E503" i="12"/>
  <c r="F503" i="12"/>
  <c r="G503" i="12"/>
  <c r="H503" i="12"/>
  <c r="I503" i="12"/>
  <c r="J503" i="12"/>
  <c r="B502" i="12"/>
  <c r="C502" i="12"/>
  <c r="D502" i="12"/>
  <c r="E502" i="12"/>
  <c r="F502" i="12"/>
  <c r="G502" i="12"/>
  <c r="H502" i="12"/>
  <c r="I502" i="12"/>
  <c r="J502" i="12"/>
  <c r="B501" i="12"/>
  <c r="C501" i="12"/>
  <c r="D501" i="12"/>
  <c r="E501" i="12"/>
  <c r="F501" i="12"/>
  <c r="G501" i="12"/>
  <c r="H501" i="12"/>
  <c r="I501" i="12"/>
  <c r="J501" i="12"/>
  <c r="B500" i="12"/>
  <c r="C500" i="12"/>
  <c r="D500" i="12"/>
  <c r="E500" i="12"/>
  <c r="F500" i="12"/>
  <c r="G500" i="12"/>
  <c r="H500" i="12"/>
  <c r="I500" i="12"/>
  <c r="J500" i="12"/>
  <c r="B499" i="12"/>
  <c r="C499" i="12"/>
  <c r="D499" i="12"/>
  <c r="E499" i="12"/>
  <c r="F499" i="12"/>
  <c r="G499" i="12"/>
  <c r="H499" i="12"/>
  <c r="I499" i="12"/>
  <c r="J499" i="12"/>
  <c r="B498" i="12"/>
  <c r="C498" i="12"/>
  <c r="D498" i="12"/>
  <c r="E498" i="12"/>
  <c r="F498" i="12"/>
  <c r="G498" i="12"/>
  <c r="H498" i="12"/>
  <c r="I498" i="12"/>
  <c r="J498" i="12"/>
  <c r="B497" i="12"/>
  <c r="C497" i="12"/>
  <c r="D497" i="12"/>
  <c r="E497" i="12"/>
  <c r="F497" i="12"/>
  <c r="G497" i="12"/>
  <c r="H497" i="12"/>
  <c r="I497" i="12"/>
  <c r="J497" i="12"/>
  <c r="B496" i="12"/>
  <c r="C496" i="12"/>
  <c r="D496" i="12"/>
  <c r="E496" i="12"/>
  <c r="F496" i="12"/>
  <c r="G496" i="12"/>
  <c r="H496" i="12"/>
  <c r="I496" i="12"/>
  <c r="J496" i="12"/>
  <c r="B495" i="12"/>
  <c r="C495" i="12"/>
  <c r="D495" i="12"/>
  <c r="E495" i="12"/>
  <c r="F495" i="12"/>
  <c r="G495" i="12"/>
  <c r="H495" i="12"/>
  <c r="I495" i="12"/>
  <c r="J495" i="12"/>
  <c r="B494" i="12"/>
  <c r="C494" i="12"/>
  <c r="D494" i="12"/>
  <c r="E494" i="12"/>
  <c r="F494" i="12"/>
  <c r="G494" i="12"/>
  <c r="H494" i="12"/>
  <c r="I494" i="12"/>
  <c r="J494" i="12"/>
  <c r="B493" i="12"/>
  <c r="C493" i="12"/>
  <c r="D493" i="12"/>
  <c r="E493" i="12"/>
  <c r="F493" i="12"/>
  <c r="G493" i="12"/>
  <c r="H493" i="12"/>
  <c r="I493" i="12"/>
  <c r="J493" i="12"/>
  <c r="B492" i="12"/>
  <c r="C492" i="12"/>
  <c r="D492" i="12"/>
  <c r="E492" i="12"/>
  <c r="F492" i="12"/>
  <c r="G492" i="12"/>
  <c r="H492" i="12"/>
  <c r="I492" i="12"/>
  <c r="J492" i="12"/>
  <c r="B491" i="12"/>
  <c r="C491" i="12"/>
  <c r="D491" i="12"/>
  <c r="E491" i="12"/>
  <c r="F491" i="12"/>
  <c r="G491" i="12"/>
  <c r="H491" i="12"/>
  <c r="I491" i="12"/>
  <c r="J491" i="12"/>
  <c r="B490" i="12"/>
  <c r="C490" i="12"/>
  <c r="D490" i="12"/>
  <c r="E490" i="12"/>
  <c r="F490" i="12"/>
  <c r="G490" i="12"/>
  <c r="H490" i="12"/>
  <c r="I490" i="12"/>
  <c r="J490" i="12"/>
  <c r="B489" i="12"/>
  <c r="C489" i="12"/>
  <c r="D489" i="12"/>
  <c r="E489" i="12"/>
  <c r="F489" i="12"/>
  <c r="G489" i="12"/>
  <c r="H489" i="12"/>
  <c r="I489" i="12"/>
  <c r="J489" i="12"/>
  <c r="B488" i="12"/>
  <c r="C488" i="12"/>
  <c r="D488" i="12"/>
  <c r="E488" i="12"/>
  <c r="F488" i="12"/>
  <c r="G488" i="12"/>
  <c r="H488" i="12"/>
  <c r="I488" i="12"/>
  <c r="J488" i="12"/>
  <c r="B487" i="12"/>
  <c r="C487" i="12"/>
  <c r="D487" i="12"/>
  <c r="E487" i="12"/>
  <c r="F487" i="12"/>
  <c r="G487" i="12"/>
  <c r="H487" i="12"/>
  <c r="I487" i="12"/>
  <c r="J487" i="12"/>
  <c r="B486" i="12"/>
  <c r="C486" i="12"/>
  <c r="D486" i="12"/>
  <c r="E486" i="12"/>
  <c r="F486" i="12"/>
  <c r="G486" i="12"/>
  <c r="H486" i="12"/>
  <c r="I486" i="12"/>
  <c r="J486" i="12"/>
  <c r="B485" i="12"/>
  <c r="C485" i="12"/>
  <c r="D485" i="12"/>
  <c r="E485" i="12"/>
  <c r="F485" i="12"/>
  <c r="G485" i="12"/>
  <c r="H485" i="12"/>
  <c r="I485" i="12"/>
  <c r="J485" i="12"/>
  <c r="B484" i="12"/>
  <c r="C484" i="12"/>
  <c r="D484" i="12"/>
  <c r="E484" i="12"/>
  <c r="F484" i="12"/>
  <c r="G484" i="12"/>
  <c r="H484" i="12"/>
  <c r="I484" i="12"/>
  <c r="J484" i="12"/>
  <c r="B483" i="12"/>
  <c r="C483" i="12"/>
  <c r="D483" i="12"/>
  <c r="E483" i="12"/>
  <c r="F483" i="12"/>
  <c r="G483" i="12"/>
  <c r="H483" i="12"/>
  <c r="I483" i="12"/>
  <c r="J483" i="12"/>
  <c r="B130" i="3"/>
  <c r="C130" i="3"/>
  <c r="D130" i="3"/>
  <c r="E130" i="3"/>
  <c r="F130" i="3"/>
  <c r="G130" i="3"/>
  <c r="H130" i="3"/>
  <c r="I130" i="3"/>
  <c r="J130" i="3"/>
  <c r="B129" i="3"/>
  <c r="C129" i="3"/>
  <c r="D129" i="3"/>
  <c r="E129" i="3"/>
  <c r="F129" i="3"/>
  <c r="G129" i="3"/>
  <c r="H129" i="3"/>
  <c r="I129" i="3"/>
  <c r="J129" i="3"/>
  <c r="B128" i="3"/>
  <c r="C128" i="3"/>
  <c r="D128" i="3"/>
  <c r="E128" i="3"/>
  <c r="F128" i="3"/>
  <c r="G128" i="3"/>
  <c r="H128" i="3"/>
  <c r="I128" i="3"/>
  <c r="J128" i="3"/>
  <c r="B127" i="3"/>
  <c r="C127" i="3"/>
  <c r="D127" i="3"/>
  <c r="E127" i="3"/>
  <c r="F127" i="3"/>
  <c r="G127" i="3"/>
  <c r="H127" i="3"/>
  <c r="I127" i="3"/>
  <c r="J127" i="3"/>
  <c r="B126" i="3"/>
  <c r="C126" i="3"/>
  <c r="D126" i="3"/>
  <c r="E126" i="3"/>
  <c r="F126" i="3"/>
  <c r="G126" i="3"/>
  <c r="H126" i="3"/>
  <c r="I126" i="3"/>
  <c r="J126" i="3"/>
  <c r="B125" i="3"/>
  <c r="C125" i="3"/>
  <c r="D125" i="3"/>
  <c r="E125" i="3"/>
  <c r="F125" i="3"/>
  <c r="G125" i="3"/>
  <c r="H125" i="3"/>
  <c r="I125" i="3"/>
  <c r="J125" i="3"/>
  <c r="B124" i="3"/>
  <c r="C124" i="3"/>
  <c r="D124" i="3"/>
  <c r="E124" i="3"/>
  <c r="F124" i="3"/>
  <c r="G124" i="3"/>
  <c r="H124" i="3"/>
  <c r="I124" i="3"/>
  <c r="J124" i="3"/>
  <c r="B123" i="3"/>
  <c r="C123" i="3"/>
  <c r="D123" i="3"/>
  <c r="E123" i="3"/>
  <c r="F123" i="3"/>
  <c r="G123" i="3"/>
  <c r="H123" i="3"/>
  <c r="I123" i="3"/>
  <c r="J123" i="3"/>
  <c r="B482" i="12"/>
  <c r="C482" i="12"/>
  <c r="D482" i="12"/>
  <c r="E482" i="12"/>
  <c r="F482" i="12"/>
  <c r="G482" i="12"/>
  <c r="H482" i="12"/>
  <c r="I482" i="12"/>
  <c r="J482" i="12"/>
  <c r="B481" i="12"/>
  <c r="C481" i="12"/>
  <c r="D481" i="12"/>
  <c r="E481" i="12"/>
  <c r="F481" i="12"/>
  <c r="G481" i="12"/>
  <c r="H481" i="12"/>
  <c r="I481" i="12"/>
  <c r="J481" i="12"/>
  <c r="B480" i="12"/>
  <c r="C480" i="12"/>
  <c r="D480" i="12"/>
  <c r="E480" i="12"/>
  <c r="F480" i="12"/>
  <c r="G480" i="12"/>
  <c r="H480" i="12"/>
  <c r="I480" i="12"/>
  <c r="J480" i="12"/>
  <c r="B479" i="12"/>
  <c r="C479" i="12"/>
  <c r="D479" i="12"/>
  <c r="E479" i="12"/>
  <c r="F479" i="12"/>
  <c r="G479" i="12"/>
  <c r="H479" i="12"/>
  <c r="I479" i="12"/>
  <c r="J479" i="12"/>
  <c r="B478" i="12"/>
  <c r="C478" i="12"/>
  <c r="D478" i="12"/>
  <c r="E478" i="12"/>
  <c r="F478" i="12"/>
  <c r="G478" i="12"/>
  <c r="H478" i="12"/>
  <c r="I478" i="12"/>
  <c r="J478" i="12"/>
  <c r="B477" i="12"/>
  <c r="C477" i="12"/>
  <c r="D477" i="12"/>
  <c r="E477" i="12"/>
  <c r="F477" i="12"/>
  <c r="G477" i="12"/>
  <c r="H477" i="12"/>
  <c r="I477" i="12"/>
  <c r="J477" i="12"/>
  <c r="B476" i="12"/>
  <c r="C476" i="12"/>
  <c r="D476" i="12"/>
  <c r="E476" i="12"/>
  <c r="F476" i="12"/>
  <c r="G476" i="12"/>
  <c r="H476" i="12"/>
  <c r="I476" i="12"/>
  <c r="J476" i="12"/>
  <c r="B475" i="12"/>
  <c r="C475" i="12"/>
  <c r="D475" i="12"/>
  <c r="E475" i="12"/>
  <c r="F475" i="12"/>
  <c r="G475" i="12"/>
  <c r="H475" i="12"/>
  <c r="I475" i="12"/>
  <c r="J475" i="12"/>
  <c r="B474" i="12"/>
  <c r="C474" i="12"/>
  <c r="D474" i="12"/>
  <c r="E474" i="12"/>
  <c r="F474" i="12"/>
  <c r="G474" i="12"/>
  <c r="H474" i="12"/>
  <c r="I474" i="12"/>
  <c r="J474" i="12"/>
  <c r="B473" i="12"/>
  <c r="C473" i="12"/>
  <c r="D473" i="12"/>
  <c r="E473" i="12"/>
  <c r="F473" i="12"/>
  <c r="G473" i="12"/>
  <c r="H473" i="12"/>
  <c r="I473" i="12"/>
  <c r="J473" i="12"/>
  <c r="B472" i="12"/>
  <c r="C472" i="12"/>
  <c r="D472" i="12"/>
  <c r="E472" i="12"/>
  <c r="F472" i="12"/>
  <c r="G472" i="12"/>
  <c r="H472" i="12"/>
  <c r="I472" i="12"/>
  <c r="J472" i="12"/>
  <c r="B471" i="12"/>
  <c r="C471" i="12"/>
  <c r="D471" i="12"/>
  <c r="E471" i="12"/>
  <c r="F471" i="12"/>
  <c r="G471" i="12"/>
  <c r="H471" i="12"/>
  <c r="I471" i="12"/>
  <c r="J471" i="12"/>
  <c r="B470" i="12"/>
  <c r="C470" i="12"/>
  <c r="D470" i="12"/>
  <c r="E470" i="12"/>
  <c r="F470" i="12"/>
  <c r="G470" i="12"/>
  <c r="H470" i="12"/>
  <c r="I470" i="12"/>
  <c r="J470" i="12"/>
  <c r="B469" i="12"/>
  <c r="C469" i="12"/>
  <c r="D469" i="12"/>
  <c r="E469" i="12"/>
  <c r="F469" i="12"/>
  <c r="G469" i="12"/>
  <c r="H469" i="12"/>
  <c r="I469" i="12"/>
  <c r="J469" i="12"/>
  <c r="B468" i="12"/>
  <c r="C468" i="12"/>
  <c r="D468" i="12"/>
  <c r="E468" i="12"/>
  <c r="F468" i="12"/>
  <c r="G468" i="12"/>
  <c r="H468" i="12"/>
  <c r="I468" i="12"/>
  <c r="J468" i="12"/>
  <c r="B467" i="12"/>
  <c r="C467" i="12"/>
  <c r="D467" i="12"/>
  <c r="E467" i="12"/>
  <c r="F467" i="12"/>
  <c r="G467" i="12"/>
  <c r="H467" i="12"/>
  <c r="I467" i="12"/>
  <c r="J467" i="12"/>
  <c r="B466" i="12"/>
  <c r="C466" i="12"/>
  <c r="D466" i="12"/>
  <c r="E466" i="12"/>
  <c r="F466" i="12"/>
  <c r="G466" i="12"/>
  <c r="H466" i="12"/>
  <c r="I466" i="12"/>
  <c r="J466" i="12"/>
  <c r="B465" i="12"/>
  <c r="C465" i="12"/>
  <c r="D465" i="12"/>
  <c r="E465" i="12"/>
  <c r="F465" i="12"/>
  <c r="G465" i="12"/>
  <c r="H465" i="12"/>
  <c r="I465" i="12"/>
  <c r="J465" i="12"/>
  <c r="B464" i="12"/>
  <c r="C464" i="12"/>
  <c r="D464" i="12"/>
  <c r="E464" i="12"/>
  <c r="F464" i="12"/>
  <c r="G464" i="12"/>
  <c r="H464" i="12"/>
  <c r="I464" i="12"/>
  <c r="J464" i="12"/>
  <c r="B463" i="12"/>
  <c r="C463" i="12"/>
  <c r="D463" i="12"/>
  <c r="E463" i="12"/>
  <c r="F463" i="12"/>
  <c r="G463" i="12"/>
  <c r="H463" i="12"/>
  <c r="I463" i="12"/>
  <c r="J463" i="12"/>
  <c r="B462" i="12"/>
  <c r="C462" i="12"/>
  <c r="D462" i="12"/>
  <c r="E462" i="12"/>
  <c r="F462" i="12"/>
  <c r="G462" i="12"/>
  <c r="H462" i="12"/>
  <c r="I462" i="12"/>
  <c r="J462" i="12"/>
  <c r="B461" i="12"/>
  <c r="C461" i="12"/>
  <c r="D461" i="12"/>
  <c r="E461" i="12"/>
  <c r="F461" i="12"/>
  <c r="G461" i="12"/>
  <c r="H461" i="12"/>
  <c r="I461" i="12"/>
  <c r="J461" i="12"/>
  <c r="B460" i="12"/>
  <c r="C460" i="12"/>
  <c r="D460" i="12"/>
  <c r="E460" i="12"/>
  <c r="F460" i="12"/>
  <c r="G460" i="12"/>
  <c r="H460" i="12"/>
  <c r="I460" i="12"/>
  <c r="J460" i="12"/>
  <c r="B459" i="12"/>
  <c r="C459" i="12"/>
  <c r="D459" i="12"/>
  <c r="E459" i="12"/>
  <c r="F459" i="12"/>
  <c r="G459" i="12"/>
  <c r="H459" i="12"/>
  <c r="I459" i="12"/>
  <c r="J459" i="12"/>
  <c r="B458" i="12"/>
  <c r="C458" i="12"/>
  <c r="D458" i="12"/>
  <c r="E458" i="12"/>
  <c r="F458" i="12"/>
  <c r="G458" i="12"/>
  <c r="H458" i="12"/>
  <c r="I458" i="12"/>
  <c r="J458" i="12"/>
  <c r="B457" i="12"/>
  <c r="C457" i="12"/>
  <c r="D457" i="12"/>
  <c r="E457" i="12"/>
  <c r="F457" i="12"/>
  <c r="G457" i="12"/>
  <c r="H457" i="12"/>
  <c r="I457" i="12"/>
  <c r="J457" i="12"/>
  <c r="B456" i="12"/>
  <c r="C456" i="12"/>
  <c r="D456" i="12"/>
  <c r="E456" i="12"/>
  <c r="F456" i="12"/>
  <c r="G456" i="12"/>
  <c r="H456" i="12"/>
  <c r="I456" i="12"/>
  <c r="J456" i="12"/>
  <c r="B455" i="12"/>
  <c r="C455" i="12"/>
  <c r="D455" i="12"/>
  <c r="E455" i="12"/>
  <c r="F455" i="12"/>
  <c r="G455" i="12"/>
  <c r="H455" i="12"/>
  <c r="I455" i="12"/>
  <c r="J455" i="12"/>
  <c r="B454" i="12"/>
  <c r="C454" i="12"/>
  <c r="D454" i="12"/>
  <c r="E454" i="12"/>
  <c r="F454" i="12"/>
  <c r="G454" i="12"/>
  <c r="H454" i="12"/>
  <c r="I454" i="12"/>
  <c r="J454" i="12"/>
  <c r="B453" i="12"/>
  <c r="C453" i="12"/>
  <c r="D453" i="12"/>
  <c r="E453" i="12"/>
  <c r="F453" i="12"/>
  <c r="G453" i="12"/>
  <c r="H453" i="12"/>
  <c r="I453" i="12"/>
  <c r="J453" i="12"/>
  <c r="B452" i="12"/>
  <c r="C452" i="12"/>
  <c r="D452" i="12"/>
  <c r="E452" i="12"/>
  <c r="F452" i="12"/>
  <c r="G452" i="12"/>
  <c r="H452" i="12"/>
  <c r="I452" i="12"/>
  <c r="J452" i="12"/>
  <c r="B451" i="12"/>
  <c r="C451" i="12"/>
  <c r="D451" i="12"/>
  <c r="E451" i="12"/>
  <c r="F451" i="12"/>
  <c r="G451" i="12"/>
  <c r="H451" i="12"/>
  <c r="I451" i="12"/>
  <c r="J451" i="12"/>
  <c r="B450" i="12"/>
  <c r="C450" i="12"/>
  <c r="D450" i="12"/>
  <c r="E450" i="12"/>
  <c r="F450" i="12"/>
  <c r="G450" i="12"/>
  <c r="H450" i="12"/>
  <c r="I450" i="12"/>
  <c r="J450" i="12"/>
  <c r="B449" i="12"/>
  <c r="C449" i="12"/>
  <c r="D449" i="12"/>
  <c r="E449" i="12"/>
  <c r="F449" i="12"/>
  <c r="G449" i="12"/>
  <c r="H449" i="12"/>
  <c r="I449" i="12"/>
  <c r="J449" i="12"/>
  <c r="B448" i="12"/>
  <c r="C448" i="12"/>
  <c r="D448" i="12"/>
  <c r="E448" i="12"/>
  <c r="F448" i="12"/>
  <c r="G448" i="12"/>
  <c r="H448" i="12"/>
  <c r="I448" i="12"/>
  <c r="J448" i="12"/>
  <c r="B447" i="12"/>
  <c r="C447" i="12"/>
  <c r="D447" i="12"/>
  <c r="E447" i="12"/>
  <c r="F447" i="12"/>
  <c r="G447" i="12"/>
  <c r="H447" i="12"/>
  <c r="I447" i="12"/>
  <c r="J447" i="12"/>
  <c r="B446" i="12"/>
  <c r="C446" i="12"/>
  <c r="D446" i="12"/>
  <c r="E446" i="12"/>
  <c r="F446" i="12"/>
  <c r="G446" i="12"/>
  <c r="H446" i="12"/>
  <c r="I446" i="12"/>
  <c r="J446" i="12"/>
  <c r="B445" i="12"/>
  <c r="C445" i="12"/>
  <c r="D445" i="12"/>
  <c r="E445" i="12"/>
  <c r="F445" i="12"/>
  <c r="G445" i="12"/>
  <c r="H445" i="12"/>
  <c r="I445" i="12"/>
  <c r="J445" i="12"/>
  <c r="B444" i="12"/>
  <c r="C444" i="12"/>
  <c r="D444" i="12"/>
  <c r="E444" i="12"/>
  <c r="F444" i="12"/>
  <c r="G444" i="12"/>
  <c r="H444" i="12"/>
  <c r="I444" i="12"/>
  <c r="J444" i="12"/>
  <c r="B443" i="12"/>
  <c r="C443" i="12"/>
  <c r="D443" i="12"/>
  <c r="E443" i="12"/>
  <c r="F443" i="12"/>
  <c r="G443" i="12"/>
  <c r="H443" i="12"/>
  <c r="I443" i="12"/>
  <c r="J443" i="12"/>
  <c r="B442" i="12"/>
  <c r="C442" i="12"/>
  <c r="D442" i="12"/>
  <c r="E442" i="12"/>
  <c r="F442" i="12"/>
  <c r="G442" i="12"/>
  <c r="H442" i="12"/>
  <c r="I442" i="12"/>
  <c r="J442" i="12"/>
  <c r="B441" i="12"/>
  <c r="C441" i="12"/>
  <c r="D441" i="12"/>
  <c r="E441" i="12"/>
  <c r="F441" i="12"/>
  <c r="G441" i="12"/>
  <c r="H441" i="12"/>
  <c r="I441" i="12"/>
  <c r="J441" i="12"/>
  <c r="B440" i="12"/>
  <c r="C440" i="12"/>
  <c r="D440" i="12"/>
  <c r="E440" i="12"/>
  <c r="F440" i="12"/>
  <c r="G440" i="12"/>
  <c r="H440" i="12"/>
  <c r="I440" i="12"/>
  <c r="J440" i="12"/>
  <c r="B439" i="12"/>
  <c r="C439" i="12"/>
  <c r="D439" i="12"/>
  <c r="E439" i="12"/>
  <c r="F439" i="12"/>
  <c r="G439" i="12"/>
  <c r="H439" i="12"/>
  <c r="I439" i="12"/>
  <c r="J439" i="12"/>
  <c r="B438" i="12"/>
  <c r="C438" i="12"/>
  <c r="D438" i="12"/>
  <c r="E438" i="12"/>
  <c r="F438" i="12"/>
  <c r="G438" i="12"/>
  <c r="H438" i="12"/>
  <c r="I438" i="12"/>
  <c r="J438" i="12"/>
  <c r="B437" i="12"/>
  <c r="C437" i="12"/>
  <c r="D437" i="12"/>
  <c r="E437" i="12"/>
  <c r="F437" i="12"/>
  <c r="G437" i="12"/>
  <c r="H437" i="12"/>
  <c r="I437" i="12"/>
  <c r="J437" i="12"/>
  <c r="B436" i="12"/>
  <c r="C436" i="12"/>
  <c r="D436" i="12"/>
  <c r="E436" i="12"/>
  <c r="F436" i="12"/>
  <c r="G436" i="12"/>
  <c r="H436" i="12"/>
  <c r="I436" i="12"/>
  <c r="J436" i="12"/>
  <c r="B435" i="12"/>
  <c r="C435" i="12"/>
  <c r="D435" i="12"/>
  <c r="E435" i="12"/>
  <c r="F435" i="12"/>
  <c r="G435" i="12"/>
  <c r="H435" i="12"/>
  <c r="I435" i="12"/>
  <c r="J435" i="12"/>
  <c r="B434" i="12"/>
  <c r="C434" i="12"/>
  <c r="D434" i="12"/>
  <c r="E434" i="12"/>
  <c r="F434" i="12"/>
  <c r="G434" i="12"/>
  <c r="H434" i="12"/>
  <c r="I434" i="12"/>
  <c r="J434" i="12"/>
  <c r="B433" i="12"/>
  <c r="C433" i="12"/>
  <c r="D433" i="12"/>
  <c r="E433" i="12"/>
  <c r="F433" i="12"/>
  <c r="G433" i="12"/>
  <c r="H433" i="12"/>
  <c r="I433" i="12"/>
  <c r="J433" i="12"/>
  <c r="B432" i="12"/>
  <c r="C432" i="12"/>
  <c r="D432" i="12"/>
  <c r="E432" i="12"/>
  <c r="F432" i="12"/>
  <c r="G432" i="12"/>
  <c r="H432" i="12"/>
  <c r="I432" i="12"/>
  <c r="J432" i="12"/>
  <c r="B431" i="12"/>
  <c r="C431" i="12"/>
  <c r="D431" i="12"/>
  <c r="E431" i="12"/>
  <c r="F431" i="12"/>
  <c r="G431" i="12"/>
  <c r="H431" i="12"/>
  <c r="I431" i="12"/>
  <c r="J431" i="12"/>
  <c r="B430" i="12"/>
  <c r="C430" i="12"/>
  <c r="D430" i="12"/>
  <c r="E430" i="12"/>
  <c r="F430" i="12"/>
  <c r="G430" i="12"/>
  <c r="H430" i="12"/>
  <c r="I430" i="12"/>
  <c r="J430" i="12"/>
  <c r="B429" i="12"/>
  <c r="C429" i="12"/>
  <c r="D429" i="12"/>
  <c r="E429" i="12"/>
  <c r="F429" i="12"/>
  <c r="G429" i="12"/>
  <c r="H429" i="12"/>
  <c r="I429" i="12"/>
  <c r="J429" i="12"/>
  <c r="B428" i="12"/>
  <c r="C428" i="12"/>
  <c r="D428" i="12"/>
  <c r="E428" i="12"/>
  <c r="F428" i="12"/>
  <c r="G428" i="12"/>
  <c r="H428" i="12"/>
  <c r="I428" i="12"/>
  <c r="J428" i="12"/>
  <c r="B427" i="12"/>
  <c r="C427" i="12"/>
  <c r="D427" i="12"/>
  <c r="E427" i="12"/>
  <c r="F427" i="12"/>
  <c r="G427" i="12"/>
  <c r="H427" i="12"/>
  <c r="I427" i="12"/>
  <c r="J427" i="12"/>
  <c r="B426" i="12"/>
  <c r="C426" i="12"/>
  <c r="D426" i="12"/>
  <c r="E426" i="12"/>
  <c r="F426" i="12"/>
  <c r="G426" i="12"/>
  <c r="H426" i="12"/>
  <c r="I426" i="12"/>
  <c r="J426" i="12"/>
  <c r="B425" i="12"/>
  <c r="C425" i="12"/>
  <c r="D425" i="12"/>
  <c r="E425" i="12"/>
  <c r="F425" i="12"/>
  <c r="G425" i="12"/>
  <c r="H425" i="12"/>
  <c r="I425" i="12"/>
  <c r="J425" i="12"/>
  <c r="B424" i="12"/>
  <c r="C424" i="12"/>
  <c r="D424" i="12"/>
  <c r="E424" i="12"/>
  <c r="F424" i="12"/>
  <c r="G424" i="12"/>
  <c r="H424" i="12"/>
  <c r="I424" i="12"/>
  <c r="J424" i="12"/>
  <c r="B423" i="12"/>
  <c r="C423" i="12"/>
  <c r="D423" i="12"/>
  <c r="E423" i="12"/>
  <c r="F423" i="12"/>
  <c r="G423" i="12"/>
  <c r="H423" i="12"/>
  <c r="I423" i="12"/>
  <c r="J423" i="12"/>
  <c r="B422" i="12"/>
  <c r="C422" i="12"/>
  <c r="D422" i="12"/>
  <c r="E422" i="12"/>
  <c r="F422" i="12"/>
  <c r="G422" i="12"/>
  <c r="H422" i="12"/>
  <c r="I422" i="12"/>
  <c r="J422" i="12"/>
  <c r="B421" i="12"/>
  <c r="C421" i="12"/>
  <c r="D421" i="12"/>
  <c r="E421" i="12"/>
  <c r="F421" i="12"/>
  <c r="G421" i="12"/>
  <c r="H421" i="12"/>
  <c r="I421" i="12"/>
  <c r="J421" i="12"/>
  <c r="B420" i="12"/>
  <c r="C420" i="12"/>
  <c r="D420" i="12"/>
  <c r="E420" i="12"/>
  <c r="F420" i="12"/>
  <c r="G420" i="12"/>
  <c r="H420" i="12"/>
  <c r="I420" i="12"/>
  <c r="J420" i="12"/>
  <c r="B419" i="12"/>
  <c r="C419" i="12"/>
  <c r="D419" i="12"/>
  <c r="E419" i="12"/>
  <c r="F419" i="12"/>
  <c r="G419" i="12"/>
  <c r="H419" i="12"/>
  <c r="I419" i="12"/>
  <c r="J419" i="12"/>
  <c r="B418" i="12"/>
  <c r="C418" i="12"/>
  <c r="D418" i="12"/>
  <c r="E418" i="12"/>
  <c r="F418" i="12"/>
  <c r="G418" i="12"/>
  <c r="H418" i="12"/>
  <c r="I418" i="12"/>
  <c r="J418" i="12"/>
  <c r="B417" i="12"/>
  <c r="C417" i="12"/>
  <c r="D417" i="12"/>
  <c r="E417" i="12"/>
  <c r="F417" i="12"/>
  <c r="G417" i="12"/>
  <c r="H417" i="12"/>
  <c r="I417" i="12"/>
  <c r="J417" i="12"/>
  <c r="B416" i="12"/>
  <c r="C416" i="12"/>
  <c r="D416" i="12"/>
  <c r="E416" i="12"/>
  <c r="F416" i="12"/>
  <c r="G416" i="12"/>
  <c r="H416" i="12"/>
  <c r="I416" i="12"/>
  <c r="J416" i="12"/>
  <c r="B415" i="12"/>
  <c r="C415" i="12"/>
  <c r="D415" i="12"/>
  <c r="E415" i="12"/>
  <c r="F415" i="12"/>
  <c r="G415" i="12"/>
  <c r="H415" i="12"/>
  <c r="I415" i="12"/>
  <c r="J415" i="12"/>
  <c r="B414" i="12"/>
  <c r="C414" i="12"/>
  <c r="D414" i="12"/>
  <c r="E414" i="12"/>
  <c r="F414" i="12"/>
  <c r="G414" i="12"/>
  <c r="H414" i="12"/>
  <c r="I414" i="12"/>
  <c r="J414" i="12"/>
  <c r="B413" i="12"/>
  <c r="C413" i="12"/>
  <c r="D413" i="12"/>
  <c r="E413" i="12"/>
  <c r="F413" i="12"/>
  <c r="G413" i="12"/>
  <c r="H413" i="12"/>
  <c r="I413" i="12"/>
  <c r="J413" i="12"/>
  <c r="B412" i="12"/>
  <c r="C412" i="12"/>
  <c r="D412" i="12"/>
  <c r="E412" i="12"/>
  <c r="F412" i="12"/>
  <c r="G412" i="12"/>
  <c r="H412" i="12"/>
  <c r="I412" i="12"/>
  <c r="J412" i="12"/>
  <c r="B411" i="12"/>
  <c r="C411" i="12"/>
  <c r="D411" i="12"/>
  <c r="E411" i="12"/>
  <c r="F411" i="12"/>
  <c r="G411" i="12"/>
  <c r="H411" i="12"/>
  <c r="I411" i="12"/>
  <c r="J411" i="12"/>
  <c r="B410" i="12"/>
  <c r="C410" i="12"/>
  <c r="D410" i="12"/>
  <c r="E410" i="12"/>
  <c r="F410" i="12"/>
  <c r="G410" i="12"/>
  <c r="H410" i="12"/>
  <c r="I410" i="12"/>
  <c r="J410" i="12"/>
  <c r="B409" i="12"/>
  <c r="C409" i="12"/>
  <c r="D409" i="12"/>
  <c r="E409" i="12"/>
  <c r="F409" i="12"/>
  <c r="G409" i="12"/>
  <c r="H409" i="12"/>
  <c r="I409" i="12"/>
  <c r="J409" i="12"/>
  <c r="B408" i="12"/>
  <c r="C408" i="12"/>
  <c r="D408" i="12"/>
  <c r="E408" i="12"/>
  <c r="F408" i="12"/>
  <c r="G408" i="12"/>
  <c r="H408" i="12"/>
  <c r="I408" i="12"/>
  <c r="J408" i="12"/>
  <c r="B407" i="12"/>
  <c r="C407" i="12"/>
  <c r="D407" i="12"/>
  <c r="E407" i="12"/>
  <c r="F407" i="12"/>
  <c r="G407" i="12"/>
  <c r="H407" i="12"/>
  <c r="I407" i="12"/>
  <c r="J407" i="12"/>
  <c r="B406" i="12"/>
  <c r="C406" i="12"/>
  <c r="D406" i="12"/>
  <c r="E406" i="12"/>
  <c r="F406" i="12"/>
  <c r="G406" i="12"/>
  <c r="H406" i="12"/>
  <c r="I406" i="12"/>
  <c r="J406" i="12"/>
  <c r="B405" i="12"/>
  <c r="C405" i="12"/>
  <c r="D405" i="12"/>
  <c r="E405" i="12"/>
  <c r="F405" i="12"/>
  <c r="G405" i="12"/>
  <c r="H405" i="12"/>
  <c r="I405" i="12"/>
  <c r="J405" i="12"/>
  <c r="B404" i="12"/>
  <c r="C404" i="12"/>
  <c r="D404" i="12"/>
  <c r="E404" i="12"/>
  <c r="F404" i="12"/>
  <c r="G404" i="12"/>
  <c r="H404" i="12"/>
  <c r="I404" i="12"/>
  <c r="J404" i="12"/>
  <c r="B403" i="12"/>
  <c r="C403" i="12"/>
  <c r="D403" i="12"/>
  <c r="E403" i="12"/>
  <c r="F403" i="12"/>
  <c r="G403" i="12"/>
  <c r="H403" i="12"/>
  <c r="I403" i="12"/>
  <c r="J403" i="12"/>
  <c r="B122" i="3"/>
  <c r="C122" i="3"/>
  <c r="D122" i="3"/>
  <c r="E122" i="3"/>
  <c r="F122" i="3"/>
  <c r="G122" i="3"/>
  <c r="H122" i="3"/>
  <c r="I122" i="3"/>
  <c r="J122" i="3"/>
  <c r="B121" i="3"/>
  <c r="C121" i="3"/>
  <c r="D121" i="3"/>
  <c r="E121" i="3"/>
  <c r="F121" i="3"/>
  <c r="G121" i="3"/>
  <c r="H121" i="3"/>
  <c r="I121" i="3"/>
  <c r="J121" i="3"/>
  <c r="B120" i="3"/>
  <c r="C120" i="3"/>
  <c r="D120" i="3"/>
  <c r="E120" i="3"/>
  <c r="F120" i="3"/>
  <c r="G120" i="3"/>
  <c r="H120" i="3"/>
  <c r="I120" i="3"/>
  <c r="J120" i="3"/>
  <c r="B119" i="3"/>
  <c r="C119" i="3"/>
  <c r="D119" i="3"/>
  <c r="E119" i="3"/>
  <c r="F119" i="3"/>
  <c r="G119" i="3"/>
  <c r="H119" i="3"/>
  <c r="I119" i="3"/>
  <c r="J119" i="3"/>
  <c r="B118" i="3"/>
  <c r="C118" i="3"/>
  <c r="D118" i="3"/>
  <c r="E118" i="3"/>
  <c r="F118" i="3"/>
  <c r="G118" i="3"/>
  <c r="H118" i="3"/>
  <c r="I118" i="3"/>
  <c r="J118" i="3"/>
  <c r="B117" i="3"/>
  <c r="C117" i="3"/>
  <c r="D117" i="3"/>
  <c r="E117" i="3"/>
  <c r="F117" i="3"/>
  <c r="G117" i="3"/>
  <c r="H117" i="3"/>
  <c r="I117" i="3"/>
  <c r="J117" i="3"/>
  <c r="B116" i="3"/>
  <c r="C116" i="3"/>
  <c r="D116" i="3"/>
  <c r="E116" i="3"/>
  <c r="F116" i="3"/>
  <c r="G116" i="3"/>
  <c r="H116" i="3"/>
  <c r="I116" i="3"/>
  <c r="J116" i="3"/>
  <c r="B115" i="3"/>
  <c r="C115" i="3"/>
  <c r="D115" i="3"/>
  <c r="E115" i="3"/>
  <c r="F115" i="3"/>
  <c r="G115" i="3"/>
  <c r="H115" i="3"/>
  <c r="I115" i="3"/>
  <c r="J115" i="3"/>
  <c r="B402" i="12"/>
  <c r="C402" i="12"/>
  <c r="D402" i="12"/>
  <c r="E402" i="12"/>
  <c r="F402" i="12"/>
  <c r="G402" i="12"/>
  <c r="H402" i="12"/>
  <c r="I402" i="12"/>
  <c r="J402" i="12"/>
  <c r="B401" i="12"/>
  <c r="C401" i="12"/>
  <c r="D401" i="12"/>
  <c r="E401" i="12"/>
  <c r="F401" i="12"/>
  <c r="G401" i="12"/>
  <c r="H401" i="12"/>
  <c r="I401" i="12"/>
  <c r="J401" i="12"/>
  <c r="B400" i="12"/>
  <c r="C400" i="12"/>
  <c r="D400" i="12"/>
  <c r="E400" i="12"/>
  <c r="F400" i="12"/>
  <c r="G400" i="12"/>
  <c r="H400" i="12"/>
  <c r="I400" i="12"/>
  <c r="J400" i="12"/>
  <c r="B399" i="12"/>
  <c r="C399" i="12"/>
  <c r="D399" i="12"/>
  <c r="E399" i="12"/>
  <c r="F399" i="12"/>
  <c r="G399" i="12"/>
  <c r="H399" i="12"/>
  <c r="I399" i="12"/>
  <c r="J399" i="12"/>
  <c r="B398" i="12"/>
  <c r="C398" i="12"/>
  <c r="D398" i="12"/>
  <c r="E398" i="12"/>
  <c r="F398" i="12"/>
  <c r="G398" i="12"/>
  <c r="H398" i="12"/>
  <c r="I398" i="12"/>
  <c r="J398" i="12"/>
  <c r="B397" i="12"/>
  <c r="C397" i="12"/>
  <c r="D397" i="12"/>
  <c r="E397" i="12"/>
  <c r="F397" i="12"/>
  <c r="G397" i="12"/>
  <c r="H397" i="12"/>
  <c r="I397" i="12"/>
  <c r="J397" i="12"/>
  <c r="B396" i="12"/>
  <c r="C396" i="12"/>
  <c r="D396" i="12"/>
  <c r="E396" i="12"/>
  <c r="F396" i="12"/>
  <c r="G396" i="12"/>
  <c r="H396" i="12"/>
  <c r="I396" i="12"/>
  <c r="J396" i="12"/>
  <c r="B395" i="12"/>
  <c r="C395" i="12"/>
  <c r="D395" i="12"/>
  <c r="E395" i="12"/>
  <c r="F395" i="12"/>
  <c r="G395" i="12"/>
  <c r="H395" i="12"/>
  <c r="I395" i="12"/>
  <c r="J395" i="12"/>
  <c r="B394" i="12"/>
  <c r="C394" i="12"/>
  <c r="D394" i="12"/>
  <c r="E394" i="12"/>
  <c r="F394" i="12"/>
  <c r="G394" i="12"/>
  <c r="H394" i="12"/>
  <c r="I394" i="12"/>
  <c r="J394" i="12"/>
  <c r="B393" i="12"/>
  <c r="C393" i="12"/>
  <c r="D393" i="12"/>
  <c r="E393" i="12"/>
  <c r="F393" i="12"/>
  <c r="G393" i="12"/>
  <c r="H393" i="12"/>
  <c r="I393" i="12"/>
  <c r="J393" i="12"/>
  <c r="B392" i="12"/>
  <c r="C392" i="12"/>
  <c r="D392" i="12"/>
  <c r="E392" i="12"/>
  <c r="F392" i="12"/>
  <c r="G392" i="12"/>
  <c r="H392" i="12"/>
  <c r="I392" i="12"/>
  <c r="J392" i="12"/>
  <c r="B391" i="12"/>
  <c r="C391" i="12"/>
  <c r="D391" i="12"/>
  <c r="E391" i="12"/>
  <c r="F391" i="12"/>
  <c r="G391" i="12"/>
  <c r="H391" i="12"/>
  <c r="I391" i="12"/>
  <c r="J391" i="12"/>
  <c r="B390" i="12"/>
  <c r="C390" i="12"/>
  <c r="D390" i="12"/>
  <c r="E390" i="12"/>
  <c r="F390" i="12"/>
  <c r="G390" i="12"/>
  <c r="H390" i="12"/>
  <c r="I390" i="12"/>
  <c r="J390" i="12"/>
  <c r="B389" i="12"/>
  <c r="C389" i="12"/>
  <c r="D389" i="12"/>
  <c r="E389" i="12"/>
  <c r="F389" i="12"/>
  <c r="G389" i="12"/>
  <c r="H389" i="12"/>
  <c r="I389" i="12"/>
  <c r="J389" i="12"/>
  <c r="B388" i="12"/>
  <c r="C388" i="12"/>
  <c r="D388" i="12"/>
  <c r="E388" i="12"/>
  <c r="F388" i="12"/>
  <c r="G388" i="12"/>
  <c r="H388" i="12"/>
  <c r="I388" i="12"/>
  <c r="J388" i="12"/>
  <c r="B387" i="12"/>
  <c r="C387" i="12"/>
  <c r="D387" i="12"/>
  <c r="E387" i="12"/>
  <c r="F387" i="12"/>
  <c r="G387" i="12"/>
  <c r="H387" i="12"/>
  <c r="I387" i="12"/>
  <c r="J387" i="12"/>
  <c r="B386" i="12"/>
  <c r="C386" i="12"/>
  <c r="D386" i="12"/>
  <c r="E386" i="12"/>
  <c r="F386" i="12"/>
  <c r="G386" i="12"/>
  <c r="H386" i="12"/>
  <c r="I386" i="12"/>
  <c r="J386" i="12"/>
  <c r="B385" i="12"/>
  <c r="C385" i="12"/>
  <c r="D385" i="12"/>
  <c r="E385" i="12"/>
  <c r="F385" i="12"/>
  <c r="G385" i="12"/>
  <c r="H385" i="12"/>
  <c r="I385" i="12"/>
  <c r="J385" i="12"/>
  <c r="B384" i="12"/>
  <c r="C384" i="12"/>
  <c r="D384" i="12"/>
  <c r="E384" i="12"/>
  <c r="F384" i="12"/>
  <c r="G384" i="12"/>
  <c r="H384" i="12"/>
  <c r="I384" i="12"/>
  <c r="J384" i="12"/>
  <c r="B383" i="12"/>
  <c r="C383" i="12"/>
  <c r="D383" i="12"/>
  <c r="E383" i="12"/>
  <c r="F383" i="12"/>
  <c r="G383" i="12"/>
  <c r="H383" i="12"/>
  <c r="I383" i="12"/>
  <c r="J383" i="12"/>
  <c r="B382" i="12"/>
  <c r="C382" i="12"/>
  <c r="D382" i="12"/>
  <c r="E382" i="12"/>
  <c r="F382" i="12"/>
  <c r="G382" i="12"/>
  <c r="H382" i="12"/>
  <c r="I382" i="12"/>
  <c r="J382" i="12"/>
  <c r="B381" i="12"/>
  <c r="C381" i="12"/>
  <c r="D381" i="12"/>
  <c r="E381" i="12"/>
  <c r="F381" i="12"/>
  <c r="G381" i="12"/>
  <c r="H381" i="12"/>
  <c r="I381" i="12"/>
  <c r="J381" i="12"/>
  <c r="B380" i="12"/>
  <c r="C380" i="12"/>
  <c r="D380" i="12"/>
  <c r="E380" i="12"/>
  <c r="F380" i="12"/>
  <c r="G380" i="12"/>
  <c r="H380" i="12"/>
  <c r="I380" i="12"/>
  <c r="J380" i="12"/>
  <c r="B379" i="12"/>
  <c r="C379" i="12"/>
  <c r="D379" i="12"/>
  <c r="E379" i="12"/>
  <c r="F379" i="12"/>
  <c r="G379" i="12"/>
  <c r="H379" i="12"/>
  <c r="I379" i="12"/>
  <c r="J379" i="12"/>
  <c r="B378" i="12"/>
  <c r="C378" i="12"/>
  <c r="D378" i="12"/>
  <c r="E378" i="12"/>
  <c r="F378" i="12"/>
  <c r="G378" i="12"/>
  <c r="H378" i="12"/>
  <c r="I378" i="12"/>
  <c r="J378" i="12"/>
  <c r="B377" i="12"/>
  <c r="C377" i="12"/>
  <c r="D377" i="12"/>
  <c r="E377" i="12"/>
  <c r="F377" i="12"/>
  <c r="G377" i="12"/>
  <c r="H377" i="12"/>
  <c r="I377" i="12"/>
  <c r="J377" i="12"/>
  <c r="B376" i="12"/>
  <c r="C376" i="12"/>
  <c r="D376" i="12"/>
  <c r="E376" i="12"/>
  <c r="F376" i="12"/>
  <c r="G376" i="12"/>
  <c r="H376" i="12"/>
  <c r="I376" i="12"/>
  <c r="J376" i="12"/>
  <c r="B375" i="12"/>
  <c r="C375" i="12"/>
  <c r="D375" i="12"/>
  <c r="E375" i="12"/>
  <c r="F375" i="12"/>
  <c r="G375" i="12"/>
  <c r="H375" i="12"/>
  <c r="I375" i="12"/>
  <c r="J375" i="12"/>
  <c r="B374" i="12"/>
  <c r="C374" i="12"/>
  <c r="D374" i="12"/>
  <c r="E374" i="12"/>
  <c r="F374" i="12"/>
  <c r="G374" i="12"/>
  <c r="H374" i="12"/>
  <c r="I374" i="12"/>
  <c r="J374" i="12"/>
  <c r="B373" i="12"/>
  <c r="C373" i="12"/>
  <c r="D373" i="12"/>
  <c r="E373" i="12"/>
  <c r="F373" i="12"/>
  <c r="G373" i="12"/>
  <c r="H373" i="12"/>
  <c r="I373" i="12"/>
  <c r="J373" i="12"/>
  <c r="B372" i="12"/>
  <c r="C372" i="12"/>
  <c r="D372" i="12"/>
  <c r="E372" i="12"/>
  <c r="F372" i="12"/>
  <c r="G372" i="12"/>
  <c r="H372" i="12"/>
  <c r="I372" i="12"/>
  <c r="J372" i="12"/>
  <c r="B371" i="12"/>
  <c r="C371" i="12"/>
  <c r="D371" i="12"/>
  <c r="E371" i="12"/>
  <c r="F371" i="12"/>
  <c r="G371" i="12"/>
  <c r="H371" i="12"/>
  <c r="I371" i="12"/>
  <c r="J371" i="12"/>
  <c r="B370" i="12"/>
  <c r="C370" i="12"/>
  <c r="D370" i="12"/>
  <c r="E370" i="12"/>
  <c r="F370" i="12"/>
  <c r="G370" i="12"/>
  <c r="H370" i="12"/>
  <c r="I370" i="12"/>
  <c r="J370" i="12"/>
  <c r="B369" i="12"/>
  <c r="C369" i="12"/>
  <c r="D369" i="12"/>
  <c r="E369" i="12"/>
  <c r="F369" i="12"/>
  <c r="G369" i="12"/>
  <c r="H369" i="12"/>
  <c r="I369" i="12"/>
  <c r="J369" i="12"/>
  <c r="B368" i="12"/>
  <c r="C368" i="12"/>
  <c r="D368" i="12"/>
  <c r="E368" i="12"/>
  <c r="F368" i="12"/>
  <c r="G368" i="12"/>
  <c r="H368" i="12"/>
  <c r="I368" i="12"/>
  <c r="J368" i="12"/>
  <c r="B367" i="12"/>
  <c r="C367" i="12"/>
  <c r="D367" i="12"/>
  <c r="E367" i="12"/>
  <c r="F367" i="12"/>
  <c r="G367" i="12"/>
  <c r="H367" i="12"/>
  <c r="I367" i="12"/>
  <c r="J367" i="12"/>
  <c r="B366" i="12"/>
  <c r="C366" i="12"/>
  <c r="D366" i="12"/>
  <c r="E366" i="12"/>
  <c r="F366" i="12"/>
  <c r="G366" i="12"/>
  <c r="H366" i="12"/>
  <c r="I366" i="12"/>
  <c r="J366" i="12"/>
  <c r="B365" i="12"/>
  <c r="C365" i="12"/>
  <c r="D365" i="12"/>
  <c r="E365" i="12"/>
  <c r="F365" i="12"/>
  <c r="G365" i="12"/>
  <c r="H365" i="12"/>
  <c r="I365" i="12"/>
  <c r="J365" i="12"/>
  <c r="B364" i="12"/>
  <c r="C364" i="12"/>
  <c r="D364" i="12"/>
  <c r="E364" i="12"/>
  <c r="F364" i="12"/>
  <c r="G364" i="12"/>
  <c r="H364" i="12"/>
  <c r="I364" i="12"/>
  <c r="J364" i="12"/>
  <c r="B363" i="12"/>
  <c r="C363" i="12"/>
  <c r="D363" i="12"/>
  <c r="E363" i="12"/>
  <c r="F363" i="12"/>
  <c r="G363" i="12"/>
  <c r="H363" i="12"/>
  <c r="I363" i="12"/>
  <c r="J363" i="12"/>
  <c r="B362" i="12"/>
  <c r="C362" i="12"/>
  <c r="D362" i="12"/>
  <c r="E362" i="12"/>
  <c r="F362" i="12"/>
  <c r="G362" i="12"/>
  <c r="H362" i="12"/>
  <c r="I362" i="12"/>
  <c r="J362" i="12"/>
  <c r="B361" i="12"/>
  <c r="C361" i="12"/>
  <c r="D361" i="12"/>
  <c r="E361" i="12"/>
  <c r="F361" i="12"/>
  <c r="G361" i="12"/>
  <c r="H361" i="12"/>
  <c r="I361" i="12"/>
  <c r="J361" i="12"/>
  <c r="B360" i="12"/>
  <c r="C360" i="12"/>
  <c r="D360" i="12"/>
  <c r="E360" i="12"/>
  <c r="F360" i="12"/>
  <c r="G360" i="12"/>
  <c r="H360" i="12"/>
  <c r="I360" i="12"/>
  <c r="J360" i="12"/>
  <c r="B359" i="12"/>
  <c r="C359" i="12"/>
  <c r="D359" i="12"/>
  <c r="E359" i="12"/>
  <c r="F359" i="12"/>
  <c r="G359" i="12"/>
  <c r="H359" i="12"/>
  <c r="I359" i="12"/>
  <c r="J359" i="12"/>
  <c r="B358" i="12"/>
  <c r="C358" i="12"/>
  <c r="D358" i="12"/>
  <c r="E358" i="12"/>
  <c r="F358" i="12"/>
  <c r="G358" i="12"/>
  <c r="H358" i="12"/>
  <c r="I358" i="12"/>
  <c r="J358" i="12"/>
  <c r="B357" i="12"/>
  <c r="C357" i="12"/>
  <c r="D357" i="12"/>
  <c r="E357" i="12"/>
  <c r="F357" i="12"/>
  <c r="G357" i="12"/>
  <c r="H357" i="12"/>
  <c r="I357" i="12"/>
  <c r="J357" i="12"/>
  <c r="B356" i="12"/>
  <c r="C356" i="12"/>
  <c r="D356" i="12"/>
  <c r="E356" i="12"/>
  <c r="F356" i="12"/>
  <c r="G356" i="12"/>
  <c r="H356" i="12"/>
  <c r="I356" i="12"/>
  <c r="J356" i="12"/>
  <c r="B355" i="12"/>
  <c r="C355" i="12"/>
  <c r="D355" i="12"/>
  <c r="E355" i="12"/>
  <c r="F355" i="12"/>
  <c r="G355" i="12"/>
  <c r="H355" i="12"/>
  <c r="I355" i="12"/>
  <c r="J355" i="12"/>
  <c r="B354" i="12"/>
  <c r="C354" i="12"/>
  <c r="D354" i="12"/>
  <c r="E354" i="12"/>
  <c r="F354" i="12"/>
  <c r="G354" i="12"/>
  <c r="H354" i="12"/>
  <c r="I354" i="12"/>
  <c r="J354" i="12"/>
  <c r="B353" i="12"/>
  <c r="C353" i="12"/>
  <c r="D353" i="12"/>
  <c r="E353" i="12"/>
  <c r="F353" i="12"/>
  <c r="G353" i="12"/>
  <c r="H353" i="12"/>
  <c r="I353" i="12"/>
  <c r="J353" i="12"/>
  <c r="B352" i="12"/>
  <c r="C352" i="12"/>
  <c r="D352" i="12"/>
  <c r="E352" i="12"/>
  <c r="F352" i="12"/>
  <c r="G352" i="12"/>
  <c r="H352" i="12"/>
  <c r="I352" i="12"/>
  <c r="J352" i="12"/>
  <c r="B351" i="12"/>
  <c r="C351" i="12"/>
  <c r="D351" i="12"/>
  <c r="E351" i="12"/>
  <c r="F351" i="12"/>
  <c r="G351" i="12"/>
  <c r="H351" i="12"/>
  <c r="I351" i="12"/>
  <c r="J351" i="12"/>
  <c r="B350" i="12"/>
  <c r="C350" i="12"/>
  <c r="D350" i="12"/>
  <c r="E350" i="12"/>
  <c r="F350" i="12"/>
  <c r="G350" i="12"/>
  <c r="H350" i="12"/>
  <c r="I350" i="12"/>
  <c r="J350" i="12"/>
  <c r="B349" i="12"/>
  <c r="C349" i="12"/>
  <c r="D349" i="12"/>
  <c r="E349" i="12"/>
  <c r="F349" i="12"/>
  <c r="G349" i="12"/>
  <c r="H349" i="12"/>
  <c r="I349" i="12"/>
  <c r="J349" i="12"/>
  <c r="B348" i="12"/>
  <c r="C348" i="12"/>
  <c r="D348" i="12"/>
  <c r="E348" i="12"/>
  <c r="F348" i="12"/>
  <c r="G348" i="12"/>
  <c r="H348" i="12"/>
  <c r="I348" i="12"/>
  <c r="J348" i="12"/>
  <c r="B347" i="12"/>
  <c r="C347" i="12"/>
  <c r="D347" i="12"/>
  <c r="E347" i="12"/>
  <c r="F347" i="12"/>
  <c r="G347" i="12"/>
  <c r="H347" i="12"/>
  <c r="I347" i="12"/>
  <c r="J347" i="12"/>
  <c r="B346" i="12"/>
  <c r="C346" i="12"/>
  <c r="D346" i="12"/>
  <c r="E346" i="12"/>
  <c r="F346" i="12"/>
  <c r="G346" i="12"/>
  <c r="H346" i="12"/>
  <c r="I346" i="12"/>
  <c r="J346" i="12"/>
  <c r="B345" i="12"/>
  <c r="C345" i="12"/>
  <c r="D345" i="12"/>
  <c r="E345" i="12"/>
  <c r="F345" i="12"/>
  <c r="G345" i="12"/>
  <c r="H345" i="12"/>
  <c r="I345" i="12"/>
  <c r="J345" i="12"/>
  <c r="B344" i="12"/>
  <c r="C344" i="12"/>
  <c r="D344" i="12"/>
  <c r="E344" i="12"/>
  <c r="F344" i="12"/>
  <c r="G344" i="12"/>
  <c r="H344" i="12"/>
  <c r="I344" i="12"/>
  <c r="J344" i="12"/>
  <c r="B343" i="12"/>
  <c r="C343" i="12"/>
  <c r="D343" i="12"/>
  <c r="E343" i="12"/>
  <c r="F343" i="12"/>
  <c r="G343" i="12"/>
  <c r="H343" i="12"/>
  <c r="I343" i="12"/>
  <c r="J343" i="12"/>
  <c r="B342" i="12"/>
  <c r="C342" i="12"/>
  <c r="D342" i="12"/>
  <c r="E342" i="12"/>
  <c r="F342" i="12"/>
  <c r="G342" i="12"/>
  <c r="H342" i="12"/>
  <c r="I342" i="12"/>
  <c r="J342" i="12"/>
  <c r="B341" i="12"/>
  <c r="C341" i="12"/>
  <c r="D341" i="12"/>
  <c r="E341" i="12"/>
  <c r="F341" i="12"/>
  <c r="G341" i="12"/>
  <c r="H341" i="12"/>
  <c r="I341" i="12"/>
  <c r="J341" i="12"/>
  <c r="B340" i="12"/>
  <c r="C340" i="12"/>
  <c r="D340" i="12"/>
  <c r="E340" i="12"/>
  <c r="F340" i="12"/>
  <c r="G340" i="12"/>
  <c r="H340" i="12"/>
  <c r="I340" i="12"/>
  <c r="J340" i="12"/>
  <c r="B339" i="12"/>
  <c r="C339" i="12"/>
  <c r="D339" i="12"/>
  <c r="E339" i="12"/>
  <c r="F339" i="12"/>
  <c r="G339" i="12"/>
  <c r="H339" i="12"/>
  <c r="I339" i="12"/>
  <c r="J339" i="12"/>
  <c r="B338" i="12"/>
  <c r="C338" i="12"/>
  <c r="D338" i="12"/>
  <c r="E338" i="12"/>
  <c r="F338" i="12"/>
  <c r="G338" i="12"/>
  <c r="H338" i="12"/>
  <c r="I338" i="12"/>
  <c r="J338" i="12"/>
  <c r="B337" i="12"/>
  <c r="C337" i="12"/>
  <c r="D337" i="12"/>
  <c r="E337" i="12"/>
  <c r="F337" i="12"/>
  <c r="G337" i="12"/>
  <c r="H337" i="12"/>
  <c r="I337" i="12"/>
  <c r="J337" i="12"/>
  <c r="B336" i="12"/>
  <c r="C336" i="12"/>
  <c r="D336" i="12"/>
  <c r="E336" i="12"/>
  <c r="F336" i="12"/>
  <c r="G336" i="12"/>
  <c r="H336" i="12"/>
  <c r="I336" i="12"/>
  <c r="J336" i="12"/>
  <c r="B335" i="12"/>
  <c r="C335" i="12"/>
  <c r="D335" i="12"/>
  <c r="E335" i="12"/>
  <c r="F335" i="12"/>
  <c r="G335" i="12"/>
  <c r="H335" i="12"/>
  <c r="I335" i="12"/>
  <c r="J335" i="12"/>
  <c r="B334" i="12"/>
  <c r="C334" i="12"/>
  <c r="D334" i="12"/>
  <c r="E334" i="12"/>
  <c r="F334" i="12"/>
  <c r="G334" i="12"/>
  <c r="H334" i="12"/>
  <c r="I334" i="12"/>
  <c r="J334" i="12"/>
  <c r="B333" i="12"/>
  <c r="C333" i="12"/>
  <c r="D333" i="12"/>
  <c r="E333" i="12"/>
  <c r="F333" i="12"/>
  <c r="G333" i="12"/>
  <c r="H333" i="12"/>
  <c r="I333" i="12"/>
  <c r="J333" i="12"/>
  <c r="B332" i="12"/>
  <c r="C332" i="12"/>
  <c r="D332" i="12"/>
  <c r="E332" i="12"/>
  <c r="F332" i="12"/>
  <c r="G332" i="12"/>
  <c r="H332" i="12"/>
  <c r="I332" i="12"/>
  <c r="J332" i="12"/>
  <c r="B331" i="12"/>
  <c r="C331" i="12"/>
  <c r="D331" i="12"/>
  <c r="E331" i="12"/>
  <c r="F331" i="12"/>
  <c r="G331" i="12"/>
  <c r="H331" i="12"/>
  <c r="I331" i="12"/>
  <c r="J331" i="12"/>
  <c r="B330" i="12"/>
  <c r="C330" i="12"/>
  <c r="D330" i="12"/>
  <c r="E330" i="12"/>
  <c r="F330" i="12"/>
  <c r="G330" i="12"/>
  <c r="H330" i="12"/>
  <c r="I330" i="12"/>
  <c r="J330" i="12"/>
  <c r="B329" i="12"/>
  <c r="C329" i="12"/>
  <c r="D329" i="12"/>
  <c r="E329" i="12"/>
  <c r="F329" i="12"/>
  <c r="G329" i="12"/>
  <c r="H329" i="12"/>
  <c r="I329" i="12"/>
  <c r="J329" i="12"/>
  <c r="B328" i="12"/>
  <c r="C328" i="12"/>
  <c r="D328" i="12"/>
  <c r="E328" i="12"/>
  <c r="F328" i="12"/>
  <c r="G328" i="12"/>
  <c r="H328" i="12"/>
  <c r="I328" i="12"/>
  <c r="J328" i="12"/>
  <c r="B327" i="12"/>
  <c r="C327" i="12"/>
  <c r="D327" i="12"/>
  <c r="E327" i="12"/>
  <c r="F327" i="12"/>
  <c r="G327" i="12"/>
  <c r="H327" i="12"/>
  <c r="I327" i="12"/>
  <c r="J327" i="12"/>
  <c r="B326" i="12"/>
  <c r="C326" i="12"/>
  <c r="D326" i="12"/>
  <c r="E326" i="12"/>
  <c r="F326" i="12"/>
  <c r="G326" i="12"/>
  <c r="H326" i="12"/>
  <c r="I326" i="12"/>
  <c r="J326" i="12"/>
  <c r="B325" i="12"/>
  <c r="C325" i="12"/>
  <c r="D325" i="12"/>
  <c r="E325" i="12"/>
  <c r="F325" i="12"/>
  <c r="G325" i="12"/>
  <c r="H325" i="12"/>
  <c r="I325" i="12"/>
  <c r="J325" i="12"/>
  <c r="B324" i="12"/>
  <c r="C324" i="12"/>
  <c r="D324" i="12"/>
  <c r="E324" i="12"/>
  <c r="F324" i="12"/>
  <c r="G324" i="12"/>
  <c r="H324" i="12"/>
  <c r="I324" i="12"/>
  <c r="J324" i="12"/>
  <c r="B323" i="12"/>
  <c r="C323" i="12"/>
  <c r="D323" i="12"/>
  <c r="E323" i="12"/>
  <c r="F323" i="12"/>
  <c r="G323" i="12"/>
  <c r="H323" i="12"/>
  <c r="I323" i="12"/>
  <c r="J323" i="12"/>
  <c r="B114" i="3"/>
  <c r="C114" i="3"/>
  <c r="D114" i="3"/>
  <c r="E114" i="3"/>
  <c r="F114" i="3"/>
  <c r="G114" i="3"/>
  <c r="H114" i="3"/>
  <c r="I114" i="3"/>
  <c r="J114" i="3"/>
  <c r="B113" i="3"/>
  <c r="C113" i="3"/>
  <c r="D113" i="3"/>
  <c r="E113" i="3"/>
  <c r="F113" i="3"/>
  <c r="G113" i="3"/>
  <c r="H113" i="3"/>
  <c r="I113" i="3"/>
  <c r="J113" i="3"/>
  <c r="B112" i="3"/>
  <c r="C112" i="3"/>
  <c r="D112" i="3"/>
  <c r="E112" i="3"/>
  <c r="F112" i="3"/>
  <c r="G112" i="3"/>
  <c r="H112" i="3"/>
  <c r="I112" i="3"/>
  <c r="J112" i="3"/>
  <c r="B111" i="3"/>
  <c r="C111" i="3"/>
  <c r="D111" i="3"/>
  <c r="E111" i="3"/>
  <c r="F111" i="3"/>
  <c r="G111" i="3"/>
  <c r="H111" i="3"/>
  <c r="I111" i="3"/>
  <c r="J111" i="3"/>
  <c r="B110" i="3"/>
  <c r="C110" i="3"/>
  <c r="D110" i="3"/>
  <c r="E110" i="3"/>
  <c r="F110" i="3"/>
  <c r="G110" i="3"/>
  <c r="H110" i="3"/>
  <c r="I110" i="3"/>
  <c r="J110" i="3"/>
  <c r="B109" i="3"/>
  <c r="C109" i="3"/>
  <c r="D109" i="3"/>
  <c r="E109" i="3"/>
  <c r="F109" i="3"/>
  <c r="G109" i="3"/>
  <c r="H109" i="3"/>
  <c r="I109" i="3"/>
  <c r="J109" i="3"/>
  <c r="B108" i="3"/>
  <c r="C108" i="3"/>
  <c r="D108" i="3"/>
  <c r="E108" i="3"/>
  <c r="F108" i="3"/>
  <c r="G108" i="3"/>
  <c r="H108" i="3"/>
  <c r="I108" i="3"/>
  <c r="J108" i="3"/>
  <c r="B107" i="3"/>
  <c r="C107" i="3"/>
  <c r="D107" i="3"/>
  <c r="E107" i="3"/>
  <c r="F107" i="3"/>
  <c r="G107" i="3"/>
  <c r="H107" i="3"/>
  <c r="I107" i="3"/>
  <c r="J107" i="3"/>
  <c r="B322" i="12"/>
  <c r="C322" i="12"/>
  <c r="D322" i="12"/>
  <c r="E322" i="12"/>
  <c r="F322" i="12"/>
  <c r="G322" i="12"/>
  <c r="H322" i="12"/>
  <c r="I322" i="12"/>
  <c r="J322" i="12"/>
  <c r="B321" i="12"/>
  <c r="C321" i="12"/>
  <c r="D321" i="12"/>
  <c r="E321" i="12"/>
  <c r="F321" i="12"/>
  <c r="G321" i="12"/>
  <c r="H321" i="12"/>
  <c r="I321" i="12"/>
  <c r="J321" i="12"/>
  <c r="B320" i="12"/>
  <c r="C320" i="12"/>
  <c r="D320" i="12"/>
  <c r="E320" i="12"/>
  <c r="F320" i="12"/>
  <c r="G320" i="12"/>
  <c r="H320" i="12"/>
  <c r="I320" i="12"/>
  <c r="J320" i="12"/>
  <c r="B319" i="12"/>
  <c r="C319" i="12"/>
  <c r="D319" i="12"/>
  <c r="E319" i="12"/>
  <c r="F319" i="12"/>
  <c r="G319" i="12"/>
  <c r="H319" i="12"/>
  <c r="I319" i="12"/>
  <c r="J319" i="12"/>
  <c r="B318" i="12"/>
  <c r="C318" i="12"/>
  <c r="D318" i="12"/>
  <c r="E318" i="12"/>
  <c r="F318" i="12"/>
  <c r="G318" i="12"/>
  <c r="H318" i="12"/>
  <c r="I318" i="12"/>
  <c r="J318" i="12"/>
  <c r="B317" i="12"/>
  <c r="C317" i="12"/>
  <c r="D317" i="12"/>
  <c r="E317" i="12"/>
  <c r="F317" i="12"/>
  <c r="G317" i="12"/>
  <c r="H317" i="12"/>
  <c r="I317" i="12"/>
  <c r="J317" i="12"/>
  <c r="B316" i="12"/>
  <c r="C316" i="12"/>
  <c r="D316" i="12"/>
  <c r="E316" i="12"/>
  <c r="F316" i="12"/>
  <c r="G316" i="12"/>
  <c r="H316" i="12"/>
  <c r="I316" i="12"/>
  <c r="J316" i="12"/>
  <c r="B315" i="12"/>
  <c r="C315" i="12"/>
  <c r="D315" i="12"/>
  <c r="E315" i="12"/>
  <c r="F315" i="12"/>
  <c r="G315" i="12"/>
  <c r="H315" i="12"/>
  <c r="I315" i="12"/>
  <c r="J315" i="12"/>
  <c r="B314" i="12"/>
  <c r="C314" i="12"/>
  <c r="D314" i="12"/>
  <c r="E314" i="12"/>
  <c r="F314" i="12"/>
  <c r="G314" i="12"/>
  <c r="H314" i="12"/>
  <c r="I314" i="12"/>
  <c r="J314" i="12"/>
  <c r="B313" i="12"/>
  <c r="C313" i="12"/>
  <c r="D313" i="12"/>
  <c r="E313" i="12"/>
  <c r="F313" i="12"/>
  <c r="G313" i="12"/>
  <c r="H313" i="12"/>
  <c r="I313" i="12"/>
  <c r="J313" i="12"/>
  <c r="B312" i="12"/>
  <c r="C312" i="12"/>
  <c r="D312" i="12"/>
  <c r="E312" i="12"/>
  <c r="F312" i="12"/>
  <c r="G312" i="12"/>
  <c r="H312" i="12"/>
  <c r="I312" i="12"/>
  <c r="J312" i="12"/>
  <c r="B311" i="12"/>
  <c r="C311" i="12"/>
  <c r="D311" i="12"/>
  <c r="E311" i="12"/>
  <c r="F311" i="12"/>
  <c r="G311" i="12"/>
  <c r="H311" i="12"/>
  <c r="I311" i="12"/>
  <c r="J311" i="12"/>
  <c r="B310" i="12"/>
  <c r="C310" i="12"/>
  <c r="D310" i="12"/>
  <c r="E310" i="12"/>
  <c r="F310" i="12"/>
  <c r="G310" i="12"/>
  <c r="H310" i="12"/>
  <c r="I310" i="12"/>
  <c r="J310" i="12"/>
  <c r="B309" i="12"/>
  <c r="C309" i="12"/>
  <c r="D309" i="12"/>
  <c r="E309" i="12"/>
  <c r="F309" i="12"/>
  <c r="G309" i="12"/>
  <c r="H309" i="12"/>
  <c r="I309" i="12"/>
  <c r="J309" i="12"/>
  <c r="B308" i="12"/>
  <c r="C308" i="12"/>
  <c r="D308" i="12"/>
  <c r="E308" i="12"/>
  <c r="F308" i="12"/>
  <c r="G308" i="12"/>
  <c r="H308" i="12"/>
  <c r="I308" i="12"/>
  <c r="J308" i="12"/>
  <c r="B307" i="12"/>
  <c r="C307" i="12"/>
  <c r="D307" i="12"/>
  <c r="E307" i="12"/>
  <c r="F307" i="12"/>
  <c r="G307" i="12"/>
  <c r="H307" i="12"/>
  <c r="I307" i="12"/>
  <c r="J307" i="12"/>
  <c r="B306" i="12"/>
  <c r="C306" i="12"/>
  <c r="D306" i="12"/>
  <c r="E306" i="12"/>
  <c r="F306" i="12"/>
  <c r="G306" i="12"/>
  <c r="H306" i="12"/>
  <c r="I306" i="12"/>
  <c r="J306" i="12"/>
  <c r="B305" i="12"/>
  <c r="C305" i="12"/>
  <c r="D305" i="12"/>
  <c r="E305" i="12"/>
  <c r="F305" i="12"/>
  <c r="G305" i="12"/>
  <c r="H305" i="12"/>
  <c r="I305" i="12"/>
  <c r="J305" i="12"/>
  <c r="B304" i="12"/>
  <c r="C304" i="12"/>
  <c r="D304" i="12"/>
  <c r="E304" i="12"/>
  <c r="F304" i="12"/>
  <c r="G304" i="12"/>
  <c r="H304" i="12"/>
  <c r="I304" i="12"/>
  <c r="J304" i="12"/>
  <c r="B303" i="12"/>
  <c r="C303" i="12"/>
  <c r="D303" i="12"/>
  <c r="E303" i="12"/>
  <c r="F303" i="12"/>
  <c r="G303" i="12"/>
  <c r="H303" i="12"/>
  <c r="I303" i="12"/>
  <c r="J303" i="12"/>
  <c r="B302" i="12"/>
  <c r="C302" i="12"/>
  <c r="D302" i="12"/>
  <c r="E302" i="12"/>
  <c r="F302" i="12"/>
  <c r="G302" i="12"/>
  <c r="H302" i="12"/>
  <c r="I302" i="12"/>
  <c r="J302" i="12"/>
  <c r="B301" i="12"/>
  <c r="C301" i="12"/>
  <c r="D301" i="12"/>
  <c r="E301" i="12"/>
  <c r="F301" i="12"/>
  <c r="G301" i="12"/>
  <c r="H301" i="12"/>
  <c r="I301" i="12"/>
  <c r="J301" i="12"/>
  <c r="B300" i="12"/>
  <c r="C300" i="12"/>
  <c r="D300" i="12"/>
  <c r="E300" i="12"/>
  <c r="F300" i="12"/>
  <c r="G300" i="12"/>
  <c r="H300" i="12"/>
  <c r="I300" i="12"/>
  <c r="J300" i="12"/>
  <c r="B299" i="12"/>
  <c r="C299" i="12"/>
  <c r="D299" i="12"/>
  <c r="E299" i="12"/>
  <c r="F299" i="12"/>
  <c r="G299" i="12"/>
  <c r="H299" i="12"/>
  <c r="I299" i="12"/>
  <c r="J299" i="12"/>
  <c r="B298" i="12"/>
  <c r="C298" i="12"/>
  <c r="D298" i="12"/>
  <c r="E298" i="12"/>
  <c r="F298" i="12"/>
  <c r="G298" i="12"/>
  <c r="H298" i="12"/>
  <c r="I298" i="12"/>
  <c r="J298" i="12"/>
  <c r="B297" i="12"/>
  <c r="C297" i="12"/>
  <c r="D297" i="12"/>
  <c r="E297" i="12"/>
  <c r="F297" i="12"/>
  <c r="G297" i="12"/>
  <c r="H297" i="12"/>
  <c r="I297" i="12"/>
  <c r="J297" i="12"/>
  <c r="B296" i="12"/>
  <c r="C296" i="12"/>
  <c r="D296" i="12"/>
  <c r="E296" i="12"/>
  <c r="F296" i="12"/>
  <c r="G296" i="12"/>
  <c r="H296" i="12"/>
  <c r="I296" i="12"/>
  <c r="J296" i="12"/>
  <c r="B295" i="12"/>
  <c r="C295" i="12"/>
  <c r="D295" i="12"/>
  <c r="E295" i="12"/>
  <c r="F295" i="12"/>
  <c r="G295" i="12"/>
  <c r="H295" i="12"/>
  <c r="I295" i="12"/>
  <c r="J295" i="12"/>
  <c r="B294" i="12"/>
  <c r="C294" i="12"/>
  <c r="D294" i="12"/>
  <c r="E294" i="12"/>
  <c r="F294" i="12"/>
  <c r="G294" i="12"/>
  <c r="H294" i="12"/>
  <c r="I294" i="12"/>
  <c r="J294" i="12"/>
  <c r="B293" i="12"/>
  <c r="C293" i="12"/>
  <c r="D293" i="12"/>
  <c r="E293" i="12"/>
  <c r="F293" i="12"/>
  <c r="G293" i="12"/>
  <c r="H293" i="12"/>
  <c r="I293" i="12"/>
  <c r="J293" i="12"/>
  <c r="B292" i="12"/>
  <c r="C292" i="12"/>
  <c r="D292" i="12"/>
  <c r="E292" i="12"/>
  <c r="F292" i="12"/>
  <c r="G292" i="12"/>
  <c r="H292" i="12"/>
  <c r="I292" i="12"/>
  <c r="J292" i="12"/>
  <c r="B291" i="12"/>
  <c r="C291" i="12"/>
  <c r="D291" i="12"/>
  <c r="E291" i="12"/>
  <c r="F291" i="12"/>
  <c r="G291" i="12"/>
  <c r="H291" i="12"/>
  <c r="I291" i="12"/>
  <c r="J291" i="12"/>
  <c r="B290" i="12"/>
  <c r="C290" i="12"/>
  <c r="D290" i="12"/>
  <c r="E290" i="12"/>
  <c r="F290" i="12"/>
  <c r="G290" i="12"/>
  <c r="H290" i="12"/>
  <c r="I290" i="12"/>
  <c r="J290" i="12"/>
  <c r="B289" i="12"/>
  <c r="C289" i="12"/>
  <c r="D289" i="12"/>
  <c r="E289" i="12"/>
  <c r="F289" i="12"/>
  <c r="G289" i="12"/>
  <c r="H289" i="12"/>
  <c r="I289" i="12"/>
  <c r="J289" i="12"/>
  <c r="B288" i="12"/>
  <c r="C288" i="12"/>
  <c r="D288" i="12"/>
  <c r="E288" i="12"/>
  <c r="F288" i="12"/>
  <c r="G288" i="12"/>
  <c r="H288" i="12"/>
  <c r="I288" i="12"/>
  <c r="J288" i="12"/>
  <c r="B287" i="12"/>
  <c r="C287" i="12"/>
  <c r="D287" i="12"/>
  <c r="E287" i="12"/>
  <c r="F287" i="12"/>
  <c r="G287" i="12"/>
  <c r="H287" i="12"/>
  <c r="I287" i="12"/>
  <c r="J287" i="12"/>
  <c r="B286" i="12"/>
  <c r="C286" i="12"/>
  <c r="D286" i="12"/>
  <c r="E286" i="12"/>
  <c r="F286" i="12"/>
  <c r="G286" i="12"/>
  <c r="H286" i="12"/>
  <c r="I286" i="12"/>
  <c r="J286" i="12"/>
  <c r="B285" i="12"/>
  <c r="C285" i="12"/>
  <c r="D285" i="12"/>
  <c r="E285" i="12"/>
  <c r="F285" i="12"/>
  <c r="G285" i="12"/>
  <c r="H285" i="12"/>
  <c r="I285" i="12"/>
  <c r="J285" i="12"/>
  <c r="B284" i="12"/>
  <c r="C284" i="12"/>
  <c r="D284" i="12"/>
  <c r="E284" i="12"/>
  <c r="F284" i="12"/>
  <c r="G284" i="12"/>
  <c r="H284" i="12"/>
  <c r="I284" i="12"/>
  <c r="J284" i="12"/>
  <c r="B283" i="12"/>
  <c r="C283" i="12"/>
  <c r="D283" i="12"/>
  <c r="E283" i="12"/>
  <c r="F283" i="12"/>
  <c r="G283" i="12"/>
  <c r="H283" i="12"/>
  <c r="I283" i="12"/>
  <c r="J283" i="12"/>
  <c r="B282" i="12"/>
  <c r="C282" i="12"/>
  <c r="D282" i="12"/>
  <c r="E282" i="12"/>
  <c r="F282" i="12"/>
  <c r="G282" i="12"/>
  <c r="H282" i="12"/>
  <c r="I282" i="12"/>
  <c r="J282" i="12"/>
  <c r="B281" i="12"/>
  <c r="C281" i="12"/>
  <c r="D281" i="12"/>
  <c r="E281" i="12"/>
  <c r="F281" i="12"/>
  <c r="G281" i="12"/>
  <c r="H281" i="12"/>
  <c r="I281" i="12"/>
  <c r="J281" i="12"/>
  <c r="B280" i="12"/>
  <c r="C280" i="12"/>
  <c r="D280" i="12"/>
  <c r="E280" i="12"/>
  <c r="F280" i="12"/>
  <c r="G280" i="12"/>
  <c r="H280" i="12"/>
  <c r="I280" i="12"/>
  <c r="J280" i="12"/>
  <c r="B279" i="12"/>
  <c r="C279" i="12"/>
  <c r="D279" i="12"/>
  <c r="E279" i="12"/>
  <c r="F279" i="12"/>
  <c r="G279" i="12"/>
  <c r="H279" i="12"/>
  <c r="I279" i="12"/>
  <c r="J279" i="12"/>
  <c r="B278" i="12"/>
  <c r="C278" i="12"/>
  <c r="D278" i="12"/>
  <c r="E278" i="12"/>
  <c r="F278" i="12"/>
  <c r="G278" i="12"/>
  <c r="H278" i="12"/>
  <c r="I278" i="12"/>
  <c r="J278" i="12"/>
  <c r="B277" i="12"/>
  <c r="C277" i="12"/>
  <c r="D277" i="12"/>
  <c r="E277" i="12"/>
  <c r="F277" i="12"/>
  <c r="G277" i="12"/>
  <c r="H277" i="12"/>
  <c r="I277" i="12"/>
  <c r="J277" i="12"/>
  <c r="B276" i="12"/>
  <c r="C276" i="12"/>
  <c r="D276" i="12"/>
  <c r="E276" i="12"/>
  <c r="F276" i="12"/>
  <c r="G276" i="12"/>
  <c r="H276" i="12"/>
  <c r="I276" i="12"/>
  <c r="J276" i="12"/>
  <c r="B275" i="12"/>
  <c r="C275" i="12"/>
  <c r="D275" i="12"/>
  <c r="E275" i="12"/>
  <c r="F275" i="12"/>
  <c r="G275" i="12"/>
  <c r="H275" i="12"/>
  <c r="I275" i="12"/>
  <c r="J275" i="12"/>
  <c r="B274" i="12"/>
  <c r="C274" i="12"/>
  <c r="D274" i="12"/>
  <c r="E274" i="12"/>
  <c r="F274" i="12"/>
  <c r="G274" i="12"/>
  <c r="H274" i="12"/>
  <c r="I274" i="12"/>
  <c r="J274" i="12"/>
  <c r="B273" i="12"/>
  <c r="C273" i="12"/>
  <c r="D273" i="12"/>
  <c r="E273" i="12"/>
  <c r="F273" i="12"/>
  <c r="G273" i="12"/>
  <c r="H273" i="12"/>
  <c r="I273" i="12"/>
  <c r="J273" i="12"/>
  <c r="B272" i="12"/>
  <c r="C272" i="12"/>
  <c r="D272" i="12"/>
  <c r="E272" i="12"/>
  <c r="F272" i="12"/>
  <c r="G272" i="12"/>
  <c r="H272" i="12"/>
  <c r="I272" i="12"/>
  <c r="J272" i="12"/>
  <c r="B271" i="12"/>
  <c r="C271" i="12"/>
  <c r="D271" i="12"/>
  <c r="E271" i="12"/>
  <c r="F271" i="12"/>
  <c r="G271" i="12"/>
  <c r="H271" i="12"/>
  <c r="I271" i="12"/>
  <c r="J271" i="12"/>
  <c r="B270" i="12"/>
  <c r="C270" i="12"/>
  <c r="D270" i="12"/>
  <c r="E270" i="12"/>
  <c r="F270" i="12"/>
  <c r="G270" i="12"/>
  <c r="H270" i="12"/>
  <c r="I270" i="12"/>
  <c r="J270" i="12"/>
  <c r="B269" i="12"/>
  <c r="C269" i="12"/>
  <c r="D269" i="12"/>
  <c r="E269" i="12"/>
  <c r="F269" i="12"/>
  <c r="G269" i="12"/>
  <c r="H269" i="12"/>
  <c r="I269" i="12"/>
  <c r="J269" i="12"/>
  <c r="B268" i="12"/>
  <c r="C268" i="12"/>
  <c r="D268" i="12"/>
  <c r="E268" i="12"/>
  <c r="F268" i="12"/>
  <c r="G268" i="12"/>
  <c r="H268" i="12"/>
  <c r="I268" i="12"/>
  <c r="J268" i="12"/>
  <c r="B267" i="12"/>
  <c r="C267" i="12"/>
  <c r="D267" i="12"/>
  <c r="E267" i="12"/>
  <c r="F267" i="12"/>
  <c r="G267" i="12"/>
  <c r="H267" i="12"/>
  <c r="I267" i="12"/>
  <c r="J267" i="12"/>
  <c r="B266" i="12"/>
  <c r="C266" i="12"/>
  <c r="D266" i="12"/>
  <c r="E266" i="12"/>
  <c r="F266" i="12"/>
  <c r="G266" i="12"/>
  <c r="H266" i="12"/>
  <c r="I266" i="12"/>
  <c r="J266" i="12"/>
  <c r="B265" i="12"/>
  <c r="C265" i="12"/>
  <c r="D265" i="12"/>
  <c r="E265" i="12"/>
  <c r="F265" i="12"/>
  <c r="G265" i="12"/>
  <c r="H265" i="12"/>
  <c r="I265" i="12"/>
  <c r="J265" i="12"/>
  <c r="B264" i="12"/>
  <c r="C264" i="12"/>
  <c r="D264" i="12"/>
  <c r="E264" i="12"/>
  <c r="F264" i="12"/>
  <c r="G264" i="12"/>
  <c r="H264" i="12"/>
  <c r="I264" i="12"/>
  <c r="J264" i="12"/>
  <c r="B263" i="12"/>
  <c r="C263" i="12"/>
  <c r="D263" i="12"/>
  <c r="E263" i="12"/>
  <c r="F263" i="12"/>
  <c r="G263" i="12"/>
  <c r="H263" i="12"/>
  <c r="I263" i="12"/>
  <c r="J263" i="12"/>
  <c r="B262" i="12"/>
  <c r="C262" i="12"/>
  <c r="D262" i="12"/>
  <c r="E262" i="12"/>
  <c r="F262" i="12"/>
  <c r="G262" i="12"/>
  <c r="H262" i="12"/>
  <c r="I262" i="12"/>
  <c r="J262" i="12"/>
  <c r="B261" i="12"/>
  <c r="C261" i="12"/>
  <c r="D261" i="12"/>
  <c r="E261" i="12"/>
  <c r="F261" i="12"/>
  <c r="G261" i="12"/>
  <c r="H261" i="12"/>
  <c r="I261" i="12"/>
  <c r="J261" i="12"/>
  <c r="B260" i="12"/>
  <c r="C260" i="12"/>
  <c r="D260" i="12"/>
  <c r="E260" i="12"/>
  <c r="F260" i="12"/>
  <c r="G260" i="12"/>
  <c r="H260" i="12"/>
  <c r="I260" i="12"/>
  <c r="J260" i="12"/>
  <c r="B259" i="12"/>
  <c r="C259" i="12"/>
  <c r="D259" i="12"/>
  <c r="E259" i="12"/>
  <c r="F259" i="12"/>
  <c r="G259" i="12"/>
  <c r="H259" i="12"/>
  <c r="I259" i="12"/>
  <c r="J259" i="12"/>
  <c r="B258" i="12"/>
  <c r="C258" i="12"/>
  <c r="D258" i="12"/>
  <c r="E258" i="12"/>
  <c r="F258" i="12"/>
  <c r="G258" i="12"/>
  <c r="H258" i="12"/>
  <c r="I258" i="12"/>
  <c r="J258" i="12"/>
  <c r="B257" i="12"/>
  <c r="C257" i="12"/>
  <c r="D257" i="12"/>
  <c r="E257" i="12"/>
  <c r="F257" i="12"/>
  <c r="G257" i="12"/>
  <c r="H257" i="12"/>
  <c r="I257" i="12"/>
  <c r="J257" i="12"/>
  <c r="B256" i="12"/>
  <c r="C256" i="12"/>
  <c r="D256" i="12"/>
  <c r="E256" i="12"/>
  <c r="F256" i="12"/>
  <c r="G256" i="12"/>
  <c r="H256" i="12"/>
  <c r="I256" i="12"/>
  <c r="J256" i="12"/>
  <c r="B255" i="12"/>
  <c r="C255" i="12"/>
  <c r="D255" i="12"/>
  <c r="E255" i="12"/>
  <c r="F255" i="12"/>
  <c r="G255" i="12"/>
  <c r="H255" i="12"/>
  <c r="I255" i="12"/>
  <c r="J255" i="12"/>
  <c r="B254" i="12"/>
  <c r="C254" i="12"/>
  <c r="D254" i="12"/>
  <c r="E254" i="12"/>
  <c r="F254" i="12"/>
  <c r="G254" i="12"/>
  <c r="H254" i="12"/>
  <c r="I254" i="12"/>
  <c r="J254" i="12"/>
  <c r="B253" i="12"/>
  <c r="C253" i="12"/>
  <c r="D253" i="12"/>
  <c r="E253" i="12"/>
  <c r="F253" i="12"/>
  <c r="G253" i="12"/>
  <c r="H253" i="12"/>
  <c r="I253" i="12"/>
  <c r="J253" i="12"/>
  <c r="B252" i="12"/>
  <c r="C252" i="12"/>
  <c r="D252" i="12"/>
  <c r="E252" i="12"/>
  <c r="F252" i="12"/>
  <c r="G252" i="12"/>
  <c r="H252" i="12"/>
  <c r="I252" i="12"/>
  <c r="J252" i="12"/>
  <c r="B251" i="12"/>
  <c r="C251" i="12"/>
  <c r="D251" i="12"/>
  <c r="E251" i="12"/>
  <c r="F251" i="12"/>
  <c r="G251" i="12"/>
  <c r="H251" i="12"/>
  <c r="I251" i="12"/>
  <c r="J251" i="12"/>
  <c r="B250" i="12"/>
  <c r="C250" i="12"/>
  <c r="D250" i="12"/>
  <c r="E250" i="12"/>
  <c r="F250" i="12"/>
  <c r="G250" i="12"/>
  <c r="H250" i="12"/>
  <c r="I250" i="12"/>
  <c r="J250" i="12"/>
  <c r="B249" i="12"/>
  <c r="C249" i="12"/>
  <c r="D249" i="12"/>
  <c r="E249" i="12"/>
  <c r="F249" i="12"/>
  <c r="G249" i="12"/>
  <c r="H249" i="12"/>
  <c r="I249" i="12"/>
  <c r="J249" i="12"/>
  <c r="B248" i="12"/>
  <c r="C248" i="12"/>
  <c r="D248" i="12"/>
  <c r="E248" i="12"/>
  <c r="F248" i="12"/>
  <c r="G248" i="12"/>
  <c r="H248" i="12"/>
  <c r="I248" i="12"/>
  <c r="J248" i="12"/>
  <c r="B247" i="12"/>
  <c r="C247" i="12"/>
  <c r="D247" i="12"/>
  <c r="E247" i="12"/>
  <c r="F247" i="12"/>
  <c r="G247" i="12"/>
  <c r="H247" i="12"/>
  <c r="I247" i="12"/>
  <c r="J247" i="12"/>
  <c r="B246" i="12"/>
  <c r="C246" i="12"/>
  <c r="D246" i="12"/>
  <c r="E246" i="12"/>
  <c r="F246" i="12"/>
  <c r="G246" i="12"/>
  <c r="H246" i="12"/>
  <c r="I246" i="12"/>
  <c r="J246" i="12"/>
  <c r="B245" i="12"/>
  <c r="C245" i="12"/>
  <c r="D245" i="12"/>
  <c r="E245" i="12"/>
  <c r="F245" i="12"/>
  <c r="G245" i="12"/>
  <c r="H245" i="12"/>
  <c r="I245" i="12"/>
  <c r="J245" i="12"/>
  <c r="B244" i="12"/>
  <c r="C244" i="12"/>
  <c r="D244" i="12"/>
  <c r="E244" i="12"/>
  <c r="F244" i="12"/>
  <c r="G244" i="12"/>
  <c r="H244" i="12"/>
  <c r="I244" i="12"/>
  <c r="J244" i="12"/>
  <c r="B243" i="12"/>
  <c r="C243" i="12"/>
  <c r="D243" i="12"/>
  <c r="E243" i="12"/>
  <c r="F243" i="12"/>
  <c r="G243" i="12"/>
  <c r="H243" i="12"/>
  <c r="I243" i="12"/>
  <c r="J243" i="12"/>
  <c r="B106" i="3"/>
  <c r="C106" i="3"/>
  <c r="D106" i="3"/>
  <c r="E106" i="3"/>
  <c r="F106" i="3"/>
  <c r="G106" i="3"/>
  <c r="H106" i="3"/>
  <c r="I106" i="3"/>
  <c r="J106" i="3"/>
  <c r="B105" i="3"/>
  <c r="C105" i="3"/>
  <c r="D105" i="3"/>
  <c r="E105" i="3"/>
  <c r="F105" i="3"/>
  <c r="G105" i="3"/>
  <c r="H105" i="3"/>
  <c r="I105" i="3"/>
  <c r="J105" i="3"/>
  <c r="B104" i="3"/>
  <c r="C104" i="3"/>
  <c r="D104" i="3"/>
  <c r="E104" i="3"/>
  <c r="F104" i="3"/>
  <c r="G104" i="3"/>
  <c r="H104" i="3"/>
  <c r="I104" i="3"/>
  <c r="J104" i="3"/>
  <c r="B103" i="3"/>
  <c r="C103" i="3"/>
  <c r="D103" i="3"/>
  <c r="E103" i="3"/>
  <c r="F103" i="3"/>
  <c r="G103" i="3"/>
  <c r="H103" i="3"/>
  <c r="I103" i="3"/>
  <c r="J103" i="3"/>
  <c r="B102" i="3"/>
  <c r="C102" i="3"/>
  <c r="D102" i="3"/>
  <c r="E102" i="3"/>
  <c r="F102" i="3"/>
  <c r="G102" i="3"/>
  <c r="H102" i="3"/>
  <c r="I102" i="3"/>
  <c r="J102" i="3"/>
  <c r="B101" i="3"/>
  <c r="C101" i="3"/>
  <c r="D101" i="3"/>
  <c r="E101" i="3"/>
  <c r="F101" i="3"/>
  <c r="G101" i="3"/>
  <c r="H101" i="3"/>
  <c r="I101" i="3"/>
  <c r="J101" i="3"/>
  <c r="B100" i="3"/>
  <c r="C100" i="3"/>
  <c r="D100" i="3"/>
  <c r="E100" i="3"/>
  <c r="F100" i="3"/>
  <c r="G100" i="3"/>
  <c r="H100" i="3"/>
  <c r="I100" i="3"/>
  <c r="J100" i="3"/>
  <c r="B99" i="3"/>
  <c r="C99" i="3"/>
  <c r="D99" i="3"/>
  <c r="E99" i="3"/>
  <c r="F99" i="3"/>
  <c r="G99" i="3"/>
  <c r="H99" i="3"/>
  <c r="I99" i="3"/>
  <c r="J99" i="3"/>
  <c r="B242" i="12"/>
  <c r="C242" i="12"/>
  <c r="D242" i="12"/>
  <c r="E242" i="12"/>
  <c r="F242" i="12"/>
  <c r="G242" i="12"/>
  <c r="H242" i="12"/>
  <c r="I242" i="12"/>
  <c r="J242" i="12"/>
  <c r="B241" i="12"/>
  <c r="C241" i="12"/>
  <c r="D241" i="12"/>
  <c r="E241" i="12"/>
  <c r="F241" i="12"/>
  <c r="G241" i="12"/>
  <c r="H241" i="12"/>
  <c r="I241" i="12"/>
  <c r="J241" i="12"/>
  <c r="B240" i="12"/>
  <c r="C240" i="12"/>
  <c r="D240" i="12"/>
  <c r="E240" i="12"/>
  <c r="F240" i="12"/>
  <c r="G240" i="12"/>
  <c r="H240" i="12"/>
  <c r="I240" i="12"/>
  <c r="J240" i="12"/>
  <c r="B239" i="12"/>
  <c r="C239" i="12"/>
  <c r="D239" i="12"/>
  <c r="E239" i="12"/>
  <c r="F239" i="12"/>
  <c r="G239" i="12"/>
  <c r="H239" i="12"/>
  <c r="I239" i="12"/>
  <c r="J239" i="12"/>
  <c r="B238" i="12"/>
  <c r="C238" i="12"/>
  <c r="D238" i="12"/>
  <c r="E238" i="12"/>
  <c r="F238" i="12"/>
  <c r="G238" i="12"/>
  <c r="H238" i="12"/>
  <c r="I238" i="12"/>
  <c r="J238" i="12"/>
  <c r="B237" i="12"/>
  <c r="C237" i="12"/>
  <c r="D237" i="12"/>
  <c r="E237" i="12"/>
  <c r="F237" i="12"/>
  <c r="G237" i="12"/>
  <c r="H237" i="12"/>
  <c r="I237" i="12"/>
  <c r="J237" i="12"/>
  <c r="B236" i="12"/>
  <c r="C236" i="12"/>
  <c r="D236" i="12"/>
  <c r="E236" i="12"/>
  <c r="F236" i="12"/>
  <c r="G236" i="12"/>
  <c r="H236" i="12"/>
  <c r="I236" i="12"/>
  <c r="J236" i="12"/>
  <c r="B235" i="12"/>
  <c r="C235" i="12"/>
  <c r="D235" i="12"/>
  <c r="E235" i="12"/>
  <c r="F235" i="12"/>
  <c r="G235" i="12"/>
  <c r="H235" i="12"/>
  <c r="I235" i="12"/>
  <c r="J235" i="12"/>
  <c r="B234" i="12"/>
  <c r="C234" i="12"/>
  <c r="D234" i="12"/>
  <c r="E234" i="12"/>
  <c r="F234" i="12"/>
  <c r="G234" i="12"/>
  <c r="H234" i="12"/>
  <c r="I234" i="12"/>
  <c r="J234" i="12"/>
  <c r="B233" i="12"/>
  <c r="C233" i="12"/>
  <c r="D233" i="12"/>
  <c r="E233" i="12"/>
  <c r="F233" i="12"/>
  <c r="G233" i="12"/>
  <c r="H233" i="12"/>
  <c r="I233" i="12"/>
  <c r="J233" i="12"/>
  <c r="B232" i="12"/>
  <c r="C232" i="12"/>
  <c r="D232" i="12"/>
  <c r="E232" i="12"/>
  <c r="F232" i="12"/>
  <c r="G232" i="12"/>
  <c r="H232" i="12"/>
  <c r="I232" i="12"/>
  <c r="J232" i="12"/>
  <c r="B231" i="12"/>
  <c r="C231" i="12"/>
  <c r="D231" i="12"/>
  <c r="E231" i="12"/>
  <c r="F231" i="12"/>
  <c r="G231" i="12"/>
  <c r="H231" i="12"/>
  <c r="I231" i="12"/>
  <c r="J231" i="12"/>
  <c r="B230" i="12"/>
  <c r="C230" i="12"/>
  <c r="D230" i="12"/>
  <c r="E230" i="12"/>
  <c r="F230" i="12"/>
  <c r="G230" i="12"/>
  <c r="H230" i="12"/>
  <c r="I230" i="12"/>
  <c r="J230" i="12"/>
  <c r="B229" i="12"/>
  <c r="C229" i="12"/>
  <c r="D229" i="12"/>
  <c r="E229" i="12"/>
  <c r="F229" i="12"/>
  <c r="G229" i="12"/>
  <c r="H229" i="12"/>
  <c r="I229" i="12"/>
  <c r="J229" i="12"/>
  <c r="B228" i="12"/>
  <c r="C228" i="12"/>
  <c r="D228" i="12"/>
  <c r="E228" i="12"/>
  <c r="F228" i="12"/>
  <c r="G228" i="12"/>
  <c r="H228" i="12"/>
  <c r="I228" i="12"/>
  <c r="J228" i="12"/>
  <c r="B227" i="12"/>
  <c r="C227" i="12"/>
  <c r="D227" i="12"/>
  <c r="E227" i="12"/>
  <c r="F227" i="12"/>
  <c r="G227" i="12"/>
  <c r="H227" i="12"/>
  <c r="I227" i="12"/>
  <c r="J227" i="12"/>
  <c r="B226" i="12"/>
  <c r="C226" i="12"/>
  <c r="D226" i="12"/>
  <c r="E226" i="12"/>
  <c r="F226" i="12"/>
  <c r="G226" i="12"/>
  <c r="H226" i="12"/>
  <c r="I226" i="12"/>
  <c r="J226" i="12"/>
  <c r="B225" i="12"/>
  <c r="C225" i="12"/>
  <c r="D225" i="12"/>
  <c r="E225" i="12"/>
  <c r="F225" i="12"/>
  <c r="G225" i="12"/>
  <c r="H225" i="12"/>
  <c r="I225" i="12"/>
  <c r="J225" i="12"/>
  <c r="B224" i="12"/>
  <c r="C224" i="12"/>
  <c r="D224" i="12"/>
  <c r="E224" i="12"/>
  <c r="F224" i="12"/>
  <c r="G224" i="12"/>
  <c r="H224" i="12"/>
  <c r="I224" i="12"/>
  <c r="J224" i="12"/>
  <c r="B223" i="12"/>
  <c r="C223" i="12"/>
  <c r="D223" i="12"/>
  <c r="E223" i="12"/>
  <c r="F223" i="12"/>
  <c r="G223" i="12"/>
  <c r="H223" i="12"/>
  <c r="I223" i="12"/>
  <c r="J223" i="12"/>
  <c r="B222" i="12"/>
  <c r="C222" i="12"/>
  <c r="D222" i="12"/>
  <c r="E222" i="12"/>
  <c r="F222" i="12"/>
  <c r="G222" i="12"/>
  <c r="H222" i="12"/>
  <c r="I222" i="12"/>
  <c r="J222" i="12"/>
  <c r="B221" i="12"/>
  <c r="C221" i="12"/>
  <c r="D221" i="12"/>
  <c r="E221" i="12"/>
  <c r="F221" i="12"/>
  <c r="G221" i="12"/>
  <c r="H221" i="12"/>
  <c r="I221" i="12"/>
  <c r="J221" i="12"/>
  <c r="B220" i="12"/>
  <c r="C220" i="12"/>
  <c r="D220" i="12"/>
  <c r="E220" i="12"/>
  <c r="F220" i="12"/>
  <c r="G220" i="12"/>
  <c r="H220" i="12"/>
  <c r="I220" i="12"/>
  <c r="J220" i="12"/>
  <c r="B219" i="12"/>
  <c r="C219" i="12"/>
  <c r="D219" i="12"/>
  <c r="E219" i="12"/>
  <c r="F219" i="12"/>
  <c r="G219" i="12"/>
  <c r="H219" i="12"/>
  <c r="I219" i="12"/>
  <c r="J219" i="12"/>
  <c r="B218" i="12"/>
  <c r="C218" i="12"/>
  <c r="D218" i="12"/>
  <c r="E218" i="12"/>
  <c r="F218" i="12"/>
  <c r="G218" i="12"/>
  <c r="H218" i="12"/>
  <c r="I218" i="12"/>
  <c r="J218" i="12"/>
  <c r="B217" i="12"/>
  <c r="C217" i="12"/>
  <c r="D217" i="12"/>
  <c r="E217" i="12"/>
  <c r="F217" i="12"/>
  <c r="G217" i="12"/>
  <c r="H217" i="12"/>
  <c r="I217" i="12"/>
  <c r="J217" i="12"/>
  <c r="B216" i="12"/>
  <c r="C216" i="12"/>
  <c r="D216" i="12"/>
  <c r="E216" i="12"/>
  <c r="F216" i="12"/>
  <c r="G216" i="12"/>
  <c r="H216" i="12"/>
  <c r="I216" i="12"/>
  <c r="J216" i="12"/>
  <c r="B215" i="12"/>
  <c r="C215" i="12"/>
  <c r="D215" i="12"/>
  <c r="E215" i="12"/>
  <c r="F215" i="12"/>
  <c r="G215" i="12"/>
  <c r="H215" i="12"/>
  <c r="I215" i="12"/>
  <c r="J215" i="12"/>
  <c r="B214" i="12"/>
  <c r="C214" i="12"/>
  <c r="D214" i="12"/>
  <c r="E214" i="12"/>
  <c r="F214" i="12"/>
  <c r="G214" i="12"/>
  <c r="H214" i="12"/>
  <c r="I214" i="12"/>
  <c r="J214" i="12"/>
  <c r="B213" i="12"/>
  <c r="C213" i="12"/>
  <c r="D213" i="12"/>
  <c r="E213" i="12"/>
  <c r="F213" i="12"/>
  <c r="G213" i="12"/>
  <c r="H213" i="12"/>
  <c r="I213" i="12"/>
  <c r="J213" i="12"/>
  <c r="B212" i="12"/>
  <c r="C212" i="12"/>
  <c r="D212" i="12"/>
  <c r="E212" i="12"/>
  <c r="F212" i="12"/>
  <c r="G212" i="12"/>
  <c r="H212" i="12"/>
  <c r="I212" i="12"/>
  <c r="J212" i="12"/>
  <c r="B211" i="12"/>
  <c r="C211" i="12"/>
  <c r="D211" i="12"/>
  <c r="E211" i="12"/>
  <c r="F211" i="12"/>
  <c r="G211" i="12"/>
  <c r="H211" i="12"/>
  <c r="I211" i="12"/>
  <c r="J211" i="12"/>
  <c r="B210" i="12"/>
  <c r="C210" i="12"/>
  <c r="D210" i="12"/>
  <c r="E210" i="12"/>
  <c r="F210" i="12"/>
  <c r="G210" i="12"/>
  <c r="H210" i="12"/>
  <c r="I210" i="12"/>
  <c r="J210" i="12"/>
  <c r="B209" i="12"/>
  <c r="C209" i="12"/>
  <c r="D209" i="12"/>
  <c r="E209" i="12"/>
  <c r="F209" i="12"/>
  <c r="G209" i="12"/>
  <c r="H209" i="12"/>
  <c r="I209" i="12"/>
  <c r="J209" i="12"/>
  <c r="B208" i="12"/>
  <c r="C208" i="12"/>
  <c r="D208" i="12"/>
  <c r="E208" i="12"/>
  <c r="F208" i="12"/>
  <c r="G208" i="12"/>
  <c r="H208" i="12"/>
  <c r="I208" i="12"/>
  <c r="J208" i="12"/>
  <c r="B207" i="12"/>
  <c r="C207" i="12"/>
  <c r="D207" i="12"/>
  <c r="E207" i="12"/>
  <c r="F207" i="12"/>
  <c r="G207" i="12"/>
  <c r="H207" i="12"/>
  <c r="I207" i="12"/>
  <c r="J207" i="12"/>
  <c r="B206" i="12"/>
  <c r="C206" i="12"/>
  <c r="D206" i="12"/>
  <c r="E206" i="12"/>
  <c r="F206" i="12"/>
  <c r="G206" i="12"/>
  <c r="H206" i="12"/>
  <c r="I206" i="12"/>
  <c r="J206" i="12"/>
  <c r="B205" i="12"/>
  <c r="C205" i="12"/>
  <c r="D205" i="12"/>
  <c r="E205" i="12"/>
  <c r="F205" i="12"/>
  <c r="G205" i="12"/>
  <c r="H205" i="12"/>
  <c r="I205" i="12"/>
  <c r="J205" i="12"/>
  <c r="B204" i="12"/>
  <c r="C204" i="12"/>
  <c r="D204" i="12"/>
  <c r="E204" i="12"/>
  <c r="F204" i="12"/>
  <c r="G204" i="12"/>
  <c r="H204" i="12"/>
  <c r="I204" i="12"/>
  <c r="J204" i="12"/>
  <c r="B203" i="12"/>
  <c r="C203" i="12"/>
  <c r="D203" i="12"/>
  <c r="E203" i="12"/>
  <c r="F203" i="12"/>
  <c r="G203" i="12"/>
  <c r="H203" i="12"/>
  <c r="I203" i="12"/>
  <c r="J203" i="12"/>
  <c r="B202" i="12"/>
  <c r="C202" i="12"/>
  <c r="D202" i="12"/>
  <c r="E202" i="12"/>
  <c r="F202" i="12"/>
  <c r="G202" i="12"/>
  <c r="H202" i="12"/>
  <c r="I202" i="12"/>
  <c r="J202" i="12"/>
  <c r="B201" i="12"/>
  <c r="C201" i="12"/>
  <c r="D201" i="12"/>
  <c r="E201" i="12"/>
  <c r="F201" i="12"/>
  <c r="G201" i="12"/>
  <c r="H201" i="12"/>
  <c r="I201" i="12"/>
  <c r="J201" i="12"/>
  <c r="B200" i="12"/>
  <c r="C200" i="12"/>
  <c r="D200" i="12"/>
  <c r="E200" i="12"/>
  <c r="F200" i="12"/>
  <c r="G200" i="12"/>
  <c r="H200" i="12"/>
  <c r="I200" i="12"/>
  <c r="J200" i="12"/>
  <c r="B199" i="12"/>
  <c r="C199" i="12"/>
  <c r="D199" i="12"/>
  <c r="E199" i="12"/>
  <c r="F199" i="12"/>
  <c r="G199" i="12"/>
  <c r="H199" i="12"/>
  <c r="I199" i="12"/>
  <c r="J199" i="12"/>
  <c r="B198" i="12"/>
  <c r="C198" i="12"/>
  <c r="D198" i="12"/>
  <c r="E198" i="12"/>
  <c r="F198" i="12"/>
  <c r="G198" i="12"/>
  <c r="H198" i="12"/>
  <c r="I198" i="12"/>
  <c r="J198" i="12"/>
  <c r="B197" i="12"/>
  <c r="C197" i="12"/>
  <c r="D197" i="12"/>
  <c r="E197" i="12"/>
  <c r="F197" i="12"/>
  <c r="G197" i="12"/>
  <c r="H197" i="12"/>
  <c r="I197" i="12"/>
  <c r="J197" i="12"/>
  <c r="B196" i="12"/>
  <c r="C196" i="12"/>
  <c r="D196" i="12"/>
  <c r="E196" i="12"/>
  <c r="F196" i="12"/>
  <c r="G196" i="12"/>
  <c r="H196" i="12"/>
  <c r="I196" i="12"/>
  <c r="J196" i="12"/>
  <c r="B195" i="12"/>
  <c r="C195" i="12"/>
  <c r="D195" i="12"/>
  <c r="E195" i="12"/>
  <c r="F195" i="12"/>
  <c r="G195" i="12"/>
  <c r="H195" i="12"/>
  <c r="I195" i="12"/>
  <c r="J195" i="12"/>
  <c r="B194" i="12"/>
  <c r="C194" i="12"/>
  <c r="D194" i="12"/>
  <c r="E194" i="12"/>
  <c r="F194" i="12"/>
  <c r="G194" i="12"/>
  <c r="H194" i="12"/>
  <c r="I194" i="12"/>
  <c r="J194" i="12"/>
  <c r="B193" i="12"/>
  <c r="C193" i="12"/>
  <c r="D193" i="12"/>
  <c r="E193" i="12"/>
  <c r="F193" i="12"/>
  <c r="G193" i="12"/>
  <c r="H193" i="12"/>
  <c r="I193" i="12"/>
  <c r="J193" i="12"/>
  <c r="B192" i="12"/>
  <c r="C192" i="12"/>
  <c r="D192" i="12"/>
  <c r="E192" i="12"/>
  <c r="F192" i="12"/>
  <c r="G192" i="12"/>
  <c r="H192" i="12"/>
  <c r="I192" i="12"/>
  <c r="J192" i="12"/>
  <c r="B191" i="12"/>
  <c r="C191" i="12"/>
  <c r="D191" i="12"/>
  <c r="E191" i="12"/>
  <c r="F191" i="12"/>
  <c r="G191" i="12"/>
  <c r="H191" i="12"/>
  <c r="I191" i="12"/>
  <c r="J191" i="12"/>
  <c r="B190" i="12"/>
  <c r="C190" i="12"/>
  <c r="D190" i="12"/>
  <c r="E190" i="12"/>
  <c r="F190" i="12"/>
  <c r="G190" i="12"/>
  <c r="H190" i="12"/>
  <c r="I190" i="12"/>
  <c r="J190" i="12"/>
  <c r="B189" i="12"/>
  <c r="C189" i="12"/>
  <c r="D189" i="12"/>
  <c r="E189" i="12"/>
  <c r="F189" i="12"/>
  <c r="G189" i="12"/>
  <c r="H189" i="12"/>
  <c r="I189" i="12"/>
  <c r="J189" i="12"/>
  <c r="B188" i="12"/>
  <c r="C188" i="12"/>
  <c r="D188" i="12"/>
  <c r="E188" i="12"/>
  <c r="F188" i="12"/>
  <c r="G188" i="12"/>
  <c r="H188" i="12"/>
  <c r="I188" i="12"/>
  <c r="J188" i="12"/>
  <c r="B187" i="12"/>
  <c r="C187" i="12"/>
  <c r="D187" i="12"/>
  <c r="E187" i="12"/>
  <c r="F187" i="12"/>
  <c r="G187" i="12"/>
  <c r="H187" i="12"/>
  <c r="I187" i="12"/>
  <c r="J187" i="12"/>
  <c r="B186" i="12"/>
  <c r="C186" i="12"/>
  <c r="D186" i="12"/>
  <c r="E186" i="12"/>
  <c r="F186" i="12"/>
  <c r="G186" i="12"/>
  <c r="H186" i="12"/>
  <c r="I186" i="12"/>
  <c r="J186" i="12"/>
  <c r="B185" i="12"/>
  <c r="C185" i="12"/>
  <c r="D185" i="12"/>
  <c r="E185" i="12"/>
  <c r="F185" i="12"/>
  <c r="G185" i="12"/>
  <c r="H185" i="12"/>
  <c r="I185" i="12"/>
  <c r="J185" i="12"/>
  <c r="B184" i="12"/>
  <c r="C184" i="12"/>
  <c r="D184" i="12"/>
  <c r="E184" i="12"/>
  <c r="F184" i="12"/>
  <c r="G184" i="12"/>
  <c r="H184" i="12"/>
  <c r="I184" i="12"/>
  <c r="J184" i="12"/>
  <c r="B183" i="12"/>
  <c r="C183" i="12"/>
  <c r="D183" i="12"/>
  <c r="E183" i="12"/>
  <c r="F183" i="12"/>
  <c r="G183" i="12"/>
  <c r="H183" i="12"/>
  <c r="I183" i="12"/>
  <c r="J183" i="12"/>
  <c r="B182" i="12"/>
  <c r="C182" i="12"/>
  <c r="D182" i="12"/>
  <c r="E182" i="12"/>
  <c r="F182" i="12"/>
  <c r="G182" i="12"/>
  <c r="H182" i="12"/>
  <c r="I182" i="12"/>
  <c r="J182" i="12"/>
  <c r="B181" i="12"/>
  <c r="C181" i="12"/>
  <c r="D181" i="12"/>
  <c r="E181" i="12"/>
  <c r="F181" i="12"/>
  <c r="G181" i="12"/>
  <c r="H181" i="12"/>
  <c r="I181" i="12"/>
  <c r="J181" i="12"/>
  <c r="B180" i="12"/>
  <c r="C180" i="12"/>
  <c r="D180" i="12"/>
  <c r="E180" i="12"/>
  <c r="F180" i="12"/>
  <c r="G180" i="12"/>
  <c r="H180" i="12"/>
  <c r="I180" i="12"/>
  <c r="J180" i="12"/>
  <c r="B179" i="12"/>
  <c r="C179" i="12"/>
  <c r="D179" i="12"/>
  <c r="E179" i="12"/>
  <c r="F179" i="12"/>
  <c r="G179" i="12"/>
  <c r="H179" i="12"/>
  <c r="I179" i="12"/>
  <c r="J179" i="12"/>
  <c r="B178" i="12"/>
  <c r="C178" i="12"/>
  <c r="D178" i="12"/>
  <c r="E178" i="12"/>
  <c r="F178" i="12"/>
  <c r="G178" i="12"/>
  <c r="H178" i="12"/>
  <c r="I178" i="12"/>
  <c r="J178" i="12"/>
  <c r="B177" i="12"/>
  <c r="C177" i="12"/>
  <c r="D177" i="12"/>
  <c r="E177" i="12"/>
  <c r="F177" i="12"/>
  <c r="G177" i="12"/>
  <c r="H177" i="12"/>
  <c r="I177" i="12"/>
  <c r="J177" i="12"/>
  <c r="B176" i="12"/>
  <c r="C176" i="12"/>
  <c r="D176" i="12"/>
  <c r="E176" i="12"/>
  <c r="F176" i="12"/>
  <c r="G176" i="12"/>
  <c r="H176" i="12"/>
  <c r="I176" i="12"/>
  <c r="J176" i="12"/>
  <c r="B175" i="12"/>
  <c r="C175" i="12"/>
  <c r="D175" i="12"/>
  <c r="E175" i="12"/>
  <c r="F175" i="12"/>
  <c r="G175" i="12"/>
  <c r="H175" i="12"/>
  <c r="I175" i="12"/>
  <c r="J175" i="12"/>
  <c r="B174" i="12"/>
  <c r="C174" i="12"/>
  <c r="D174" i="12"/>
  <c r="E174" i="12"/>
  <c r="F174" i="12"/>
  <c r="G174" i="12"/>
  <c r="H174" i="12"/>
  <c r="I174" i="12"/>
  <c r="J174" i="12"/>
  <c r="B173" i="12"/>
  <c r="C173" i="12"/>
  <c r="D173" i="12"/>
  <c r="E173" i="12"/>
  <c r="F173" i="12"/>
  <c r="G173" i="12"/>
  <c r="H173" i="12"/>
  <c r="I173" i="12"/>
  <c r="J173" i="12"/>
  <c r="B172" i="12"/>
  <c r="C172" i="12"/>
  <c r="D172" i="12"/>
  <c r="E172" i="12"/>
  <c r="F172" i="12"/>
  <c r="G172" i="12"/>
  <c r="H172" i="12"/>
  <c r="I172" i="12"/>
  <c r="J172" i="12"/>
  <c r="B171" i="12"/>
  <c r="C171" i="12"/>
  <c r="D171" i="12"/>
  <c r="E171" i="12"/>
  <c r="F171" i="12"/>
  <c r="G171" i="12"/>
  <c r="H171" i="12"/>
  <c r="I171" i="12"/>
  <c r="J171" i="12"/>
  <c r="B170" i="12"/>
  <c r="C170" i="12"/>
  <c r="D170" i="12"/>
  <c r="E170" i="12"/>
  <c r="F170" i="12"/>
  <c r="G170" i="12"/>
  <c r="H170" i="12"/>
  <c r="I170" i="12"/>
  <c r="J170" i="12"/>
  <c r="B169" i="12"/>
  <c r="C169" i="12"/>
  <c r="D169" i="12"/>
  <c r="E169" i="12"/>
  <c r="F169" i="12"/>
  <c r="G169" i="12"/>
  <c r="H169" i="12"/>
  <c r="I169" i="12"/>
  <c r="J169" i="12"/>
  <c r="B168" i="12"/>
  <c r="C168" i="12"/>
  <c r="D168" i="12"/>
  <c r="E168" i="12"/>
  <c r="F168" i="12"/>
  <c r="G168" i="12"/>
  <c r="H168" i="12"/>
  <c r="I168" i="12"/>
  <c r="J168" i="12"/>
  <c r="B167" i="12"/>
  <c r="C167" i="12"/>
  <c r="D167" i="12"/>
  <c r="E167" i="12"/>
  <c r="F167" i="12"/>
  <c r="G167" i="12"/>
  <c r="H167" i="12"/>
  <c r="I167" i="12"/>
  <c r="J167" i="12"/>
  <c r="B166" i="12"/>
  <c r="C166" i="12"/>
  <c r="D166" i="12"/>
  <c r="E166" i="12"/>
  <c r="F166" i="12"/>
  <c r="G166" i="12"/>
  <c r="H166" i="12"/>
  <c r="I166" i="12"/>
  <c r="J166" i="12"/>
  <c r="B165" i="12"/>
  <c r="C165" i="12"/>
  <c r="D165" i="12"/>
  <c r="E165" i="12"/>
  <c r="F165" i="12"/>
  <c r="G165" i="12"/>
  <c r="H165" i="12"/>
  <c r="I165" i="12"/>
  <c r="J165" i="12"/>
  <c r="B164" i="12"/>
  <c r="C164" i="12"/>
  <c r="D164" i="12"/>
  <c r="E164" i="12"/>
  <c r="F164" i="12"/>
  <c r="G164" i="12"/>
  <c r="H164" i="12"/>
  <c r="I164" i="12"/>
  <c r="J164" i="12"/>
  <c r="B163" i="12"/>
  <c r="C163" i="12"/>
  <c r="D163" i="12"/>
  <c r="E163" i="12"/>
  <c r="F163" i="12"/>
  <c r="G163" i="12"/>
  <c r="H163" i="12"/>
  <c r="I163" i="12"/>
  <c r="J163" i="12"/>
  <c r="B98" i="3"/>
  <c r="C98" i="3"/>
  <c r="D98" i="3"/>
  <c r="E98" i="3"/>
  <c r="F98" i="3"/>
  <c r="G98" i="3"/>
  <c r="H98" i="3"/>
  <c r="I98" i="3"/>
  <c r="J98" i="3"/>
  <c r="B97" i="3"/>
  <c r="C97" i="3"/>
  <c r="D97" i="3"/>
  <c r="E97" i="3"/>
  <c r="F97" i="3"/>
  <c r="G97" i="3"/>
  <c r="H97" i="3"/>
  <c r="I97" i="3"/>
  <c r="J97" i="3"/>
  <c r="B96" i="3"/>
  <c r="C96" i="3"/>
  <c r="D96" i="3"/>
  <c r="E96" i="3"/>
  <c r="F96" i="3"/>
  <c r="G96" i="3"/>
  <c r="H96" i="3"/>
  <c r="I96" i="3"/>
  <c r="J96" i="3"/>
  <c r="B95" i="3"/>
  <c r="C95" i="3"/>
  <c r="D95" i="3"/>
  <c r="E95" i="3"/>
  <c r="F95" i="3"/>
  <c r="G95" i="3"/>
  <c r="H95" i="3"/>
  <c r="I95" i="3"/>
  <c r="J95" i="3"/>
  <c r="B94" i="3"/>
  <c r="C94" i="3"/>
  <c r="D94" i="3"/>
  <c r="E94" i="3"/>
  <c r="F94" i="3"/>
  <c r="G94" i="3"/>
  <c r="H94" i="3"/>
  <c r="I94" i="3"/>
  <c r="J94" i="3"/>
  <c r="B93" i="3"/>
  <c r="C93" i="3"/>
  <c r="D93" i="3"/>
  <c r="E93" i="3"/>
  <c r="F93" i="3"/>
  <c r="G93" i="3"/>
  <c r="H93" i="3"/>
  <c r="I93" i="3"/>
  <c r="J93" i="3"/>
  <c r="B92" i="3"/>
  <c r="C92" i="3"/>
  <c r="D92" i="3"/>
  <c r="E92" i="3"/>
  <c r="F92" i="3"/>
  <c r="G92" i="3"/>
  <c r="H92" i="3"/>
  <c r="I92" i="3"/>
  <c r="J92" i="3"/>
  <c r="B91" i="3"/>
  <c r="C91" i="3"/>
  <c r="D91" i="3"/>
  <c r="E91" i="3"/>
  <c r="F91" i="3"/>
  <c r="G91" i="3"/>
  <c r="H91" i="3"/>
  <c r="I91" i="3"/>
  <c r="J91" i="3"/>
  <c r="B162" i="12"/>
  <c r="C162" i="12"/>
  <c r="D162" i="12"/>
  <c r="E162" i="12"/>
  <c r="F162" i="12"/>
  <c r="G162" i="12"/>
  <c r="H162" i="12"/>
  <c r="I162" i="12"/>
  <c r="J162" i="12"/>
  <c r="B161" i="12"/>
  <c r="C161" i="12"/>
  <c r="D161" i="12"/>
  <c r="E161" i="12"/>
  <c r="F161" i="12"/>
  <c r="G161" i="12"/>
  <c r="H161" i="12"/>
  <c r="I161" i="12"/>
  <c r="J161" i="12"/>
  <c r="B160" i="12"/>
  <c r="C160" i="12"/>
  <c r="D160" i="12"/>
  <c r="E160" i="12"/>
  <c r="F160" i="12"/>
  <c r="G160" i="12"/>
  <c r="H160" i="12"/>
  <c r="I160" i="12"/>
  <c r="J160" i="12"/>
  <c r="B159" i="12"/>
  <c r="C159" i="12"/>
  <c r="D159" i="12"/>
  <c r="E159" i="12"/>
  <c r="F159" i="12"/>
  <c r="G159" i="12"/>
  <c r="H159" i="12"/>
  <c r="I159" i="12"/>
  <c r="J159" i="12"/>
  <c r="B158" i="12"/>
  <c r="C158" i="12"/>
  <c r="D158" i="12"/>
  <c r="E158" i="12"/>
  <c r="F158" i="12"/>
  <c r="G158" i="12"/>
  <c r="H158" i="12"/>
  <c r="I158" i="12"/>
  <c r="J158" i="12"/>
  <c r="B157" i="12"/>
  <c r="C157" i="12"/>
  <c r="D157" i="12"/>
  <c r="E157" i="12"/>
  <c r="F157" i="12"/>
  <c r="G157" i="12"/>
  <c r="H157" i="12"/>
  <c r="I157" i="12"/>
  <c r="J157" i="12"/>
  <c r="B156" i="12"/>
  <c r="C156" i="12"/>
  <c r="D156" i="12"/>
  <c r="E156" i="12"/>
  <c r="F156" i="12"/>
  <c r="G156" i="12"/>
  <c r="H156" i="12"/>
  <c r="I156" i="12"/>
  <c r="J156" i="12"/>
  <c r="B155" i="12"/>
  <c r="C155" i="12"/>
  <c r="D155" i="12"/>
  <c r="E155" i="12"/>
  <c r="F155" i="12"/>
  <c r="G155" i="12"/>
  <c r="H155" i="12"/>
  <c r="I155" i="12"/>
  <c r="J155" i="12"/>
  <c r="B154" i="12"/>
  <c r="C154" i="12"/>
  <c r="D154" i="12"/>
  <c r="E154" i="12"/>
  <c r="F154" i="12"/>
  <c r="G154" i="12"/>
  <c r="H154" i="12"/>
  <c r="I154" i="12"/>
  <c r="J154" i="12"/>
  <c r="B153" i="12"/>
  <c r="C153" i="12"/>
  <c r="D153" i="12"/>
  <c r="E153" i="12"/>
  <c r="F153" i="12"/>
  <c r="G153" i="12"/>
  <c r="H153" i="12"/>
  <c r="I153" i="12"/>
  <c r="J153" i="12"/>
  <c r="B152" i="12"/>
  <c r="C152" i="12"/>
  <c r="D152" i="12"/>
  <c r="E152" i="12"/>
  <c r="F152" i="12"/>
  <c r="G152" i="12"/>
  <c r="H152" i="12"/>
  <c r="I152" i="12"/>
  <c r="J152" i="12"/>
  <c r="B151" i="12"/>
  <c r="C151" i="12"/>
  <c r="D151" i="12"/>
  <c r="E151" i="12"/>
  <c r="F151" i="12"/>
  <c r="G151" i="12"/>
  <c r="H151" i="12"/>
  <c r="I151" i="12"/>
  <c r="J151" i="12"/>
  <c r="B150" i="12"/>
  <c r="C150" i="12"/>
  <c r="D150" i="12"/>
  <c r="E150" i="12"/>
  <c r="F150" i="12"/>
  <c r="G150" i="12"/>
  <c r="H150" i="12"/>
  <c r="I150" i="12"/>
  <c r="J150" i="12"/>
  <c r="B149" i="12"/>
  <c r="C149" i="12"/>
  <c r="D149" i="12"/>
  <c r="E149" i="12"/>
  <c r="F149" i="12"/>
  <c r="G149" i="12"/>
  <c r="H149" i="12"/>
  <c r="I149" i="12"/>
  <c r="J149" i="12"/>
  <c r="B148" i="12"/>
  <c r="C148" i="12"/>
  <c r="D148" i="12"/>
  <c r="E148" i="12"/>
  <c r="F148" i="12"/>
  <c r="G148" i="12"/>
  <c r="H148" i="12"/>
  <c r="I148" i="12"/>
  <c r="J148" i="12"/>
  <c r="B147" i="12"/>
  <c r="C147" i="12"/>
  <c r="D147" i="12"/>
  <c r="E147" i="12"/>
  <c r="F147" i="12"/>
  <c r="G147" i="12"/>
  <c r="H147" i="12"/>
  <c r="I147" i="12"/>
  <c r="J147" i="12"/>
  <c r="B146" i="12"/>
  <c r="C146" i="12"/>
  <c r="D146" i="12"/>
  <c r="E146" i="12"/>
  <c r="F146" i="12"/>
  <c r="G146" i="12"/>
  <c r="H146" i="12"/>
  <c r="I146" i="12"/>
  <c r="J146" i="12"/>
  <c r="B145" i="12"/>
  <c r="C145" i="12"/>
  <c r="D145" i="12"/>
  <c r="E145" i="12"/>
  <c r="F145" i="12"/>
  <c r="G145" i="12"/>
  <c r="H145" i="12"/>
  <c r="I145" i="12"/>
  <c r="J145" i="12"/>
  <c r="B144" i="12"/>
  <c r="C144" i="12"/>
  <c r="D144" i="12"/>
  <c r="E144" i="12"/>
  <c r="F144" i="12"/>
  <c r="G144" i="12"/>
  <c r="H144" i="12"/>
  <c r="I144" i="12"/>
  <c r="J144" i="12"/>
  <c r="B143" i="12"/>
  <c r="C143" i="12"/>
  <c r="D143" i="12"/>
  <c r="E143" i="12"/>
  <c r="F143" i="12"/>
  <c r="G143" i="12"/>
  <c r="H143" i="12"/>
  <c r="I143" i="12"/>
  <c r="J143" i="12"/>
  <c r="B142" i="12"/>
  <c r="C142" i="12"/>
  <c r="D142" i="12"/>
  <c r="E142" i="12"/>
  <c r="F142" i="12"/>
  <c r="G142" i="12"/>
  <c r="H142" i="12"/>
  <c r="I142" i="12"/>
  <c r="J142" i="12"/>
  <c r="B141" i="12"/>
  <c r="C141" i="12"/>
  <c r="D141" i="12"/>
  <c r="E141" i="12"/>
  <c r="F141" i="12"/>
  <c r="G141" i="12"/>
  <c r="H141" i="12"/>
  <c r="I141" i="12"/>
  <c r="J141" i="12"/>
  <c r="B140" i="12"/>
  <c r="C140" i="12"/>
  <c r="D140" i="12"/>
  <c r="E140" i="12"/>
  <c r="F140" i="12"/>
  <c r="G140" i="12"/>
  <c r="H140" i="12"/>
  <c r="I140" i="12"/>
  <c r="J140" i="12"/>
  <c r="B139" i="12"/>
  <c r="C139" i="12"/>
  <c r="D139" i="12"/>
  <c r="E139" i="12"/>
  <c r="F139" i="12"/>
  <c r="G139" i="12"/>
  <c r="H139" i="12"/>
  <c r="I139" i="12"/>
  <c r="J139" i="12"/>
  <c r="B138" i="12"/>
  <c r="C138" i="12"/>
  <c r="D138" i="12"/>
  <c r="E138" i="12"/>
  <c r="F138" i="12"/>
  <c r="G138" i="12"/>
  <c r="H138" i="12"/>
  <c r="I138" i="12"/>
  <c r="J138" i="12"/>
  <c r="B137" i="12"/>
  <c r="C137" i="12"/>
  <c r="D137" i="12"/>
  <c r="E137" i="12"/>
  <c r="F137" i="12"/>
  <c r="G137" i="12"/>
  <c r="H137" i="12"/>
  <c r="I137" i="12"/>
  <c r="J137" i="12"/>
  <c r="B136" i="12"/>
  <c r="C136" i="12"/>
  <c r="D136" i="12"/>
  <c r="E136" i="12"/>
  <c r="F136" i="12"/>
  <c r="G136" i="12"/>
  <c r="H136" i="12"/>
  <c r="I136" i="12"/>
  <c r="J136" i="12"/>
  <c r="B135" i="12"/>
  <c r="C135" i="12"/>
  <c r="D135" i="12"/>
  <c r="E135" i="12"/>
  <c r="F135" i="12"/>
  <c r="G135" i="12"/>
  <c r="H135" i="12"/>
  <c r="I135" i="12"/>
  <c r="J135" i="12"/>
  <c r="B134" i="12"/>
  <c r="C134" i="12"/>
  <c r="D134" i="12"/>
  <c r="E134" i="12"/>
  <c r="F134" i="12"/>
  <c r="G134" i="12"/>
  <c r="H134" i="12"/>
  <c r="I134" i="12"/>
  <c r="J134" i="12"/>
  <c r="B133" i="12"/>
  <c r="C133" i="12"/>
  <c r="D133" i="12"/>
  <c r="E133" i="12"/>
  <c r="F133" i="12"/>
  <c r="G133" i="12"/>
  <c r="H133" i="12"/>
  <c r="I133" i="12"/>
  <c r="J133" i="12"/>
  <c r="B132" i="12"/>
  <c r="C132" i="12"/>
  <c r="D132" i="12"/>
  <c r="E132" i="12"/>
  <c r="F132" i="12"/>
  <c r="G132" i="12"/>
  <c r="H132" i="12"/>
  <c r="I132" i="12"/>
  <c r="J132" i="12"/>
  <c r="B131" i="12"/>
  <c r="C131" i="12"/>
  <c r="D131" i="12"/>
  <c r="E131" i="12"/>
  <c r="F131" i="12"/>
  <c r="G131" i="12"/>
  <c r="H131" i="12"/>
  <c r="I131" i="12"/>
  <c r="J131" i="12"/>
  <c r="B130" i="12"/>
  <c r="C130" i="12"/>
  <c r="D130" i="12"/>
  <c r="E130" i="12"/>
  <c r="F130" i="12"/>
  <c r="G130" i="12"/>
  <c r="H130" i="12"/>
  <c r="I130" i="12"/>
  <c r="J130" i="12"/>
  <c r="B129" i="12"/>
  <c r="C129" i="12"/>
  <c r="D129" i="12"/>
  <c r="E129" i="12"/>
  <c r="F129" i="12"/>
  <c r="G129" i="12"/>
  <c r="H129" i="12"/>
  <c r="I129" i="12"/>
  <c r="J129" i="12"/>
  <c r="B128" i="12"/>
  <c r="C128" i="12"/>
  <c r="D128" i="12"/>
  <c r="E128" i="12"/>
  <c r="F128" i="12"/>
  <c r="G128" i="12"/>
  <c r="H128" i="12"/>
  <c r="I128" i="12"/>
  <c r="J128" i="12"/>
  <c r="B127" i="12"/>
  <c r="C127" i="12"/>
  <c r="D127" i="12"/>
  <c r="E127" i="12"/>
  <c r="F127" i="12"/>
  <c r="G127" i="12"/>
  <c r="H127" i="12"/>
  <c r="I127" i="12"/>
  <c r="J127" i="12"/>
  <c r="B126" i="12"/>
  <c r="C126" i="12"/>
  <c r="D126" i="12"/>
  <c r="E126" i="12"/>
  <c r="F126" i="12"/>
  <c r="G126" i="12"/>
  <c r="H126" i="12"/>
  <c r="I126" i="12"/>
  <c r="J126" i="12"/>
  <c r="B125" i="12"/>
  <c r="C125" i="12"/>
  <c r="D125" i="12"/>
  <c r="E125" i="12"/>
  <c r="F125" i="12"/>
  <c r="G125" i="12"/>
  <c r="H125" i="12"/>
  <c r="I125" i="12"/>
  <c r="J125" i="12"/>
  <c r="B124" i="12"/>
  <c r="C124" i="12"/>
  <c r="D124" i="12"/>
  <c r="E124" i="12"/>
  <c r="F124" i="12"/>
  <c r="G124" i="12"/>
  <c r="H124" i="12"/>
  <c r="I124" i="12"/>
  <c r="J124" i="12"/>
  <c r="B123" i="12"/>
  <c r="C123" i="12"/>
  <c r="D123" i="12"/>
  <c r="E123" i="12"/>
  <c r="F123" i="12"/>
  <c r="G123" i="12"/>
  <c r="H123" i="12"/>
  <c r="I123" i="12"/>
  <c r="J123" i="12"/>
  <c r="B122" i="12"/>
  <c r="C122" i="12"/>
  <c r="D122" i="12"/>
  <c r="E122" i="12"/>
  <c r="F122" i="12"/>
  <c r="G122" i="12"/>
  <c r="H122" i="12"/>
  <c r="I122" i="12"/>
  <c r="J122" i="12"/>
  <c r="B121" i="12"/>
  <c r="C121" i="12"/>
  <c r="D121" i="12"/>
  <c r="E121" i="12"/>
  <c r="F121" i="12"/>
  <c r="G121" i="12"/>
  <c r="H121" i="12"/>
  <c r="I121" i="12"/>
  <c r="J121" i="12"/>
  <c r="B120" i="12"/>
  <c r="C120" i="12"/>
  <c r="D120" i="12"/>
  <c r="E120" i="12"/>
  <c r="F120" i="12"/>
  <c r="G120" i="12"/>
  <c r="H120" i="12"/>
  <c r="I120" i="12"/>
  <c r="J120" i="12"/>
  <c r="B119" i="12"/>
  <c r="C119" i="12"/>
  <c r="D119" i="12"/>
  <c r="E119" i="12"/>
  <c r="F119" i="12"/>
  <c r="G119" i="12"/>
  <c r="H119" i="12"/>
  <c r="I119" i="12"/>
  <c r="J119" i="12"/>
  <c r="B118" i="12"/>
  <c r="C118" i="12"/>
  <c r="D118" i="12"/>
  <c r="E118" i="12"/>
  <c r="F118" i="12"/>
  <c r="G118" i="12"/>
  <c r="H118" i="12"/>
  <c r="I118" i="12"/>
  <c r="J118" i="12"/>
  <c r="B117" i="12"/>
  <c r="C117" i="12"/>
  <c r="D117" i="12"/>
  <c r="E117" i="12"/>
  <c r="F117" i="12"/>
  <c r="G117" i="12"/>
  <c r="H117" i="12"/>
  <c r="I117" i="12"/>
  <c r="J117" i="12"/>
  <c r="B116" i="12"/>
  <c r="C116" i="12"/>
  <c r="D116" i="12"/>
  <c r="E116" i="12"/>
  <c r="F116" i="12"/>
  <c r="G116" i="12"/>
  <c r="H116" i="12"/>
  <c r="I116" i="12"/>
  <c r="J116" i="12"/>
  <c r="B115" i="12"/>
  <c r="C115" i="12"/>
  <c r="D115" i="12"/>
  <c r="E115" i="12"/>
  <c r="F115" i="12"/>
  <c r="G115" i="12"/>
  <c r="H115" i="12"/>
  <c r="I115" i="12"/>
  <c r="J115" i="12"/>
  <c r="B114" i="12"/>
  <c r="C114" i="12"/>
  <c r="D114" i="12"/>
  <c r="E114" i="12"/>
  <c r="F114" i="12"/>
  <c r="G114" i="12"/>
  <c r="H114" i="12"/>
  <c r="I114" i="12"/>
  <c r="J114" i="12"/>
  <c r="B113" i="12"/>
  <c r="C113" i="12"/>
  <c r="D113" i="12"/>
  <c r="E113" i="12"/>
  <c r="F113" i="12"/>
  <c r="G113" i="12"/>
  <c r="H113" i="12"/>
  <c r="I113" i="12"/>
  <c r="J113" i="12"/>
  <c r="B112" i="12"/>
  <c r="C112" i="12"/>
  <c r="D112" i="12"/>
  <c r="E112" i="12"/>
  <c r="F112" i="12"/>
  <c r="G112" i="12"/>
  <c r="H112" i="12"/>
  <c r="I112" i="12"/>
  <c r="J112" i="12"/>
  <c r="B111" i="12"/>
  <c r="C111" i="12"/>
  <c r="D111" i="12"/>
  <c r="E111" i="12"/>
  <c r="F111" i="12"/>
  <c r="G111" i="12"/>
  <c r="H111" i="12"/>
  <c r="I111" i="12"/>
  <c r="J111" i="12"/>
  <c r="B110" i="12"/>
  <c r="C110" i="12"/>
  <c r="D110" i="12"/>
  <c r="E110" i="12"/>
  <c r="F110" i="12"/>
  <c r="G110" i="12"/>
  <c r="H110" i="12"/>
  <c r="I110" i="12"/>
  <c r="J110" i="12"/>
  <c r="B109" i="12"/>
  <c r="C109" i="12"/>
  <c r="D109" i="12"/>
  <c r="E109" i="12"/>
  <c r="F109" i="12"/>
  <c r="G109" i="12"/>
  <c r="H109" i="12"/>
  <c r="I109" i="12"/>
  <c r="J109" i="12"/>
  <c r="B108" i="12"/>
  <c r="C108" i="12"/>
  <c r="D108" i="12"/>
  <c r="E108" i="12"/>
  <c r="F108" i="12"/>
  <c r="G108" i="12"/>
  <c r="H108" i="12"/>
  <c r="I108" i="12"/>
  <c r="J108" i="12"/>
  <c r="B107" i="12"/>
  <c r="C107" i="12"/>
  <c r="D107" i="12"/>
  <c r="E107" i="12"/>
  <c r="F107" i="12"/>
  <c r="G107" i="12"/>
  <c r="H107" i="12"/>
  <c r="I107" i="12"/>
  <c r="J107" i="12"/>
  <c r="B106" i="12"/>
  <c r="C106" i="12"/>
  <c r="D106" i="12"/>
  <c r="E106" i="12"/>
  <c r="F106" i="12"/>
  <c r="G106" i="12"/>
  <c r="H106" i="12"/>
  <c r="I106" i="12"/>
  <c r="J106" i="12"/>
  <c r="B105" i="12"/>
  <c r="C105" i="12"/>
  <c r="D105" i="12"/>
  <c r="E105" i="12"/>
  <c r="F105" i="12"/>
  <c r="G105" i="12"/>
  <c r="H105" i="12"/>
  <c r="I105" i="12"/>
  <c r="J105" i="12"/>
  <c r="B104" i="12"/>
  <c r="C104" i="12"/>
  <c r="D104" i="12"/>
  <c r="E104" i="12"/>
  <c r="F104" i="12"/>
  <c r="G104" i="12"/>
  <c r="H104" i="12"/>
  <c r="I104" i="12"/>
  <c r="J104" i="12"/>
  <c r="B103" i="12"/>
  <c r="C103" i="12"/>
  <c r="D103" i="12"/>
  <c r="E103" i="12"/>
  <c r="F103" i="12"/>
  <c r="G103" i="12"/>
  <c r="H103" i="12"/>
  <c r="I103" i="12"/>
  <c r="J103" i="12"/>
  <c r="B102" i="12"/>
  <c r="C102" i="12"/>
  <c r="D102" i="12"/>
  <c r="E102" i="12"/>
  <c r="F102" i="12"/>
  <c r="G102" i="12"/>
  <c r="H102" i="12"/>
  <c r="I102" i="12"/>
  <c r="J102" i="12"/>
  <c r="B101" i="12"/>
  <c r="C101" i="12"/>
  <c r="D101" i="12"/>
  <c r="E101" i="12"/>
  <c r="F101" i="12"/>
  <c r="G101" i="12"/>
  <c r="H101" i="12"/>
  <c r="I101" i="12"/>
  <c r="J101" i="12"/>
  <c r="B100" i="12"/>
  <c r="C100" i="12"/>
  <c r="D100" i="12"/>
  <c r="E100" i="12"/>
  <c r="F100" i="12"/>
  <c r="G100" i="12"/>
  <c r="H100" i="12"/>
  <c r="I100" i="12"/>
  <c r="J100" i="12"/>
  <c r="B99" i="12"/>
  <c r="C99" i="12"/>
  <c r="D99" i="12"/>
  <c r="E99" i="12"/>
  <c r="F99" i="12"/>
  <c r="G99" i="12"/>
  <c r="H99" i="12"/>
  <c r="I99" i="12"/>
  <c r="J99" i="12"/>
  <c r="B98" i="12"/>
  <c r="C98" i="12"/>
  <c r="D98" i="12"/>
  <c r="E98" i="12"/>
  <c r="F98" i="12"/>
  <c r="G98" i="12"/>
  <c r="H98" i="12"/>
  <c r="I98" i="12"/>
  <c r="J98" i="12"/>
  <c r="B97" i="12"/>
  <c r="C97" i="12"/>
  <c r="D97" i="12"/>
  <c r="E97" i="12"/>
  <c r="F97" i="12"/>
  <c r="G97" i="12"/>
  <c r="H97" i="12"/>
  <c r="I97" i="12"/>
  <c r="J97" i="12"/>
  <c r="B96" i="12"/>
  <c r="C96" i="12"/>
  <c r="D96" i="12"/>
  <c r="E96" i="12"/>
  <c r="F96" i="12"/>
  <c r="G96" i="12"/>
  <c r="H96" i="12"/>
  <c r="I96" i="12"/>
  <c r="J96" i="12"/>
  <c r="B95" i="12"/>
  <c r="C95" i="12"/>
  <c r="D95" i="12"/>
  <c r="E95" i="12"/>
  <c r="F95" i="12"/>
  <c r="G95" i="12"/>
  <c r="H95" i="12"/>
  <c r="I95" i="12"/>
  <c r="J95" i="12"/>
  <c r="B94" i="12"/>
  <c r="C94" i="12"/>
  <c r="D94" i="12"/>
  <c r="E94" i="12"/>
  <c r="F94" i="12"/>
  <c r="G94" i="12"/>
  <c r="H94" i="12"/>
  <c r="I94" i="12"/>
  <c r="J94" i="12"/>
  <c r="B93" i="12"/>
  <c r="C93" i="12"/>
  <c r="D93" i="12"/>
  <c r="E93" i="12"/>
  <c r="F93" i="12"/>
  <c r="G93" i="12"/>
  <c r="H93" i="12"/>
  <c r="I93" i="12"/>
  <c r="J93" i="12"/>
  <c r="B92" i="12"/>
  <c r="C92" i="12"/>
  <c r="D92" i="12"/>
  <c r="E92" i="12"/>
  <c r="F92" i="12"/>
  <c r="G92" i="12"/>
  <c r="H92" i="12"/>
  <c r="I92" i="12"/>
  <c r="J92" i="12"/>
  <c r="B91" i="12"/>
  <c r="C91" i="12"/>
  <c r="D91" i="12"/>
  <c r="E91" i="12"/>
  <c r="F91" i="12"/>
  <c r="G91" i="12"/>
  <c r="H91" i="12"/>
  <c r="I91" i="12"/>
  <c r="J91" i="12"/>
  <c r="B90" i="12"/>
  <c r="C90" i="12"/>
  <c r="D90" i="12"/>
  <c r="E90" i="12"/>
  <c r="F90" i="12"/>
  <c r="G90" i="12"/>
  <c r="H90" i="12"/>
  <c r="I90" i="12"/>
  <c r="J90" i="12"/>
  <c r="B89" i="12"/>
  <c r="C89" i="12"/>
  <c r="D89" i="12"/>
  <c r="E89" i="12"/>
  <c r="F89" i="12"/>
  <c r="G89" i="12"/>
  <c r="H89" i="12"/>
  <c r="I89" i="12"/>
  <c r="J89" i="12"/>
  <c r="B88" i="12"/>
  <c r="C88" i="12"/>
  <c r="D88" i="12"/>
  <c r="E88" i="12"/>
  <c r="F88" i="12"/>
  <c r="G88" i="12"/>
  <c r="H88" i="12"/>
  <c r="I88" i="12"/>
  <c r="J88" i="12"/>
  <c r="B87" i="12"/>
  <c r="C87" i="12"/>
  <c r="D87" i="12"/>
  <c r="E87" i="12"/>
  <c r="F87" i="12"/>
  <c r="G87" i="12"/>
  <c r="H87" i="12"/>
  <c r="I87" i="12"/>
  <c r="J87" i="12"/>
  <c r="B86" i="12"/>
  <c r="C86" i="12"/>
  <c r="D86" i="12"/>
  <c r="E86" i="12"/>
  <c r="F86" i="12"/>
  <c r="G86" i="12"/>
  <c r="H86" i="12"/>
  <c r="I86" i="12"/>
  <c r="J86" i="12"/>
  <c r="B85" i="12"/>
  <c r="C85" i="12"/>
  <c r="D85" i="12"/>
  <c r="E85" i="12"/>
  <c r="F85" i="12"/>
  <c r="G85" i="12"/>
  <c r="H85" i="12"/>
  <c r="I85" i="12"/>
  <c r="J85" i="12"/>
  <c r="B84" i="12"/>
  <c r="C84" i="12"/>
  <c r="D84" i="12"/>
  <c r="E84" i="12"/>
  <c r="F84" i="12"/>
  <c r="G84" i="12"/>
  <c r="H84" i="12"/>
  <c r="I84" i="12"/>
  <c r="J84" i="12"/>
  <c r="B83" i="12"/>
  <c r="C83" i="12"/>
  <c r="D83" i="12"/>
  <c r="E83" i="12"/>
  <c r="F83" i="12"/>
  <c r="G83" i="12"/>
  <c r="H83" i="12"/>
  <c r="I83" i="12"/>
  <c r="J83" i="12"/>
  <c r="B90" i="3"/>
  <c r="C90" i="3"/>
  <c r="D90" i="3"/>
  <c r="E90" i="3"/>
  <c r="F90" i="3"/>
  <c r="G90" i="3"/>
  <c r="H90" i="3"/>
  <c r="I90" i="3"/>
  <c r="J90" i="3"/>
  <c r="B89" i="3"/>
  <c r="C89" i="3"/>
  <c r="D89" i="3"/>
  <c r="E89" i="3"/>
  <c r="F89" i="3"/>
  <c r="G89" i="3"/>
  <c r="H89" i="3"/>
  <c r="I89" i="3"/>
  <c r="J89" i="3"/>
  <c r="B88" i="3"/>
  <c r="C88" i="3"/>
  <c r="D88" i="3"/>
  <c r="E88" i="3"/>
  <c r="F88" i="3"/>
  <c r="G88" i="3"/>
  <c r="H88" i="3"/>
  <c r="I88" i="3"/>
  <c r="J88" i="3"/>
  <c r="B87" i="3"/>
  <c r="C87" i="3"/>
  <c r="D87" i="3"/>
  <c r="E87" i="3"/>
  <c r="F87" i="3"/>
  <c r="G87" i="3"/>
  <c r="H87" i="3"/>
  <c r="I87" i="3"/>
  <c r="J87" i="3"/>
  <c r="B86" i="3"/>
  <c r="C86" i="3"/>
  <c r="D86" i="3"/>
  <c r="E86" i="3"/>
  <c r="F86" i="3"/>
  <c r="G86" i="3"/>
  <c r="H86" i="3"/>
  <c r="I86" i="3"/>
  <c r="J86" i="3"/>
  <c r="B85" i="3"/>
  <c r="C85" i="3"/>
  <c r="D85" i="3"/>
  <c r="E85" i="3"/>
  <c r="F85" i="3"/>
  <c r="G85" i="3"/>
  <c r="H85" i="3"/>
  <c r="I85" i="3"/>
  <c r="J85" i="3"/>
  <c r="B84" i="3"/>
  <c r="C84" i="3"/>
  <c r="D84" i="3"/>
  <c r="E84" i="3"/>
  <c r="F84" i="3"/>
  <c r="G84" i="3"/>
  <c r="H84" i="3"/>
  <c r="I84" i="3"/>
  <c r="J84" i="3"/>
  <c r="B83" i="3"/>
  <c r="C83" i="3"/>
  <c r="D83" i="3"/>
  <c r="E83" i="3"/>
  <c r="F83" i="3"/>
  <c r="G83" i="3"/>
  <c r="H83" i="3"/>
  <c r="I83" i="3"/>
  <c r="J83" i="3"/>
  <c r="B82" i="12"/>
  <c r="C82" i="12"/>
  <c r="D82" i="12"/>
  <c r="E82" i="12"/>
  <c r="F82" i="12"/>
  <c r="G82" i="12"/>
  <c r="H82" i="12"/>
  <c r="I82" i="12"/>
  <c r="J82" i="12"/>
  <c r="B81" i="12"/>
  <c r="C81" i="12"/>
  <c r="D81" i="12"/>
  <c r="E81" i="12"/>
  <c r="F81" i="12"/>
  <c r="G81" i="12"/>
  <c r="H81" i="12"/>
  <c r="I81" i="12"/>
  <c r="J81" i="12"/>
  <c r="B80" i="12"/>
  <c r="C80" i="12"/>
  <c r="D80" i="12"/>
  <c r="E80" i="12"/>
  <c r="F80" i="12"/>
  <c r="G80" i="12"/>
  <c r="H80" i="12"/>
  <c r="I80" i="12"/>
  <c r="J80" i="12"/>
  <c r="B79" i="12"/>
  <c r="C79" i="12"/>
  <c r="D79" i="12"/>
  <c r="E79" i="12"/>
  <c r="F79" i="12"/>
  <c r="G79" i="12"/>
  <c r="H79" i="12"/>
  <c r="I79" i="12"/>
  <c r="J79" i="12"/>
  <c r="B78" i="12"/>
  <c r="C78" i="12"/>
  <c r="D78" i="12"/>
  <c r="E78" i="12"/>
  <c r="F78" i="12"/>
  <c r="G78" i="12"/>
  <c r="H78" i="12"/>
  <c r="I78" i="12"/>
  <c r="J78" i="12"/>
  <c r="B77" i="12"/>
  <c r="C77" i="12"/>
  <c r="D77" i="12"/>
  <c r="E77" i="12"/>
  <c r="F77" i="12"/>
  <c r="G77" i="12"/>
  <c r="H77" i="12"/>
  <c r="I77" i="12"/>
  <c r="J77" i="12"/>
  <c r="B76" i="12"/>
  <c r="C76" i="12"/>
  <c r="D76" i="12"/>
  <c r="E76" i="12"/>
  <c r="F76" i="12"/>
  <c r="G76" i="12"/>
  <c r="H76" i="12"/>
  <c r="I76" i="12"/>
  <c r="J76" i="12"/>
  <c r="B75" i="12"/>
  <c r="C75" i="12"/>
  <c r="D75" i="12"/>
  <c r="E75" i="12"/>
  <c r="F75" i="12"/>
  <c r="G75" i="12"/>
  <c r="H75" i="12"/>
  <c r="I75" i="12"/>
  <c r="J75" i="12"/>
  <c r="B74" i="12"/>
  <c r="C74" i="12"/>
  <c r="D74" i="12"/>
  <c r="E74" i="12"/>
  <c r="F74" i="12"/>
  <c r="G74" i="12"/>
  <c r="H74" i="12"/>
  <c r="I74" i="12"/>
  <c r="J74" i="12"/>
  <c r="B73" i="12"/>
  <c r="C73" i="12"/>
  <c r="D73" i="12"/>
  <c r="E73" i="12"/>
  <c r="F73" i="12"/>
  <c r="G73" i="12"/>
  <c r="H73" i="12"/>
  <c r="I73" i="12"/>
  <c r="J73" i="12"/>
  <c r="B72" i="12"/>
  <c r="C72" i="12"/>
  <c r="D72" i="12"/>
  <c r="E72" i="12"/>
  <c r="F72" i="12"/>
  <c r="G72" i="12"/>
  <c r="H72" i="12"/>
  <c r="I72" i="12"/>
  <c r="J72" i="12"/>
  <c r="B71" i="12"/>
  <c r="C71" i="12"/>
  <c r="D71" i="12"/>
  <c r="E71" i="12"/>
  <c r="F71" i="12"/>
  <c r="G71" i="12"/>
  <c r="H71" i="12"/>
  <c r="I71" i="12"/>
  <c r="J71" i="12"/>
  <c r="B70" i="12"/>
  <c r="C70" i="12"/>
  <c r="D70" i="12"/>
  <c r="E70" i="12"/>
  <c r="F70" i="12"/>
  <c r="G70" i="12"/>
  <c r="H70" i="12"/>
  <c r="I70" i="12"/>
  <c r="J70" i="12"/>
  <c r="B69" i="12"/>
  <c r="C69" i="12"/>
  <c r="D69" i="12"/>
  <c r="E69" i="12"/>
  <c r="F69" i="12"/>
  <c r="G69" i="12"/>
  <c r="H69" i="12"/>
  <c r="I69" i="12"/>
  <c r="J69" i="12"/>
  <c r="B68" i="12"/>
  <c r="C68" i="12"/>
  <c r="D68" i="12"/>
  <c r="E68" i="12"/>
  <c r="F68" i="12"/>
  <c r="G68" i="12"/>
  <c r="H68" i="12"/>
  <c r="I68" i="12"/>
  <c r="J68" i="12"/>
  <c r="B67" i="12"/>
  <c r="C67" i="12"/>
  <c r="D67" i="12"/>
  <c r="E67" i="12"/>
  <c r="F67" i="12"/>
  <c r="G67" i="12"/>
  <c r="H67" i="12"/>
  <c r="I67" i="12"/>
  <c r="J67" i="12"/>
  <c r="B66" i="12"/>
  <c r="C66" i="12"/>
  <c r="D66" i="12"/>
  <c r="E66" i="12"/>
  <c r="F66" i="12"/>
  <c r="G66" i="12"/>
  <c r="H66" i="12"/>
  <c r="I66" i="12"/>
  <c r="J66" i="12"/>
  <c r="B65" i="12"/>
  <c r="C65" i="12"/>
  <c r="D65" i="12"/>
  <c r="E65" i="12"/>
  <c r="F65" i="12"/>
  <c r="G65" i="12"/>
  <c r="H65" i="12"/>
  <c r="I65" i="12"/>
  <c r="J65" i="12"/>
  <c r="B64" i="12"/>
  <c r="C64" i="12"/>
  <c r="D64" i="12"/>
  <c r="E64" i="12"/>
  <c r="F64" i="12"/>
  <c r="G64" i="12"/>
  <c r="H64" i="12"/>
  <c r="I64" i="12"/>
  <c r="J64" i="12"/>
  <c r="B63" i="12"/>
  <c r="C63" i="12"/>
  <c r="D63" i="12"/>
  <c r="E63" i="12"/>
  <c r="F63" i="12"/>
  <c r="G63" i="12"/>
  <c r="H63" i="12"/>
  <c r="I63" i="12"/>
  <c r="J63" i="12"/>
  <c r="B62" i="12"/>
  <c r="C62" i="12"/>
  <c r="D62" i="12"/>
  <c r="E62" i="12"/>
  <c r="F62" i="12"/>
  <c r="G62" i="12"/>
  <c r="H62" i="12"/>
  <c r="I62" i="12"/>
  <c r="J62" i="12"/>
  <c r="B61" i="12"/>
  <c r="C61" i="12"/>
  <c r="D61" i="12"/>
  <c r="E61" i="12"/>
  <c r="F61" i="12"/>
  <c r="G61" i="12"/>
  <c r="H61" i="12"/>
  <c r="I61" i="12"/>
  <c r="J61" i="12"/>
  <c r="B60" i="12"/>
  <c r="C60" i="12"/>
  <c r="D60" i="12"/>
  <c r="E60" i="12"/>
  <c r="F60" i="12"/>
  <c r="G60" i="12"/>
  <c r="H60" i="12"/>
  <c r="I60" i="12"/>
  <c r="J60" i="12"/>
  <c r="B59" i="12"/>
  <c r="C59" i="12"/>
  <c r="D59" i="12"/>
  <c r="E59" i="12"/>
  <c r="F59" i="12"/>
  <c r="G59" i="12"/>
  <c r="H59" i="12"/>
  <c r="I59" i="12"/>
  <c r="J59" i="12"/>
  <c r="B58" i="12"/>
  <c r="C58" i="12"/>
  <c r="D58" i="12"/>
  <c r="E58" i="12"/>
  <c r="F58" i="12"/>
  <c r="G58" i="12"/>
  <c r="H58" i="12"/>
  <c r="I58" i="12"/>
  <c r="J58" i="12"/>
  <c r="B57" i="12"/>
  <c r="C57" i="12"/>
  <c r="D57" i="12"/>
  <c r="E57" i="12"/>
  <c r="F57" i="12"/>
  <c r="G57" i="12"/>
  <c r="H57" i="12"/>
  <c r="I57" i="12"/>
  <c r="J57" i="12"/>
  <c r="B56" i="12"/>
  <c r="C56" i="12"/>
  <c r="D56" i="12"/>
  <c r="E56" i="12"/>
  <c r="F56" i="12"/>
  <c r="G56" i="12"/>
  <c r="H56" i="12"/>
  <c r="I56" i="12"/>
  <c r="J56" i="12"/>
  <c r="B55" i="12"/>
  <c r="C55" i="12"/>
  <c r="D55" i="12"/>
  <c r="E55" i="12"/>
  <c r="F55" i="12"/>
  <c r="G55" i="12"/>
  <c r="H55" i="12"/>
  <c r="I55" i="12"/>
  <c r="J55" i="12"/>
  <c r="B54" i="12"/>
  <c r="C54" i="12"/>
  <c r="D54" i="12"/>
  <c r="E54" i="12"/>
  <c r="F54" i="12"/>
  <c r="G54" i="12"/>
  <c r="H54" i="12"/>
  <c r="I54" i="12"/>
  <c r="J54" i="12"/>
  <c r="B53" i="12"/>
  <c r="C53" i="12"/>
  <c r="D53" i="12"/>
  <c r="E53" i="12"/>
  <c r="F53" i="12"/>
  <c r="G53" i="12"/>
  <c r="H53" i="12"/>
  <c r="I53" i="12"/>
  <c r="J53" i="12"/>
  <c r="B52" i="12"/>
  <c r="C52" i="12"/>
  <c r="D52" i="12"/>
  <c r="E52" i="12"/>
  <c r="F52" i="12"/>
  <c r="G52" i="12"/>
  <c r="H52" i="12"/>
  <c r="I52" i="12"/>
  <c r="J52" i="12"/>
  <c r="B51" i="12"/>
  <c r="C51" i="12"/>
  <c r="D51" i="12"/>
  <c r="E51" i="12"/>
  <c r="F51" i="12"/>
  <c r="G51" i="12"/>
  <c r="H51" i="12"/>
  <c r="I51" i="12"/>
  <c r="J51" i="12"/>
  <c r="B50" i="12"/>
  <c r="C50" i="12"/>
  <c r="D50" i="12"/>
  <c r="E50" i="12"/>
  <c r="F50" i="12"/>
  <c r="G50" i="12"/>
  <c r="H50" i="12"/>
  <c r="I50" i="12"/>
  <c r="J50" i="12"/>
  <c r="B49" i="12"/>
  <c r="C49" i="12"/>
  <c r="D49" i="12"/>
  <c r="E49" i="12"/>
  <c r="F49" i="12"/>
  <c r="G49" i="12"/>
  <c r="H49" i="12"/>
  <c r="I49" i="12"/>
  <c r="J49" i="12"/>
  <c r="B48" i="12"/>
  <c r="C48" i="12"/>
  <c r="D48" i="12"/>
  <c r="E48" i="12"/>
  <c r="F48" i="12"/>
  <c r="G48" i="12"/>
  <c r="H48" i="12"/>
  <c r="I48" i="12"/>
  <c r="J48" i="12"/>
  <c r="B47" i="12"/>
  <c r="C47" i="12"/>
  <c r="D47" i="12"/>
  <c r="E47" i="12"/>
  <c r="F47" i="12"/>
  <c r="G47" i="12"/>
  <c r="H47" i="12"/>
  <c r="I47" i="12"/>
  <c r="J47" i="12"/>
  <c r="B46" i="12"/>
  <c r="C46" i="12"/>
  <c r="D46" i="12"/>
  <c r="E46" i="12"/>
  <c r="F46" i="12"/>
  <c r="G46" i="12"/>
  <c r="H46" i="12"/>
  <c r="I46" i="12"/>
  <c r="J46" i="12"/>
  <c r="B45" i="12"/>
  <c r="C45" i="12"/>
  <c r="D45" i="12"/>
  <c r="E45" i="12"/>
  <c r="F45" i="12"/>
  <c r="G45" i="12"/>
  <c r="H45" i="12"/>
  <c r="I45" i="12"/>
  <c r="J45" i="12"/>
  <c r="B44" i="12"/>
  <c r="C44" i="12"/>
  <c r="D44" i="12"/>
  <c r="E44" i="12"/>
  <c r="F44" i="12"/>
  <c r="G44" i="12"/>
  <c r="H44" i="12"/>
  <c r="I44" i="12"/>
  <c r="J44" i="12"/>
  <c r="B43" i="12"/>
  <c r="C43" i="12"/>
  <c r="D43" i="12"/>
  <c r="E43" i="12"/>
  <c r="F43" i="12"/>
  <c r="G43" i="12"/>
  <c r="H43" i="12"/>
  <c r="I43" i="12"/>
  <c r="J43" i="12"/>
  <c r="B42" i="12"/>
  <c r="C42" i="12"/>
  <c r="D42" i="12"/>
  <c r="E42" i="12"/>
  <c r="F42" i="12"/>
  <c r="G42" i="12"/>
  <c r="H42" i="12"/>
  <c r="I42" i="12"/>
  <c r="J42" i="12"/>
  <c r="B41" i="12"/>
  <c r="C41" i="12"/>
  <c r="D41" i="12"/>
  <c r="E41" i="12"/>
  <c r="F41" i="12"/>
  <c r="G41" i="12"/>
  <c r="H41" i="12"/>
  <c r="I41" i="12"/>
  <c r="J41" i="12"/>
  <c r="B40" i="12"/>
  <c r="C40" i="12"/>
  <c r="D40" i="12"/>
  <c r="E40" i="12"/>
  <c r="F40" i="12"/>
  <c r="G40" i="12"/>
  <c r="H40" i="12"/>
  <c r="I40" i="12"/>
  <c r="J40" i="12"/>
  <c r="B39" i="12"/>
  <c r="C39" i="12"/>
  <c r="D39" i="12"/>
  <c r="E39" i="12"/>
  <c r="F39" i="12"/>
  <c r="G39" i="12"/>
  <c r="H39" i="12"/>
  <c r="I39" i="12"/>
  <c r="J39" i="12"/>
  <c r="B38" i="12"/>
  <c r="C38" i="12"/>
  <c r="D38" i="12"/>
  <c r="E38" i="12"/>
  <c r="F38" i="12"/>
  <c r="G38" i="12"/>
  <c r="H38" i="12"/>
  <c r="I38" i="12"/>
  <c r="J38" i="12"/>
  <c r="B37" i="12"/>
  <c r="C37" i="12"/>
  <c r="D37" i="12"/>
  <c r="E37" i="12"/>
  <c r="F37" i="12"/>
  <c r="G37" i="12"/>
  <c r="H37" i="12"/>
  <c r="I37" i="12"/>
  <c r="J37" i="12"/>
  <c r="B36" i="12"/>
  <c r="C36" i="12"/>
  <c r="D36" i="12"/>
  <c r="E36" i="12"/>
  <c r="F36" i="12"/>
  <c r="G36" i="12"/>
  <c r="H36" i="12"/>
  <c r="I36" i="12"/>
  <c r="J36" i="12"/>
  <c r="B35" i="12"/>
  <c r="C35" i="12"/>
  <c r="D35" i="12"/>
  <c r="E35" i="12"/>
  <c r="F35" i="12"/>
  <c r="G35" i="12"/>
  <c r="H35" i="12"/>
  <c r="I35" i="12"/>
  <c r="J35" i="12"/>
  <c r="B34" i="12"/>
  <c r="C34" i="12"/>
  <c r="D34" i="12"/>
  <c r="E34" i="12"/>
  <c r="F34" i="12"/>
  <c r="G34" i="12"/>
  <c r="H34" i="12"/>
  <c r="I34" i="12"/>
  <c r="J34" i="12"/>
  <c r="B33" i="12"/>
  <c r="C33" i="12"/>
  <c r="D33" i="12"/>
  <c r="E33" i="12"/>
  <c r="F33" i="12"/>
  <c r="G33" i="12"/>
  <c r="H33" i="12"/>
  <c r="I33" i="12"/>
  <c r="J33" i="12"/>
  <c r="B32" i="12"/>
  <c r="C32" i="12"/>
  <c r="D32" i="12"/>
  <c r="E32" i="12"/>
  <c r="F32" i="12"/>
  <c r="G32" i="12"/>
  <c r="H32" i="12"/>
  <c r="I32" i="12"/>
  <c r="J32" i="12"/>
  <c r="B31" i="12"/>
  <c r="C31" i="12"/>
  <c r="D31" i="12"/>
  <c r="E31" i="12"/>
  <c r="F31" i="12"/>
  <c r="G31" i="12"/>
  <c r="H31" i="12"/>
  <c r="I31" i="12"/>
  <c r="J31" i="12"/>
  <c r="B30" i="12"/>
  <c r="C30" i="12"/>
  <c r="D30" i="12"/>
  <c r="E30" i="12"/>
  <c r="F30" i="12"/>
  <c r="G30" i="12"/>
  <c r="H30" i="12"/>
  <c r="I30" i="12"/>
  <c r="J30" i="12"/>
  <c r="B29" i="12"/>
  <c r="C29" i="12"/>
  <c r="D29" i="12"/>
  <c r="E29" i="12"/>
  <c r="F29" i="12"/>
  <c r="G29" i="12"/>
  <c r="H29" i="12"/>
  <c r="I29" i="12"/>
  <c r="J29" i="12"/>
  <c r="B28" i="12"/>
  <c r="C28" i="12"/>
  <c r="D28" i="12"/>
  <c r="E28" i="12"/>
  <c r="F28" i="12"/>
  <c r="G28" i="12"/>
  <c r="H28" i="12"/>
  <c r="I28" i="12"/>
  <c r="J28" i="12"/>
  <c r="B27" i="12"/>
  <c r="C27" i="12"/>
  <c r="D27" i="12"/>
  <c r="E27" i="12"/>
  <c r="F27" i="12"/>
  <c r="G27" i="12"/>
  <c r="H27" i="12"/>
  <c r="I27" i="12"/>
  <c r="J27" i="12"/>
  <c r="B26" i="12"/>
  <c r="C26" i="12"/>
  <c r="D26" i="12"/>
  <c r="E26" i="12"/>
  <c r="F26" i="12"/>
  <c r="G26" i="12"/>
  <c r="H26" i="12"/>
  <c r="I26" i="12"/>
  <c r="J26" i="12"/>
  <c r="B25" i="12"/>
  <c r="C25" i="12"/>
  <c r="D25" i="12"/>
  <c r="E25" i="12"/>
  <c r="F25" i="12"/>
  <c r="G25" i="12"/>
  <c r="H25" i="12"/>
  <c r="I25" i="12"/>
  <c r="J25" i="12"/>
  <c r="B24" i="12"/>
  <c r="C24" i="12"/>
  <c r="D24" i="12"/>
  <c r="E24" i="12"/>
  <c r="F24" i="12"/>
  <c r="G24" i="12"/>
  <c r="H24" i="12"/>
  <c r="I24" i="12"/>
  <c r="J24" i="12"/>
  <c r="B23" i="12"/>
  <c r="C23" i="12"/>
  <c r="D23" i="12"/>
  <c r="E23" i="12"/>
  <c r="F23" i="12"/>
  <c r="G23" i="12"/>
  <c r="H23" i="12"/>
  <c r="I23" i="12"/>
  <c r="J23" i="12"/>
  <c r="B22" i="12"/>
  <c r="C22" i="12"/>
  <c r="D22" i="12"/>
  <c r="E22" i="12"/>
  <c r="F22" i="12"/>
  <c r="G22" i="12"/>
  <c r="H22" i="12"/>
  <c r="I22" i="12"/>
  <c r="J22" i="12"/>
  <c r="B21" i="12"/>
  <c r="C21" i="12"/>
  <c r="D21" i="12"/>
  <c r="E21" i="12"/>
  <c r="F21" i="12"/>
  <c r="G21" i="12"/>
  <c r="H21" i="12"/>
  <c r="I21" i="12"/>
  <c r="J21" i="12"/>
  <c r="B20" i="12"/>
  <c r="C20" i="12"/>
  <c r="D20" i="12"/>
  <c r="E20" i="12"/>
  <c r="F20" i="12"/>
  <c r="G20" i="12"/>
  <c r="H20" i="12"/>
  <c r="I20" i="12"/>
  <c r="J20" i="12"/>
  <c r="B19" i="12"/>
  <c r="C19" i="12"/>
  <c r="D19" i="12"/>
  <c r="E19" i="12"/>
  <c r="F19" i="12"/>
  <c r="G19" i="12"/>
  <c r="H19" i="12"/>
  <c r="I19" i="12"/>
  <c r="J19" i="12"/>
  <c r="B18" i="12"/>
  <c r="C18" i="12"/>
  <c r="D18" i="12"/>
  <c r="E18" i="12"/>
  <c r="F18" i="12"/>
  <c r="G18" i="12"/>
  <c r="H18" i="12"/>
  <c r="I18" i="12"/>
  <c r="J18" i="12"/>
  <c r="B17" i="12"/>
  <c r="C17" i="12"/>
  <c r="D17" i="12"/>
  <c r="E17" i="12"/>
  <c r="F17" i="12"/>
  <c r="G17" i="12"/>
  <c r="H17" i="12"/>
  <c r="I17" i="12"/>
  <c r="J17" i="12"/>
  <c r="B16" i="12"/>
  <c r="C16" i="12"/>
  <c r="D16" i="12"/>
  <c r="E16" i="12"/>
  <c r="F16" i="12"/>
  <c r="G16" i="12"/>
  <c r="H16" i="12"/>
  <c r="I16" i="12"/>
  <c r="J16" i="12"/>
  <c r="B15" i="12"/>
  <c r="C15" i="12"/>
  <c r="D15" i="12"/>
  <c r="E15" i="12"/>
  <c r="F15" i="12"/>
  <c r="G15" i="12"/>
  <c r="H15" i="12"/>
  <c r="I15" i="12"/>
  <c r="J15" i="12"/>
  <c r="B14" i="12"/>
  <c r="C14" i="12"/>
  <c r="D14" i="12"/>
  <c r="E14" i="12"/>
  <c r="F14" i="12"/>
  <c r="G14" i="12"/>
  <c r="H14" i="12"/>
  <c r="I14" i="12"/>
  <c r="J14" i="12"/>
  <c r="B13" i="12"/>
  <c r="C13" i="12"/>
  <c r="D13" i="12"/>
  <c r="E13" i="12"/>
  <c r="F13" i="12"/>
  <c r="G13" i="12"/>
  <c r="H13" i="12"/>
  <c r="I13" i="12"/>
  <c r="J13" i="12"/>
  <c r="B12" i="12"/>
  <c r="C12" i="12"/>
  <c r="D12" i="12"/>
  <c r="E12" i="12"/>
  <c r="F12" i="12"/>
  <c r="G12" i="12"/>
  <c r="H12" i="12"/>
  <c r="I12" i="12"/>
  <c r="J12" i="12"/>
  <c r="B11" i="12"/>
  <c r="C11" i="12"/>
  <c r="D11" i="12"/>
  <c r="E11" i="12"/>
  <c r="F11" i="12"/>
  <c r="G11" i="12"/>
  <c r="H11" i="12"/>
  <c r="I11" i="12"/>
  <c r="J11" i="12"/>
  <c r="B10" i="12"/>
  <c r="C10" i="12"/>
  <c r="D10" i="12"/>
  <c r="E10" i="12"/>
  <c r="F10" i="12"/>
  <c r="G10" i="12"/>
  <c r="H10" i="12"/>
  <c r="I10" i="12"/>
  <c r="J10" i="12"/>
  <c r="B9" i="12"/>
  <c r="C9" i="12"/>
  <c r="D9" i="12"/>
  <c r="E9" i="12"/>
  <c r="F9" i="12"/>
  <c r="G9" i="12"/>
  <c r="H9" i="12"/>
  <c r="I9" i="12"/>
  <c r="J9" i="12"/>
  <c r="B8" i="12"/>
  <c r="C8" i="12"/>
  <c r="D8" i="12"/>
  <c r="E8" i="12"/>
  <c r="F8" i="12"/>
  <c r="G8" i="12"/>
  <c r="H8" i="12"/>
  <c r="I8" i="12"/>
  <c r="J8" i="12"/>
  <c r="B7" i="12"/>
  <c r="C7" i="12"/>
  <c r="D7" i="12"/>
  <c r="E7" i="12"/>
  <c r="F7" i="12"/>
  <c r="G7" i="12"/>
  <c r="H7" i="12"/>
  <c r="I7" i="12"/>
  <c r="J7" i="12"/>
  <c r="B6" i="12"/>
  <c r="C6" i="12"/>
  <c r="D6" i="12"/>
  <c r="E6" i="12"/>
  <c r="F6" i="12"/>
  <c r="G6" i="12"/>
  <c r="H6" i="12"/>
  <c r="I6" i="12"/>
  <c r="J6" i="12"/>
  <c r="B5" i="12"/>
  <c r="C5" i="12"/>
  <c r="D5" i="12"/>
  <c r="E5" i="12"/>
  <c r="F5" i="12"/>
  <c r="G5" i="12"/>
  <c r="H5" i="12"/>
  <c r="I5" i="12"/>
  <c r="J5" i="12"/>
  <c r="B4" i="12"/>
  <c r="C4" i="12"/>
  <c r="D4" i="12"/>
  <c r="E4" i="12"/>
  <c r="F4" i="12"/>
  <c r="G4" i="12"/>
  <c r="H4" i="12"/>
  <c r="I4" i="12"/>
  <c r="J4" i="12"/>
  <c r="B3" i="12"/>
  <c r="C3" i="12"/>
  <c r="D3" i="12"/>
  <c r="E3" i="12"/>
  <c r="F3" i="12"/>
  <c r="G3" i="12"/>
  <c r="H3" i="12"/>
  <c r="I3" i="12"/>
  <c r="J3" i="12"/>
  <c r="B82" i="3"/>
  <c r="C82" i="3"/>
  <c r="D82" i="3"/>
  <c r="E82" i="3"/>
  <c r="F82" i="3"/>
  <c r="G82" i="3"/>
  <c r="H82" i="3"/>
  <c r="I82" i="3"/>
  <c r="J82" i="3"/>
  <c r="B81" i="3"/>
  <c r="C81" i="3"/>
  <c r="D81" i="3"/>
  <c r="E81" i="3"/>
  <c r="F81" i="3"/>
  <c r="G81" i="3"/>
  <c r="H81" i="3"/>
  <c r="I81" i="3"/>
  <c r="J81" i="3"/>
  <c r="B80" i="3"/>
  <c r="C80" i="3"/>
  <c r="D80" i="3"/>
  <c r="E80" i="3"/>
  <c r="F80" i="3"/>
  <c r="G80" i="3"/>
  <c r="H80" i="3"/>
  <c r="I80" i="3"/>
  <c r="J80" i="3"/>
  <c r="B79" i="3"/>
  <c r="C79" i="3"/>
  <c r="D79" i="3"/>
  <c r="E79" i="3"/>
  <c r="F79" i="3"/>
  <c r="G79" i="3"/>
  <c r="H79" i="3"/>
  <c r="I79" i="3"/>
  <c r="J79" i="3"/>
  <c r="B78" i="3"/>
  <c r="C78" i="3"/>
  <c r="D78" i="3"/>
  <c r="E78" i="3"/>
  <c r="F78" i="3"/>
  <c r="G78" i="3"/>
  <c r="H78" i="3"/>
  <c r="I78" i="3"/>
  <c r="J78" i="3"/>
  <c r="B77" i="3"/>
  <c r="C77" i="3"/>
  <c r="D77" i="3"/>
  <c r="E77" i="3"/>
  <c r="F77" i="3"/>
  <c r="G77" i="3"/>
  <c r="H77" i="3"/>
  <c r="I77" i="3"/>
  <c r="J77" i="3"/>
  <c r="B76" i="3"/>
  <c r="C76" i="3"/>
  <c r="D76" i="3"/>
  <c r="E76" i="3"/>
  <c r="F76" i="3"/>
  <c r="G76" i="3"/>
  <c r="H76" i="3"/>
  <c r="I76" i="3"/>
  <c r="J76" i="3"/>
  <c r="B75" i="3"/>
  <c r="C75" i="3"/>
  <c r="D75" i="3"/>
  <c r="E75" i="3"/>
  <c r="F75" i="3"/>
  <c r="G75" i="3"/>
  <c r="H75" i="3"/>
  <c r="I75" i="3"/>
  <c r="J75" i="3"/>
  <c r="B74" i="3"/>
  <c r="C74" i="3"/>
  <c r="D74" i="3"/>
  <c r="E74" i="3"/>
  <c r="F74" i="3"/>
  <c r="G74" i="3"/>
  <c r="H74" i="3"/>
  <c r="I74" i="3"/>
  <c r="J74" i="3"/>
  <c r="B73" i="3"/>
  <c r="C73" i="3"/>
  <c r="D73" i="3"/>
  <c r="E73" i="3"/>
  <c r="F73" i="3"/>
  <c r="G73" i="3"/>
  <c r="H73" i="3"/>
  <c r="I73" i="3"/>
  <c r="J73" i="3"/>
  <c r="B72" i="3"/>
  <c r="C72" i="3"/>
  <c r="D72" i="3"/>
  <c r="E72" i="3"/>
  <c r="F72" i="3"/>
  <c r="G72" i="3"/>
  <c r="H72" i="3"/>
  <c r="I72" i="3"/>
  <c r="J72" i="3"/>
  <c r="B71" i="3"/>
  <c r="C71" i="3"/>
  <c r="D71" i="3"/>
  <c r="E71" i="3"/>
  <c r="F71" i="3"/>
  <c r="G71" i="3"/>
  <c r="H71" i="3"/>
  <c r="I71" i="3"/>
  <c r="J71" i="3"/>
  <c r="B70" i="3"/>
  <c r="C70" i="3"/>
  <c r="D70" i="3"/>
  <c r="E70" i="3"/>
  <c r="F70" i="3"/>
  <c r="G70" i="3"/>
  <c r="H70" i="3"/>
  <c r="I70" i="3"/>
  <c r="J70" i="3"/>
  <c r="B69" i="3"/>
  <c r="C69" i="3"/>
  <c r="D69" i="3"/>
  <c r="E69" i="3"/>
  <c r="F69" i="3"/>
  <c r="G69" i="3"/>
  <c r="H69" i="3"/>
  <c r="I69" i="3"/>
  <c r="J69" i="3"/>
  <c r="B68" i="3"/>
  <c r="C68" i="3"/>
  <c r="D68" i="3"/>
  <c r="E68" i="3"/>
  <c r="F68" i="3"/>
  <c r="G68" i="3"/>
  <c r="H68" i="3"/>
  <c r="I68" i="3"/>
  <c r="J68" i="3"/>
  <c r="B67" i="3"/>
  <c r="C67" i="3"/>
  <c r="D67" i="3"/>
  <c r="E67" i="3"/>
  <c r="F67" i="3"/>
  <c r="G67" i="3"/>
  <c r="H67" i="3"/>
  <c r="I67" i="3"/>
  <c r="J67" i="3"/>
  <c r="B66" i="3"/>
  <c r="C66" i="3"/>
  <c r="D66" i="3"/>
  <c r="E66" i="3"/>
  <c r="F66" i="3"/>
  <c r="G66" i="3"/>
  <c r="H66" i="3"/>
  <c r="I66" i="3"/>
  <c r="J66" i="3"/>
  <c r="B65" i="3"/>
  <c r="C65" i="3"/>
  <c r="D65" i="3"/>
  <c r="E65" i="3"/>
  <c r="F65" i="3"/>
  <c r="G65" i="3"/>
  <c r="H65" i="3"/>
  <c r="I65" i="3"/>
  <c r="J65" i="3"/>
  <c r="B64" i="3"/>
  <c r="C64" i="3"/>
  <c r="D64" i="3"/>
  <c r="E64" i="3"/>
  <c r="F64" i="3"/>
  <c r="G64" i="3"/>
  <c r="H64" i="3"/>
  <c r="I64" i="3"/>
  <c r="J64" i="3"/>
  <c r="B63" i="3"/>
  <c r="C63" i="3"/>
  <c r="D63" i="3"/>
  <c r="E63" i="3"/>
  <c r="F63" i="3"/>
  <c r="G63" i="3"/>
  <c r="H63" i="3"/>
  <c r="I63" i="3"/>
  <c r="J63" i="3"/>
  <c r="B62" i="3"/>
  <c r="C62" i="3"/>
  <c r="D62" i="3"/>
  <c r="E62" i="3"/>
  <c r="F62" i="3"/>
  <c r="G62" i="3"/>
  <c r="H62" i="3"/>
  <c r="I62" i="3"/>
  <c r="J62" i="3"/>
  <c r="B61" i="3"/>
  <c r="C61" i="3"/>
  <c r="D61" i="3"/>
  <c r="E61" i="3"/>
  <c r="F61" i="3"/>
  <c r="G61" i="3"/>
  <c r="H61" i="3"/>
  <c r="I61" i="3"/>
  <c r="J61" i="3"/>
  <c r="B60" i="3"/>
  <c r="C60" i="3"/>
  <c r="D60" i="3"/>
  <c r="E60" i="3"/>
  <c r="F60" i="3"/>
  <c r="G60" i="3"/>
  <c r="H60" i="3"/>
  <c r="I60" i="3"/>
  <c r="J60" i="3"/>
  <c r="B59" i="3"/>
  <c r="C59" i="3"/>
  <c r="D59" i="3"/>
  <c r="E59" i="3"/>
  <c r="F59" i="3"/>
  <c r="G59" i="3"/>
  <c r="H59" i="3"/>
  <c r="I59" i="3"/>
  <c r="J59" i="3"/>
  <c r="B58" i="3"/>
  <c r="C58" i="3"/>
  <c r="D58" i="3"/>
  <c r="E58" i="3"/>
  <c r="F58" i="3"/>
  <c r="G58" i="3"/>
  <c r="H58" i="3"/>
  <c r="I58" i="3"/>
  <c r="J58" i="3"/>
  <c r="B57" i="3"/>
  <c r="C57" i="3"/>
  <c r="D57" i="3"/>
  <c r="E57" i="3"/>
  <c r="F57" i="3"/>
  <c r="G57" i="3"/>
  <c r="H57" i="3"/>
  <c r="I57" i="3"/>
  <c r="J57" i="3"/>
  <c r="B56" i="3"/>
  <c r="C56" i="3"/>
  <c r="D56" i="3"/>
  <c r="E56" i="3"/>
  <c r="F56" i="3"/>
  <c r="G56" i="3"/>
  <c r="H56" i="3"/>
  <c r="I56" i="3"/>
  <c r="J56" i="3"/>
  <c r="B55" i="3"/>
  <c r="C55" i="3"/>
  <c r="D55" i="3"/>
  <c r="E55" i="3"/>
  <c r="F55" i="3"/>
  <c r="G55" i="3"/>
  <c r="H55" i="3"/>
  <c r="I55" i="3"/>
  <c r="J55" i="3"/>
  <c r="B54" i="3"/>
  <c r="C54" i="3"/>
  <c r="D54" i="3"/>
  <c r="E54" i="3"/>
  <c r="F54" i="3"/>
  <c r="G54" i="3"/>
  <c r="H54" i="3"/>
  <c r="I54" i="3"/>
  <c r="J54" i="3"/>
  <c r="B53" i="3"/>
  <c r="C53" i="3"/>
  <c r="D53" i="3"/>
  <c r="E53" i="3"/>
  <c r="F53" i="3"/>
  <c r="G53" i="3"/>
  <c r="H53" i="3"/>
  <c r="I53" i="3"/>
  <c r="J53" i="3"/>
  <c r="B52" i="3"/>
  <c r="C52" i="3"/>
  <c r="D52" i="3"/>
  <c r="E52" i="3"/>
  <c r="F52" i="3"/>
  <c r="G52" i="3"/>
  <c r="H52" i="3"/>
  <c r="I52" i="3"/>
  <c r="J52" i="3"/>
  <c r="B51" i="3"/>
  <c r="C51" i="3"/>
  <c r="D51" i="3"/>
  <c r="E51" i="3"/>
  <c r="F51" i="3"/>
  <c r="G51" i="3"/>
  <c r="H51" i="3"/>
  <c r="I51" i="3"/>
  <c r="J51" i="3"/>
  <c r="B50" i="3"/>
  <c r="C50" i="3"/>
  <c r="D50" i="3"/>
  <c r="E50" i="3"/>
  <c r="F50" i="3"/>
  <c r="G50" i="3"/>
  <c r="H50" i="3"/>
  <c r="I50" i="3"/>
  <c r="J50" i="3"/>
  <c r="B49" i="3"/>
  <c r="C49" i="3"/>
  <c r="D49" i="3"/>
  <c r="E49" i="3"/>
  <c r="F49" i="3"/>
  <c r="G49" i="3"/>
  <c r="H49" i="3"/>
  <c r="I49" i="3"/>
  <c r="J49" i="3"/>
  <c r="B48" i="3"/>
  <c r="C48" i="3"/>
  <c r="D48" i="3"/>
  <c r="E48" i="3"/>
  <c r="F48" i="3"/>
  <c r="G48" i="3"/>
  <c r="H48" i="3"/>
  <c r="I48" i="3"/>
  <c r="J48" i="3"/>
  <c r="B47" i="3"/>
  <c r="C47" i="3"/>
  <c r="D47" i="3"/>
  <c r="E47" i="3"/>
  <c r="F47" i="3"/>
  <c r="G47" i="3"/>
  <c r="H47" i="3"/>
  <c r="I47" i="3"/>
  <c r="J47" i="3"/>
  <c r="B46" i="3"/>
  <c r="C46" i="3"/>
  <c r="D46" i="3"/>
  <c r="E46" i="3"/>
  <c r="F46" i="3"/>
  <c r="G46" i="3"/>
  <c r="H46" i="3"/>
  <c r="I46" i="3"/>
  <c r="J46" i="3"/>
  <c r="B45" i="3"/>
  <c r="C45" i="3"/>
  <c r="D45" i="3"/>
  <c r="E45" i="3"/>
  <c r="F45" i="3"/>
  <c r="G45" i="3"/>
  <c r="H45" i="3"/>
  <c r="I45" i="3"/>
  <c r="J45" i="3"/>
  <c r="B44" i="3"/>
  <c r="C44" i="3"/>
  <c r="D44" i="3"/>
  <c r="E44" i="3"/>
  <c r="F44" i="3"/>
  <c r="G44" i="3"/>
  <c r="H44" i="3"/>
  <c r="I44" i="3"/>
  <c r="J44" i="3"/>
  <c r="B43" i="3"/>
  <c r="C43" i="3"/>
  <c r="D43" i="3"/>
  <c r="E43" i="3"/>
  <c r="F43" i="3"/>
  <c r="G43" i="3"/>
  <c r="H43" i="3"/>
  <c r="I43" i="3"/>
  <c r="J43" i="3"/>
  <c r="B42" i="3"/>
  <c r="C42" i="3"/>
  <c r="D42" i="3"/>
  <c r="E42" i="3"/>
  <c r="F42" i="3"/>
  <c r="G42" i="3"/>
  <c r="H42" i="3"/>
  <c r="I42" i="3"/>
  <c r="J42" i="3"/>
  <c r="B41" i="3"/>
  <c r="C41" i="3"/>
  <c r="D41" i="3"/>
  <c r="E41" i="3"/>
  <c r="F41" i="3"/>
  <c r="G41" i="3"/>
  <c r="H41" i="3"/>
  <c r="I41" i="3"/>
  <c r="J41" i="3"/>
  <c r="B40" i="3"/>
  <c r="C40" i="3"/>
  <c r="D40" i="3"/>
  <c r="E40" i="3"/>
  <c r="F40" i="3"/>
  <c r="G40" i="3"/>
  <c r="H40" i="3"/>
  <c r="I40" i="3"/>
  <c r="J40" i="3"/>
  <c r="B39" i="3"/>
  <c r="C39" i="3"/>
  <c r="D39" i="3"/>
  <c r="E39" i="3"/>
  <c r="F39" i="3"/>
  <c r="G39" i="3"/>
  <c r="H39" i="3"/>
  <c r="I39" i="3"/>
  <c r="J39" i="3"/>
  <c r="B38" i="3"/>
  <c r="C38" i="3"/>
  <c r="D38" i="3"/>
  <c r="E38" i="3"/>
  <c r="F38" i="3"/>
  <c r="G38" i="3"/>
  <c r="H38" i="3"/>
  <c r="I38" i="3"/>
  <c r="J38" i="3"/>
  <c r="B37" i="3"/>
  <c r="C37" i="3"/>
  <c r="D37" i="3"/>
  <c r="E37" i="3"/>
  <c r="F37" i="3"/>
  <c r="G37" i="3"/>
  <c r="H37" i="3"/>
  <c r="I37" i="3"/>
  <c r="J37" i="3"/>
  <c r="B36" i="3"/>
  <c r="C36" i="3"/>
  <c r="D36" i="3"/>
  <c r="E36" i="3"/>
  <c r="F36" i="3"/>
  <c r="G36" i="3"/>
  <c r="H36" i="3"/>
  <c r="I36" i="3"/>
  <c r="J36" i="3"/>
  <c r="B35" i="3"/>
  <c r="C35" i="3"/>
  <c r="D35" i="3"/>
  <c r="E35" i="3"/>
  <c r="F35" i="3"/>
  <c r="G35" i="3"/>
  <c r="H35" i="3"/>
  <c r="I35" i="3"/>
  <c r="J35" i="3"/>
  <c r="B34" i="3"/>
  <c r="C34" i="3"/>
  <c r="D34" i="3"/>
  <c r="E34" i="3"/>
  <c r="F34" i="3"/>
  <c r="G34" i="3"/>
  <c r="H34" i="3"/>
  <c r="I34" i="3"/>
  <c r="J34" i="3"/>
  <c r="B33" i="3"/>
  <c r="C33" i="3"/>
  <c r="D33" i="3"/>
  <c r="E33" i="3"/>
  <c r="F33" i="3"/>
  <c r="G33" i="3"/>
  <c r="H33" i="3"/>
  <c r="I33" i="3"/>
  <c r="J33" i="3"/>
  <c r="B32" i="3"/>
  <c r="C32" i="3"/>
  <c r="D32" i="3"/>
  <c r="E32" i="3"/>
  <c r="F32" i="3"/>
  <c r="G32" i="3"/>
  <c r="H32" i="3"/>
  <c r="I32" i="3"/>
  <c r="J32" i="3"/>
  <c r="B31" i="3"/>
  <c r="C31" i="3"/>
  <c r="D31" i="3"/>
  <c r="E31" i="3"/>
  <c r="F31" i="3"/>
  <c r="G31" i="3"/>
  <c r="H31" i="3"/>
  <c r="I31" i="3"/>
  <c r="J31" i="3"/>
  <c r="B30" i="3"/>
  <c r="C30" i="3"/>
  <c r="D30" i="3"/>
  <c r="E30" i="3"/>
  <c r="F30" i="3"/>
  <c r="G30" i="3"/>
  <c r="H30" i="3"/>
  <c r="I30" i="3"/>
  <c r="J30" i="3"/>
  <c r="B29" i="3"/>
  <c r="C29" i="3"/>
  <c r="D29" i="3"/>
  <c r="E29" i="3"/>
  <c r="F29" i="3"/>
  <c r="G29" i="3"/>
  <c r="H29" i="3"/>
  <c r="I29" i="3"/>
  <c r="J29" i="3"/>
  <c r="B28" i="3"/>
  <c r="C28" i="3"/>
  <c r="D28" i="3"/>
  <c r="E28" i="3"/>
  <c r="F28" i="3"/>
  <c r="G28" i="3"/>
  <c r="H28" i="3"/>
  <c r="I28" i="3"/>
  <c r="J28" i="3"/>
  <c r="B27" i="3"/>
  <c r="C27" i="3"/>
  <c r="D27" i="3"/>
  <c r="E27" i="3"/>
  <c r="F27" i="3"/>
  <c r="G27" i="3"/>
  <c r="H27" i="3"/>
  <c r="I27" i="3"/>
  <c r="J27" i="3"/>
  <c r="B26" i="3"/>
  <c r="C26" i="3"/>
  <c r="D26" i="3"/>
  <c r="E26" i="3"/>
  <c r="F26" i="3"/>
  <c r="G26" i="3"/>
  <c r="H26" i="3"/>
  <c r="I26" i="3"/>
  <c r="J26" i="3"/>
  <c r="B25" i="3"/>
  <c r="C25" i="3"/>
  <c r="D25" i="3"/>
  <c r="E25" i="3"/>
  <c r="F25" i="3"/>
  <c r="G25" i="3"/>
  <c r="H25" i="3"/>
  <c r="I25" i="3"/>
  <c r="J25" i="3"/>
  <c r="B24" i="3"/>
  <c r="C24" i="3"/>
  <c r="D24" i="3"/>
  <c r="E24" i="3"/>
  <c r="F24" i="3"/>
  <c r="G24" i="3"/>
  <c r="H24" i="3"/>
  <c r="I24" i="3"/>
  <c r="J24" i="3"/>
  <c r="B23" i="3"/>
  <c r="C23" i="3"/>
  <c r="D23" i="3"/>
  <c r="E23" i="3"/>
  <c r="F23" i="3"/>
  <c r="G23" i="3"/>
  <c r="H23" i="3"/>
  <c r="I23" i="3"/>
  <c r="J23" i="3"/>
  <c r="B22" i="3"/>
  <c r="C22" i="3"/>
  <c r="D22" i="3"/>
  <c r="E22" i="3"/>
  <c r="F22" i="3"/>
  <c r="G22" i="3"/>
  <c r="H22" i="3"/>
  <c r="I22" i="3"/>
  <c r="J22" i="3"/>
  <c r="B21" i="3"/>
  <c r="C21" i="3"/>
  <c r="D21" i="3"/>
  <c r="E21" i="3"/>
  <c r="F21" i="3"/>
  <c r="G21" i="3"/>
  <c r="H21" i="3"/>
  <c r="I21" i="3"/>
  <c r="J21" i="3"/>
  <c r="B20" i="3"/>
  <c r="C20" i="3"/>
  <c r="D20" i="3"/>
  <c r="E20" i="3"/>
  <c r="F20" i="3"/>
  <c r="G20" i="3"/>
  <c r="H20" i="3"/>
  <c r="I20" i="3"/>
  <c r="J20" i="3"/>
  <c r="B19" i="3"/>
  <c r="C19" i="3"/>
  <c r="D19" i="3"/>
  <c r="E19" i="3"/>
  <c r="F19" i="3"/>
  <c r="G19" i="3"/>
  <c r="H19" i="3"/>
  <c r="I19" i="3"/>
  <c r="J19" i="3"/>
  <c r="B18" i="3"/>
  <c r="C18" i="3"/>
  <c r="D18" i="3"/>
  <c r="E18" i="3"/>
  <c r="F18" i="3"/>
  <c r="G18" i="3"/>
  <c r="H18" i="3"/>
  <c r="I18" i="3"/>
  <c r="J18" i="3"/>
  <c r="B17" i="3"/>
  <c r="C17" i="3"/>
  <c r="D17" i="3"/>
  <c r="E17" i="3"/>
  <c r="F17" i="3"/>
  <c r="G17" i="3"/>
  <c r="H17" i="3"/>
  <c r="I17" i="3"/>
  <c r="J17" i="3"/>
  <c r="B16" i="3"/>
  <c r="C16" i="3"/>
  <c r="D16" i="3"/>
  <c r="E16" i="3"/>
  <c r="F16" i="3"/>
  <c r="G16" i="3"/>
  <c r="H16" i="3"/>
  <c r="I16" i="3"/>
  <c r="J16" i="3"/>
  <c r="B15" i="3"/>
  <c r="C15" i="3"/>
  <c r="D15" i="3"/>
  <c r="E15" i="3"/>
  <c r="F15" i="3"/>
  <c r="G15" i="3"/>
  <c r="H15" i="3"/>
  <c r="I15" i="3"/>
  <c r="J15" i="3"/>
  <c r="B14" i="3"/>
  <c r="C14" i="3"/>
  <c r="D14" i="3"/>
  <c r="E14" i="3"/>
  <c r="F14" i="3"/>
  <c r="G14" i="3"/>
  <c r="H14" i="3"/>
  <c r="I14" i="3"/>
  <c r="J14" i="3"/>
  <c r="B13" i="3"/>
  <c r="C13" i="3"/>
  <c r="D13" i="3"/>
  <c r="E13" i="3"/>
  <c r="F13" i="3"/>
  <c r="G13" i="3"/>
  <c r="H13" i="3"/>
  <c r="I13" i="3"/>
  <c r="J13" i="3"/>
  <c r="B12" i="3"/>
  <c r="C12" i="3"/>
  <c r="D12" i="3"/>
  <c r="E12" i="3"/>
  <c r="F12" i="3"/>
  <c r="G12" i="3"/>
  <c r="H12" i="3"/>
  <c r="I12" i="3"/>
  <c r="J12" i="3"/>
  <c r="B11" i="3"/>
  <c r="C11" i="3"/>
  <c r="D11" i="3"/>
  <c r="E11" i="3"/>
  <c r="F11" i="3"/>
  <c r="G11" i="3"/>
  <c r="H11" i="3"/>
  <c r="I11" i="3"/>
  <c r="J11" i="3"/>
  <c r="B10" i="3"/>
  <c r="C10" i="3"/>
  <c r="D10" i="3"/>
  <c r="E10" i="3"/>
  <c r="F10" i="3"/>
  <c r="G10" i="3"/>
  <c r="H10" i="3"/>
  <c r="I10" i="3"/>
  <c r="J10" i="3"/>
  <c r="B9" i="3"/>
  <c r="C9" i="3"/>
  <c r="D9" i="3"/>
  <c r="E9" i="3"/>
  <c r="F9" i="3"/>
  <c r="G9" i="3"/>
  <c r="H9" i="3"/>
  <c r="I9" i="3"/>
  <c r="J9" i="3"/>
  <c r="B8" i="3"/>
  <c r="C8" i="3"/>
  <c r="D8" i="3"/>
  <c r="E8" i="3"/>
  <c r="F8" i="3"/>
  <c r="G8" i="3"/>
  <c r="H8" i="3"/>
  <c r="I8" i="3"/>
  <c r="J8" i="3"/>
  <c r="B7" i="3"/>
  <c r="C7" i="3"/>
  <c r="D7" i="3"/>
  <c r="E7" i="3"/>
  <c r="F7" i="3"/>
  <c r="G7" i="3"/>
  <c r="H7" i="3"/>
  <c r="I7" i="3"/>
  <c r="J7" i="3"/>
  <c r="B6" i="3"/>
  <c r="C6" i="3"/>
  <c r="D6" i="3"/>
  <c r="E6" i="3"/>
  <c r="F6" i="3"/>
  <c r="G6" i="3"/>
  <c r="H6" i="3"/>
  <c r="I6" i="3"/>
  <c r="J6" i="3"/>
  <c r="B5" i="3"/>
  <c r="C5" i="3"/>
  <c r="D5" i="3"/>
  <c r="E5" i="3"/>
  <c r="F5" i="3"/>
  <c r="G5" i="3"/>
  <c r="H5" i="3"/>
  <c r="I5" i="3"/>
  <c r="J5" i="3"/>
  <c r="B4" i="3"/>
  <c r="C4" i="3"/>
  <c r="D4" i="3"/>
  <c r="E4" i="3"/>
  <c r="F4" i="3"/>
  <c r="G4" i="3"/>
  <c r="H4" i="3"/>
  <c r="I4" i="3"/>
  <c r="J4" i="3"/>
  <c r="B3" i="3"/>
  <c r="C3" i="3"/>
  <c r="D3" i="3"/>
  <c r="E3" i="3"/>
  <c r="F3" i="3"/>
  <c r="G3" i="3"/>
  <c r="H3" i="3"/>
  <c r="I3" i="3"/>
  <c r="J3" i="3"/>
  <c r="F10" i="10"/>
  <c r="F11" i="10"/>
  <c r="F12" i="10"/>
  <c r="F13" i="10"/>
  <c r="F14" i="10"/>
  <c r="G10" i="10"/>
  <c r="G11" i="10"/>
  <c r="G12" i="10"/>
  <c r="G13" i="10"/>
  <c r="G14" i="10"/>
  <c r="K4" i="10"/>
  <c r="L4" i="10"/>
  <c r="M4" i="10"/>
  <c r="N4" i="10"/>
  <c r="K5" i="10"/>
  <c r="L5" i="10"/>
  <c r="M5" i="10"/>
  <c r="N5" i="10"/>
  <c r="K6" i="10"/>
  <c r="L6" i="10"/>
  <c r="M6" i="10"/>
  <c r="N6" i="10"/>
  <c r="K7" i="10"/>
  <c r="L7" i="10"/>
  <c r="M7" i="10"/>
  <c r="N7" i="10"/>
  <c r="K8" i="10"/>
  <c r="L8" i="10"/>
  <c r="M8" i="10"/>
  <c r="N8" i="10"/>
  <c r="K9" i="10"/>
  <c r="L9" i="10"/>
  <c r="M9" i="10"/>
  <c r="N9" i="10"/>
  <c r="K10" i="10"/>
  <c r="L10" i="10"/>
  <c r="M10" i="10"/>
  <c r="N10" i="10"/>
  <c r="K11" i="10"/>
  <c r="L11" i="10"/>
  <c r="M11" i="10"/>
  <c r="N11" i="10"/>
  <c r="K12" i="10"/>
  <c r="L12" i="10"/>
  <c r="M12" i="10"/>
  <c r="N12" i="10"/>
  <c r="K13" i="10"/>
  <c r="L13" i="10"/>
  <c r="M13" i="10"/>
  <c r="N13" i="10"/>
  <c r="K14" i="10"/>
  <c r="L14" i="10"/>
  <c r="M14" i="10"/>
  <c r="N14" i="10"/>
  <c r="K15" i="10"/>
  <c r="L15" i="10"/>
  <c r="M15" i="10"/>
  <c r="N15" i="10"/>
  <c r="K16" i="10"/>
  <c r="L16" i="10"/>
  <c r="M16" i="10"/>
  <c r="N16" i="10"/>
  <c r="K17" i="10"/>
  <c r="L17" i="10"/>
  <c r="M17" i="10"/>
  <c r="N17" i="10"/>
  <c r="K18" i="10"/>
  <c r="L18" i="10"/>
  <c r="M18" i="10"/>
  <c r="N18" i="10"/>
  <c r="K19" i="10"/>
  <c r="L19" i="10"/>
  <c r="M19" i="10"/>
  <c r="N19" i="10"/>
  <c r="K20" i="10"/>
  <c r="L20" i="10"/>
  <c r="M20" i="10"/>
  <c r="N20" i="10"/>
  <c r="K21" i="10"/>
  <c r="L21" i="10"/>
  <c r="M21" i="10"/>
  <c r="N21" i="10"/>
  <c r="K22" i="10"/>
  <c r="L22" i="10"/>
  <c r="M22" i="10"/>
  <c r="N22" i="10"/>
  <c r="K23" i="10"/>
  <c r="L23" i="10"/>
  <c r="M23" i="10"/>
  <c r="N23" i="10"/>
  <c r="K24" i="10"/>
  <c r="L24" i="10"/>
  <c r="M24" i="10"/>
  <c r="N24" i="10"/>
  <c r="K25" i="10"/>
  <c r="L25" i="10"/>
  <c r="M25" i="10"/>
  <c r="N25" i="10"/>
  <c r="K26" i="10"/>
  <c r="L26" i="10"/>
  <c r="M26" i="10"/>
  <c r="N26" i="10"/>
  <c r="K27" i="10"/>
  <c r="L27" i="10"/>
  <c r="M27" i="10"/>
  <c r="N27" i="10"/>
  <c r="K28" i="10"/>
  <c r="L28" i="10"/>
  <c r="M28" i="10"/>
  <c r="N28" i="10"/>
  <c r="K29" i="10"/>
  <c r="L29" i="10"/>
  <c r="M29" i="10"/>
  <c r="N29" i="10"/>
  <c r="K30" i="10"/>
  <c r="L30" i="10"/>
  <c r="M30" i="10"/>
  <c r="N30" i="10"/>
  <c r="K31" i="10"/>
  <c r="L31" i="10"/>
  <c r="M31" i="10"/>
  <c r="N31" i="10"/>
  <c r="K32" i="10"/>
  <c r="L32" i="10"/>
  <c r="M32" i="10"/>
  <c r="N32" i="10"/>
  <c r="K33" i="10"/>
  <c r="L33" i="10"/>
  <c r="M33" i="10"/>
  <c r="N33" i="10"/>
  <c r="K34" i="10"/>
  <c r="L34" i="10"/>
  <c r="M34" i="10"/>
  <c r="N34" i="10"/>
  <c r="K35" i="10"/>
  <c r="L35" i="10"/>
  <c r="M35" i="10"/>
  <c r="N35" i="10"/>
  <c r="K36" i="10"/>
  <c r="L36" i="10"/>
  <c r="M36" i="10"/>
  <c r="N36" i="10"/>
  <c r="K37" i="10"/>
  <c r="L37" i="10"/>
  <c r="M37" i="10"/>
  <c r="N37" i="10"/>
  <c r="K38" i="10"/>
  <c r="L38" i="10"/>
  <c r="M38" i="10"/>
  <c r="N38" i="10"/>
  <c r="K39" i="10"/>
  <c r="L39" i="10"/>
  <c r="M39" i="10"/>
  <c r="N39" i="10"/>
  <c r="K40" i="10"/>
  <c r="L40" i="10"/>
  <c r="M40" i="10"/>
  <c r="N40" i="10"/>
  <c r="K41" i="10"/>
  <c r="L41" i="10"/>
  <c r="M41" i="10"/>
  <c r="N41" i="10"/>
  <c r="K42" i="10"/>
  <c r="L42" i="10"/>
  <c r="M42" i="10"/>
  <c r="N42" i="10"/>
  <c r="K43" i="10"/>
  <c r="L43" i="10"/>
  <c r="M43" i="10"/>
  <c r="N43" i="10"/>
  <c r="K44" i="10"/>
  <c r="L44" i="10"/>
  <c r="M44" i="10"/>
  <c r="N44" i="10"/>
  <c r="K45" i="10"/>
  <c r="L45" i="10"/>
  <c r="M45" i="10"/>
  <c r="N45" i="10"/>
  <c r="K46" i="10"/>
  <c r="L46" i="10"/>
  <c r="M46" i="10"/>
  <c r="N46" i="10"/>
  <c r="K47" i="10"/>
  <c r="L47" i="10"/>
  <c r="M47" i="10"/>
  <c r="N47" i="10"/>
  <c r="K48" i="10"/>
  <c r="L48" i="10"/>
  <c r="M48" i="10"/>
  <c r="N48" i="10"/>
  <c r="K49" i="10"/>
  <c r="L49" i="10"/>
  <c r="M49" i="10"/>
  <c r="N49" i="10"/>
  <c r="K50" i="10"/>
  <c r="L50" i="10"/>
  <c r="M50" i="10"/>
  <c r="N50" i="10"/>
  <c r="K51" i="10"/>
  <c r="L51" i="10"/>
  <c r="M51" i="10"/>
  <c r="N51" i="10"/>
  <c r="K52" i="10"/>
  <c r="L52" i="10"/>
  <c r="M52" i="10"/>
  <c r="N52" i="10"/>
  <c r="K53" i="10"/>
  <c r="L53" i="10"/>
  <c r="M53" i="10"/>
  <c r="N53" i="10"/>
  <c r="K54" i="10"/>
  <c r="L54" i="10"/>
  <c r="M54" i="10"/>
  <c r="N54" i="10"/>
  <c r="K55" i="10"/>
  <c r="L55" i="10"/>
  <c r="M55" i="10"/>
  <c r="N55" i="10"/>
  <c r="K56" i="10"/>
  <c r="L56" i="10"/>
  <c r="M56" i="10"/>
  <c r="N56" i="10"/>
  <c r="K57" i="10"/>
  <c r="L57" i="10"/>
  <c r="M57" i="10"/>
  <c r="N57" i="10"/>
  <c r="K58" i="10"/>
  <c r="L58" i="10"/>
  <c r="M58" i="10"/>
  <c r="N58" i="10"/>
  <c r="K59" i="10"/>
  <c r="L59" i="10"/>
  <c r="M59" i="10"/>
  <c r="N59" i="10"/>
  <c r="K60" i="10"/>
  <c r="L60" i="10"/>
  <c r="M60" i="10"/>
  <c r="N60" i="10"/>
  <c r="K61" i="10"/>
  <c r="L61" i="10"/>
  <c r="M61" i="10"/>
  <c r="N61" i="10"/>
  <c r="K62" i="10"/>
  <c r="L62" i="10"/>
  <c r="M62" i="10"/>
  <c r="N62" i="10"/>
  <c r="K63" i="10"/>
  <c r="L63" i="10"/>
  <c r="M63" i="10"/>
  <c r="N63" i="10"/>
  <c r="K64" i="10"/>
  <c r="L64" i="10"/>
  <c r="M64" i="10"/>
  <c r="N64" i="10"/>
  <c r="K65" i="10"/>
  <c r="L65" i="10"/>
  <c r="M65" i="10"/>
  <c r="N65" i="10"/>
  <c r="K66" i="10"/>
  <c r="L66" i="10"/>
  <c r="M66" i="10"/>
  <c r="N66" i="10"/>
  <c r="K67" i="10"/>
  <c r="L67" i="10"/>
  <c r="M67" i="10"/>
  <c r="N67" i="10"/>
  <c r="K68" i="10"/>
  <c r="L68" i="10"/>
  <c r="M68" i="10"/>
  <c r="N68" i="10"/>
  <c r="K69" i="10"/>
  <c r="L69" i="10"/>
  <c r="M69" i="10"/>
  <c r="N69" i="10"/>
  <c r="K70" i="10"/>
  <c r="L70" i="10"/>
  <c r="M70" i="10"/>
  <c r="N70" i="10"/>
  <c r="K71" i="10"/>
  <c r="L71" i="10"/>
  <c r="M71" i="10"/>
  <c r="N71" i="10"/>
  <c r="K72" i="10"/>
  <c r="L72" i="10"/>
  <c r="M72" i="10"/>
  <c r="N72" i="10"/>
  <c r="K73" i="10"/>
  <c r="L73" i="10"/>
  <c r="M73" i="10"/>
  <c r="N73" i="10"/>
  <c r="K74" i="10"/>
  <c r="L74" i="10"/>
  <c r="M74" i="10"/>
  <c r="N74" i="10"/>
  <c r="K75" i="10"/>
  <c r="L75" i="10"/>
  <c r="M75" i="10"/>
  <c r="N75" i="10"/>
  <c r="K76" i="10"/>
  <c r="L76" i="10"/>
  <c r="M76" i="10"/>
  <c r="N76" i="10"/>
  <c r="K77" i="10"/>
  <c r="L77" i="10"/>
  <c r="M77" i="10"/>
  <c r="N77" i="10"/>
  <c r="K78" i="10"/>
  <c r="L78" i="10"/>
  <c r="M78" i="10"/>
  <c r="N78" i="10"/>
  <c r="K79" i="10"/>
  <c r="L79" i="10"/>
  <c r="M79" i="10"/>
  <c r="N79" i="10"/>
  <c r="K80" i="10"/>
  <c r="L80" i="10"/>
  <c r="M80" i="10"/>
  <c r="N80" i="10"/>
  <c r="K81" i="10"/>
  <c r="L81" i="10"/>
  <c r="M81" i="10"/>
  <c r="N81" i="10"/>
  <c r="K82" i="10"/>
  <c r="L82" i="10"/>
  <c r="M82" i="10"/>
  <c r="N82" i="10"/>
  <c r="K83" i="10"/>
  <c r="L83" i="10"/>
  <c r="M83" i="10"/>
  <c r="N83" i="10"/>
  <c r="K84" i="10"/>
  <c r="L84" i="10"/>
  <c r="M84" i="10"/>
  <c r="N84" i="10"/>
  <c r="K85" i="10"/>
  <c r="L85" i="10"/>
  <c r="M85" i="10"/>
  <c r="N85" i="10"/>
  <c r="K86" i="10"/>
  <c r="L86" i="10"/>
  <c r="M86" i="10"/>
  <c r="N86" i="10"/>
  <c r="K87" i="10"/>
  <c r="L87" i="10"/>
  <c r="M87" i="10"/>
  <c r="N87" i="10"/>
  <c r="K88" i="10"/>
  <c r="L88" i="10"/>
  <c r="M88" i="10"/>
  <c r="N88" i="10"/>
  <c r="K89" i="10"/>
  <c r="L89" i="10"/>
  <c r="M89" i="10"/>
  <c r="N89" i="10"/>
  <c r="K90" i="10"/>
  <c r="L90" i="10"/>
  <c r="M90" i="10"/>
  <c r="N90" i="10"/>
  <c r="K91" i="10"/>
  <c r="L91" i="10"/>
  <c r="M91" i="10"/>
  <c r="N91" i="10"/>
  <c r="K92" i="10"/>
  <c r="L92" i="10"/>
  <c r="M92" i="10"/>
  <c r="N92" i="10"/>
  <c r="N3" i="10"/>
  <c r="M3" i="10"/>
  <c r="L3" i="10"/>
  <c r="K3" i="10"/>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J2" i="12"/>
  <c r="I2" i="12"/>
  <c r="H2" i="12"/>
  <c r="G2" i="12"/>
  <c r="F2" i="12"/>
  <c r="E2" i="12"/>
  <c r="D2" i="12"/>
  <c r="C2" i="12"/>
  <c r="B2" i="12"/>
  <c r="N2" i="11"/>
  <c r="L11" i="11" s="1"/>
  <c r="C11" i="11"/>
  <c r="C10" i="11"/>
  <c r="C9" i="11"/>
  <c r="C8" i="11"/>
  <c r="C7" i="11"/>
  <c r="C6" i="11"/>
  <c r="C5" i="11"/>
  <c r="C4" i="11"/>
  <c r="D3" i="11"/>
  <c r="C3" i="11"/>
  <c r="R92" i="4"/>
  <c r="L2" i="4"/>
  <c r="C40" i="10"/>
  <c r="D40" i="10"/>
  <c r="E40" i="10"/>
  <c r="F40" i="10"/>
  <c r="G40" i="10"/>
  <c r="H40" i="10"/>
  <c r="I40" i="10"/>
  <c r="J40" i="10"/>
  <c r="O40" i="10"/>
  <c r="P40" i="10"/>
  <c r="C41" i="10"/>
  <c r="D41" i="10"/>
  <c r="E41" i="10"/>
  <c r="F41" i="10"/>
  <c r="G41" i="10"/>
  <c r="H41" i="10"/>
  <c r="I41" i="10"/>
  <c r="J41" i="10"/>
  <c r="O41" i="10"/>
  <c r="P41" i="10"/>
  <c r="C42" i="10"/>
  <c r="D42" i="10"/>
  <c r="E42" i="10"/>
  <c r="F42" i="10"/>
  <c r="G42" i="10"/>
  <c r="H42" i="10"/>
  <c r="I42" i="10"/>
  <c r="J42" i="10"/>
  <c r="O42" i="10"/>
  <c r="P42" i="10"/>
  <c r="C43" i="10"/>
  <c r="D43" i="10"/>
  <c r="E43" i="10"/>
  <c r="F43" i="10"/>
  <c r="G43" i="10"/>
  <c r="H43" i="10"/>
  <c r="I43" i="10"/>
  <c r="J43" i="10"/>
  <c r="O43" i="10"/>
  <c r="P43" i="10"/>
  <c r="C44" i="10"/>
  <c r="D44" i="10"/>
  <c r="E44" i="10"/>
  <c r="F44" i="10"/>
  <c r="G44" i="10"/>
  <c r="H44" i="10"/>
  <c r="I44" i="10"/>
  <c r="J44" i="10"/>
  <c r="O44" i="10"/>
  <c r="P44" i="10"/>
  <c r="C45" i="10"/>
  <c r="D45" i="10"/>
  <c r="E45" i="10"/>
  <c r="F45" i="10"/>
  <c r="G45" i="10"/>
  <c r="H45" i="10"/>
  <c r="I45" i="10"/>
  <c r="J45" i="10"/>
  <c r="O45" i="10"/>
  <c r="P45" i="10"/>
  <c r="C46" i="10"/>
  <c r="D46" i="10"/>
  <c r="E46" i="10"/>
  <c r="F46" i="10"/>
  <c r="G46" i="10"/>
  <c r="H46" i="10"/>
  <c r="I46" i="10"/>
  <c r="J46" i="10"/>
  <c r="O46" i="10"/>
  <c r="P46" i="10"/>
  <c r="C47" i="10"/>
  <c r="D47" i="10"/>
  <c r="E47" i="10"/>
  <c r="F47" i="10"/>
  <c r="G47" i="10"/>
  <c r="H47" i="10"/>
  <c r="I47" i="10"/>
  <c r="J47" i="10"/>
  <c r="O47" i="10"/>
  <c r="P47" i="10"/>
  <c r="C48" i="10"/>
  <c r="D48" i="10"/>
  <c r="E48" i="10"/>
  <c r="F48" i="10"/>
  <c r="G48" i="10"/>
  <c r="H48" i="10"/>
  <c r="I48" i="10"/>
  <c r="J48" i="10"/>
  <c r="O48" i="10"/>
  <c r="P48" i="10"/>
  <c r="C49" i="10"/>
  <c r="D49" i="10"/>
  <c r="E49" i="10"/>
  <c r="F49" i="10"/>
  <c r="G49" i="10"/>
  <c r="H49" i="10"/>
  <c r="I49" i="10"/>
  <c r="J49" i="10"/>
  <c r="O49" i="10"/>
  <c r="P49" i="10"/>
  <c r="C50" i="10"/>
  <c r="D50" i="10"/>
  <c r="E50" i="10"/>
  <c r="F50" i="10"/>
  <c r="G50" i="10"/>
  <c r="H50" i="10"/>
  <c r="I50" i="10"/>
  <c r="J50" i="10"/>
  <c r="O50" i="10"/>
  <c r="P50" i="10"/>
  <c r="C51" i="10"/>
  <c r="D51" i="10"/>
  <c r="E51" i="10"/>
  <c r="F51" i="10"/>
  <c r="G51" i="10"/>
  <c r="H51" i="10"/>
  <c r="I51" i="10"/>
  <c r="J51" i="10"/>
  <c r="O51" i="10"/>
  <c r="P51" i="10"/>
  <c r="C52" i="10"/>
  <c r="D52" i="10"/>
  <c r="E52" i="10"/>
  <c r="F52" i="10"/>
  <c r="G52" i="10"/>
  <c r="H52" i="10"/>
  <c r="I52" i="10"/>
  <c r="J52" i="10"/>
  <c r="O52" i="10"/>
  <c r="P52" i="10"/>
  <c r="C53" i="10"/>
  <c r="D53" i="10"/>
  <c r="E53" i="10"/>
  <c r="F53" i="10"/>
  <c r="G53" i="10"/>
  <c r="H53" i="10"/>
  <c r="I53" i="10"/>
  <c r="J53" i="10"/>
  <c r="O53" i="10"/>
  <c r="P53" i="10"/>
  <c r="C54" i="10"/>
  <c r="D54" i="10"/>
  <c r="E54" i="10"/>
  <c r="F54" i="10"/>
  <c r="G54" i="10"/>
  <c r="H54" i="10"/>
  <c r="I54" i="10"/>
  <c r="J54" i="10"/>
  <c r="O54" i="10"/>
  <c r="P54" i="10"/>
  <c r="C55" i="10"/>
  <c r="D55" i="10"/>
  <c r="E55" i="10"/>
  <c r="F55" i="10"/>
  <c r="G55" i="10"/>
  <c r="H55" i="10"/>
  <c r="I55" i="10"/>
  <c r="J55" i="10"/>
  <c r="O55" i="10"/>
  <c r="P55" i="10"/>
  <c r="C56" i="10"/>
  <c r="D56" i="10"/>
  <c r="E56" i="10"/>
  <c r="F56" i="10"/>
  <c r="G56" i="10"/>
  <c r="H56" i="10"/>
  <c r="I56" i="10"/>
  <c r="J56" i="10"/>
  <c r="O56" i="10"/>
  <c r="P56" i="10"/>
  <c r="C57" i="10"/>
  <c r="D57" i="10"/>
  <c r="E57" i="10"/>
  <c r="F57" i="10"/>
  <c r="G57" i="10"/>
  <c r="H57" i="10"/>
  <c r="I57" i="10"/>
  <c r="J57" i="10"/>
  <c r="O57" i="10"/>
  <c r="P57" i="10"/>
  <c r="C58" i="10"/>
  <c r="D58" i="10"/>
  <c r="E58" i="10"/>
  <c r="F58" i="10"/>
  <c r="G58" i="10"/>
  <c r="H58" i="10"/>
  <c r="I58" i="10"/>
  <c r="J58" i="10"/>
  <c r="O58" i="10"/>
  <c r="P58" i="10"/>
  <c r="C59" i="10"/>
  <c r="D59" i="10"/>
  <c r="E59" i="10"/>
  <c r="F59" i="10"/>
  <c r="G59" i="10"/>
  <c r="H59" i="10"/>
  <c r="I59" i="10"/>
  <c r="J59" i="10"/>
  <c r="O59" i="10"/>
  <c r="P59" i="10"/>
  <c r="C60" i="10"/>
  <c r="D60" i="10"/>
  <c r="E60" i="10"/>
  <c r="F60" i="10"/>
  <c r="G60" i="10"/>
  <c r="H60" i="10"/>
  <c r="I60" i="10"/>
  <c r="J60" i="10"/>
  <c r="O60" i="10"/>
  <c r="P60" i="10"/>
  <c r="C61" i="10"/>
  <c r="D61" i="10"/>
  <c r="E61" i="10"/>
  <c r="F61" i="10"/>
  <c r="G61" i="10"/>
  <c r="H61" i="10"/>
  <c r="I61" i="10"/>
  <c r="J61" i="10"/>
  <c r="O61" i="10"/>
  <c r="P61" i="10"/>
  <c r="C62" i="10"/>
  <c r="D62" i="10"/>
  <c r="E62" i="10"/>
  <c r="F62" i="10"/>
  <c r="G62" i="10"/>
  <c r="H62" i="10"/>
  <c r="I62" i="10"/>
  <c r="J62" i="10"/>
  <c r="O62" i="10"/>
  <c r="P62" i="10"/>
  <c r="C63" i="10"/>
  <c r="D63" i="10"/>
  <c r="E63" i="10"/>
  <c r="F63" i="10"/>
  <c r="G63" i="10"/>
  <c r="H63" i="10"/>
  <c r="I63" i="10"/>
  <c r="J63" i="10"/>
  <c r="O63" i="10"/>
  <c r="P63" i="10"/>
  <c r="C64" i="10"/>
  <c r="D64" i="10"/>
  <c r="E64" i="10"/>
  <c r="F64" i="10"/>
  <c r="G64" i="10"/>
  <c r="H64" i="10"/>
  <c r="I64" i="10"/>
  <c r="J64" i="10"/>
  <c r="O64" i="10"/>
  <c r="P64" i="10"/>
  <c r="C65" i="10"/>
  <c r="D65" i="10"/>
  <c r="E65" i="10"/>
  <c r="F65" i="10"/>
  <c r="G65" i="10"/>
  <c r="H65" i="10"/>
  <c r="I65" i="10"/>
  <c r="J65" i="10"/>
  <c r="O65" i="10"/>
  <c r="P65" i="10"/>
  <c r="C66" i="10"/>
  <c r="D66" i="10"/>
  <c r="E66" i="10"/>
  <c r="F66" i="10"/>
  <c r="G66" i="10"/>
  <c r="H66" i="10"/>
  <c r="I66" i="10"/>
  <c r="J66" i="10"/>
  <c r="O66" i="10"/>
  <c r="P66" i="10"/>
  <c r="C67" i="10"/>
  <c r="D67" i="10"/>
  <c r="E67" i="10"/>
  <c r="F67" i="10"/>
  <c r="G67" i="10"/>
  <c r="H67" i="10"/>
  <c r="I67" i="10"/>
  <c r="J67" i="10"/>
  <c r="O67" i="10"/>
  <c r="P67" i="10"/>
  <c r="C68" i="10"/>
  <c r="D68" i="10"/>
  <c r="E68" i="10"/>
  <c r="F68" i="10"/>
  <c r="G68" i="10"/>
  <c r="H68" i="10"/>
  <c r="I68" i="10"/>
  <c r="J68" i="10"/>
  <c r="O68" i="10"/>
  <c r="P68" i="10"/>
  <c r="C69" i="10"/>
  <c r="D69" i="10"/>
  <c r="E69" i="10"/>
  <c r="F69" i="10"/>
  <c r="G69" i="10"/>
  <c r="H69" i="10"/>
  <c r="I69" i="10"/>
  <c r="J69" i="10"/>
  <c r="O69" i="10"/>
  <c r="P69" i="10"/>
  <c r="C70" i="10"/>
  <c r="D70" i="10"/>
  <c r="E70" i="10"/>
  <c r="F70" i="10"/>
  <c r="G70" i="10"/>
  <c r="H70" i="10"/>
  <c r="I70" i="10"/>
  <c r="J70" i="10"/>
  <c r="O70" i="10"/>
  <c r="P70" i="10"/>
  <c r="C71" i="10"/>
  <c r="D71" i="10"/>
  <c r="E71" i="10"/>
  <c r="F71" i="10"/>
  <c r="G71" i="10"/>
  <c r="H71" i="10"/>
  <c r="I71" i="10"/>
  <c r="J71" i="10"/>
  <c r="O71" i="10"/>
  <c r="P71" i="10"/>
  <c r="C72" i="10"/>
  <c r="D72" i="10"/>
  <c r="E72" i="10"/>
  <c r="F72" i="10"/>
  <c r="G72" i="10"/>
  <c r="H72" i="10"/>
  <c r="I72" i="10"/>
  <c r="J72" i="10"/>
  <c r="O72" i="10"/>
  <c r="P72" i="10"/>
  <c r="C73" i="10"/>
  <c r="D73" i="10"/>
  <c r="E73" i="10"/>
  <c r="F73" i="10"/>
  <c r="G73" i="10"/>
  <c r="H73" i="10"/>
  <c r="I73" i="10"/>
  <c r="J73" i="10"/>
  <c r="O73" i="10"/>
  <c r="P73" i="10"/>
  <c r="C74" i="10"/>
  <c r="D74" i="10"/>
  <c r="E74" i="10"/>
  <c r="F74" i="10"/>
  <c r="G74" i="10"/>
  <c r="H74" i="10"/>
  <c r="I74" i="10"/>
  <c r="J74" i="10"/>
  <c r="O74" i="10"/>
  <c r="P74" i="10"/>
  <c r="C75" i="10"/>
  <c r="D75" i="10"/>
  <c r="E75" i="10"/>
  <c r="F75" i="10"/>
  <c r="G75" i="10"/>
  <c r="H75" i="10"/>
  <c r="I75" i="10"/>
  <c r="J75" i="10"/>
  <c r="O75" i="10"/>
  <c r="P75" i="10"/>
  <c r="C76" i="10"/>
  <c r="D76" i="10"/>
  <c r="E76" i="10"/>
  <c r="F76" i="10"/>
  <c r="G76" i="10"/>
  <c r="H76" i="10"/>
  <c r="I76" i="10"/>
  <c r="J76" i="10"/>
  <c r="O76" i="10"/>
  <c r="P76" i="10"/>
  <c r="C77" i="10"/>
  <c r="D77" i="10"/>
  <c r="E77" i="10"/>
  <c r="F77" i="10"/>
  <c r="G77" i="10"/>
  <c r="H77" i="10"/>
  <c r="I77" i="10"/>
  <c r="J77" i="10"/>
  <c r="O77" i="10"/>
  <c r="P77" i="10"/>
  <c r="C78" i="10"/>
  <c r="D78" i="10"/>
  <c r="E78" i="10"/>
  <c r="F78" i="10"/>
  <c r="G78" i="10"/>
  <c r="H78" i="10"/>
  <c r="I78" i="10"/>
  <c r="J78" i="10"/>
  <c r="O78" i="10"/>
  <c r="P78" i="10"/>
  <c r="C79" i="10"/>
  <c r="D79" i="10"/>
  <c r="E79" i="10"/>
  <c r="F79" i="10"/>
  <c r="G79" i="10"/>
  <c r="H79" i="10"/>
  <c r="I79" i="10"/>
  <c r="J79" i="10"/>
  <c r="O79" i="10"/>
  <c r="P79" i="10"/>
  <c r="C80" i="10"/>
  <c r="D80" i="10"/>
  <c r="E80" i="10"/>
  <c r="F80" i="10"/>
  <c r="G80" i="10"/>
  <c r="H80" i="10"/>
  <c r="I80" i="10"/>
  <c r="J80" i="10"/>
  <c r="O80" i="10"/>
  <c r="P80" i="10"/>
  <c r="C81" i="10"/>
  <c r="D81" i="10"/>
  <c r="E81" i="10"/>
  <c r="F81" i="10"/>
  <c r="G81" i="10"/>
  <c r="H81" i="10"/>
  <c r="I81" i="10"/>
  <c r="J81" i="10"/>
  <c r="O81" i="10"/>
  <c r="P81" i="10"/>
  <c r="C82" i="10"/>
  <c r="D82" i="10"/>
  <c r="E82" i="10"/>
  <c r="F82" i="10"/>
  <c r="G82" i="10"/>
  <c r="H82" i="10"/>
  <c r="I82" i="10"/>
  <c r="J82" i="10"/>
  <c r="O82" i="10"/>
  <c r="P82" i="10"/>
  <c r="C83" i="10"/>
  <c r="D83" i="10"/>
  <c r="E83" i="10"/>
  <c r="F83" i="10"/>
  <c r="G83" i="10"/>
  <c r="H83" i="10"/>
  <c r="I83" i="10"/>
  <c r="J83" i="10"/>
  <c r="O83" i="10"/>
  <c r="P83" i="10"/>
  <c r="C84" i="10"/>
  <c r="D84" i="10"/>
  <c r="E84" i="10"/>
  <c r="F84" i="10"/>
  <c r="G84" i="10"/>
  <c r="H84" i="10"/>
  <c r="I84" i="10"/>
  <c r="J84" i="10"/>
  <c r="O84" i="10"/>
  <c r="P84" i="10"/>
  <c r="C85" i="10"/>
  <c r="D85" i="10"/>
  <c r="E85" i="10"/>
  <c r="F85" i="10"/>
  <c r="G85" i="10"/>
  <c r="H85" i="10"/>
  <c r="I85" i="10"/>
  <c r="J85" i="10"/>
  <c r="O85" i="10"/>
  <c r="P85" i="10"/>
  <c r="C86" i="10"/>
  <c r="D86" i="10"/>
  <c r="E86" i="10"/>
  <c r="F86" i="10"/>
  <c r="G86" i="10"/>
  <c r="H86" i="10"/>
  <c r="I86" i="10"/>
  <c r="J86" i="10"/>
  <c r="O86" i="10"/>
  <c r="P86" i="10"/>
  <c r="C87" i="10"/>
  <c r="D87" i="10"/>
  <c r="E87" i="10"/>
  <c r="F87" i="10"/>
  <c r="G87" i="10"/>
  <c r="H87" i="10"/>
  <c r="I87" i="10"/>
  <c r="J87" i="10"/>
  <c r="O87" i="10"/>
  <c r="P87" i="10"/>
  <c r="C88" i="10"/>
  <c r="D88" i="10"/>
  <c r="E88" i="10"/>
  <c r="F88" i="10"/>
  <c r="G88" i="10"/>
  <c r="H88" i="10"/>
  <c r="I88" i="10"/>
  <c r="J88" i="10"/>
  <c r="O88" i="10"/>
  <c r="P88" i="10"/>
  <c r="C89" i="10"/>
  <c r="D89" i="10"/>
  <c r="E89" i="10"/>
  <c r="F89" i="10"/>
  <c r="G89" i="10"/>
  <c r="H89" i="10"/>
  <c r="I89" i="10"/>
  <c r="J89" i="10"/>
  <c r="O89" i="10"/>
  <c r="P89" i="10"/>
  <c r="C90" i="10"/>
  <c r="D90" i="10"/>
  <c r="E90" i="10"/>
  <c r="F90" i="10"/>
  <c r="G90" i="10"/>
  <c r="H90" i="10"/>
  <c r="I90" i="10"/>
  <c r="J90" i="10"/>
  <c r="O90" i="10"/>
  <c r="P90" i="10"/>
  <c r="C91" i="10"/>
  <c r="D91" i="10"/>
  <c r="E91" i="10"/>
  <c r="F91" i="10"/>
  <c r="G91" i="10"/>
  <c r="H91" i="10"/>
  <c r="I91" i="10"/>
  <c r="J91" i="10"/>
  <c r="O91" i="10"/>
  <c r="P91" i="10"/>
  <c r="C92" i="10"/>
  <c r="D92" i="10"/>
  <c r="E92" i="10"/>
  <c r="F92" i="10"/>
  <c r="G92" i="10"/>
  <c r="H92" i="10"/>
  <c r="I92" i="10"/>
  <c r="J92" i="10"/>
  <c r="O92" i="10"/>
  <c r="P92" i="10"/>
  <c r="E13" i="11" l="1"/>
  <c r="C21" i="11"/>
  <c r="D14" i="11"/>
  <c r="C15" i="11"/>
  <c r="C16" i="11"/>
  <c r="C17" i="11"/>
  <c r="C18" i="11"/>
  <c r="C19" i="11"/>
  <c r="C20" i="11"/>
  <c r="C14" i="11"/>
  <c r="L4" i="11"/>
  <c r="L5" i="11"/>
  <c r="L6" i="11"/>
  <c r="L7" i="11"/>
  <c r="L8" i="11"/>
  <c r="L9" i="11"/>
  <c r="L3" i="11"/>
  <c r="L10" i="11"/>
  <c r="M3" i="11"/>
  <c r="C22" i="11" l="1"/>
  <c r="N13" i="11"/>
  <c r="C4" i="10"/>
  <c r="D4" i="10"/>
  <c r="E4" i="10"/>
  <c r="F4" i="10"/>
  <c r="G4" i="10"/>
  <c r="H4" i="10"/>
  <c r="I4" i="10"/>
  <c r="J4" i="10"/>
  <c r="C5" i="10"/>
  <c r="D5" i="10"/>
  <c r="E5" i="10"/>
  <c r="F5" i="10"/>
  <c r="G5" i="10"/>
  <c r="H5" i="10"/>
  <c r="I5" i="10"/>
  <c r="J5" i="10"/>
  <c r="C6" i="10"/>
  <c r="D6" i="10"/>
  <c r="E6" i="10"/>
  <c r="F6" i="10"/>
  <c r="G6" i="10"/>
  <c r="H6" i="10"/>
  <c r="I6" i="10"/>
  <c r="J6" i="10"/>
  <c r="C7" i="10"/>
  <c r="D7" i="10"/>
  <c r="E7" i="10"/>
  <c r="F7" i="10"/>
  <c r="G7" i="10"/>
  <c r="H7" i="10"/>
  <c r="I7" i="10"/>
  <c r="J7" i="10"/>
  <c r="C8" i="10"/>
  <c r="D8" i="10"/>
  <c r="E8" i="10"/>
  <c r="F8" i="10"/>
  <c r="G8" i="10"/>
  <c r="H8" i="10"/>
  <c r="I8" i="10"/>
  <c r="J8" i="10"/>
  <c r="C9" i="10"/>
  <c r="D9" i="10"/>
  <c r="E9" i="10"/>
  <c r="F9" i="10"/>
  <c r="G9" i="10"/>
  <c r="H9" i="10"/>
  <c r="I9" i="10"/>
  <c r="J9" i="10"/>
  <c r="C10" i="10"/>
  <c r="D10" i="10"/>
  <c r="E10" i="10"/>
  <c r="H10" i="10"/>
  <c r="I10" i="10"/>
  <c r="J10" i="10"/>
  <c r="C11" i="10"/>
  <c r="D11" i="10"/>
  <c r="E11" i="10"/>
  <c r="H11" i="10"/>
  <c r="I11" i="10"/>
  <c r="J11" i="10"/>
  <c r="C12" i="10"/>
  <c r="D12" i="10"/>
  <c r="E12" i="10"/>
  <c r="H12" i="10"/>
  <c r="I12" i="10"/>
  <c r="J12" i="10"/>
  <c r="C13" i="10"/>
  <c r="D13" i="10"/>
  <c r="E13" i="10"/>
  <c r="H13" i="10"/>
  <c r="I13" i="10"/>
  <c r="J13" i="10"/>
  <c r="C14" i="10"/>
  <c r="D14" i="10"/>
  <c r="E14" i="10"/>
  <c r="H14" i="10"/>
  <c r="I14" i="10"/>
  <c r="J14" i="10"/>
  <c r="C15" i="10"/>
  <c r="D15" i="10"/>
  <c r="E15" i="10"/>
  <c r="F15" i="10"/>
  <c r="G15" i="10"/>
  <c r="H15" i="10"/>
  <c r="I15" i="10"/>
  <c r="J15" i="10"/>
  <c r="C16" i="10"/>
  <c r="D16" i="10"/>
  <c r="E16" i="10"/>
  <c r="F16" i="10"/>
  <c r="G16" i="10"/>
  <c r="H16" i="10"/>
  <c r="I16" i="10"/>
  <c r="J16" i="10"/>
  <c r="C17" i="10"/>
  <c r="D17" i="10"/>
  <c r="E17" i="10"/>
  <c r="F17" i="10"/>
  <c r="G17" i="10"/>
  <c r="H17" i="10"/>
  <c r="I17" i="10"/>
  <c r="J17" i="10"/>
  <c r="C18" i="10"/>
  <c r="D18" i="10"/>
  <c r="E18" i="10"/>
  <c r="F18" i="10"/>
  <c r="G18" i="10"/>
  <c r="H18" i="10"/>
  <c r="I18" i="10"/>
  <c r="J18" i="10"/>
  <c r="C19" i="10"/>
  <c r="D19" i="10"/>
  <c r="E19" i="10"/>
  <c r="F19" i="10"/>
  <c r="G19" i="10"/>
  <c r="H19" i="10"/>
  <c r="I19" i="10"/>
  <c r="J19" i="10"/>
  <c r="C20" i="10"/>
  <c r="D20" i="10"/>
  <c r="E20" i="10"/>
  <c r="F20" i="10"/>
  <c r="G20" i="10"/>
  <c r="H20" i="10"/>
  <c r="I20" i="10"/>
  <c r="J20" i="10"/>
  <c r="C21" i="10"/>
  <c r="D21" i="10"/>
  <c r="E21" i="10"/>
  <c r="F21" i="10"/>
  <c r="G21" i="10"/>
  <c r="H21" i="10"/>
  <c r="I21" i="10"/>
  <c r="J21" i="10"/>
  <c r="C22" i="10"/>
  <c r="D22" i="10"/>
  <c r="E22" i="10"/>
  <c r="F22" i="10"/>
  <c r="G22" i="10"/>
  <c r="H22" i="10"/>
  <c r="I22" i="10"/>
  <c r="J22" i="10"/>
  <c r="C23" i="10"/>
  <c r="D23" i="10"/>
  <c r="E23" i="10"/>
  <c r="F23" i="10"/>
  <c r="G23" i="10"/>
  <c r="H23" i="10"/>
  <c r="I23" i="10"/>
  <c r="J23" i="10"/>
  <c r="C24" i="10"/>
  <c r="D24" i="10"/>
  <c r="E24" i="10"/>
  <c r="F24" i="10"/>
  <c r="G24" i="10"/>
  <c r="H24" i="10"/>
  <c r="I24" i="10"/>
  <c r="J24" i="10"/>
  <c r="C25" i="10"/>
  <c r="D25" i="10"/>
  <c r="E25" i="10"/>
  <c r="F25" i="10"/>
  <c r="G25" i="10"/>
  <c r="H25" i="10"/>
  <c r="I25" i="10"/>
  <c r="J25" i="10"/>
  <c r="C26" i="10"/>
  <c r="D26" i="10"/>
  <c r="E26" i="10"/>
  <c r="F26" i="10"/>
  <c r="G26" i="10"/>
  <c r="H26" i="10"/>
  <c r="I26" i="10"/>
  <c r="J26" i="10"/>
  <c r="C27" i="10"/>
  <c r="D27" i="10"/>
  <c r="E27" i="10"/>
  <c r="F27" i="10"/>
  <c r="G27" i="10"/>
  <c r="H27" i="10"/>
  <c r="I27" i="10"/>
  <c r="J27" i="10"/>
  <c r="C28" i="10"/>
  <c r="D28" i="10"/>
  <c r="E28" i="10"/>
  <c r="F28" i="10"/>
  <c r="G28" i="10"/>
  <c r="H28" i="10"/>
  <c r="I28" i="10"/>
  <c r="J28" i="10"/>
  <c r="C29" i="10"/>
  <c r="D29" i="10"/>
  <c r="E29" i="10"/>
  <c r="F29" i="10"/>
  <c r="G29" i="10"/>
  <c r="H29" i="10"/>
  <c r="I29" i="10"/>
  <c r="J29" i="10"/>
  <c r="C30" i="10"/>
  <c r="D30" i="10"/>
  <c r="E30" i="10"/>
  <c r="F30" i="10"/>
  <c r="G30" i="10"/>
  <c r="H30" i="10"/>
  <c r="I30" i="10"/>
  <c r="J30" i="10"/>
  <c r="C31" i="10"/>
  <c r="D31" i="10"/>
  <c r="E31" i="10"/>
  <c r="F31" i="10"/>
  <c r="G31" i="10"/>
  <c r="H31" i="10"/>
  <c r="I31" i="10"/>
  <c r="J31" i="10"/>
  <c r="C32" i="10"/>
  <c r="D32" i="10"/>
  <c r="E32" i="10"/>
  <c r="F32" i="10"/>
  <c r="G32" i="10"/>
  <c r="H32" i="10"/>
  <c r="I32" i="10"/>
  <c r="J32" i="10"/>
  <c r="C33" i="10"/>
  <c r="D33" i="10"/>
  <c r="E33" i="10"/>
  <c r="F33" i="10"/>
  <c r="G33" i="10"/>
  <c r="H33" i="10"/>
  <c r="I33" i="10"/>
  <c r="J33" i="10"/>
  <c r="C34" i="10"/>
  <c r="D34" i="10"/>
  <c r="E34" i="10"/>
  <c r="F34" i="10"/>
  <c r="G34" i="10"/>
  <c r="H34" i="10"/>
  <c r="I34" i="10"/>
  <c r="J34" i="10"/>
  <c r="C35" i="10"/>
  <c r="D35" i="10"/>
  <c r="E35" i="10"/>
  <c r="F35" i="10"/>
  <c r="G35" i="10"/>
  <c r="H35" i="10"/>
  <c r="I35" i="10"/>
  <c r="J35" i="10"/>
  <c r="C36" i="10"/>
  <c r="D36" i="10"/>
  <c r="E36" i="10"/>
  <c r="F36" i="10"/>
  <c r="G36" i="10"/>
  <c r="H36" i="10"/>
  <c r="I36" i="10"/>
  <c r="J36" i="10"/>
  <c r="C37" i="10"/>
  <c r="D37" i="10"/>
  <c r="E37" i="10"/>
  <c r="F37" i="10"/>
  <c r="G37" i="10"/>
  <c r="H37" i="10"/>
  <c r="I37" i="10"/>
  <c r="J37" i="10"/>
  <c r="C38" i="10"/>
  <c r="D38" i="10"/>
  <c r="E38" i="10"/>
  <c r="F38" i="10"/>
  <c r="G38" i="10"/>
  <c r="H38" i="10"/>
  <c r="I38" i="10"/>
  <c r="J38" i="10"/>
  <c r="C39" i="10"/>
  <c r="D39" i="10"/>
  <c r="E39" i="10"/>
  <c r="F39" i="10"/>
  <c r="G39" i="10"/>
  <c r="H39" i="10"/>
  <c r="I39" i="10"/>
  <c r="J39" i="10"/>
  <c r="J3" i="10"/>
  <c r="I3" i="10"/>
  <c r="H3" i="10"/>
  <c r="G3" i="10"/>
  <c r="F3" i="10"/>
  <c r="E3" i="10"/>
  <c r="D3" i="10"/>
  <c r="C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3"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L22" i="11" l="1"/>
  <c r="L15" i="11"/>
  <c r="E24" i="11"/>
  <c r="L20" i="11"/>
  <c r="L19" i="11"/>
  <c r="L14" i="11"/>
  <c r="L21" i="11"/>
  <c r="M14" i="11"/>
  <c r="L16" i="11"/>
  <c r="L18" i="11"/>
  <c r="L17" i="11"/>
  <c r="G15" i="8"/>
  <c r="E18" i="8" s="1"/>
  <c r="E13" i="8"/>
  <c r="E12" i="8"/>
  <c r="E11" i="8"/>
  <c r="E10" i="8"/>
  <c r="E9" i="8"/>
  <c r="E8" i="8"/>
  <c r="E7" i="8"/>
  <c r="E6" i="8"/>
  <c r="F5" i="8"/>
  <c r="E5" i="8"/>
  <c r="E13" i="7"/>
  <c r="G15" i="7"/>
  <c r="E18" i="7" s="1"/>
  <c r="E9" i="7"/>
  <c r="E8" i="7"/>
  <c r="E7" i="7"/>
  <c r="E6" i="7"/>
  <c r="F5" i="7"/>
  <c r="C33" i="11" l="1"/>
  <c r="C30" i="11"/>
  <c r="C26" i="11"/>
  <c r="C28" i="11"/>
  <c r="C32" i="11"/>
  <c r="C29" i="11"/>
  <c r="D25" i="11"/>
  <c r="C31" i="11"/>
  <c r="N24" i="11"/>
  <c r="C27" i="11"/>
  <c r="C25" i="11"/>
  <c r="E21" i="8"/>
  <c r="E24" i="8"/>
  <c r="E19" i="8"/>
  <c r="E22" i="8"/>
  <c r="E17" i="8"/>
  <c r="G26" i="8"/>
  <c r="E20" i="8"/>
  <c r="E16" i="8"/>
  <c r="E23" i="8"/>
  <c r="F16" i="8"/>
  <c r="E10" i="7"/>
  <c r="E11" i="7"/>
  <c r="E5" i="7"/>
  <c r="E12" i="7"/>
  <c r="E21" i="7"/>
  <c r="E24" i="7"/>
  <c r="E19" i="7"/>
  <c r="E22" i="7"/>
  <c r="E17" i="7"/>
  <c r="G26" i="7"/>
  <c r="E20" i="7"/>
  <c r="E16" i="7"/>
  <c r="E23" i="7"/>
  <c r="F16" i="7"/>
  <c r="G15" i="6"/>
  <c r="E18" i="6" s="1"/>
  <c r="E13" i="6"/>
  <c r="E12" i="6"/>
  <c r="E11" i="6"/>
  <c r="E10" i="6"/>
  <c r="E9" i="6"/>
  <c r="E8" i="6"/>
  <c r="E7" i="6"/>
  <c r="E6" i="6"/>
  <c r="F5" i="6"/>
  <c r="E5" i="6"/>
  <c r="G15" i="5"/>
  <c r="E18" i="5" s="1"/>
  <c r="E13" i="5"/>
  <c r="E12" i="5"/>
  <c r="E11" i="5"/>
  <c r="E10" i="5"/>
  <c r="E9" i="5"/>
  <c r="E8" i="5"/>
  <c r="E7" i="5"/>
  <c r="E6" i="5"/>
  <c r="F5" i="5"/>
  <c r="E5" i="5"/>
  <c r="AS4" i="1"/>
  <c r="AQ12" i="1" s="1"/>
  <c r="X8" i="1"/>
  <c r="X19" i="1"/>
  <c r="X30" i="1"/>
  <c r="X41" i="1"/>
  <c r="X52" i="1"/>
  <c r="X63" i="1"/>
  <c r="E63" i="1"/>
  <c r="E52" i="1"/>
  <c r="E41" i="1"/>
  <c r="E30" i="1"/>
  <c r="E19" i="1"/>
  <c r="E8" i="1"/>
  <c r="Z4" i="1"/>
  <c r="Z15" i="1" s="1"/>
  <c r="X20" i="1" s="1"/>
  <c r="G59" i="1"/>
  <c r="E68" i="1" s="1"/>
  <c r="G48" i="1"/>
  <c r="G37" i="1"/>
  <c r="G26" i="1"/>
  <c r="E32" i="1" s="1"/>
  <c r="G15" i="1"/>
  <c r="E22" i="1" s="1"/>
  <c r="E13" i="1"/>
  <c r="E12" i="1"/>
  <c r="E11" i="1"/>
  <c r="E10" i="1"/>
  <c r="E9" i="1"/>
  <c r="E7" i="1"/>
  <c r="E6" i="1"/>
  <c r="E5" i="1"/>
  <c r="F5" i="1"/>
  <c r="R2" i="4"/>
  <c r="E35" i="11" l="1"/>
  <c r="M25" i="11"/>
  <c r="L33" i="11"/>
  <c r="L25" i="11"/>
  <c r="L27" i="11"/>
  <c r="L32" i="11"/>
  <c r="L28" i="11"/>
  <c r="L31" i="11"/>
  <c r="L26" i="11"/>
  <c r="L29" i="11"/>
  <c r="L30" i="11"/>
  <c r="E34" i="8"/>
  <c r="E27" i="8"/>
  <c r="E31" i="8"/>
  <c r="G37" i="8"/>
  <c r="E28" i="8"/>
  <c r="E33" i="8"/>
  <c r="E30" i="8"/>
  <c r="E35" i="8"/>
  <c r="F27" i="8"/>
  <c r="E32" i="8"/>
  <c r="E29" i="8"/>
  <c r="E34" i="7"/>
  <c r="E27" i="7"/>
  <c r="E31" i="7"/>
  <c r="E29" i="7"/>
  <c r="G37" i="7"/>
  <c r="E28" i="7"/>
  <c r="E33" i="7"/>
  <c r="E30" i="7"/>
  <c r="E35" i="7"/>
  <c r="E32" i="7"/>
  <c r="F27" i="7"/>
  <c r="E21" i="6"/>
  <c r="E24" i="6"/>
  <c r="E19" i="6"/>
  <c r="E22" i="6"/>
  <c r="E17" i="6"/>
  <c r="G26" i="6"/>
  <c r="E20" i="6"/>
  <c r="E16" i="6"/>
  <c r="E23" i="6"/>
  <c r="F16" i="6"/>
  <c r="E22" i="5"/>
  <c r="E24" i="5"/>
  <c r="E17" i="5"/>
  <c r="G26" i="5"/>
  <c r="E19" i="5"/>
  <c r="E20" i="5"/>
  <c r="E16" i="5"/>
  <c r="E23" i="5"/>
  <c r="E21" i="5"/>
  <c r="F16" i="5"/>
  <c r="AQ13" i="1"/>
  <c r="AQ6" i="1"/>
  <c r="AQ8" i="1"/>
  <c r="AQ9" i="1"/>
  <c r="AQ10" i="1"/>
  <c r="AQ11" i="1"/>
  <c r="AR5" i="1"/>
  <c r="AS15" i="1"/>
  <c r="AQ7" i="1"/>
  <c r="AQ5" i="1"/>
  <c r="X7" i="1"/>
  <c r="X9" i="1"/>
  <c r="X10" i="1"/>
  <c r="X11" i="1"/>
  <c r="X5" i="1"/>
  <c r="X12" i="1"/>
  <c r="X13" i="1"/>
  <c r="Y5" i="1"/>
  <c r="X6" i="1"/>
  <c r="X16" i="1"/>
  <c r="X17" i="1"/>
  <c r="Z26" i="1"/>
  <c r="X21" i="1"/>
  <c r="X22" i="1"/>
  <c r="X23" i="1"/>
  <c r="X18" i="1"/>
  <c r="Y16" i="1"/>
  <c r="X24" i="1"/>
  <c r="E66" i="1"/>
  <c r="E61" i="1"/>
  <c r="E64" i="1"/>
  <c r="E60" i="1"/>
  <c r="E67" i="1"/>
  <c r="E62" i="1"/>
  <c r="E65" i="1"/>
  <c r="F60" i="1"/>
  <c r="E54" i="1"/>
  <c r="E49" i="1"/>
  <c r="E57" i="1"/>
  <c r="E50" i="1"/>
  <c r="F49" i="1"/>
  <c r="E51" i="1"/>
  <c r="E53" i="1"/>
  <c r="E55" i="1"/>
  <c r="E56" i="1"/>
  <c r="E42" i="1"/>
  <c r="E44" i="1"/>
  <c r="E45" i="1"/>
  <c r="E39" i="1"/>
  <c r="E43" i="1"/>
  <c r="F38" i="1"/>
  <c r="E40" i="1"/>
  <c r="E38" i="1"/>
  <c r="E46" i="1"/>
  <c r="E34" i="1"/>
  <c r="E28" i="1"/>
  <c r="F27" i="1"/>
  <c r="E31" i="1"/>
  <c r="E33" i="1"/>
  <c r="E27" i="1"/>
  <c r="E35" i="1"/>
  <c r="E29" i="1"/>
  <c r="E16" i="1"/>
  <c r="E23" i="1"/>
  <c r="F16" i="1"/>
  <c r="E18" i="1"/>
  <c r="E20" i="1"/>
  <c r="E21" i="1"/>
  <c r="E24" i="1"/>
  <c r="E17" i="1"/>
  <c r="C44" i="11" l="1"/>
  <c r="C41" i="11"/>
  <c r="C37" i="11"/>
  <c r="C39" i="11"/>
  <c r="C42" i="11"/>
  <c r="C43" i="11"/>
  <c r="D36" i="11"/>
  <c r="C36" i="11"/>
  <c r="C40" i="11"/>
  <c r="C38" i="11"/>
  <c r="N35" i="11"/>
  <c r="E42" i="8"/>
  <c r="G48" i="8"/>
  <c r="E39" i="8"/>
  <c r="E44" i="8"/>
  <c r="E41" i="8"/>
  <c r="E46" i="8"/>
  <c r="E43" i="8"/>
  <c r="E40" i="8"/>
  <c r="F38" i="8"/>
  <c r="E45" i="8"/>
  <c r="E38" i="8"/>
  <c r="E42" i="7"/>
  <c r="E45" i="7"/>
  <c r="E38" i="7"/>
  <c r="G48" i="7"/>
  <c r="E39" i="7"/>
  <c r="E44" i="7"/>
  <c r="E41" i="7"/>
  <c r="E46" i="7"/>
  <c r="E43" i="7"/>
  <c r="E40" i="7"/>
  <c r="F38" i="7"/>
  <c r="E34" i="6"/>
  <c r="E27" i="6"/>
  <c r="E31" i="6"/>
  <c r="G37" i="6"/>
  <c r="E28" i="6"/>
  <c r="E33" i="6"/>
  <c r="E30" i="6"/>
  <c r="E35" i="6"/>
  <c r="E32" i="6"/>
  <c r="E29" i="6"/>
  <c r="F27" i="6"/>
  <c r="E34" i="5"/>
  <c r="E27" i="5"/>
  <c r="E31" i="5"/>
  <c r="G37" i="5"/>
  <c r="E28" i="5"/>
  <c r="E29" i="5"/>
  <c r="E33" i="5"/>
  <c r="E35" i="5"/>
  <c r="E30" i="5"/>
  <c r="F27" i="5"/>
  <c r="E32" i="5"/>
  <c r="AQ20" i="1"/>
  <c r="AQ17" i="1"/>
  <c r="AQ24" i="1"/>
  <c r="AQ23" i="1"/>
  <c r="AQ19" i="1"/>
  <c r="AQ18" i="1"/>
  <c r="AS26" i="1"/>
  <c r="AR16" i="1"/>
  <c r="AQ16" i="1"/>
  <c r="AQ22" i="1"/>
  <c r="AQ21" i="1"/>
  <c r="Z37" i="1"/>
  <c r="X28" i="1"/>
  <c r="X35" i="1"/>
  <c r="Y27" i="1"/>
  <c r="X32" i="1"/>
  <c r="X31" i="1"/>
  <c r="X34" i="1"/>
  <c r="X27" i="1"/>
  <c r="X29" i="1"/>
  <c r="X33" i="1"/>
  <c r="E46" i="11" l="1"/>
  <c r="L43" i="11"/>
  <c r="L39" i="11"/>
  <c r="L37" i="11"/>
  <c r="L42" i="11"/>
  <c r="L38" i="11"/>
  <c r="L44" i="11"/>
  <c r="L41" i="11"/>
  <c r="L40" i="11"/>
  <c r="M36" i="11"/>
  <c r="L36" i="11"/>
  <c r="G59" i="8"/>
  <c r="E50" i="8"/>
  <c r="E55" i="8"/>
  <c r="E52" i="8"/>
  <c r="E57" i="8"/>
  <c r="E54" i="8"/>
  <c r="E53" i="8"/>
  <c r="E51" i="8"/>
  <c r="F49" i="8"/>
  <c r="E56" i="8"/>
  <c r="E49" i="8"/>
  <c r="G59" i="7"/>
  <c r="E50" i="7"/>
  <c r="E55" i="7"/>
  <c r="E52" i="7"/>
  <c r="E57" i="7"/>
  <c r="E54" i="7"/>
  <c r="E53" i="7"/>
  <c r="E51" i="7"/>
  <c r="F49" i="7"/>
  <c r="E56" i="7"/>
  <c r="E49" i="7"/>
  <c r="E42" i="6"/>
  <c r="G48" i="6"/>
  <c r="E39" i="6"/>
  <c r="E44" i="6"/>
  <c r="E41" i="6"/>
  <c r="E46" i="6"/>
  <c r="E43" i="6"/>
  <c r="E40" i="6"/>
  <c r="F38" i="6"/>
  <c r="E45" i="6"/>
  <c r="E38" i="6"/>
  <c r="E42" i="5"/>
  <c r="E38" i="5"/>
  <c r="G48" i="5"/>
  <c r="E39" i="5"/>
  <c r="E40" i="5"/>
  <c r="E45" i="5"/>
  <c r="E44" i="5"/>
  <c r="F38" i="5"/>
  <c r="E41" i="5"/>
  <c r="E43" i="5"/>
  <c r="E46" i="5"/>
  <c r="AS37" i="1"/>
  <c r="AQ28" i="1"/>
  <c r="AQ31" i="1"/>
  <c r="AQ29" i="1"/>
  <c r="AQ35" i="1"/>
  <c r="AR27" i="1"/>
  <c r="AQ34" i="1"/>
  <c r="AQ27" i="1"/>
  <c r="AQ33" i="1"/>
  <c r="AQ32" i="1"/>
  <c r="AQ30" i="1"/>
  <c r="X44" i="1"/>
  <c r="X40" i="1"/>
  <c r="X46" i="1"/>
  <c r="X43" i="1"/>
  <c r="X39" i="1"/>
  <c r="X45" i="1"/>
  <c r="X42" i="1"/>
  <c r="X38" i="1"/>
  <c r="Z48" i="1"/>
  <c r="Y38" i="1"/>
  <c r="C55" i="11" l="1"/>
  <c r="C50" i="11"/>
  <c r="C54" i="11"/>
  <c r="C51" i="11"/>
  <c r="C53" i="11"/>
  <c r="N46" i="11"/>
  <c r="C48" i="11"/>
  <c r="D47" i="11"/>
  <c r="C52" i="11"/>
  <c r="C47" i="11"/>
  <c r="C49" i="11"/>
  <c r="E66" i="8"/>
  <c r="E63" i="8"/>
  <c r="E68" i="8"/>
  <c r="E65" i="8"/>
  <c r="Z4" i="8"/>
  <c r="E61" i="8"/>
  <c r="E62" i="8"/>
  <c r="F60" i="8"/>
  <c r="E67" i="8"/>
  <c r="E60" i="8"/>
  <c r="E64" i="8"/>
  <c r="E66" i="7"/>
  <c r="Z4" i="7"/>
  <c r="E63" i="7"/>
  <c r="E68" i="7"/>
  <c r="E65" i="7"/>
  <c r="E62" i="7"/>
  <c r="F60" i="7"/>
  <c r="E67" i="7"/>
  <c r="E60" i="7"/>
  <c r="E64" i="7"/>
  <c r="E61" i="7"/>
  <c r="G59" i="6"/>
  <c r="E50" i="6"/>
  <c r="E55" i="6"/>
  <c r="E52" i="6"/>
  <c r="E57" i="6"/>
  <c r="E54" i="6"/>
  <c r="E51" i="6"/>
  <c r="F49" i="6"/>
  <c r="E56" i="6"/>
  <c r="E49" i="6"/>
  <c r="E53" i="6"/>
  <c r="G59" i="5"/>
  <c r="E50" i="5"/>
  <c r="E53" i="5"/>
  <c r="E55" i="5"/>
  <c r="E52" i="5"/>
  <c r="E51" i="5"/>
  <c r="E56" i="5"/>
  <c r="E57" i="5"/>
  <c r="F49" i="5"/>
  <c r="E54" i="5"/>
  <c r="E49" i="5"/>
  <c r="AQ44" i="1"/>
  <c r="AQ41" i="1"/>
  <c r="AS48" i="1"/>
  <c r="AR38" i="1"/>
  <c r="AQ45" i="1"/>
  <c r="AQ43" i="1"/>
  <c r="AQ42" i="1"/>
  <c r="AQ40" i="1"/>
  <c r="AQ39" i="1"/>
  <c r="AQ46" i="1"/>
  <c r="AQ38" i="1"/>
  <c r="X56" i="1"/>
  <c r="X51" i="1"/>
  <c r="X49" i="1"/>
  <c r="Z59" i="1"/>
  <c r="X50" i="1"/>
  <c r="X55" i="1"/>
  <c r="X53" i="1"/>
  <c r="X57" i="1"/>
  <c r="Y49" i="1"/>
  <c r="X54" i="1"/>
  <c r="E57" i="11" l="1"/>
  <c r="L53" i="11"/>
  <c r="L49" i="11"/>
  <c r="L55" i="11"/>
  <c r="L52" i="11"/>
  <c r="L51" i="11"/>
  <c r="L48" i="11"/>
  <c r="L54" i="11"/>
  <c r="L47" i="11"/>
  <c r="M47" i="11"/>
  <c r="L50" i="11"/>
  <c r="X7" i="8"/>
  <c r="X5" i="8"/>
  <c r="X12" i="8"/>
  <c r="X9" i="8"/>
  <c r="Z15" i="8"/>
  <c r="X6" i="8"/>
  <c r="Y5" i="8"/>
  <c r="X11" i="8"/>
  <c r="X10" i="8"/>
  <c r="X8" i="8"/>
  <c r="X13" i="8"/>
  <c r="X7" i="7"/>
  <c r="X5" i="7"/>
  <c r="X10" i="7"/>
  <c r="X12" i="7"/>
  <c r="X11" i="7"/>
  <c r="X9" i="7"/>
  <c r="Z15" i="7"/>
  <c r="X6" i="7"/>
  <c r="X8" i="7"/>
  <c r="X13" i="7"/>
  <c r="Y5" i="7"/>
  <c r="E66" i="6"/>
  <c r="Z4" i="6"/>
  <c r="E63" i="6"/>
  <c r="E68" i="6"/>
  <c r="E65" i="6"/>
  <c r="E62" i="6"/>
  <c r="F60" i="6"/>
  <c r="E67" i="6"/>
  <c r="E60" i="6"/>
  <c r="E64" i="6"/>
  <c r="E61" i="6"/>
  <c r="E66" i="5"/>
  <c r="E64" i="5"/>
  <c r="E63" i="5"/>
  <c r="E68" i="5"/>
  <c r="E65" i="5"/>
  <c r="Z4" i="5"/>
  <c r="E67" i="5"/>
  <c r="E60" i="5"/>
  <c r="E62" i="5"/>
  <c r="F60" i="5"/>
  <c r="E61" i="5"/>
  <c r="AQ52" i="1"/>
  <c r="AQ49" i="1"/>
  <c r="AQ55" i="1"/>
  <c r="AQ54" i="1"/>
  <c r="AQ53" i="1"/>
  <c r="AQ51" i="1"/>
  <c r="AS59" i="1"/>
  <c r="AQ50" i="1"/>
  <c r="AQ57" i="1"/>
  <c r="AR49" i="1"/>
  <c r="AQ56" i="1"/>
  <c r="X68" i="1"/>
  <c r="Y60" i="1"/>
  <c r="X67" i="1"/>
  <c r="X60" i="1"/>
  <c r="X64" i="1"/>
  <c r="X66" i="1"/>
  <c r="X62" i="1"/>
  <c r="X61" i="1"/>
  <c r="X65" i="1"/>
  <c r="C63" i="11" l="1"/>
  <c r="N57" i="11"/>
  <c r="D58" i="11"/>
  <c r="C66" i="11"/>
  <c r="C62" i="11"/>
  <c r="C65" i="11"/>
  <c r="C59" i="11"/>
  <c r="C58" i="11"/>
  <c r="C60" i="11"/>
  <c r="C64" i="11"/>
  <c r="C61" i="11"/>
  <c r="X23" i="8"/>
  <c r="X20" i="8"/>
  <c r="Z26" i="8"/>
  <c r="X17" i="8"/>
  <c r="X22" i="8"/>
  <c r="X19" i="8"/>
  <c r="X24" i="8"/>
  <c r="X18" i="8"/>
  <c r="X16" i="8"/>
  <c r="X21" i="8"/>
  <c r="Y16" i="8"/>
  <c r="X23" i="7"/>
  <c r="X18" i="7"/>
  <c r="X20" i="7"/>
  <c r="Z26" i="7"/>
  <c r="X17" i="7"/>
  <c r="X22" i="7"/>
  <c r="X19" i="7"/>
  <c r="X24" i="7"/>
  <c r="X21" i="7"/>
  <c r="Y16" i="7"/>
  <c r="X16" i="7"/>
  <c r="X7" i="6"/>
  <c r="X5" i="6"/>
  <c r="X8" i="6"/>
  <c r="X12" i="6"/>
  <c r="X9" i="6"/>
  <c r="X6" i="6"/>
  <c r="X11" i="6"/>
  <c r="Z15" i="6"/>
  <c r="X13" i="6"/>
  <c r="X10" i="6"/>
  <c r="Y5" i="6"/>
  <c r="X7" i="5"/>
  <c r="X5" i="5"/>
  <c r="Y5" i="5"/>
  <c r="X12" i="5"/>
  <c r="X9" i="5"/>
  <c r="X8" i="5"/>
  <c r="Z15" i="5"/>
  <c r="X6" i="5"/>
  <c r="X11" i="5"/>
  <c r="X13" i="5"/>
  <c r="X10" i="5"/>
  <c r="AQ68" i="1"/>
  <c r="AR60" i="1"/>
  <c r="AQ64" i="1"/>
  <c r="AQ67" i="1"/>
  <c r="AQ60" i="1"/>
  <c r="AQ66" i="1"/>
  <c r="AQ65" i="1"/>
  <c r="AQ63" i="1"/>
  <c r="AQ62" i="1"/>
  <c r="AQ61" i="1"/>
  <c r="E68" i="11" l="1"/>
  <c r="L66" i="11"/>
  <c r="L63" i="11"/>
  <c r="L59" i="11"/>
  <c r="L62" i="11"/>
  <c r="M58" i="11"/>
  <c r="L61" i="11"/>
  <c r="L58" i="11"/>
  <c r="L64" i="11"/>
  <c r="L65" i="11"/>
  <c r="L60" i="11"/>
  <c r="X31" i="8"/>
  <c r="Z37" i="8"/>
  <c r="X28" i="8"/>
  <c r="X33" i="8"/>
  <c r="X30" i="8"/>
  <c r="X35" i="8"/>
  <c r="X32" i="8"/>
  <c r="Y27" i="8"/>
  <c r="X34" i="8"/>
  <c r="X29" i="8"/>
  <c r="X27" i="8"/>
  <c r="X31" i="7"/>
  <c r="Z37" i="7"/>
  <c r="X28" i="7"/>
  <c r="X34" i="7"/>
  <c r="X33" i="7"/>
  <c r="X30" i="7"/>
  <c r="X35" i="7"/>
  <c r="X32" i="7"/>
  <c r="Y27" i="7"/>
  <c r="X29" i="7"/>
  <c r="X27" i="7"/>
  <c r="X23" i="6"/>
  <c r="X20" i="6"/>
  <c r="Z26" i="6"/>
  <c r="X17" i="6"/>
  <c r="X22" i="6"/>
  <c r="X19" i="6"/>
  <c r="X24" i="6"/>
  <c r="X21" i="6"/>
  <c r="Y16" i="6"/>
  <c r="X18" i="6"/>
  <c r="X16" i="6"/>
  <c r="X23" i="5"/>
  <c r="X21" i="5"/>
  <c r="X20" i="5"/>
  <c r="X18" i="5"/>
  <c r="Z26" i="5"/>
  <c r="X17" i="5"/>
  <c r="X22" i="5"/>
  <c r="X24" i="5"/>
  <c r="X19" i="5"/>
  <c r="Y16" i="5"/>
  <c r="X16" i="5"/>
  <c r="C77" i="11" l="1"/>
  <c r="C74" i="11"/>
  <c r="C70" i="11"/>
  <c r="C73" i="11"/>
  <c r="C72" i="11"/>
  <c r="C76" i="11"/>
  <c r="C71" i="11"/>
  <c r="N68" i="11"/>
  <c r="C75" i="11"/>
  <c r="C69" i="11"/>
  <c r="D69" i="11"/>
  <c r="Z48" i="8"/>
  <c r="X39" i="8"/>
  <c r="X44" i="8"/>
  <c r="X41" i="8"/>
  <c r="X46" i="8"/>
  <c r="X43" i="8"/>
  <c r="Y38" i="8"/>
  <c r="X40" i="8"/>
  <c r="X38" i="8"/>
  <c r="X45" i="8"/>
  <c r="X42" i="8"/>
  <c r="Z48" i="7"/>
  <c r="X39" i="7"/>
  <c r="X42" i="7"/>
  <c r="X44" i="7"/>
  <c r="X41" i="7"/>
  <c r="X46" i="7"/>
  <c r="X43" i="7"/>
  <c r="Y38" i="7"/>
  <c r="X40" i="7"/>
  <c r="X38" i="7"/>
  <c r="X45" i="7"/>
  <c r="X31" i="6"/>
  <c r="Z37" i="6"/>
  <c r="X28" i="6"/>
  <c r="X33" i="6"/>
  <c r="X30" i="6"/>
  <c r="X35" i="6"/>
  <c r="X32" i="6"/>
  <c r="Y27" i="6"/>
  <c r="X29" i="6"/>
  <c r="X27" i="6"/>
  <c r="X34" i="6"/>
  <c r="X31" i="5"/>
  <c r="Z37" i="5"/>
  <c r="X28" i="5"/>
  <c r="X34" i="5"/>
  <c r="X33" i="5"/>
  <c r="X32" i="5"/>
  <c r="Y27" i="5"/>
  <c r="X27" i="5"/>
  <c r="X30" i="5"/>
  <c r="X35" i="5"/>
  <c r="X29" i="5"/>
  <c r="E79" i="11" l="1"/>
  <c r="M69" i="11"/>
  <c r="L69" i="11"/>
  <c r="L77" i="11"/>
  <c r="L76" i="11"/>
  <c r="L72" i="11"/>
  <c r="L75" i="11"/>
  <c r="L71" i="11"/>
  <c r="L74" i="11"/>
  <c r="L73" i="11"/>
  <c r="L70" i="11"/>
  <c r="X55" i="8"/>
  <c r="Z59" i="8"/>
  <c r="X52" i="8"/>
  <c r="X57" i="8"/>
  <c r="X50" i="8"/>
  <c r="X54" i="8"/>
  <c r="Y49" i="8"/>
  <c r="X51" i="8"/>
  <c r="X49" i="8"/>
  <c r="X56" i="8"/>
  <c r="X53" i="8"/>
  <c r="X55" i="7"/>
  <c r="X52" i="7"/>
  <c r="X57" i="7"/>
  <c r="Z59" i="7"/>
  <c r="X54" i="7"/>
  <c r="Y49" i="7"/>
  <c r="X51" i="7"/>
  <c r="X49" i="7"/>
  <c r="X56" i="7"/>
  <c r="X50" i="7"/>
  <c r="X53" i="7"/>
  <c r="Z48" i="6"/>
  <c r="X39" i="6"/>
  <c r="X44" i="6"/>
  <c r="X41" i="6"/>
  <c r="X46" i="6"/>
  <c r="X43" i="6"/>
  <c r="Y38" i="6"/>
  <c r="X40" i="6"/>
  <c r="X38" i="6"/>
  <c r="X45" i="6"/>
  <c r="X42" i="6"/>
  <c r="Z48" i="5"/>
  <c r="X39" i="5"/>
  <c r="X44" i="5"/>
  <c r="X41" i="5"/>
  <c r="X38" i="5"/>
  <c r="X46" i="5"/>
  <c r="X40" i="5"/>
  <c r="X45" i="5"/>
  <c r="X42" i="5"/>
  <c r="X43" i="5"/>
  <c r="Y38" i="5"/>
  <c r="C88" i="11" l="1"/>
  <c r="C81" i="11"/>
  <c r="C85" i="11"/>
  <c r="C84" i="11"/>
  <c r="C82" i="11"/>
  <c r="C83" i="11"/>
  <c r="C86" i="11"/>
  <c r="N79" i="11"/>
  <c r="D80" i="11"/>
  <c r="C80" i="11"/>
  <c r="C87" i="11"/>
  <c r="X63" i="8"/>
  <c r="X68" i="8"/>
  <c r="X65" i="8"/>
  <c r="Y60" i="8"/>
  <c r="X62" i="8"/>
  <c r="X60" i="8"/>
  <c r="AS4" i="8"/>
  <c r="X67" i="8"/>
  <c r="X64" i="8"/>
  <c r="X61" i="8"/>
  <c r="X66" i="8"/>
  <c r="X63" i="7"/>
  <c r="X68" i="7"/>
  <c r="X66" i="7"/>
  <c r="X65" i="7"/>
  <c r="Y60" i="7"/>
  <c r="X62" i="7"/>
  <c r="X60" i="7"/>
  <c r="AS4" i="7"/>
  <c r="X67" i="7"/>
  <c r="X64" i="7"/>
  <c r="X61" i="7"/>
  <c r="X55" i="6"/>
  <c r="X52" i="6"/>
  <c r="X57" i="6"/>
  <c r="X54" i="6"/>
  <c r="Y49" i="6"/>
  <c r="X51" i="6"/>
  <c r="X49" i="6"/>
  <c r="X56" i="6"/>
  <c r="X53" i="6"/>
  <c r="Z59" i="6"/>
  <c r="X50" i="6"/>
  <c r="X55" i="5"/>
  <c r="X53" i="5"/>
  <c r="X52" i="5"/>
  <c r="X50" i="5"/>
  <c r="X57" i="5"/>
  <c r="X56" i="5"/>
  <c r="X54" i="5"/>
  <c r="Y49" i="5"/>
  <c r="X51" i="5"/>
  <c r="X49" i="5"/>
  <c r="Z59" i="5"/>
  <c r="E90" i="11" l="1"/>
  <c r="L87" i="11"/>
  <c r="L83" i="11"/>
  <c r="L86" i="11"/>
  <c r="L82" i="11"/>
  <c r="L81" i="11"/>
  <c r="L88" i="11"/>
  <c r="L85" i="11"/>
  <c r="L84" i="11"/>
  <c r="M80" i="11"/>
  <c r="L80" i="11"/>
  <c r="AQ12" i="8"/>
  <c r="AQ9" i="8"/>
  <c r="AQ7" i="8"/>
  <c r="AS15" i="8"/>
  <c r="AQ6" i="8"/>
  <c r="AQ11" i="8"/>
  <c r="AQ8" i="8"/>
  <c r="AQ13" i="8"/>
  <c r="AR5" i="8"/>
  <c r="AQ10" i="8"/>
  <c r="AQ5" i="8"/>
  <c r="AQ12" i="7"/>
  <c r="AQ9" i="7"/>
  <c r="AS15" i="7"/>
  <c r="AQ6" i="7"/>
  <c r="AQ11" i="7"/>
  <c r="AQ8" i="7"/>
  <c r="AQ7" i="7"/>
  <c r="AQ13" i="7"/>
  <c r="AR5" i="7"/>
  <c r="AQ10" i="7"/>
  <c r="AQ5" i="7"/>
  <c r="X63" i="6"/>
  <c r="X68" i="6"/>
  <c r="AS4" i="6"/>
  <c r="X65" i="6"/>
  <c r="Y60" i="6"/>
  <c r="X62" i="6"/>
  <c r="X60" i="6"/>
  <c r="X67" i="6"/>
  <c r="X64" i="6"/>
  <c r="X61" i="6"/>
  <c r="X66" i="6"/>
  <c r="X63" i="5"/>
  <c r="X66" i="5"/>
  <c r="X68" i="5"/>
  <c r="X65" i="5"/>
  <c r="Y60" i="5"/>
  <c r="X64" i="5"/>
  <c r="X61" i="5"/>
  <c r="X62" i="5"/>
  <c r="X60" i="5"/>
  <c r="AS4" i="5"/>
  <c r="X67" i="5"/>
  <c r="C99" i="11" l="1"/>
  <c r="C96" i="11"/>
  <c r="C92" i="11"/>
  <c r="C95" i="11"/>
  <c r="C93" i="11"/>
  <c r="C97" i="11"/>
  <c r="N90" i="11"/>
  <c r="C91" i="11"/>
  <c r="C94" i="11"/>
  <c r="D91" i="11"/>
  <c r="C98" i="11"/>
  <c r="AQ20" i="8"/>
  <c r="AS26" i="8"/>
  <c r="AQ17" i="8"/>
  <c r="AQ22" i="8"/>
  <c r="AQ19" i="8"/>
  <c r="AQ24" i="8"/>
  <c r="AR16" i="8"/>
  <c r="AQ21" i="8"/>
  <c r="AQ16" i="8"/>
  <c r="AQ23" i="8"/>
  <c r="AQ18" i="8"/>
  <c r="AQ20" i="7"/>
  <c r="AS26" i="7"/>
  <c r="AQ17" i="7"/>
  <c r="AQ22" i="7"/>
  <c r="AQ19" i="7"/>
  <c r="AQ23" i="7"/>
  <c r="AQ24" i="7"/>
  <c r="AR16" i="7"/>
  <c r="AQ21" i="7"/>
  <c r="AQ16" i="7"/>
  <c r="AQ18" i="7"/>
  <c r="AQ12" i="6"/>
  <c r="AQ6" i="6"/>
  <c r="AQ9" i="6"/>
  <c r="AQ8" i="6"/>
  <c r="AR5" i="6"/>
  <c r="AS15" i="6"/>
  <c r="AQ11" i="6"/>
  <c r="AQ13" i="6"/>
  <c r="AQ10" i="6"/>
  <c r="AQ5" i="6"/>
  <c r="AQ7" i="6"/>
  <c r="AQ12" i="5"/>
  <c r="AR5" i="5"/>
  <c r="AQ10" i="5"/>
  <c r="AQ9" i="5"/>
  <c r="AQ5" i="5"/>
  <c r="AS15" i="5"/>
  <c r="AQ6" i="5"/>
  <c r="AQ8" i="5"/>
  <c r="AQ13" i="5"/>
  <c r="AQ11" i="5"/>
  <c r="AQ7" i="5"/>
  <c r="E101" i="11" l="1"/>
  <c r="L97" i="11"/>
  <c r="L93" i="11"/>
  <c r="L99" i="11"/>
  <c r="L96" i="11"/>
  <c r="L95" i="11"/>
  <c r="L94" i="11"/>
  <c r="L92" i="11"/>
  <c r="M91" i="11"/>
  <c r="L91" i="11"/>
  <c r="L98" i="11"/>
  <c r="AS37" i="8"/>
  <c r="AQ28" i="8"/>
  <c r="AQ33" i="8"/>
  <c r="AQ30" i="8"/>
  <c r="AQ35" i="8"/>
  <c r="AR27" i="8"/>
  <c r="AQ32" i="8"/>
  <c r="AQ27" i="8"/>
  <c r="AQ29" i="8"/>
  <c r="AQ34" i="8"/>
  <c r="AQ31" i="8"/>
  <c r="AS37" i="7"/>
  <c r="AQ28" i="7"/>
  <c r="AQ31" i="7"/>
  <c r="AQ33" i="7"/>
  <c r="AQ30" i="7"/>
  <c r="AQ35" i="7"/>
  <c r="AR27" i="7"/>
  <c r="AQ32" i="7"/>
  <c r="AQ27" i="7"/>
  <c r="AQ29" i="7"/>
  <c r="AQ34" i="7"/>
  <c r="AQ20" i="6"/>
  <c r="AS26" i="6"/>
  <c r="AQ17" i="6"/>
  <c r="AQ22" i="6"/>
  <c r="AQ19" i="6"/>
  <c r="AQ24" i="6"/>
  <c r="AR16" i="6"/>
  <c r="AQ21" i="6"/>
  <c r="AQ16" i="6"/>
  <c r="AQ18" i="6"/>
  <c r="AQ23" i="6"/>
  <c r="AQ20" i="5"/>
  <c r="AQ21" i="5"/>
  <c r="AS26" i="5"/>
  <c r="AQ17" i="5"/>
  <c r="AQ22" i="5"/>
  <c r="AQ18" i="5"/>
  <c r="AQ19" i="5"/>
  <c r="AQ16" i="5"/>
  <c r="AQ23" i="5"/>
  <c r="AQ24" i="5"/>
  <c r="AR16" i="5"/>
  <c r="C110" i="11" l="1"/>
  <c r="C107" i="11"/>
  <c r="C103" i="11"/>
  <c r="C106" i="11"/>
  <c r="D102" i="11"/>
  <c r="C104" i="11"/>
  <c r="C108" i="11"/>
  <c r="C105" i="11"/>
  <c r="N101" i="11"/>
  <c r="C102" i="11"/>
  <c r="C109" i="11"/>
  <c r="AQ44" i="8"/>
  <c r="AQ41" i="8"/>
  <c r="AQ46" i="8"/>
  <c r="AR38" i="8"/>
  <c r="AQ43" i="8"/>
  <c r="AQ38" i="8"/>
  <c r="AQ40" i="8"/>
  <c r="AQ45" i="8"/>
  <c r="AS48" i="8"/>
  <c r="AQ39" i="8"/>
  <c r="AQ42" i="8"/>
  <c r="AQ44" i="7"/>
  <c r="AQ41" i="7"/>
  <c r="AS48" i="7"/>
  <c r="AQ39" i="7"/>
  <c r="AQ46" i="7"/>
  <c r="AR38" i="7"/>
  <c r="AQ43" i="7"/>
  <c r="AQ38" i="7"/>
  <c r="AQ40" i="7"/>
  <c r="AQ45" i="7"/>
  <c r="AQ42" i="7"/>
  <c r="AS37" i="6"/>
  <c r="AQ28" i="6"/>
  <c r="AQ33" i="6"/>
  <c r="AQ30" i="6"/>
  <c r="AQ35" i="6"/>
  <c r="AR27" i="6"/>
  <c r="AQ32" i="6"/>
  <c r="AQ27" i="6"/>
  <c r="AQ29" i="6"/>
  <c r="AQ34" i="6"/>
  <c r="AQ31" i="6"/>
  <c r="AS37" i="5"/>
  <c r="AQ28" i="5"/>
  <c r="AQ34" i="5"/>
  <c r="AQ33" i="5"/>
  <c r="AQ30" i="5"/>
  <c r="AQ35" i="5"/>
  <c r="AR27" i="5"/>
  <c r="AQ29" i="5"/>
  <c r="AQ32" i="5"/>
  <c r="AQ27" i="5"/>
  <c r="AQ31" i="5"/>
  <c r="E112" i="11" l="1"/>
  <c r="L110" i="11"/>
  <c r="L104" i="11"/>
  <c r="L107" i="11"/>
  <c r="L106" i="11"/>
  <c r="M102" i="11"/>
  <c r="L102" i="11"/>
  <c r="L109" i="11"/>
  <c r="L103" i="11"/>
  <c r="L105" i="11"/>
  <c r="L108" i="11"/>
  <c r="AQ52" i="8"/>
  <c r="AQ57" i="8"/>
  <c r="AR49" i="8"/>
  <c r="AQ55" i="8"/>
  <c r="AQ54" i="8"/>
  <c r="AQ49" i="8"/>
  <c r="AQ51" i="8"/>
  <c r="AQ56" i="8"/>
  <c r="AQ53" i="8"/>
  <c r="AS59" i="8"/>
  <c r="AQ50" i="8"/>
  <c r="AQ52" i="7"/>
  <c r="AQ57" i="7"/>
  <c r="AR49" i="7"/>
  <c r="AQ54" i="7"/>
  <c r="AQ49" i="7"/>
  <c r="AQ51" i="7"/>
  <c r="AQ55" i="7"/>
  <c r="AQ56" i="7"/>
  <c r="AQ53" i="7"/>
  <c r="AS59" i="7"/>
  <c r="AQ50" i="7"/>
  <c r="AQ44" i="6"/>
  <c r="AQ41" i="6"/>
  <c r="AQ46" i="6"/>
  <c r="AR38" i="6"/>
  <c r="AQ43" i="6"/>
  <c r="AQ38" i="6"/>
  <c r="AQ40" i="6"/>
  <c r="AQ45" i="6"/>
  <c r="AQ42" i="6"/>
  <c r="AS48" i="6"/>
  <c r="AQ39" i="6"/>
  <c r="AQ44" i="5"/>
  <c r="AQ42" i="5"/>
  <c r="AQ41" i="5"/>
  <c r="AQ46" i="5"/>
  <c r="AR38" i="5"/>
  <c r="AQ45" i="5"/>
  <c r="AQ43" i="5"/>
  <c r="AQ38" i="5"/>
  <c r="AQ40" i="5"/>
  <c r="AQ39" i="5"/>
  <c r="AS48" i="5"/>
  <c r="C121" i="11" l="1"/>
  <c r="C118" i="11"/>
  <c r="C114" i="11"/>
  <c r="C117" i="11"/>
  <c r="C115" i="11"/>
  <c r="C116" i="11"/>
  <c r="C119" i="11"/>
  <c r="N112" i="11"/>
  <c r="C113" i="11"/>
  <c r="D113" i="11"/>
  <c r="C120" i="11"/>
  <c r="AQ68" i="8"/>
  <c r="AR60" i="8"/>
  <c r="AQ65" i="8"/>
  <c r="AQ60" i="8"/>
  <c r="AQ62" i="8"/>
  <c r="AQ67" i="8"/>
  <c r="AQ64" i="8"/>
  <c r="AQ61" i="8"/>
  <c r="AQ63" i="8"/>
  <c r="AQ66" i="8"/>
  <c r="AQ68" i="7"/>
  <c r="AR60" i="7"/>
  <c r="AQ63" i="7"/>
  <c r="AQ65" i="7"/>
  <c r="AQ60" i="7"/>
  <c r="AQ62" i="7"/>
  <c r="AQ67" i="7"/>
  <c r="AQ64" i="7"/>
  <c r="AQ61" i="7"/>
  <c r="AQ66" i="7"/>
  <c r="AQ52" i="6"/>
  <c r="AQ57" i="6"/>
  <c r="AR49" i="6"/>
  <c r="AQ54" i="6"/>
  <c r="AQ49" i="6"/>
  <c r="AQ51" i="6"/>
  <c r="AQ56" i="6"/>
  <c r="AQ53" i="6"/>
  <c r="AS59" i="6"/>
  <c r="AQ50" i="6"/>
  <c r="AQ55" i="6"/>
  <c r="AQ52" i="5"/>
  <c r="AS59" i="5"/>
  <c r="AQ57" i="5"/>
  <c r="AR49" i="5"/>
  <c r="AQ55" i="5"/>
  <c r="AQ54" i="5"/>
  <c r="AQ49" i="5"/>
  <c r="AQ50" i="5"/>
  <c r="AQ51" i="5"/>
  <c r="AQ53" i="5"/>
  <c r="AQ56" i="5"/>
  <c r="E123" i="11" l="1"/>
  <c r="M113" i="11"/>
  <c r="L113" i="11"/>
  <c r="L121" i="11"/>
  <c r="L120" i="11"/>
  <c r="L116" i="11"/>
  <c r="L115" i="11"/>
  <c r="L114" i="11"/>
  <c r="L119" i="11"/>
  <c r="L118" i="11"/>
  <c r="L117" i="11"/>
  <c r="AQ68" i="6"/>
  <c r="AR60" i="6"/>
  <c r="AQ65" i="6"/>
  <c r="AQ60" i="6"/>
  <c r="AQ62" i="6"/>
  <c r="AQ67" i="6"/>
  <c r="AQ64" i="6"/>
  <c r="AQ61" i="6"/>
  <c r="AQ66" i="6"/>
  <c r="AQ63" i="6"/>
  <c r="AQ68" i="5"/>
  <c r="AR60" i="5"/>
  <c r="AQ65" i="5"/>
  <c r="AQ60" i="5"/>
  <c r="AQ62" i="5"/>
  <c r="AQ67" i="5"/>
  <c r="AQ61" i="5"/>
  <c r="AQ63" i="5"/>
  <c r="AQ64" i="5"/>
  <c r="AQ66" i="5"/>
  <c r="C132" i="11" l="1"/>
  <c r="C129" i="11"/>
  <c r="C125" i="11"/>
  <c r="C128" i="11"/>
  <c r="C127" i="11"/>
  <c r="C126" i="11"/>
  <c r="D124" i="11"/>
  <c r="C130" i="11"/>
  <c r="N123" i="11"/>
  <c r="C124" i="11"/>
  <c r="C131" i="11"/>
  <c r="E134" i="11" l="1"/>
  <c r="L125" i="11"/>
  <c r="L124" i="11"/>
  <c r="L131" i="11"/>
  <c r="L128" i="11"/>
  <c r="L127" i="11"/>
  <c r="L130" i="11"/>
  <c r="L132" i="11"/>
  <c r="L126" i="11"/>
  <c r="L129" i="11"/>
  <c r="M124" i="11"/>
  <c r="C143" i="11" l="1"/>
  <c r="C140" i="11"/>
  <c r="C136" i="11"/>
  <c r="C139" i="11"/>
  <c r="C137" i="11"/>
  <c r="N134" i="11"/>
  <c r="C138" i="11"/>
  <c r="C141" i="11"/>
  <c r="D135" i="11"/>
  <c r="C135" i="11"/>
  <c r="C142" i="11"/>
  <c r="E145" i="11" l="1"/>
  <c r="L141" i="11"/>
  <c r="L137" i="11"/>
  <c r="L143" i="11"/>
  <c r="L140" i="11"/>
  <c r="L136" i="11"/>
  <c r="L139" i="11"/>
  <c r="L135" i="11"/>
  <c r="L142" i="11"/>
  <c r="M135" i="11"/>
  <c r="L138" i="11"/>
  <c r="C154" i="11" l="1"/>
  <c r="C151" i="11"/>
  <c r="C147" i="11"/>
  <c r="C150" i="11"/>
  <c r="C148" i="11"/>
  <c r="C152" i="11"/>
  <c r="N145" i="11"/>
  <c r="C146" i="11"/>
  <c r="C149" i="11"/>
  <c r="D146" i="11"/>
  <c r="C153" i="11"/>
  <c r="E156" i="11" l="1"/>
  <c r="L154" i="11"/>
  <c r="L151" i="11"/>
  <c r="L147" i="11"/>
  <c r="L150" i="11"/>
  <c r="M146" i="11"/>
  <c r="L146" i="11"/>
  <c r="L152" i="11"/>
  <c r="L148" i="11"/>
  <c r="L153" i="11"/>
  <c r="L149" i="11"/>
  <c r="C165" i="11" l="1"/>
  <c r="C162" i="11"/>
  <c r="C158" i="11"/>
  <c r="C161" i="11"/>
  <c r="C160" i="11"/>
  <c r="C159" i="11"/>
  <c r="C163" i="11"/>
  <c r="D157" i="11"/>
  <c r="N156" i="11"/>
  <c r="C157" i="11"/>
  <c r="C164" i="11"/>
  <c r="E167" i="11" l="1"/>
  <c r="M157" i="11"/>
  <c r="L157" i="11"/>
  <c r="L162" i="11"/>
  <c r="L158" i="11"/>
  <c r="L164" i="11"/>
  <c r="L160" i="11"/>
  <c r="L161" i="11"/>
  <c r="L163" i="11"/>
  <c r="L159" i="11"/>
  <c r="L165" i="11"/>
  <c r="C176" i="11" l="1"/>
  <c r="C169" i="11"/>
  <c r="C173" i="11"/>
  <c r="C172" i="11"/>
  <c r="C170" i="11"/>
  <c r="C174" i="11"/>
  <c r="C171" i="11"/>
  <c r="N167" i="11"/>
  <c r="C168" i="11"/>
  <c r="D168" i="11"/>
  <c r="C175" i="11"/>
  <c r="E178" i="11" l="1"/>
  <c r="L175" i="11"/>
  <c r="L172" i="11"/>
  <c r="L171" i="11"/>
  <c r="L174" i="11"/>
  <c r="L169" i="11"/>
  <c r="L170" i="11"/>
  <c r="L176" i="11"/>
  <c r="L173" i="11"/>
  <c r="L168" i="11"/>
  <c r="M168" i="11"/>
  <c r="C187" i="11" l="1"/>
  <c r="C184" i="11"/>
  <c r="C180" i="11"/>
  <c r="C183" i="11"/>
  <c r="C181" i="11"/>
  <c r="C182" i="11"/>
  <c r="C185" i="11"/>
  <c r="N178" i="11"/>
  <c r="D179" i="11"/>
  <c r="C179" i="11"/>
  <c r="C186" i="11"/>
  <c r="E189" i="11" l="1"/>
  <c r="L185" i="11"/>
  <c r="L181" i="11"/>
  <c r="L187" i="11"/>
  <c r="L184" i="11"/>
  <c r="L180" i="11"/>
  <c r="L183" i="11"/>
  <c r="L179" i="11"/>
  <c r="M179" i="11"/>
  <c r="L186" i="11"/>
  <c r="L182" i="11"/>
  <c r="C198" i="11" l="1"/>
  <c r="C195" i="11"/>
  <c r="C191" i="11"/>
  <c r="C194" i="11"/>
  <c r="C192" i="11"/>
  <c r="D190" i="11"/>
  <c r="C196" i="11"/>
  <c r="N189" i="11"/>
  <c r="C190" i="11"/>
  <c r="C193" i="11"/>
  <c r="C197" i="11"/>
  <c r="E200" i="11" l="1"/>
  <c r="L198" i="11"/>
  <c r="L195" i="11"/>
  <c r="L194" i="11"/>
  <c r="L191" i="11"/>
  <c r="M190" i="11"/>
  <c r="L190" i="11"/>
  <c r="L197" i="11"/>
  <c r="L193" i="11"/>
  <c r="L192" i="11"/>
  <c r="L196" i="11"/>
  <c r="C209" i="11" l="1"/>
  <c r="C206" i="11"/>
  <c r="C202" i="11"/>
  <c r="C205" i="11"/>
  <c r="C203" i="11"/>
  <c r="C204" i="11"/>
  <c r="C207" i="11"/>
  <c r="N200" i="11"/>
  <c r="C201" i="11"/>
  <c r="D201" i="11"/>
  <c r="C208" i="11"/>
  <c r="E211" i="11" l="1"/>
  <c r="M201" i="11"/>
  <c r="L202" i="11"/>
  <c r="L201" i="11"/>
  <c r="L208" i="11"/>
  <c r="L203" i="11"/>
  <c r="L205" i="11"/>
  <c r="L204" i="11"/>
  <c r="L207" i="11"/>
  <c r="L209" i="11"/>
  <c r="L206" i="11"/>
  <c r="C220" i="11" l="1"/>
  <c r="C217" i="11"/>
  <c r="C213" i="11"/>
  <c r="C216" i="11"/>
  <c r="C214" i="11"/>
  <c r="C215" i="11"/>
  <c r="C218" i="11"/>
  <c r="N211" i="11"/>
  <c r="C212" i="11"/>
  <c r="D212" i="11"/>
  <c r="C219" i="11"/>
  <c r="M1" i="4"/>
  <c r="E222" i="11" l="1"/>
  <c r="L219" i="11"/>
  <c r="L215" i="11"/>
  <c r="L213" i="11"/>
  <c r="L218" i="11"/>
  <c r="L216" i="11"/>
  <c r="L212" i="11"/>
  <c r="L220" i="11"/>
  <c r="L214" i="11"/>
  <c r="L217" i="11"/>
  <c r="M212" i="11"/>
  <c r="C231" i="11" l="1"/>
  <c r="C228" i="11"/>
  <c r="C224" i="11"/>
  <c r="C227" i="11"/>
  <c r="C225" i="11"/>
  <c r="C229" i="11"/>
  <c r="N222" i="11"/>
  <c r="C223" i="11"/>
  <c r="D223" i="11"/>
  <c r="C226" i="11"/>
  <c r="C230" i="11"/>
  <c r="E233" i="11" l="1"/>
  <c r="L229" i="11"/>
  <c r="L225" i="11"/>
  <c r="L226" i="11"/>
  <c r="L231" i="11"/>
  <c r="L228" i="11"/>
  <c r="L224" i="11"/>
  <c r="L223" i="11"/>
  <c r="L227" i="11"/>
  <c r="M223" i="11"/>
  <c r="L230" i="11"/>
  <c r="C242" i="11" l="1"/>
  <c r="C239" i="11"/>
  <c r="C235" i="11"/>
  <c r="C238" i="11"/>
  <c r="C236" i="11"/>
  <c r="C237" i="11"/>
  <c r="C240" i="11"/>
  <c r="N233" i="11"/>
  <c r="D234" i="11"/>
  <c r="C234" i="11"/>
  <c r="C241" i="11"/>
  <c r="E244" i="11" l="1"/>
  <c r="L242" i="11"/>
  <c r="L239" i="11"/>
  <c r="L238" i="11"/>
  <c r="L235" i="11"/>
  <c r="M234" i="11"/>
  <c r="L234" i="11"/>
  <c r="L241" i="11"/>
  <c r="L237" i="11"/>
  <c r="L236" i="11"/>
  <c r="L240" i="11"/>
  <c r="C253" i="11" l="1"/>
  <c r="C250" i="11"/>
  <c r="C246" i="11"/>
  <c r="C249" i="11"/>
  <c r="C247" i="11"/>
  <c r="C251" i="11"/>
  <c r="N244" i="11"/>
  <c r="C245" i="11"/>
  <c r="C248" i="11"/>
  <c r="D245" i="11"/>
  <c r="C252" i="11"/>
  <c r="E255" i="11" l="1"/>
  <c r="M245" i="11"/>
  <c r="L249" i="11"/>
  <c r="L245" i="11"/>
  <c r="L252" i="11"/>
  <c r="L248" i="11"/>
  <c r="L251" i="11"/>
  <c r="L247" i="11"/>
  <c r="L253" i="11"/>
  <c r="L250" i="11"/>
  <c r="L246" i="11"/>
  <c r="C264" i="11" l="1"/>
  <c r="C257" i="11"/>
  <c r="C256" i="11"/>
  <c r="C263" i="11"/>
  <c r="C261" i="11"/>
  <c r="C259" i="11"/>
  <c r="C260" i="11"/>
  <c r="N255" i="11"/>
  <c r="C258" i="11"/>
  <c r="C262" i="11"/>
  <c r="D256" i="11"/>
  <c r="E266" i="11" l="1"/>
  <c r="L263" i="11"/>
  <c r="L259" i="11"/>
  <c r="L262" i="11"/>
  <c r="L260" i="11"/>
  <c r="L258" i="11"/>
  <c r="L261" i="11"/>
  <c r="L264" i="11"/>
  <c r="L257" i="11"/>
  <c r="L256" i="11"/>
  <c r="M256" i="11"/>
  <c r="C275" i="11" l="1"/>
  <c r="C274" i="11"/>
  <c r="N266" i="11"/>
  <c r="C268" i="11"/>
  <c r="D267" i="11"/>
  <c r="C272" i="11"/>
  <c r="C271" i="11"/>
  <c r="C269" i="11"/>
  <c r="C273" i="11"/>
  <c r="C270" i="11"/>
  <c r="C267" i="11"/>
  <c r="E277" i="11" l="1"/>
  <c r="L273" i="11"/>
  <c r="L269" i="11"/>
  <c r="L275" i="11"/>
  <c r="L272" i="11"/>
  <c r="L270" i="11"/>
  <c r="L271" i="11"/>
  <c r="L268" i="11"/>
  <c r="M267" i="11"/>
  <c r="L267" i="11"/>
  <c r="L274" i="11"/>
  <c r="C286" i="11" l="1"/>
  <c r="C283" i="11"/>
  <c r="C279" i="11"/>
  <c r="C282" i="11"/>
  <c r="C280" i="11"/>
  <c r="C284" i="11"/>
  <c r="N277" i="11"/>
  <c r="D278" i="11"/>
  <c r="C278" i="11"/>
  <c r="C281" i="11"/>
  <c r="C285" i="11"/>
  <c r="E288" i="11" l="1"/>
  <c r="L286" i="11"/>
  <c r="L283" i="11"/>
  <c r="L282" i="11"/>
  <c r="L279" i="11"/>
  <c r="M278" i="11"/>
  <c r="L278" i="11"/>
  <c r="L280" i="11"/>
  <c r="L285" i="11"/>
  <c r="L281" i="11"/>
  <c r="L284" i="11"/>
  <c r="C297" i="11" l="1"/>
  <c r="C290" i="11"/>
  <c r="C294" i="11"/>
  <c r="C293" i="11"/>
  <c r="C291" i="11"/>
  <c r="C292" i="11"/>
  <c r="C295" i="11"/>
  <c r="N288" i="11"/>
  <c r="C289" i="11"/>
  <c r="D289" i="11"/>
  <c r="C296" i="11"/>
  <c r="E299" i="11" l="1"/>
  <c r="M289" i="11"/>
  <c r="L290" i="11"/>
  <c r="L293" i="11"/>
  <c r="L289" i="11"/>
  <c r="L296" i="11"/>
  <c r="L295" i="11"/>
  <c r="L292" i="11"/>
  <c r="L297" i="11"/>
  <c r="L291" i="11"/>
  <c r="L294" i="11"/>
  <c r="C308" i="11" l="1"/>
  <c r="C305" i="11"/>
  <c r="C301" i="11"/>
  <c r="C304" i="11"/>
  <c r="C302" i="11"/>
  <c r="D300" i="11"/>
  <c r="C306" i="11"/>
  <c r="N299" i="11"/>
  <c r="C300" i="11"/>
  <c r="C303" i="11"/>
  <c r="C307" i="11"/>
  <c r="E310" i="11" l="1"/>
  <c r="L307" i="11"/>
  <c r="L303" i="11"/>
  <c r="L306" i="11"/>
  <c r="L301" i="11"/>
  <c r="L302" i="11"/>
  <c r="L308" i="11"/>
  <c r="L305" i="11"/>
  <c r="L304" i="11"/>
  <c r="L300" i="11"/>
  <c r="M300" i="11"/>
  <c r="C319" i="11" l="1"/>
  <c r="C316" i="11"/>
  <c r="C312" i="11"/>
  <c r="C315" i="11"/>
  <c r="C313" i="11"/>
  <c r="C317" i="11"/>
  <c r="D311" i="11"/>
  <c r="N310" i="11"/>
  <c r="C311" i="11"/>
  <c r="C314" i="11"/>
  <c r="C318" i="11"/>
  <c r="E321" i="11" l="1"/>
  <c r="L317" i="11"/>
  <c r="L314" i="11"/>
  <c r="L313" i="11"/>
  <c r="L319" i="11"/>
  <c r="L316" i="11"/>
  <c r="L315" i="11"/>
  <c r="L312" i="11"/>
  <c r="M311" i="11"/>
  <c r="L311" i="11"/>
  <c r="L318" i="11"/>
  <c r="C330" i="11" l="1"/>
  <c r="C327" i="11"/>
  <c r="C323" i="11"/>
  <c r="C326" i="11"/>
  <c r="C324" i="11"/>
  <c r="C328" i="11"/>
  <c r="N321" i="11"/>
  <c r="D322" i="11"/>
  <c r="C322" i="11"/>
  <c r="C325" i="11"/>
  <c r="C329" i="11"/>
  <c r="E332" i="11" l="1"/>
  <c r="L330" i="11"/>
  <c r="L327" i="11"/>
  <c r="L323" i="11"/>
  <c r="L326" i="11"/>
  <c r="M322" i="11"/>
  <c r="L322" i="11"/>
  <c r="L329" i="11"/>
  <c r="L325" i="11"/>
  <c r="L328" i="11"/>
  <c r="L324" i="11"/>
  <c r="C341" i="11" l="1"/>
  <c r="C338" i="11"/>
  <c r="C334" i="11"/>
  <c r="C337" i="11"/>
  <c r="C335" i="11"/>
  <c r="C339" i="11"/>
  <c r="N332" i="11"/>
  <c r="C333" i="11"/>
  <c r="D333" i="11"/>
  <c r="C336" i="11"/>
  <c r="C340" i="11"/>
  <c r="E343" i="11" l="1"/>
  <c r="M333" i="11"/>
  <c r="L333" i="11"/>
  <c r="L340" i="11"/>
  <c r="L334" i="11"/>
  <c r="L336" i="11"/>
  <c r="L339" i="11"/>
  <c r="L337" i="11"/>
  <c r="L335" i="11"/>
  <c r="L341" i="11"/>
  <c r="L338" i="11"/>
  <c r="C352" i="11" l="1"/>
  <c r="C345" i="11"/>
  <c r="C349" i="11"/>
  <c r="C348" i="11"/>
  <c r="C346" i="11"/>
  <c r="C350" i="11"/>
  <c r="N343" i="11"/>
  <c r="C344" i="11"/>
  <c r="C347" i="11"/>
  <c r="D344" i="11"/>
  <c r="C351" i="11"/>
  <c r="E354" i="11" l="1"/>
  <c r="L351" i="11"/>
  <c r="L347" i="11"/>
  <c r="L350" i="11"/>
  <c r="L346" i="11"/>
  <c r="L344" i="11"/>
  <c r="L352" i="11"/>
  <c r="L349" i="11"/>
  <c r="L348" i="11"/>
  <c r="L345" i="11"/>
  <c r="M344" i="11"/>
  <c r="C363" i="11" l="1"/>
  <c r="C360" i="11"/>
  <c r="C356" i="11"/>
  <c r="C359" i="11"/>
  <c r="C357" i="11"/>
  <c r="D355" i="11"/>
  <c r="C361" i="11"/>
  <c r="N354" i="11"/>
  <c r="C355" i="11"/>
  <c r="C358" i="11"/>
  <c r="C362" i="11"/>
  <c r="E365" i="11" l="1"/>
  <c r="L361" i="11"/>
  <c r="L357" i="11"/>
  <c r="L363" i="11"/>
  <c r="L360" i="11"/>
  <c r="L359" i="11"/>
  <c r="L356" i="11"/>
  <c r="M355" i="11"/>
  <c r="L355" i="11"/>
  <c r="L358" i="11"/>
  <c r="L362" i="11"/>
  <c r="C374" i="11" l="1"/>
  <c r="C371" i="11"/>
  <c r="C367" i="11"/>
  <c r="C370" i="11"/>
  <c r="C368" i="11"/>
  <c r="C372" i="11"/>
  <c r="N365" i="11"/>
  <c r="D366" i="11"/>
  <c r="C366" i="11"/>
  <c r="C369" i="11"/>
  <c r="C373" i="11"/>
  <c r="E376" i="11" l="1"/>
  <c r="L374" i="11"/>
  <c r="L371" i="11"/>
  <c r="L370" i="11"/>
  <c r="L367" i="11"/>
  <c r="L368" i="11"/>
  <c r="M366" i="11"/>
  <c r="L366" i="11"/>
  <c r="L373" i="11"/>
  <c r="L369" i="11"/>
  <c r="L372" i="11"/>
  <c r="C385" i="11" l="1"/>
  <c r="C378" i="11"/>
  <c r="C382" i="11"/>
  <c r="C381" i="11"/>
  <c r="C379" i="11"/>
  <c r="C383" i="11"/>
  <c r="N376" i="11"/>
  <c r="C377" i="11"/>
  <c r="D377" i="11"/>
  <c r="C380" i="11"/>
  <c r="C384" i="11"/>
  <c r="E387" i="11" l="1"/>
  <c r="M377" i="11"/>
  <c r="L381" i="11"/>
  <c r="L377" i="11"/>
  <c r="L384" i="11"/>
  <c r="L379" i="11"/>
  <c r="L380" i="11"/>
  <c r="L383" i="11"/>
  <c r="L385" i="11"/>
  <c r="L382" i="11"/>
  <c r="L378" i="11"/>
  <c r="C396" i="11" l="1"/>
  <c r="C389" i="11"/>
  <c r="C392" i="11"/>
  <c r="C394" i="11"/>
  <c r="C393" i="11"/>
  <c r="N387" i="11"/>
  <c r="C390" i="11"/>
  <c r="C388" i="11"/>
  <c r="C391" i="11"/>
  <c r="D388" i="11"/>
  <c r="C395" i="11"/>
  <c r="E398" i="11" l="1"/>
  <c r="L395" i="11"/>
  <c r="L391" i="11"/>
  <c r="L394" i="11"/>
  <c r="L388" i="11"/>
  <c r="L390" i="11"/>
  <c r="L392" i="11"/>
  <c r="L396" i="11"/>
  <c r="L393" i="11"/>
  <c r="L389" i="11"/>
  <c r="M388" i="11"/>
  <c r="C407" i="11" l="1"/>
  <c r="C404" i="11"/>
  <c r="C400" i="11"/>
  <c r="C405" i="11"/>
  <c r="N398" i="11"/>
  <c r="C399" i="11"/>
  <c r="C402" i="11"/>
  <c r="C406" i="11"/>
  <c r="D399" i="11"/>
  <c r="C401" i="11"/>
  <c r="C403" i="11"/>
  <c r="E409" i="11" l="1"/>
  <c r="L405" i="11"/>
  <c r="L401" i="11"/>
  <c r="L407" i="11"/>
  <c r="L404" i="11"/>
  <c r="L403" i="11"/>
  <c r="L400" i="11"/>
  <c r="M399" i="11"/>
  <c r="L399" i="11"/>
  <c r="L402" i="11"/>
  <c r="L406" i="11"/>
  <c r="C418" i="11" l="1"/>
  <c r="C411" i="11"/>
  <c r="C415" i="11"/>
  <c r="C416" i="11"/>
  <c r="N409" i="11"/>
  <c r="D410" i="11"/>
  <c r="C410" i="11"/>
  <c r="C413" i="11"/>
  <c r="C417" i="11"/>
  <c r="C412" i="11"/>
  <c r="C414" i="11"/>
  <c r="E420" i="11" l="1"/>
  <c r="L418" i="11"/>
  <c r="L411" i="11"/>
  <c r="L414" i="11"/>
  <c r="L415" i="11"/>
  <c r="M410" i="11"/>
  <c r="L410" i="11"/>
  <c r="L417" i="11"/>
  <c r="L412" i="11"/>
  <c r="L413" i="11"/>
  <c r="L416" i="11"/>
  <c r="C429" i="11" l="1"/>
  <c r="C426" i="11"/>
  <c r="C422" i="11"/>
  <c r="C427" i="11"/>
  <c r="N420" i="11"/>
  <c r="C421" i="11"/>
  <c r="C424" i="11"/>
  <c r="C428" i="11"/>
  <c r="D421" i="11"/>
  <c r="C423" i="11"/>
  <c r="C425" i="11"/>
  <c r="E431" i="11" l="1"/>
  <c r="M421" i="11"/>
  <c r="L421" i="11"/>
  <c r="L428" i="11"/>
  <c r="L424" i="11"/>
  <c r="L422" i="11"/>
  <c r="L427" i="11"/>
  <c r="L423" i="11"/>
  <c r="L429" i="11"/>
  <c r="L426" i="11"/>
  <c r="L425" i="11"/>
  <c r="C440" i="11" l="1"/>
  <c r="C437" i="11"/>
  <c r="C433" i="11"/>
  <c r="C438" i="11"/>
  <c r="N431" i="11"/>
  <c r="C432" i="11"/>
  <c r="C435" i="11"/>
  <c r="C439" i="11"/>
  <c r="D432" i="11"/>
  <c r="C434" i="11"/>
  <c r="C436" i="11"/>
  <c r="N1" i="4"/>
  <c r="G2" i="3"/>
  <c r="H2" i="3"/>
  <c r="I2" i="3"/>
  <c r="B2" i="3"/>
  <c r="E2" i="3"/>
  <c r="C2" i="3"/>
  <c r="F2" i="3"/>
  <c r="D2" i="3"/>
  <c r="J2" i="3"/>
  <c r="E442" i="11" l="1"/>
  <c r="L439" i="11"/>
  <c r="L435" i="11"/>
  <c r="L432" i="11"/>
  <c r="L438" i="11"/>
  <c r="L434" i="11"/>
  <c r="L440" i="11"/>
  <c r="L437" i="11"/>
  <c r="L436" i="11"/>
  <c r="L433" i="11"/>
  <c r="M432" i="11"/>
  <c r="C451" i="11" l="1"/>
  <c r="C444" i="11"/>
  <c r="C448" i="11"/>
  <c r="C449" i="11"/>
  <c r="N442" i="11"/>
  <c r="C445" i="11"/>
  <c r="C443" i="11"/>
  <c r="C446" i="11"/>
  <c r="C450" i="11"/>
  <c r="D443" i="11"/>
  <c r="C447" i="11"/>
  <c r="E453" i="11" l="1"/>
  <c r="L449" i="11"/>
  <c r="L445" i="11"/>
  <c r="L451" i="11"/>
  <c r="L448" i="11"/>
  <c r="L447" i="11"/>
  <c r="L444" i="11"/>
  <c r="M443" i="11"/>
  <c r="L443" i="11"/>
  <c r="L450" i="11"/>
  <c r="L446" i="11"/>
  <c r="C462" i="11" l="1"/>
  <c r="C459" i="11"/>
  <c r="C455" i="11"/>
  <c r="C460" i="11"/>
  <c r="N453" i="11"/>
  <c r="C454" i="11"/>
  <c r="C457" i="11"/>
  <c r="C461" i="11"/>
  <c r="D454" i="11"/>
  <c r="C456" i="11"/>
  <c r="C458" i="11"/>
  <c r="E464" i="11" l="1"/>
  <c r="L462" i="11"/>
  <c r="L459" i="11"/>
  <c r="L458" i="11"/>
  <c r="L455" i="11"/>
  <c r="M454" i="11"/>
  <c r="L454" i="11"/>
  <c r="L461" i="11"/>
  <c r="L457" i="11"/>
  <c r="L456" i="11"/>
  <c r="L460" i="11"/>
  <c r="C473" i="11" l="1"/>
  <c r="C470" i="11"/>
  <c r="C466" i="11"/>
  <c r="C471" i="11"/>
  <c r="N464" i="11"/>
  <c r="C465" i="11"/>
  <c r="C468" i="11"/>
  <c r="C472" i="11"/>
  <c r="C467" i="11"/>
  <c r="D465" i="11"/>
  <c r="C469" i="11"/>
  <c r="E475" i="11" l="1"/>
  <c r="M465" i="11"/>
  <c r="L465" i="11"/>
  <c r="L472" i="11"/>
  <c r="L468" i="11"/>
  <c r="L466" i="11"/>
  <c r="L471" i="11"/>
  <c r="L469" i="11"/>
  <c r="L467" i="11"/>
  <c r="L473" i="11"/>
  <c r="L470" i="11"/>
  <c r="D476" i="11" l="1"/>
  <c r="C484" i="11"/>
  <c r="C481" i="11"/>
  <c r="C480" i="11"/>
  <c r="C477" i="11"/>
  <c r="C478" i="11"/>
  <c r="C482" i="11"/>
  <c r="N475" i="11"/>
  <c r="C476" i="11"/>
  <c r="C479" i="11"/>
  <c r="C483" i="11"/>
  <c r="E486" i="11" l="1"/>
  <c r="L483" i="11"/>
  <c r="L479" i="11"/>
  <c r="L482" i="11"/>
  <c r="L476" i="11"/>
  <c r="L478" i="11"/>
  <c r="L484" i="11"/>
  <c r="L477" i="11"/>
  <c r="L480" i="11"/>
  <c r="L481" i="11"/>
  <c r="M476" i="11"/>
  <c r="C495" i="11" l="1"/>
  <c r="C492" i="11"/>
  <c r="C488" i="11"/>
  <c r="C491" i="11"/>
  <c r="C489" i="11"/>
  <c r="C493" i="11"/>
  <c r="N486" i="11"/>
  <c r="D487" i="11"/>
  <c r="C487" i="11"/>
  <c r="C490" i="11"/>
  <c r="C494" i="11"/>
  <c r="L493" i="11" l="1"/>
  <c r="L490" i="11"/>
  <c r="L489" i="11"/>
  <c r="L495" i="11"/>
  <c r="L492" i="11"/>
  <c r="L491" i="11"/>
  <c r="L488" i="11"/>
  <c r="M487" i="11"/>
  <c r="L487" i="11"/>
  <c r="L494" i="11"/>
</calcChain>
</file>

<file path=xl/sharedStrings.xml><?xml version="1.0" encoding="utf-8"?>
<sst xmlns="http://schemas.openxmlformats.org/spreadsheetml/2006/main" count="21477" uniqueCount="1473">
  <si>
    <t>test_id</t>
  </si>
  <si>
    <t>genus_tags</t>
  </si>
  <si>
    <t>genus_hypo_depth</t>
  </si>
  <si>
    <t>genus_hyper_hypo_depth</t>
  </si>
  <si>
    <t>lesk_on_genus</t>
  </si>
  <si>
    <t>definition_similarity</t>
  </si>
  <si>
    <t>examples_similarity</t>
  </si>
  <si>
    <t>lemmas_similarity</t>
  </si>
  <si>
    <t>score_type</t>
  </si>
  <si>
    <t>lesk_only_n</t>
  </si>
  <si>
    <t>test_01</t>
  </si>
  <si>
    <t>json_string</t>
  </si>
  <si>
    <t>patience.n.01</t>
  </si>
  <si>
    <t>greedy.s.03</t>
  </si>
  <si>
    <t>politics.n.05</t>
  </si>
  <si>
    <t>food.n.01</t>
  </si>
  <si>
    <t>radiator.n.03</t>
  </si>
  <si>
    <t>vehicle.n.03</t>
  </si>
  <si>
    <t>screw.n.02</t>
  </si>
  <si>
    <t>department_of_justice.n.01</t>
  </si>
  <si>
    <t>concept.n.01, concept.n.01</t>
  </si>
  <si>
    <t>abstraction.n.01, rule.n.01</t>
  </si>
  <si>
    <t>ability.n.01</t>
  </si>
  <si>
    <t>penetration.n.04</t>
  </si>
  <si>
    <t>quality.n.01</t>
  </si>
  <si>
    <t>None</t>
  </si>
  <si>
    <t>animation.n.01</t>
  </si>
  <si>
    <t>eternal_life.n.01</t>
  </si>
  <si>
    <t>being.n.01, being.n.01</t>
  </si>
  <si>
    <t>animation.n.01, eternal_life.n.01</t>
  </si>
  <si>
    <t>move.v.02</t>
  </si>
  <si>
    <t>transfer.v.02</t>
  </si>
  <si>
    <t>desire.v.01</t>
  </si>
  <si>
    <t>itch.v.04</t>
  </si>
  <si>
    <t>wealth.n.04</t>
  </si>
  <si>
    <t>money.n.02</t>
  </si>
  <si>
    <t>state.n.02, government.n.01</t>
  </si>
  <si>
    <t>relationship.n.03, authoritarian_state.n.01</t>
  </si>
  <si>
    <t>attribute.n.02, polity.n.02</t>
  </si>
  <si>
    <t>heat.n.01</t>
  </si>
  <si>
    <t>latent_heat.n.01</t>
  </si>
  <si>
    <t>energy.n.01</t>
  </si>
  <si>
    <t>air_transportation_system.n.01, highway_system.n.01</t>
  </si>
  <si>
    <t>facility.n.01, facility.n.01</t>
  </si>
  <si>
    <t>metallic_element.n.01</t>
  </si>
  <si>
    <t>titanium.n.01</t>
  </si>
  <si>
    <t>chemical_element.n.01</t>
  </si>
  <si>
    <t>idea.n.01</t>
  </si>
  <si>
    <t>generalization.n.02</t>
  </si>
  <si>
    <t>target</t>
  </si>
  <si>
    <t>genus_met_a</t>
  </si>
  <si>
    <t>hypo_met_a</t>
  </si>
  <si>
    <t>hype_met_b</t>
  </si>
  <si>
    <t>hypo_met_b</t>
  </si>
  <si>
    <t>score_met_a</t>
  </si>
  <si>
    <t>score_met_b</t>
  </si>
  <si>
    <t>NN</t>
  </si>
  <si>
    <t>False</t>
  </si>
  <si>
    <t>True</t>
  </si>
  <si>
    <t>wup_similarity</t>
  </si>
  <si>
    <t>test_02</t>
  </si>
  <si>
    <t>NN,JJ</t>
  </si>
  <si>
    <t>test_03</t>
  </si>
  <si>
    <t>NN,VB</t>
  </si>
  <si>
    <t>test_04</t>
  </si>
  <si>
    <t>NN,VB,VBD,VBG,VBN,VBP,VBZ</t>
  </si>
  <si>
    <t>test_05</t>
  </si>
  <si>
    <t>NN,RB</t>
  </si>
  <si>
    <t>test_06</t>
  </si>
  <si>
    <t>NN,JJ,VB,VBD,VBG,VBN,VBP,VBZ</t>
  </si>
  <si>
    <t>test_07</t>
  </si>
  <si>
    <t>test_08</t>
  </si>
  <si>
    <t>test_09</t>
  </si>
  <si>
    <t>test_10</t>
  </si>
  <si>
    <t>test_11</t>
  </si>
  <si>
    <t>test_12</t>
  </si>
  <si>
    <t>test_13</t>
  </si>
  <si>
    <t>test_14</t>
  </si>
  <si>
    <t>test_15</t>
  </si>
  <si>
    <t>test_16</t>
  </si>
  <si>
    <t>test_17</t>
  </si>
  <si>
    <t>test_18</t>
  </si>
  <si>
    <t>test_19</t>
  </si>
  <si>
    <t>test_20</t>
  </si>
  <si>
    <t>test_21</t>
  </si>
  <si>
    <t>test_22</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</si>
  <si>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</si>
  <si>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</si>
  <si>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</si>
  <si>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</si>
  <si>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</si>
  <si>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</si>
  <si>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</si>
  <si>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</si>
  <si>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</si>
  <si>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</si>
  <si>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</si>
  <si>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</si>
  <si>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</si>
  <si>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</si>
  <si>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</si>
  <si>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</si>
  <si>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</si>
  <si>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</si>
  <si>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</si>
  <si>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</si>
  <si>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</si>
  <si>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</si>
  <si>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</si>
  <si>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test_46</t>
  </si>
  <si>
    <t>test_47</t>
  </si>
  <si>
    <t>test_48</t>
  </si>
  <si>
    <t>test_49</t>
  </si>
  <si>
    <t>test_50</t>
  </si>
  <si>
    <t>test_51</t>
  </si>
  <si>
    <t>test_52</t>
  </si>
  <si>
    <t>test_53</t>
  </si>
  <si>
    <t>test_54</t>
  </si>
  <si>
    <t>TARGET</t>
  </si>
  <si>
    <t>Genus</t>
  </si>
  <si>
    <t>Hyponym</t>
  </si>
  <si>
    <t>Score</t>
  </si>
  <si>
    <t>Hyperym</t>
  </si>
  <si>
    <t>MET_B: genuses-&gt; hypernyms -&gt; hyponym</t>
  </si>
  <si>
    <t>MET_A: genuses-&gt;hyponym</t>
  </si>
  <si>
    <t>TEST_01</t>
  </si>
  <si>
    <t>PARAMETERS:</t>
  </si>
  <si>
    <t>WITHOUT LESK</t>
  </si>
  <si>
    <t>WITH LESK</t>
  </si>
  <si>
    <t>WITH LESK getting only noun from disambiguation</t>
  </si>
  <si>
    <t>TEST_19</t>
  </si>
  <si>
    <t>TEST_37</t>
  </si>
  <si>
    <t>,</t>
  </si>
  <si>
    <t>TEST_55</t>
  </si>
  <si>
    <t>test_55</t>
  </si>
  <si>
    <t>test_56</t>
  </si>
  <si>
    <t>test_57</t>
  </si>
  <si>
    <t>test_58</t>
  </si>
  <si>
    <t>test_59</t>
  </si>
  <si>
    <t>test_60</t>
  </si>
  <si>
    <t>test_61</t>
  </si>
  <si>
    <t>test_62</t>
  </si>
  <si>
    <t>test_63</t>
  </si>
  <si>
    <t>test_64</t>
  </si>
  <si>
    <t>test_65</t>
  </si>
  <si>
    <t>test_66</t>
  </si>
  <si>
    <t>test_67</t>
  </si>
  <si>
    <t>test_68</t>
  </si>
  <si>
    <t>test_69</t>
  </si>
  <si>
    <t>test_70</t>
  </si>
  <si>
    <t>test_71</t>
  </si>
  <si>
    <t>test_72</t>
  </si>
  <si>
    <t>test_73</t>
  </si>
  <si>
    <t>test_74</t>
  </si>
  <si>
    <t>test_75</t>
  </si>
  <si>
    <t>test_76</t>
  </si>
  <si>
    <t>test_77</t>
  </si>
  <si>
    <t>test_78</t>
  </si>
  <si>
    <t>test_79</t>
  </si>
  <si>
    <t>test_80</t>
  </si>
  <si>
    <t>test_81</t>
  </si>
  <si>
    <t>test_82</t>
  </si>
  <si>
    <t>test_83</t>
  </si>
  <si>
    <t>test_84</t>
  </si>
  <si>
    <t>test_85</t>
  </si>
  <si>
    <t>test_86</t>
  </si>
  <si>
    <t>test_87</t>
  </si>
  <si>
    <t>test_88</t>
  </si>
  <si>
    <t>test_89</t>
  </si>
  <si>
    <t>test_90</t>
  </si>
  <si>
    <t>TEST_73</t>
  </si>
  <si>
    <t>definition</t>
  </si>
  <si>
    <t>examples</t>
  </si>
  <si>
    <t>lemmas</t>
  </si>
  <si>
    <t>met_a_depth</t>
  </si>
  <si>
    <t>met_b_depth</t>
  </si>
  <si>
    <t>lesk</t>
  </si>
  <si>
    <t>lesk_on_n</t>
  </si>
  <si>
    <t>symilarity</t>
  </si>
  <si>
    <t>concept.n.01
_x000D_concept.n.01</t>
  </si>
  <si>
    <t>abstraction.n.01
_x000D_rule.n.01</t>
  </si>
  <si>
    <t>state.n.02
_x000D_government.n.01</t>
  </si>
  <si>
    <t>relationship.n.03
_x000D_authoritarian_state.n.01</t>
  </si>
  <si>
    <t>attribute.n.02
_x000D_polity.n.02</t>
  </si>
  <si>
    <t>being.n.01
_x000D_being.n.01</t>
  </si>
  <si>
    <t>0,0
_x000D_0,0</t>
  </si>
  <si>
    <t>0,0 0,0</t>
  </si>
  <si>
    <t>animation.n.01
_x000D_eternal_life.n.01</t>
  </si>
  <si>
    <t>facility.n.01
_x000D_facility.n.01</t>
  </si>
  <si>
    <t>air_transportation_system.n.01
_x000D_highway_system.n.01</t>
  </si>
  <si>
    <t>genus_met_a2_sym</t>
  </si>
  <si>
    <t>hypo_met_a2_sym</t>
  </si>
  <si>
    <t>hype_met_b_sym</t>
  </si>
  <si>
    <t>0,1180562
_x000D_0,1180562</t>
  </si>
  <si>
    <t>0,1180562 0,1180562</t>
  </si>
  <si>
    <t>0,0031746
_x000D_0,0031746</t>
  </si>
  <si>
    <t>0,0031746 0,0031746</t>
  </si>
  <si>
    <t>see.v.05</t>
  </si>
  <si>
    <t>subsume.v.02</t>
  </si>
  <si>
    <t>desire.n.02</t>
  </si>
  <si>
    <t>greed.n.01</t>
  </si>
  <si>
    <t>tendency.n.03</t>
  </si>
  <si>
    <t>area.n.01</t>
  </si>
  <si>
    <t>section.n.03</t>
  </si>
  <si>
    <t>social_control.n.01</t>
  </si>
  <si>
    <t>bossism.n.01</t>
  </si>
  <si>
    <t>0,0101576
_x000D_0,0101576</t>
  </si>
  <si>
    <t>0,0101576 0,0101576</t>
  </si>
  <si>
    <t>heating_system.n.01</t>
  </si>
  <si>
    <t>central_heating.n.01</t>
  </si>
  <si>
    <t>supply.v.01
_x000D_supply.v.01</t>
  </si>
  <si>
    <t>supply.v.01, supply.v.01</t>
  </si>
  <si>
    <t>0,0721687
_x000D_0,0721687</t>
  </si>
  <si>
    <t>0,0721687 0,0721687</t>
  </si>
  <si>
    <t>heat.v.02
_x000D_water.v.02</t>
  </si>
  <si>
    <t>heat.v.02, water.v.02</t>
  </si>
  <si>
    <t>0,0059598
_x000D_0,0059598</t>
  </si>
  <si>
    <t>0,0059598 0,0059598</t>
  </si>
  <si>
    <t>transportation.n.02</t>
  </si>
  <si>
    <t>airlift.n.01</t>
  </si>
  <si>
    <t>artifact.n.01</t>
  </si>
  <si>
    <t>landing.n.02</t>
  </si>
  <si>
    <t>alloy.n.01</t>
  </si>
  <si>
    <t>solder.n.01</t>
  </si>
  <si>
    <t>mixture.n.01</t>
  </si>
  <si>
    <t>right.n.01</t>
  </si>
  <si>
    <t>legal_right.n.01</t>
  </si>
  <si>
    <t>change.v.01</t>
  </si>
  <si>
    <t>liberalize.v.01</t>
  </si>
  <si>
    <t>0,0104892
_x000D_0,0104892</t>
  </si>
  <si>
    <t>0,0104892 0,0104892</t>
  </si>
  <si>
    <t>0,0058952
_x000D_0,0058952</t>
  </si>
  <si>
    <t>0,0058952 0,0058952</t>
  </si>
  <si>
    <t>0,0029720
_x000D_0,0029720</t>
  </si>
  <si>
    <t>0,0029720 0,0029720</t>
  </si>
  <si>
    <t>permit.v.01</t>
  </si>
  <si>
    <t>stand_for.v.04</t>
  </si>
  <si>
    <t>sustain.v.04</t>
  </si>
  <si>
    <t>reseed.v.02</t>
  </si>
  <si>
    <t>have.v.01
_x000D_have.v.01</t>
  </si>
  <si>
    <t>have.v.01, have.v.01</t>
  </si>
  <si>
    <t>harbor.v.03
_x000D_reseed.v.02</t>
  </si>
  <si>
    <t>harbor.v.03, reseed.v.02</t>
  </si>
  <si>
    <t>0,0105349
_x000D_0,0105349</t>
  </si>
  <si>
    <t>0,0105349 0,0105349</t>
  </si>
  <si>
    <t>load.v.02</t>
  </si>
  <si>
    <t>change.n.03</t>
  </si>
  <si>
    <t>shift.n.05</t>
  </si>
  <si>
    <t>tabulate.v.02</t>
  </si>
  <si>
    <t>0,0019860
_x000D_0,0019860</t>
  </si>
  <si>
    <t>0,0019860 0,0019860</t>
  </si>
  <si>
    <t>digest.v.03</t>
  </si>
  <si>
    <t>get.v.01</t>
  </si>
  <si>
    <t>receive.v.01</t>
  </si>
  <si>
    <t>consume.v.02
_x000D_consume.v.02</t>
  </si>
  <si>
    <t>consume.v.02, consume.v.02</t>
  </si>
  <si>
    <t>cannibalize.v.01
_x000D_fill_up.v.04</t>
  </si>
  <si>
    <t>cannibalize.v.01, fill_up.v.04</t>
  </si>
  <si>
    <t>0,0115877
_x000D_0,0115877</t>
  </si>
  <si>
    <t>0,0115877 0,0115877</t>
  </si>
  <si>
    <t>0,0031041
_x000D_0,0031041</t>
  </si>
  <si>
    <t>0,0031041 0,0031041</t>
  </si>
  <si>
    <t>0,0096106
_x000D_0,0096106</t>
  </si>
  <si>
    <t>0,0096106 0,0096106</t>
  </si>
  <si>
    <t>0,0110974
_x000D_0,0110974</t>
  </si>
  <si>
    <t>0,0110974 0,0110974</t>
  </si>
  <si>
    <t>0,0190480
_x000D_0,0190480</t>
  </si>
  <si>
    <t>0,0190480 0,0190480</t>
  </si>
  <si>
    <t>0,0608580
_x000D_0,1825741</t>
  </si>
  <si>
    <t>0,0608580 0,1825741</t>
  </si>
  <si>
    <t>0,0146955
_x000D_0,0146955</t>
  </si>
  <si>
    <t>0,0146955 0,0146955</t>
  </si>
  <si>
    <t>0,0680413
_x000D_0,0</t>
  </si>
  <si>
    <t>0,0680413 0,0</t>
  </si>
  <si>
    <t>0,0171448
_x000D_0,0171448</t>
  </si>
  <si>
    <t>0,0171448 0,0171448</t>
  </si>
  <si>
    <t>0,0416463
_x000D_0,0416463</t>
  </si>
  <si>
    <t>0,0416463 0,0416463</t>
  </si>
  <si>
    <t>transportation_system.n.01
_x000D_transportation_system.n.01</t>
  </si>
  <si>
    <t>transportation_system.n.01, transportation_system.n.01</t>
  </si>
  <si>
    <t>0,1091089
_x000D_0,1091089</t>
  </si>
  <si>
    <t>0,1091089 0,1091089</t>
  </si>
  <si>
    <t>0,0226778
_x000D_0,0226778</t>
  </si>
  <si>
    <t>0,0226778 0,0226778</t>
  </si>
  <si>
    <t>0,1749635
_x000D_0,1749635</t>
  </si>
  <si>
    <t>0,1749635 0,1749635</t>
  </si>
  <si>
    <t>0,0236227
_x000D_0,0236227</t>
  </si>
  <si>
    <t>0,0236227 0,0236227</t>
  </si>
  <si>
    <t>abstraction.n.01</t>
  </si>
  <si>
    <t>0,0117564
_x000D_0,0117564</t>
  </si>
  <si>
    <t>0,0117564 0,0117564</t>
  </si>
  <si>
    <t>0,0158259
_x000D_0,0158259</t>
  </si>
  <si>
    <t>0,0158259 0,0158259</t>
  </si>
  <si>
    <t>water.n.06</t>
  </si>
  <si>
    <t>0,0188982
_x000D_0,0188982</t>
  </si>
  <si>
    <t>0,0188982 0,0188982</t>
  </si>
  <si>
    <t>0,0182199
_x000D_0,0182199</t>
  </si>
  <si>
    <t>0,0182199 0,0182199</t>
  </si>
  <si>
    <t>0,0137158
_x000D_0,0137158</t>
  </si>
  <si>
    <t>0,0137158 0,0137158</t>
  </si>
  <si>
    <t>0,0164590
_x000D_0,0164590</t>
  </si>
  <si>
    <t>0,0164590 0,0164590</t>
  </si>
  <si>
    <t>0,0328786
_x000D_0,0328786</t>
  </si>
  <si>
    <t>0,0328786 0,0328786</t>
  </si>
  <si>
    <t>0,0218056
_x000D_0,0218056</t>
  </si>
  <si>
    <t>0,0218056 0,0218056</t>
  </si>
  <si>
    <t>0,0130955
_x000D_0,0130955</t>
  </si>
  <si>
    <t>0,0130955 0,0130955</t>
  </si>
  <si>
    <t>0,0100359
_x000D_0,0100359</t>
  </si>
  <si>
    <t>0,0100359 0,0100359</t>
  </si>
  <si>
    <t>0,0121022
_x000D_0,0121022</t>
  </si>
  <si>
    <t>0,0121022 0,0121022</t>
  </si>
  <si>
    <t>0,0249878
_x000D_0,0249878</t>
  </si>
  <si>
    <t>0,0249878 0,0249878</t>
  </si>
  <si>
    <t>0,0174607
_x000D_0,0174607</t>
  </si>
  <si>
    <t>0,0174607 0,0174607</t>
  </si>
  <si>
    <t>0,0141888
_x000D_0,0141888</t>
  </si>
  <si>
    <t>0,0141888 0,0141888</t>
  </si>
  <si>
    <t>0,0390434
_x000D_0,0390434</t>
  </si>
  <si>
    <t>0,0390434 0,0390434</t>
  </si>
  <si>
    <t>0,0202480
_x000D_0,0202480</t>
  </si>
  <si>
    <t>0,0202480 0,0202480</t>
  </si>
  <si>
    <t>0,0085724
_x000D_0,0085724</t>
  </si>
  <si>
    <t>0,0085724 0,0085724</t>
  </si>
  <si>
    <t>0,0114298
_x000D_0,0114298</t>
  </si>
  <si>
    <t>0,0114298 0,0114298</t>
  </si>
  <si>
    <t>desire.n.03</t>
  </si>
  <si>
    <t>materialism.n.01</t>
  </si>
  <si>
    <t>0,0124689
_x000D_0,0124689</t>
  </si>
  <si>
    <t>0,0124689 0,0124689</t>
  </si>
  <si>
    <t>0,0132734
_x000D_0,0132734</t>
  </si>
  <si>
    <t>0,0132734 0,0132734</t>
  </si>
  <si>
    <t>0,0209980
_x000D_0,0209980</t>
  </si>
  <si>
    <t>0,0209980 0,0209980</t>
  </si>
  <si>
    <t>wealth.n.04
_x000D_arousal.n.02</t>
  </si>
  <si>
    <t>wealth.n.04, arousal.n.02</t>
  </si>
  <si>
    <t>money.n.02
_x000D_materialism.n.01</t>
  </si>
  <si>
    <t>money.n.02, materialism.n.01</t>
  </si>
  <si>
    <t>0,0254210
_x000D_0,0254210</t>
  </si>
  <si>
    <t>0,0254210 0,0254210</t>
  </si>
  <si>
    <t>0,0367467
_x000D_0,0367467</t>
  </si>
  <si>
    <t>0,0367467 0,0367467</t>
  </si>
  <si>
    <t>0,0195498
_x000D_0,0195498</t>
  </si>
  <si>
    <t>0,0195498 0,0195498</t>
  </si>
  <si>
    <t>0,0245736
_x000D_0,0245736</t>
  </si>
  <si>
    <t>0,0245736 0,0245736</t>
  </si>
  <si>
    <t>0,0128586
_x000D_0,0128586</t>
  </si>
  <si>
    <t>0,0128586 0,0128586</t>
  </si>
  <si>
    <t>0,0105506
_x000D_0,0105506</t>
  </si>
  <si>
    <t>0,0105506 0,0105506</t>
  </si>
  <si>
    <t>0,0111209
_x000D_0,0111209</t>
  </si>
  <si>
    <t>0,0111209 0,0111209</t>
  </si>
  <si>
    <t>0,0171802
_x000D_0,0171802</t>
  </si>
  <si>
    <t>0,0171802 0,0171802</t>
  </si>
  <si>
    <t>concept.n.01</t>
  </si>
  <si>
    <t>ability.n.01
_x000D_ability.n.02</t>
  </si>
  <si>
    <t>ability.n.01, ability.n.02</t>
  </si>
  <si>
    <t>0,1102635
_x000D_0,0842151</t>
  </si>
  <si>
    <t>0,1102635 0,0842151</t>
  </si>
  <si>
    <t>penetration.n.04
_x000D_capacity.n.08</t>
  </si>
  <si>
    <t>penetration.n.04, capacity.n.08</t>
  </si>
  <si>
    <t>0,0067174
_x000D_0,0067174</t>
  </si>
  <si>
    <t>0,0067174 0,0067174</t>
  </si>
  <si>
    <t>time_period.n.01</t>
  </si>
  <si>
    <t>duration.n.01</t>
  </si>
  <si>
    <t>being.n.01</t>
  </si>
  <si>
    <t>0,0962250
_x000D_0,0962250</t>
  </si>
  <si>
    <t>0,0962250 0,0962250</t>
  </si>
  <si>
    <t>heat.v.02
_x000D_accouter.v.01</t>
  </si>
  <si>
    <t>heat.v.02, accouter.v.01</t>
  </si>
  <si>
    <t>0,0048661
_x000D_0,0048661</t>
  </si>
  <si>
    <t>0,0048661 0,0048661</t>
  </si>
  <si>
    <t>0,0033425
_x000D_0,0033425</t>
  </si>
  <si>
    <t>0,0033425 0,0033425</t>
  </si>
  <si>
    <t>0,0048134
_x000D_0,0048134</t>
  </si>
  <si>
    <t>0,0048134 0,0048134</t>
  </si>
  <si>
    <t>have.v.01</t>
  </si>
  <si>
    <t>harbor.v.03</t>
  </si>
  <si>
    <t>0,0044510
_x000D_0,0044510</t>
  </si>
  <si>
    <t>0,0044510 0,0044510</t>
  </si>
  <si>
    <t>teleport.v.01</t>
  </si>
  <si>
    <t>government.n.02</t>
  </si>
  <si>
    <t>trust_busting.n.01</t>
  </si>
  <si>
    <t>consume.v.02</t>
  </si>
  <si>
    <t>cannibalize.v.01</t>
  </si>
  <si>
    <t>heat.v.01</t>
  </si>
  <si>
    <t>move.v.03</t>
  </si>
  <si>
    <t>hop.v.02</t>
  </si>
  <si>
    <t>be.v.01</t>
  </si>
  <si>
    <t>accept.v.08</t>
  </si>
  <si>
    <t>quality.n.01
_x000D_quality.n.01</t>
  </si>
  <si>
    <t>quality.n.01, quality.n.01</t>
  </si>
  <si>
    <t>0,0922531
_x000D_0,0922531</t>
  </si>
  <si>
    <t>0,0922531 0,0922531</t>
  </si>
  <si>
    <t>counterfactuality.n.01
_x000D_disagreeableness.n.01</t>
  </si>
  <si>
    <t>counterfactuality.n.01, disagreeableness.n.01</t>
  </si>
  <si>
    <t>0,0467862
_x000D_0,0467862</t>
  </si>
  <si>
    <t>0,0467862 0,0467862</t>
  </si>
  <si>
    <t>ambition.v.01</t>
  </si>
  <si>
    <t>0,0820609
_x000D_0,1641219</t>
  </si>
  <si>
    <t>0,0820609 0,1641219</t>
  </si>
  <si>
    <t>0,1395726
_x000D_0,1395726</t>
  </si>
  <si>
    <t>0,1395726 0,1395726</t>
  </si>
  <si>
    <t>0,0443237
_x000D_0,0443237</t>
  </si>
  <si>
    <t>0,0443237 0,0443237</t>
  </si>
  <si>
    <t>0,0311908
_x000D_0,0311908</t>
  </si>
  <si>
    <t>0,0311908 0,0311908</t>
  </si>
  <si>
    <t>0,0271661
_x000D_0,0271661</t>
  </si>
  <si>
    <t>0,0271661 0,0271661</t>
  </si>
  <si>
    <t>keep.v.01</t>
  </si>
  <si>
    <t>distance.v.01</t>
  </si>
  <si>
    <t>0,0263172
_x000D_0,0263172</t>
  </si>
  <si>
    <t>0,0263172 0,0263172</t>
  </si>
  <si>
    <t>0,0382796
_x000D_0,0382796</t>
  </si>
  <si>
    <t>0,0382796 0,0382796</t>
  </si>
  <si>
    <t>0,0366153
_x000D_0,0366153</t>
  </si>
  <si>
    <t>0,0366153 0,0366153</t>
  </si>
  <si>
    <t>arousal.n.02</t>
  </si>
  <si>
    <t>0,0336860
_x000D_0,0336860</t>
  </si>
  <si>
    <t>0,0336860 0,0336860</t>
  </si>
  <si>
    <t>0,0290397
_x000D_0,0290397</t>
  </si>
  <si>
    <t>0,0290397 0,0290397</t>
  </si>
  <si>
    <t>ability.n.02</t>
  </si>
  <si>
    <t>capacity.n.08</t>
  </si>
  <si>
    <t>asperity.n.01</t>
  </si>
  <si>
    <t>money.n.01</t>
  </si>
  <si>
    <t>boodle.n.01</t>
  </si>
  <si>
    <t>medium_of_exchange.n.01</t>
  </si>
  <si>
    <t>country.n.02</t>
  </si>
  <si>
    <t>fatherland.n.01</t>
  </si>
  <si>
    <t>administrative_district.n.01</t>
  </si>
  <si>
    <t>gas_heat.n.01</t>
  </si>
  <si>
    <t>supply.v.01</t>
  </si>
  <si>
    <t>equip.v.01</t>
  </si>
  <si>
    <t>physical_entity.n.01</t>
  </si>
  <si>
    <t>person.n.01</t>
  </si>
  <si>
    <t>seaborgium.n.01</t>
  </si>
  <si>
    <t>corrupt.v.01</t>
  </si>
  <si>
    <t>make.v.03</t>
  </si>
  <si>
    <t>raise.v.07</t>
  </si>
  <si>
    <t>perplex.v.01</t>
  </si>
  <si>
    <t>mooch.v.01</t>
  </si>
  <si>
    <t>feed.v.06</t>
  </si>
  <si>
    <t>crop.v.05</t>
  </si>
  <si>
    <t>change_state.v.01</t>
  </si>
  <si>
    <t>dress.v.02</t>
  </si>
  <si>
    <t>agitate.v.06</t>
  </si>
  <si>
    <t>paragon.n.01</t>
  </si>
  <si>
    <t>awfulness.n.01</t>
  </si>
  <si>
    <t>administration.n.02</t>
  </si>
  <si>
    <t>government_officials.n.01</t>
  </si>
  <si>
    <t>body.n.02</t>
  </si>
  <si>
    <t>heat.n.01
_x000D_heat.n.01</t>
  </si>
  <si>
    <t>heat.n.01, heat.n.01</t>
  </si>
  <si>
    <t>0,1012739
_x000D_0,1012739</t>
  </si>
  <si>
    <t>0,1012739 0,1012739</t>
  </si>
  <si>
    <t>latent_heat.n.01
_x000D_specific_heat.n.01</t>
  </si>
  <si>
    <t>latent_heat.n.01, specific_heat.n.01</t>
  </si>
  <si>
    <t>0,0196116
_x000D_0,0196116</t>
  </si>
  <si>
    <t>0,0196116 0,0196116</t>
  </si>
  <si>
    <t>energy.n.01
_x000D_energy.n.01</t>
  </si>
  <si>
    <t>energy.n.01, energy.n.01</t>
  </si>
  <si>
    <t>0,0877058
_x000D_0,0877058</t>
  </si>
  <si>
    <t>0,0877058 0,0877058</t>
  </si>
  <si>
    <t>0,0190173
_x000D_0,0190173</t>
  </si>
  <si>
    <t>0,0190173 0,0190173</t>
  </si>
  <si>
    <t>0,1348399
_x000D_0,1348399</t>
  </si>
  <si>
    <t>0,1348399 0,1348399</t>
  </si>
  <si>
    <t>0,0244630
_x000D_0,0244630</t>
  </si>
  <si>
    <t>0,0244630 0,0244630</t>
  </si>
  <si>
    <t>statement.n.01</t>
  </si>
  <si>
    <t>wisecrack.n.01</t>
  </si>
  <si>
    <t>tin.n.01</t>
  </si>
  <si>
    <t>crave.v.01</t>
  </si>
  <si>
    <t>comestible.n.01</t>
  </si>
  <si>
    <t>0,0174325
_x000D_0,0174325</t>
  </si>
  <si>
    <t>0,0174325 0,0174325</t>
  </si>
  <si>
    <t>0,0184579
_x000D_0,0184579</t>
  </si>
  <si>
    <t>0,0184579 0,0184579</t>
  </si>
  <si>
    <t>0,0203858
_x000D_0,0203858</t>
  </si>
  <si>
    <t>0,0203858 0,0203858</t>
  </si>
  <si>
    <t>indistinctness.n.01</t>
  </si>
  <si>
    <t>0,0206438
_x000D_0,0206438</t>
  </si>
  <si>
    <t>0,0206438 0,0206438</t>
  </si>
  <si>
    <t>transmit.v.04</t>
  </si>
  <si>
    <t>0,1005037
_x000D_0,1005037</t>
  </si>
  <si>
    <t>0,1005037 0,1005037</t>
  </si>
  <si>
    <t>0,0194624
_x000D_0,0194624</t>
  </si>
  <si>
    <t>0,0194624 0,0194624</t>
  </si>
  <si>
    <t>0,0870388
_x000D_0,0870388</t>
  </si>
  <si>
    <t>0,0870388 0,0870388</t>
  </si>
  <si>
    <t>0,0203086
_x000D_0,0203086</t>
  </si>
  <si>
    <t>0,0203086 0,0203086</t>
  </si>
  <si>
    <t>0,0177942
_x000D_0,0177942</t>
  </si>
  <si>
    <t>0,0177942 0,0177942</t>
  </si>
  <si>
    <t>0,0188727
_x000D_0,0188727</t>
  </si>
  <si>
    <t>0,0188727 0,0188727</t>
  </si>
  <si>
    <t>0,1324532
_x000D_0,1324532</t>
  </si>
  <si>
    <t>0,1324532 0,1324532</t>
  </si>
  <si>
    <t>0,0214554
_x000D_0,0214554</t>
  </si>
  <si>
    <t>0,0214554 0,0214554</t>
  </si>
  <si>
    <t>0,1113404
_x000D_0,1113404</t>
  </si>
  <si>
    <t>0,1113404 0,1113404</t>
  </si>
  <si>
    <t>infiniteness.n.01
_x000D_indistinctness.n.01</t>
  </si>
  <si>
    <t>infiniteness.n.01, indistinctness.n.01</t>
  </si>
  <si>
    <t>0,0384660
_x000D_0,0384660</t>
  </si>
  <si>
    <t>0,0384660 0,0384660</t>
  </si>
  <si>
    <t>0,0179653
_x000D_0,0179653</t>
  </si>
  <si>
    <t>0,0179653 0,0179653</t>
  </si>
  <si>
    <t>0,0198765
_x000D_0,0198765</t>
  </si>
  <si>
    <t>0,0198765 0,0198765</t>
  </si>
  <si>
    <t>0,0226509
_x000D_0,0226509</t>
  </si>
  <si>
    <t>0,0226509 0,0226509</t>
  </si>
  <si>
    <t>0,0224132
_x000D_0,0224132</t>
  </si>
  <si>
    <t>0,0224132 0,0224132</t>
  </si>
  <si>
    <t>0,0212017
_x000D_0,0212017</t>
  </si>
  <si>
    <t>0,0212017 0,0212017</t>
  </si>
  <si>
    <t>0,0210888
_x000D_0,0210888</t>
  </si>
  <si>
    <t>0,0210888 0,0210888</t>
  </si>
  <si>
    <t>0,0261488
_x000D_0,0261488</t>
  </si>
  <si>
    <t>0,0261488 0,0261488</t>
  </si>
  <si>
    <t>0,0247725
_x000D_0,0247725</t>
  </si>
  <si>
    <t>0,0247725 0,0247725</t>
  </si>
  <si>
    <t>0,0202442
_x000D_0,0202442</t>
  </si>
  <si>
    <t>0,0202442 0,0202442</t>
  </si>
  <si>
    <t>0,0254823
_x000D_0,0254823</t>
  </si>
  <si>
    <t>0,0254823 0,0254823</t>
  </si>
  <si>
    <t>0,0254420
_x000D_0,0254420</t>
  </si>
  <si>
    <t>0,0254420 0,0254420</t>
  </si>
  <si>
    <t>0,0241373
_x000D_0,0241373</t>
  </si>
  <si>
    <t>0,0241373 0,0241373</t>
  </si>
  <si>
    <t>0,0185326
_x000D_0,0185326</t>
  </si>
  <si>
    <t>0,0185326 0,0185326</t>
  </si>
  <si>
    <t>law.n.04</t>
  </si>
  <si>
    <t>state.n.02</t>
  </si>
  <si>
    <t>time.n.03</t>
  </si>
  <si>
    <t>desire.n.01</t>
  </si>
  <si>
    <t>wish.n.01</t>
  </si>
  <si>
    <t>feeling.n.01
_x000D_get.v.01</t>
  </si>
  <si>
    <t>feeling.n.01, get.v.01</t>
  </si>
  <si>
    <t>wish.n.01
_x000D_recover.v.04</t>
  </si>
  <si>
    <t>wish.n.01, recover.v.04</t>
  </si>
  <si>
    <t>0,0048741
_x000D_0,0048741</t>
  </si>
  <si>
    <t>0,0048741 0,0048741</t>
  </si>
  <si>
    <t>state.n.02
_x000D_state.v.01</t>
  </si>
  <si>
    <t>state.n.02, state.v.01</t>
  </si>
  <si>
    <t>0,0555555
_x000D_0,0453609</t>
  </si>
  <si>
    <t>0,0555555 0,0453609</t>
  </si>
  <si>
    <t>degree.n.02
_x000D_summarize.v.02</t>
  </si>
  <si>
    <t>degree.n.02, summarize.v.02</t>
  </si>
  <si>
    <t>0,0013550
_x000D_0,0013550</t>
  </si>
  <si>
    <t>0,0013550 0,0013550</t>
  </si>
  <si>
    <t>thing.n.12</t>
  </si>
  <si>
    <t>variable.n.01</t>
  </si>
  <si>
    <t>overheat.v.02</t>
  </si>
  <si>
    <t>heat.v.02</t>
  </si>
  <si>
    <t>object.n.01</t>
  </si>
  <si>
    <t>land.n.02</t>
  </si>
  <si>
    <t>part.n.02</t>
  </si>
  <si>
    <t>coat.v.01</t>
  </si>
  <si>
    <t>render-set.v.01</t>
  </si>
  <si>
    <t>change.v.01
_x000D_change.v.01
_x000D_change.v.01</t>
  </si>
  <si>
    <t>change.v.01, change.v.01, change.v.01</t>
  </si>
  <si>
    <t>0,0
_x000D_0,0
_x000D_0,0</t>
  </si>
  <si>
    <t>0,0 0,0 0,0</t>
  </si>
  <si>
    <t>adjust.v.01
_x000D_extend.v.09
_x000D_lift.v.10</t>
  </si>
  <si>
    <t>adjust.v.01, extend.v.09, lift.v.10</t>
  </si>
  <si>
    <t>0,0041423
_x000D_0,0041423
_x000D_0,0041423</t>
  </si>
  <si>
    <t>0,0041423 0,0041423 0,0041423</t>
  </si>
  <si>
    <t>0,0010531
_x000D_0,0010531</t>
  </si>
  <si>
    <t>0,0010531 0,0010531</t>
  </si>
  <si>
    <t>make.v.03
_x000D_make.v.03
_x000D_change.v.01</t>
  </si>
  <si>
    <t>make.v.03, make.v.03, change.v.01</t>
  </si>
  <si>
    <t>cut.v.06
_x000D_offset.v.04
_x000D_round.v.02</t>
  </si>
  <si>
    <t>cut.v.06, offset.v.04, round.v.02</t>
  </si>
  <si>
    <t>0,0018419
_x000D_0,0018419
_x000D_0,0018419</t>
  </si>
  <si>
    <t>0,0018419 0,0018419 0,0018419</t>
  </si>
  <si>
    <t>accept.v.07</t>
  </si>
  <si>
    <t>recover.v.04</t>
  </si>
  <si>
    <t>0,0012012
_x000D_0,0012012</t>
  </si>
  <si>
    <t>0,0012012 0,0012012</t>
  </si>
  <si>
    <t>transform.v.05</t>
  </si>
  <si>
    <t>change.v.01
_x000D_change.v.01</t>
  </si>
  <si>
    <t>change.v.01, change.v.01</t>
  </si>
  <si>
    <t>0,0416666
_x000D_0,0416666</t>
  </si>
  <si>
    <t>0,0416666 0,0416666</t>
  </si>
  <si>
    <t>gelatinize.v.03
_x000D_drench.v.04</t>
  </si>
  <si>
    <t>gelatinize.v.03, drench.v.04</t>
  </si>
  <si>
    <t>0,0038547
_x000D_0,0038547</t>
  </si>
  <si>
    <t>0,0038547 0,0038547</t>
  </si>
  <si>
    <t>move.n.02</t>
  </si>
  <si>
    <t>connect.v.01</t>
  </si>
  <si>
    <t>join.v.02</t>
  </si>
  <si>
    <t>look.v.02</t>
  </si>
  <si>
    <t>0,0009070
_x000D_0,0009070</t>
  </si>
  <si>
    <t>0,0009070 0,0009070</t>
  </si>
  <si>
    <t>eat.v.01</t>
  </si>
  <si>
    <t>devour.v.03</t>
  </si>
  <si>
    <t>0,0040399
_x000D_0,0040399</t>
  </si>
  <si>
    <t>0,0040399 0,0040399</t>
  </si>
  <si>
    <t>move.v.02
_x000D_move.v.02</t>
  </si>
  <si>
    <t>move.v.02, move.v.02</t>
  </si>
  <si>
    <t>0,0748481
_x000D_0,0748481</t>
  </si>
  <si>
    <t>0,0748481 0,0748481</t>
  </si>
  <si>
    <t>advance.v.05
_x000D_play.v.24</t>
  </si>
  <si>
    <t>advance.v.05, play.v.24</t>
  </si>
  <si>
    <t>0,0013296
_x000D_0,0013296</t>
  </si>
  <si>
    <t>0,0013296 0,0013296</t>
  </si>
  <si>
    <t>0,0069006
_x000D_0,0069006</t>
  </si>
  <si>
    <t>0,0069006 0,0069006</t>
  </si>
  <si>
    <t>stick_together.v.01</t>
  </si>
  <si>
    <t>0,0013386
_x000D_0,0013386</t>
  </si>
  <si>
    <t>0,0013386 0,0013386</t>
  </si>
  <si>
    <t>0,0042352
_x000D_0,0042352
_x000D_0,0042352</t>
  </si>
  <si>
    <t>0,0042352 0,0042352 0,0042352</t>
  </si>
  <si>
    <t>0,0007610
_x000D_0,0007610</t>
  </si>
  <si>
    <t>0,0007610 0,0007610</t>
  </si>
  <si>
    <t>0,0040093
_x000D_0,0040093</t>
  </si>
  <si>
    <t>0,0040093 0,0040093</t>
  </si>
  <si>
    <t>0,0012708
_x000D_0,0012708</t>
  </si>
  <si>
    <t>0,0012708 0,0012708</t>
  </si>
  <si>
    <t>0,0068517
_x000D_0,0068517</t>
  </si>
  <si>
    <t>0,0068517 0,0068517</t>
  </si>
  <si>
    <t>delay.n.02</t>
  </si>
  <si>
    <t>break.n.13</t>
  </si>
  <si>
    <t>0,0842151
_x000D_0,0842151</t>
  </si>
  <si>
    <t>0,0842151 0,0842151</t>
  </si>
  <si>
    <t>difficulty.n.04
_x000D_particularity.n.01</t>
  </si>
  <si>
    <t>difficulty.n.04, particularity.n.01</t>
  </si>
  <si>
    <t>0,0233931
_x000D_0,0233931</t>
  </si>
  <si>
    <t>0,0233931 0,0233931</t>
  </si>
  <si>
    <t>wish.v.01</t>
  </si>
  <si>
    <t>degree.n.02</t>
  </si>
  <si>
    <t>attribute.n.02
_x000D_attribute.n.02</t>
  </si>
  <si>
    <t>attribute.n.02, attribute.n.02</t>
  </si>
  <si>
    <t>ethnicity.n.01
_x000D_degree.n.02</t>
  </si>
  <si>
    <t>ethnicity.n.01, degree.n.02</t>
  </si>
  <si>
    <t>0,0092592
_x000D_0,0092592</t>
  </si>
  <si>
    <t>0,0092592 0,0092592</t>
  </si>
  <si>
    <t>organism.n.01</t>
  </si>
  <si>
    <t>temperature.n.01</t>
  </si>
  <si>
    <t>boiling_point.n.01</t>
  </si>
  <si>
    <t>instrumentality.n.03</t>
  </si>
  <si>
    <t>furniture.n.01</t>
  </si>
  <si>
    <t>produce.v.02</t>
  </si>
  <si>
    <t>overproduce.v.02</t>
  </si>
  <si>
    <t>statement.n.01
_x000D_statement.n.01</t>
  </si>
  <si>
    <t>statement.n.01, statement.n.01</t>
  </si>
  <si>
    <t>solution.n.02
_x000D_thing.n.07</t>
  </si>
  <si>
    <t>solution.n.02, thing.n.07</t>
  </si>
  <si>
    <t>0,0111358
_x000D_0,0111358</t>
  </si>
  <si>
    <t>0,0111358 0,0111358</t>
  </si>
  <si>
    <t>alkali_metal.n.01</t>
  </si>
  <si>
    <t>0,0221618
_x000D_0,0221618</t>
  </si>
  <si>
    <t>0,0221618 0,0221618</t>
  </si>
  <si>
    <t>0,0085470
_x000D_0,0085470</t>
  </si>
  <si>
    <t>0,0085470 0,0085470</t>
  </si>
  <si>
    <t>thing.n.04</t>
  </si>
  <si>
    <t>0,0106904
_x000D_0,0106904</t>
  </si>
  <si>
    <t>0,0106904 0,0106904</t>
  </si>
  <si>
    <t>inhibit.v.04</t>
  </si>
  <si>
    <t>choke.v.07</t>
  </si>
  <si>
    <t>0,0155954
_x000D_0,0155954</t>
  </si>
  <si>
    <t>0,0155954 0,0155954</t>
  </si>
  <si>
    <t>0,0088888
_x000D_0,0088888</t>
  </si>
  <si>
    <t>0,0088888 0,0088888</t>
  </si>
  <si>
    <t>0,0138013
_x000D_0,0138013</t>
  </si>
  <si>
    <t>0,0138013 0,0138013</t>
  </si>
  <si>
    <t>0,0102792
_x000D_0,0102792</t>
  </si>
  <si>
    <t>0,0102792 0,0102792</t>
  </si>
  <si>
    <t>0,0135830
_x000D_0,0135830</t>
  </si>
  <si>
    <t>0,0135830 0,0135830</t>
  </si>
  <si>
    <t>0,0065359
_x000D_0,0065359</t>
  </si>
  <si>
    <t>0,0065359 0,0065359</t>
  </si>
  <si>
    <t>0,0156833
_x000D_0,0156833</t>
  </si>
  <si>
    <t>0,0156833 0,0156833</t>
  </si>
  <si>
    <t>0,0145276
_x000D_0,0145276</t>
  </si>
  <si>
    <t>0,0145276 0,0145276</t>
  </si>
  <si>
    <t>0,0131586
_x000D_0,0131586</t>
  </si>
  <si>
    <t>0,0131586 0,0131586</t>
  </si>
  <si>
    <t>0,0061728
_x000D_0,0061728</t>
  </si>
  <si>
    <t>0,0061728 0,0061728</t>
  </si>
  <si>
    <t>0,0140829
_x000D_0,0140829</t>
  </si>
  <si>
    <t>0,0140829 0,0140829</t>
  </si>
  <si>
    <t>0,0141551
_x000D_0,0141551</t>
  </si>
  <si>
    <t>0,0141551 0,0141551</t>
  </si>
  <si>
    <t>0,0191398
_x000D_0,0191398</t>
  </si>
  <si>
    <t>0,0191398 0,0191398</t>
  </si>
  <si>
    <t>wealth.n.01</t>
  </si>
  <si>
    <t>sufficiency.n.01</t>
  </si>
  <si>
    <t>0,0071684
_x000D_0,0071684</t>
  </si>
  <si>
    <t>0,0071684 0,0071684</t>
  </si>
  <si>
    <t>0,0098985
_x000D_0,0098985</t>
  </si>
  <si>
    <t>0,0098985 0,0098985</t>
  </si>
  <si>
    <t>0,0183076
_x000D_0,0183076</t>
  </si>
  <si>
    <t>0,0183076 0,0183076</t>
  </si>
  <si>
    <t>lack.n.01</t>
  </si>
  <si>
    <t>shortness.n.02</t>
  </si>
  <si>
    <t>0,0079365
_x000D_0,0079365</t>
  </si>
  <si>
    <t>0,0079365 0,0079365</t>
  </si>
  <si>
    <t>mean.n.01
_x000D_mean.n.01
_x000D_mean.n.01
_x000D_transportation_system.n.01
_x000D_transportation_system.n.01
_x000D_transportation_system.n.01
_x000D_transportation_system.n.01
_x000D_transportation_system.n.01
_x000D_way.n.06
_x000D_way.n.06
_x000D_way.n.06
_x000D_way.n.06
_x000D_way.n.06
_x000D_way.n.06
_x000D_way.n.06
_x000D_transport.n.02
_x000D_transport.n.02
_x000D_move.n.05
_x000D_quad.n.03
_x000D_engine.n.04
_x000D_engine.n.04
_x000D_land.n.02
_x000D_land.n.02
_x000D_land.n.02
_x000D_land.n.02
_x000D_land.n.02
_x000D_land.n.02
_x000D_land.n.02
_x000D_land.n.02
_x000D_land.n.02
_x000D_land.n.02
_x000D_land.n.02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_x000D_handcart.n.01
_x000D_handcart.n.01
_x000D_handcart.n.01
_x000D_handcart.n.01
_x000D_handcart.n.01
_x000D_handcart.n.01
_x000D_social_organization.n.01
_x000D_social_organization.n.01
_x000D_social_organization.n.01
_x000D_social_organization.n.01
_x000D_social_organization.n.01
_x000D_social_organization.n.01
_x000D_social_organization.n.01
_x000D_machine.n.04
_x000D_machine.n.04
_x000D_machine.n.04
_x000D_machine.n.04</t>
  </si>
  <si>
    <t>mean.n.01, mean.n.01, mean.n.01, transportation_system.n.01, transportation_system.n.01, transportation_system.n.01, transportation_system.n.01, transportation_system.n.01, way.n.06, way.n.06, way.n.06, way.n.06, way.n.06, way.n.06, way.n.06, transport.n.02, transport.n.02, move.n.05, quad.n.03, engine.n.04, engine.n.04, land.n.02, land.n.02, land.n.02, land.n.02, land.n.02, land.n.02, land.n.02, land.n.02, land.n.02, land.n.02, land.n.02, car.n.01, car.n.01, car.n.01, car.n.01, car.n.01, car.n.01, car.n.01, car.n.01, car.n.01, car.n.01, car.n.01, car.n.01, car.n.01, car.n.01, car.n.01, car.n.01, car.n.01, car.n.01, car.n.01, car.n.01, car.n.01, car.n.01, car.n.01, car.n.01, car.n.01, car.n.01, car.n.01, car.n.01, car.n.01, car.n.01, car.n.01, handcart.n.01, handcart.n.01, handcart.n.01, handcart.n.01, handcart.n.01, handcart.n.01, social_organization.n.01, social_organization.n.01, social_organization.n.01, social_organization.n.01, social_organization.n.01, social_organization.n.01, social_organization.n.01, machine.n.04, machine.n.04, machine.n.04, machine.n.04</t>
  </si>
  <si>
    <t>0,0
_x000D_0,0
_x000D_0,0
_x000D_0,0
_x000D_0,0
_x000D_0,0
_x000D_0,0
_x000D_0,0
_x000D_0,0890870
_x000D_0,0890870
_x000D_0,0890870
_x000D_0,0890870
_x000D_0,0890870
_x000D_0,0890870
_x000D_0,0890870
_x000D_0,0
_x000D_0,0
_x000D_0,0
_x000D_0,0
_x000D_0,0890870
_x000D_0,0890870
_x000D_0,1259881
_x000D_0,1259881
_x000D_0,1259881
_x000D_0,1259881
_x000D_0,1259881
_x000D_0,1259881
_x000D_0,1259881
_x000D_0,1259881
_x000D_0,1259881
_x000D_0,1259881
_x000D_0,1259881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_x000D_0,1028688
_x000D_0,1028688
_x000D_0,1028688
_x000D_0,1028688
_x000D_0,1028688
_x000D_0,1028688
_x000D_0,0487950
_x000D_0,0487950
_x000D_0,0487950
_x000D_0,0487950
_x000D_0,0487950
_x000D_0,0487950
_x000D_0,0487950
_x000D_0,0
_x000D_0,0
_x000D_0,0
_x000D_0,0</t>
  </si>
  <si>
    <t>0,0 0,0 0,0 0,0 0,0 0,0 0,0 0,0 0,0890870 0,0890870 0,0890870 0,0890870 0,0890870 0,0890870 0,0890870 0,0 0,0 0,0 0,0 0,0890870 0,0890870 0,1259881 0,1259881 0,1259881 0,1259881 0,1259881 0,1259881 0,1259881 0,1259881 0,1259881 0,1259881 0,1259881 0,0771516 0,0771516 0,0771516 0,0771516 0,0771516 0,0771516 0,0771516 0,0771516 0,0771516 0,0771516 0,0771516 0,0771516 0,0771516 0,0771516 0,0771516 0,0771516 0,0771516 0,0771516 0,0771516 0,0771516 0,0771516 0,0771516 0,0771516 0,0771516 0,0771516 0,0771516 0,0771516 0,0771516 0,0771516 0,0771516 0,0771516 0,1028688 0,1028688 0,1028688 0,1028688 0,1028688 0,1028688 0,0487950 0,0487950 0,0487950 0,0487950 0,0487950 0,0487950 0,0487950 0,0 0,0 0,0 0,0</t>
  </si>
  <si>
    <t>arithmetic_mean.n.01
_x000D_geometric_mean.n.01
_x000D_harmonic_mean.n.01
_x000D_air_transportation_system.n.01
_x000D_highway_system.n.01
_x000D_public_transit.n.01
_x000D_short_line.n.01
_x000D_telpherage.n.01
_x000D_access.n.03
_x000D_lane.n.01
_x000D_passage.n.03
_x000D_path.n.02
_x000D_road.n.01
_x000D_stairway.n.01
_x000D_watercourse.n.03
_x000D_active_transport.n.01
_x000D_passive_transport.n.01
_x000D_chess_move.n.01
_x000D_hair_space.n.01
_x000D_battering_ram.n.01
_x000D_catapult.n.03
_x000D_badlands.n.01
_x000D_bottomland.n.01
_x000D_coastland.n.01
_x000D_cultivated_land.n.01
_x000D_overburden.n.01
_x000D_permafrost.n.01
_x000D_polder.n.01
_x000D_rangeland.n.01
_x000D_scablands.n.01
_x000D_turf.n.01
_x000D_wetland.n.01
_x000D_ambulance.n.01
_x000D_beach_wagon.n.01
_x000D_bus.n.04
_x000D_cab.n.03
_x000D_compact.n.03
_x000D_convertible.n.01
_x000D_coupe.n.01
_x000D_cruiser.n.01
_x000D_electric.n.01
_x000D_gas_guzzler.n.01
_x000D_hardtop.n.01
_x000D_hatchback.n.01
_x000D_horseless_carriage.n.01
_x000D_hot_rod.n.01
_x000D_jeep.n.01
_x000D_limousine.n.01
_x000D_loaner.n.02
_x000D_minicar.n.01
_x000D_minivan.n.01
_x000D_model_t.n.01
_x000D_pace_car.n.01
_x000D_racer.n.02
_x000D_roadster.n.01
_x000D_sedan.n.01
_x000D_sport_utility.n.01
_x000D_sports_car.n.01
_x000D_stanley_steamer.n.01
_x000D_stock_car.n.01
_x000D_subcompact.n.01
_x000D_touring_car.n.01
_x000D_used-car.n.01
_x000D_applecart.n.02
_x000D_barrow.n.03
_x000D_hand_truck.n.01
_x000D_laundry_cart.n.01
_x000D_serving_cart.n.01
_x000D_shopping_cart.n.01
_x000D_class_structure.n.01
_x000D_feudalism.n.01
_x000D_matriarchy.n.01
_x000D_meritocracy.n.01
_x000D_patriarchy.n.01
_x000D_pluralism.n.01
_x000D_segregation.n.02
_x000D_inclined_plane.n.01
_x000D_lever.n.02
_x000D_pulley.n.01
_x000D_wheel.n.01</t>
  </si>
  <si>
    <t>arithmetic_mean.n.01, geometric_mean.n.01, harmonic_mean.n.01, air_transportation_system.n.01, highway_system.n.01, public_transit.n.01, short_line.n.01, telpherage.n.01, access.n.03, lane.n.01, passage.n.03, path.n.02, road.n.01, stairway.n.01, watercourse.n.03, active_transport.n.01, passive_transport.n.01, chess_move.n.01, hair_space.n.01, battering_ram.n.01, catapult.n.03, badlands.n.01, bottomland.n.01, coastland.n.01, cultivated_land.n.01, overburden.n.01, permafrost.n.01, polder.n.01, rangeland.n.01, scablands.n.01, turf.n.01, wetland.n.01, ambulance.n.01, beach_wagon.n.01, bus.n.04, cab.n.03, compact.n.03, convertible.n.01, coupe.n.01, cruiser.n.01, electric.n.01, gas_guzzler.n.01, hardtop.n.01, hatchback.n.01, horseless_carriage.n.01, hot_rod.n.01, jeep.n.01, limousine.n.01, loaner.n.02, minicar.n.01, minivan.n.01, model_t.n.01, pace_car.n.01, racer.n.02, roadster.n.01, sedan.n.01, sport_utility.n.01, sports_car.n.01, stanley_steamer.n.01, stock_car.n.01, subcompact.n.01, touring_car.n.01, used-car.n.01, applecart.n.02, barrow.n.03, hand_truck.n.01, laundry_cart.n.01, serving_cart.n.01, shopping_cart.n.01, class_structure.n.01, feudalism.n.01, matriarchy.n.01, meritocracy.n.01, patriarchy.n.01, pluralism.n.01, segregation.n.02, inclined_plane.n.01, lever.n.02, pulley.n.01, wheel.n.01</t>
  </si>
  <si>
    <t>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t>
  </si>
  <si>
    <t>0,0 0,0 0,0 0,0 0,0 0,0 0,0 0,0 0,0 0,0 0,0 0,0 0,0 0,0 0,0 0,0 0,0 0,0 0,0 0,0 0,0 0,0 0,0 0,0 0,0 0,0 0,0 0,0 0,0 0,0 0,0 0,0 0,0 0,0 0,0 0,0 0,0 0,0 0,0 0,0 0,0 0,0 0,0 0,0 0,0 0,0 0,0 0,0 0,0 0,0 0,0 0,0 0,0 0,0 0,0 0,0 0,0 0,0 0,0 0,0 0,0 0,0 0,0 0,0 0,0 0,0 0,0 0,0 0,0 0,0 0,0 0,0 0,0 0,0 0,0 0,0 0,0 0,0 0,0 0,0</t>
  </si>
  <si>
    <t>0,0092159
_x000D_0,0092159</t>
  </si>
  <si>
    <t>0,0092159 0,0092159</t>
  </si>
  <si>
    <t>0,0168430
_x000D_0,0168430</t>
  </si>
  <si>
    <t>0,0168430 0,0168430</t>
  </si>
  <si>
    <t>0,0069444
_x000D_0,0069444</t>
  </si>
  <si>
    <t>0,0069444 0,0069444</t>
  </si>
  <si>
    <t>mean.n.01
_x000D_mean.n.01
_x000D_mean.n.01
_x000D_transportation_system.n.01
_x000D_transportation_system.n.01
_x000D_transportation_system.n.01
_x000D_transportation_system.n.01
_x000D_transportation_system.n.01
_x000D_way.n.06
_x000D_way.n.06
_x000D_way.n.06
_x000D_way.n.06
_x000D_way.n.06
_x000D_way.n.06
_x000D_way.n.06
_x000D_transport.n.02
_x000D_transport.n.02
_x000D_move.n.05
_x000D_quad.n.03
_x000D_engine.n.04
_x000D_engine.n.04
_x000D_carry.n.01
_x000D_carry.n.01
_x000D_carry.n.01
_x000D_carry.n.01
_x000D_carry.n.01
_x000D_land.n.02
_x000D_land.n.02
_x000D_land.n.02
_x000D_land.n.02
_x000D_land.n.02
_x000D_land.n.02
_x000D_land.n.02
_x000D_land.n.02
_x000D_land.n.02
_x000D_land.n.02
_x000D_land.n.02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_x000D_handcart.n.01
_x000D_handcart.n.01
_x000D_handcart.n.01
_x000D_handcart.n.01
_x000D_handcart.n.01
_x000D_handcart.n.01
_x000D_social_organization.n.01
_x000D_social_organization.n.01
_x000D_social_organization.n.01
_x000D_social_organization.n.01
_x000D_social_organization.n.01
_x000D_social_organization.n.01
_x000D_social_organization.n.01
_x000D_machine.n.04
_x000D_machine.n.04
_x000D_machine.n.04
_x000D_machine.n.04</t>
  </si>
  <si>
    <t>mean.n.01, mean.n.01, mean.n.01, transportation_system.n.01, transportation_system.n.01, transportation_system.n.01, transportation_system.n.01, transportation_system.n.01, way.n.06, way.n.06, way.n.06, way.n.06, way.n.06, way.n.06, way.n.06, transport.n.02, transport.n.02, move.n.05, quad.n.03, engine.n.04, engine.n.04, carry.n.01, carry.n.01, carry.n.01, carry.n.01, carry.n.01, land.n.02, land.n.02, land.n.02, land.n.02, land.n.02, land.n.02, land.n.02, land.n.02, land.n.02, land.n.02, land.n.02, car.n.01, car.n.01, car.n.01, car.n.01, car.n.01, car.n.01, car.n.01, car.n.01, car.n.01, car.n.01, car.n.01, car.n.01, car.n.01, car.n.01, car.n.01, car.n.01, car.n.01, car.n.01, car.n.01, car.n.01, car.n.01, car.n.01, car.n.01, car.n.01, car.n.01, car.n.01, car.n.01, car.n.01, car.n.01, car.n.01, car.n.01, handcart.n.01, handcart.n.01, handcart.n.01, handcart.n.01, handcart.n.01, handcart.n.01, social_organization.n.01, social_organization.n.01, social_organization.n.01, social_organization.n.01, social_organization.n.01, social_organization.n.01, social_organization.n.01, machine.n.04, machine.n.04, machine.n.04, machine.n.04</t>
  </si>
  <si>
    <t>0,0
_x000D_0,0
_x000D_0,0
_x000D_0,0
_x000D_0,0
_x000D_0,0
_x000D_0,0
_x000D_0,0
_x000D_0,0890870
_x000D_0,0890870
_x000D_0,0890870
_x000D_0,0890870
_x000D_0,0890870
_x000D_0,0890870
_x000D_0,0890870
_x000D_0,0
_x000D_0,0
_x000D_0,0
_x000D_0,0
_x000D_0,0890870
_x000D_0,0890870
_x000D_0,0
_x000D_0,0
_x000D_0,0
_x000D_0,0
_x000D_0,0
_x000D_0,1259881
_x000D_0,1259881
_x000D_0,1259881
_x000D_0,1259881
_x000D_0,1259881
_x000D_0,1259881
_x000D_0,1259881
_x000D_0,1259881
_x000D_0,1259881
_x000D_0,1259881
_x000D_0,1259881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_x000D_0,1028688
_x000D_0,1028688
_x000D_0,1028688
_x000D_0,1028688
_x000D_0,1028688
_x000D_0,1028688
_x000D_0,0487950
_x000D_0,0487950
_x000D_0,0487950
_x000D_0,0487950
_x000D_0,0487950
_x000D_0,0487950
_x000D_0,0487950
_x000D_0,0
_x000D_0,0
_x000D_0,0
_x000D_0,0</t>
  </si>
  <si>
    <t>0,0 0,0 0,0 0,0 0,0 0,0 0,0 0,0 0,0890870 0,0890870 0,0890870 0,0890870 0,0890870 0,0890870 0,0890870 0,0 0,0 0,0 0,0 0,0890870 0,0890870 0,0 0,0 0,0 0,0 0,0 0,1259881 0,1259881 0,1259881 0,1259881 0,1259881 0,1259881 0,1259881 0,1259881 0,1259881 0,1259881 0,1259881 0,0771516 0,0771516 0,0771516 0,0771516 0,0771516 0,0771516 0,0771516 0,0771516 0,0771516 0,0771516 0,0771516 0,0771516 0,0771516 0,0771516 0,0771516 0,0771516 0,0771516 0,0771516 0,0771516 0,0771516 0,0771516 0,0771516 0,0771516 0,0771516 0,0771516 0,0771516 0,0771516 0,0771516 0,0771516 0,0771516 0,0771516 0,1028688 0,1028688 0,1028688 0,1028688 0,1028688 0,1028688 0,0487950 0,0487950 0,0487950 0,0487950 0,0487950 0,0487950 0,0487950 0,0 0,0 0,0 0,0</t>
  </si>
  <si>
    <t>arithmetic_mean.n.01
_x000D_geometric_mean.n.01
_x000D_harmonic_mean.n.01
_x000D_air_transportation_system.n.01
_x000D_highway_system.n.01
_x000D_public_transit.n.01
_x000D_short_line.n.01
_x000D_telpherage.n.01
_x000D_access.n.03
_x000D_lane.n.01
_x000D_passage.n.03
_x000D_path.n.02
_x000D_road.n.01
_x000D_stairway.n.01
_x000D_watercourse.n.03
_x000D_active_transport.n.01
_x000D_passive_transport.n.01
_x000D_chess_move.n.01
_x000D_hair_space.n.01
_x000D_battering_ram.n.01
_x000D_catapult.n.03
_x000D_fireman's_carry.n.01
_x000D_packing.n.03
_x000D_piggyback.n.01
_x000D_portage.n.03
_x000D_porterage.n.02
_x000D_badlands.n.01
_x000D_bottomland.n.01
_x000D_coastland.n.01
_x000D_cultivated_land.n.01
_x000D_overburden.n.01
_x000D_permafrost.n.01
_x000D_polder.n.01
_x000D_rangeland.n.01
_x000D_scablands.n.01
_x000D_turf.n.01
_x000D_wetland.n.01
_x000D_ambulance.n.01
_x000D_beach_wagon.n.01
_x000D_bus.n.04
_x000D_cab.n.03
_x000D_compact.n.03
_x000D_convertible.n.01
_x000D_coupe.n.01
_x000D_cruiser.n.01
_x000D_electric.n.01
_x000D_gas_guzzler.n.01
_x000D_hardtop.n.01
_x000D_hatchback.n.01
_x000D_horseless_carriage.n.01
_x000D_hot_rod.n.01
_x000D_jeep.n.01
_x000D_limousine.n.01
_x000D_loaner.n.02
_x000D_minicar.n.01
_x000D_minivan.n.01
_x000D_model_t.n.01
_x000D_pace_car.n.01
_x000D_racer.n.02
_x000D_roadster.n.01
_x000D_sedan.n.01
_x000D_sport_utility.n.01
_x000D_sports_car.n.01
_x000D_stanley_steamer.n.01
_x000D_stock_car.n.01
_x000D_subcompact.n.01
_x000D_touring_car.n.01
_x000D_used-car.n.01
_x000D_applecart.n.02
_x000D_barrow.n.03
_x000D_hand_truck.n.01
_x000D_laundry_cart.n.01
_x000D_serving_cart.n.01
_x000D_shopping_cart.n.01
_x000D_class_structure.n.01
_x000D_feudalism.n.01
_x000D_matriarchy.n.01
_x000D_meritocracy.n.01
_x000D_patriarchy.n.01
_x000D_pluralism.n.01
_x000D_segregation.n.02
_x000D_inclined_plane.n.01
_x000D_lever.n.02
_x000D_pulley.n.01
_x000D_wheel.n.01</t>
  </si>
  <si>
    <t>arithmetic_mean.n.01, geometric_mean.n.01, harmonic_mean.n.01, air_transportation_system.n.01, highway_system.n.01, public_transit.n.01, short_line.n.01, telpherage.n.01, access.n.03, lane.n.01, passage.n.03, path.n.02, road.n.01, stairway.n.01, watercourse.n.03, active_transport.n.01, passive_transport.n.01, chess_move.n.01, hair_space.n.01, battering_ram.n.01, catapult.n.03, fireman's_carry.n.01, packing.n.03, piggyback.n.01, portage.n.03, porterage.n.02, badlands.n.01, bottomland.n.01, coastland.n.01, cultivated_land.n.01, overburden.n.01, permafrost.n.01, polder.n.01, rangeland.n.01, scablands.n.01, turf.n.01, wetland.n.01, ambulance.n.01, beach_wagon.n.01, bus.n.04, cab.n.03, compact.n.03, convertible.n.01, coupe.n.01, cruiser.n.01, electric.n.01, gas_guzzler.n.01, hardtop.n.01, hatchback.n.01, horseless_carriage.n.01, hot_rod.n.01, jeep.n.01, limousine.n.01, loaner.n.02, minicar.n.01, minivan.n.01, model_t.n.01, pace_car.n.01, racer.n.02, roadster.n.01, sedan.n.01, sport_utility.n.01, sports_car.n.01, stanley_steamer.n.01, stock_car.n.01, subcompact.n.01, touring_car.n.01, used-car.n.01, applecart.n.02, barrow.n.03, hand_truck.n.01, laundry_cart.n.01, serving_cart.n.01, shopping_cart.n.01, class_structure.n.01, feudalism.n.01, matriarchy.n.01, meritocracy.n.01, patriarchy.n.01, pluralism.n.01, segregation.n.02, inclined_plane.n.01, lever.n.02, pulley.n.01, wheel.n.01</t>
  </si>
  <si>
    <t>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t>
  </si>
  <si>
    <t>0,0 0,0 0,0 0,0 0,0 0,0 0,0 0,0 0,0 0,0 0,0 0,0 0,0 0,0 0,0 0,0 0,0 0,0 0,0 0,0 0,0 0,0 0,0 0,0 0,0 0,0 0,0 0,0 0,0 0,0 0,0 0,0 0,0 0,0 0,0 0,0 0,0 0,0 0,0 0,0 0,0 0,0 0,0 0,0 0,0 0,0 0,0 0,0 0,0 0,0 0,0 0,0 0,0 0,0 0,0 0,0 0,0 0,0 0,0 0,0 0,0 0,0 0,0 0,0 0,0 0,0 0,0 0,0 0,0 0,0 0,0 0,0 0,0 0,0 0,0 0,0 0,0 0,0 0,0 0,0 0,0 0,0 0,0 0,0 0,0</t>
  </si>
  <si>
    <t>0,0089087
_x000D_0,0089087</t>
  </si>
  <si>
    <t>0,0089087 0,0089087</t>
  </si>
  <si>
    <t>mean.n.01
_x000D_mean.n.01
_x000D_mean.n.01
_x000D_transportation_system.n.01
_x000D_transportation_system.n.01
_x000D_transportation_system.n.01
_x000D_transportation_system.n.01
_x000D_transportation_system.n.01
_x000D_way.n.06
_x000D_way.n.06
_x000D_way.n.06
_x000D_way.n.06
_x000D_way.n.06
_x000D_way.n.06
_x000D_way.n.06
_x000D_quad.n.03
_x000D_engine.n.04
_x000D_engine.n.04
_x000D_land.n.02
_x000D_land.n.02
_x000D_land.n.02
_x000D_land.n.02
_x000D_land.n.02
_x000D_land.n.02
_x000D_land.n.02
_x000D_land.n.02
_x000D_land.n.02
_x000D_land.n.02
_x000D_land.n.02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_x000D_car.n.01
_x000D_handcart.n.01
_x000D_handcart.n.01
_x000D_handcart.n.01
_x000D_handcart.n.01
_x000D_handcart.n.01
_x000D_handcart.n.01
_x000D_social_organization.n.01
_x000D_social_organization.n.01
_x000D_social_organization.n.01
_x000D_social_organization.n.01
_x000D_social_organization.n.01
_x000D_social_organization.n.01
_x000D_social_organization.n.01
_x000D_machine.n.04
_x000D_machine.n.04
_x000D_machine.n.04
_x000D_machine.n.04</t>
  </si>
  <si>
    <t>mean.n.01, mean.n.01, mean.n.01, transportation_system.n.01, transportation_system.n.01, transportation_system.n.01, transportation_system.n.01, transportation_system.n.01, way.n.06, way.n.06, way.n.06, way.n.06, way.n.06, way.n.06, way.n.06, quad.n.03, engine.n.04, engine.n.04, land.n.02, land.n.02, land.n.02, land.n.02, land.n.02, land.n.02, land.n.02, land.n.02, land.n.02, land.n.02, land.n.02, car.n.01, car.n.01, car.n.01, car.n.01, car.n.01, car.n.01, car.n.01, car.n.01, car.n.01, car.n.01, car.n.01, car.n.01, car.n.01, car.n.01, car.n.01, car.n.01, car.n.01, car.n.01, car.n.01, car.n.01, car.n.01, car.n.01, car.n.01, car.n.01, car.n.01, car.n.01, car.n.01, car.n.01, car.n.01, car.n.01, car.n.01, handcart.n.01, handcart.n.01, handcart.n.01, handcart.n.01, handcart.n.01, handcart.n.01, social_organization.n.01, social_organization.n.01, social_organization.n.01, social_organization.n.01, social_organization.n.01, social_organization.n.01, social_organization.n.01, machine.n.04, machine.n.04, machine.n.04, machine.n.04</t>
  </si>
  <si>
    <t>0,0
_x000D_0,0
_x000D_0,0
_x000D_0,0
_x000D_0,0
_x000D_0,0
_x000D_0,0
_x000D_0,0
_x000D_0,0890870
_x000D_0,0890870
_x000D_0,0890870
_x000D_0,0890870
_x000D_0,0890870
_x000D_0,0890870
_x000D_0,0890870
_x000D_0,0
_x000D_0,0890870
_x000D_0,0890870
_x000D_0,1259881
_x000D_0,1259881
_x000D_0,1259881
_x000D_0,1259881
_x000D_0,1259881
_x000D_0,1259881
_x000D_0,1259881
_x000D_0,1259881
_x000D_0,1259881
_x000D_0,1259881
_x000D_0,1259881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_x000D_0,0771516
_x000D_0,1028688
_x000D_0,1028688
_x000D_0,1028688
_x000D_0,1028688
_x000D_0,1028688
_x000D_0,1028688
_x000D_0,0487950
_x000D_0,0487950
_x000D_0,0487950
_x000D_0,0487950
_x000D_0,0487950
_x000D_0,0487950
_x000D_0,0487950
_x000D_0,0
_x000D_0,0
_x000D_0,0
_x000D_0,0</t>
  </si>
  <si>
    <t>0,0 0,0 0,0 0,0 0,0 0,0 0,0 0,0 0,0890870 0,0890870 0,0890870 0,0890870 0,0890870 0,0890870 0,0890870 0,0 0,0890870 0,0890870 0,1259881 0,1259881 0,1259881 0,1259881 0,1259881 0,1259881 0,1259881 0,1259881 0,1259881 0,1259881 0,1259881 0,0771516 0,0771516 0,0771516 0,0771516 0,0771516 0,0771516 0,0771516 0,0771516 0,0771516 0,0771516 0,0771516 0,0771516 0,0771516 0,0771516 0,0771516 0,0771516 0,0771516 0,0771516 0,0771516 0,0771516 0,0771516 0,0771516 0,0771516 0,0771516 0,0771516 0,0771516 0,0771516 0,0771516 0,0771516 0,0771516 0,0771516 0,1028688 0,1028688 0,1028688 0,1028688 0,1028688 0,1028688 0,0487950 0,0487950 0,0487950 0,0487950 0,0487950 0,0487950 0,0487950 0,0 0,0 0,0 0,0</t>
  </si>
  <si>
    <t>arithmetic_mean.n.01
_x000D_geometric_mean.n.01
_x000D_harmonic_mean.n.01
_x000D_air_transportation_system.n.01
_x000D_highway_system.n.01
_x000D_public_transit.n.01
_x000D_short_line.n.01
_x000D_telpherage.n.01
_x000D_access.n.03
_x000D_lane.n.01
_x000D_passage.n.03
_x000D_path.n.02
_x000D_road.n.01
_x000D_stairway.n.01
_x000D_watercourse.n.03
_x000D_hair_space.n.01
_x000D_battering_ram.n.01
_x000D_catapult.n.03
_x000D_badlands.n.01
_x000D_bottomland.n.01
_x000D_coastland.n.01
_x000D_cultivated_land.n.01
_x000D_overburden.n.01
_x000D_permafrost.n.01
_x000D_polder.n.01
_x000D_rangeland.n.01
_x000D_scablands.n.01
_x000D_turf.n.01
_x000D_wetland.n.01
_x000D_ambulance.n.01
_x000D_beach_wagon.n.01
_x000D_bus.n.04
_x000D_cab.n.03
_x000D_compact.n.03
_x000D_convertible.n.01
_x000D_coupe.n.01
_x000D_cruiser.n.01
_x000D_electric.n.01
_x000D_gas_guzzler.n.01
_x000D_hardtop.n.01
_x000D_hatchback.n.01
_x000D_horseless_carriage.n.01
_x000D_hot_rod.n.01
_x000D_jeep.n.01
_x000D_limousine.n.01
_x000D_loaner.n.02
_x000D_minicar.n.01
_x000D_minivan.n.01
_x000D_model_t.n.01
_x000D_pace_car.n.01
_x000D_racer.n.02
_x000D_roadster.n.01
_x000D_sedan.n.01
_x000D_sport_utility.n.01
_x000D_sports_car.n.01
_x000D_stanley_steamer.n.01
_x000D_stock_car.n.01
_x000D_subcompact.n.01
_x000D_touring_car.n.01
_x000D_used-car.n.01
_x000D_applecart.n.02
_x000D_barrow.n.03
_x000D_hand_truck.n.01
_x000D_laundry_cart.n.01
_x000D_serving_cart.n.01
_x000D_shopping_cart.n.01
_x000D_class_structure.n.01
_x000D_feudalism.n.01
_x000D_matriarchy.n.01
_x000D_meritocracy.n.01
_x000D_patriarchy.n.01
_x000D_pluralism.n.01
_x000D_segregation.n.02
_x000D_inclined_plane.n.01
_x000D_lever.n.02
_x000D_pulley.n.01
_x000D_wheel.n.01</t>
  </si>
  <si>
    <t>arithmetic_mean.n.01, geometric_mean.n.01, harmonic_mean.n.01, air_transportation_system.n.01, highway_system.n.01, public_transit.n.01, short_line.n.01, telpherage.n.01, access.n.03, lane.n.01, passage.n.03, path.n.02, road.n.01, stairway.n.01, watercourse.n.03, hair_space.n.01, battering_ram.n.01, catapult.n.03, badlands.n.01, bottomland.n.01, coastland.n.01, cultivated_land.n.01, overburden.n.01, permafrost.n.01, polder.n.01, rangeland.n.01, scablands.n.01, turf.n.01, wetland.n.01, ambulance.n.01, beach_wagon.n.01, bus.n.04, cab.n.03, compact.n.03, convertible.n.01, coupe.n.01, cruiser.n.01, electric.n.01, gas_guzzler.n.01, hardtop.n.01, hatchback.n.01, horseless_carriage.n.01, hot_rod.n.01, jeep.n.01, limousine.n.01, loaner.n.02, minicar.n.01, minivan.n.01, model_t.n.01, pace_car.n.01, racer.n.02, roadster.n.01, sedan.n.01, sport_utility.n.01, sports_car.n.01, stanley_steamer.n.01, stock_car.n.01, subcompact.n.01, touring_car.n.01, used-car.n.01, applecart.n.02, barrow.n.03, hand_truck.n.01, laundry_cart.n.01, serving_cart.n.01, shopping_cart.n.01, class_structure.n.01, feudalism.n.01, matriarchy.n.01, meritocracy.n.01, patriarchy.n.01, pluralism.n.01, segregation.n.02, inclined_plane.n.01, lever.n.02, pulley.n.01, wheel.n.01</t>
  </si>
  <si>
    <t>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
_x000D_0,0</t>
  </si>
  <si>
    <t>0,0 0,0 0,0 0,0 0,0 0,0 0,0 0,0 0,0 0,0 0,0 0,0 0,0 0,0 0,0 0,0 0,0 0,0 0,0 0,0 0,0 0,0 0,0 0,0 0,0 0,0 0,0 0,0 0,0 0,0 0,0 0,0 0,0 0,0 0,0 0,0 0,0 0,0 0,0 0,0 0,0 0,0 0,0 0,0 0,0 0,0 0,0 0,0 0,0 0,0 0,0 0,0 0,0 0,0 0,0 0,0 0,0 0,0 0,0 0,0 0,0 0,0 0,0 0,0 0,0 0,0 0,0 0,0 0,0 0,0 0,0 0,0 0,0 0,0 0,0 0,0 0,0</t>
  </si>
  <si>
    <t>0,0145198
_x000D_0,0145198</t>
  </si>
  <si>
    <t>0,0145198 0,0145198</t>
  </si>
  <si>
    <t>0,0060060
_x000D_0,0060060</t>
  </si>
  <si>
    <t>0,0060060 0,0060060</t>
  </si>
  <si>
    <t>0,0080988
_x000D_0,0080988</t>
  </si>
  <si>
    <t>0,0080988 0,0080988</t>
  </si>
  <si>
    <t>concept.n.01
_x000D_concept.n.01
_x000D_concept.n.01</t>
  </si>
  <si>
    <t>concept.n.01, concept.n.01, concept.n.01</t>
  </si>
  <si>
    <t>0,1290994
_x000D_0,1290994
_x000D_0,1290994</t>
  </si>
  <si>
    <t>0,1290994 0,1290994 0,1290994</t>
  </si>
  <si>
    <t>hypothesis.n.02
_x000D_part.n.09
_x000D_property.n.04</t>
  </si>
  <si>
    <t>hypothesis.n.02, part.n.09, property.n.04</t>
  </si>
  <si>
    <t>0,0050819
_x000D_0,0050819
_x000D_0,0050819</t>
  </si>
  <si>
    <t>0,0050819 0,0050819 0,0050819</t>
  </si>
  <si>
    <t>impression.n.01</t>
  </si>
  <si>
    <t>ability.n.02
_x000D_ability.n.02
_x000D_ability.n.02</t>
  </si>
  <si>
    <t>ability.n.02, ability.n.02, ability.n.02</t>
  </si>
  <si>
    <t>0,1781741
_x000D_0,1781741
_x000D_0,1781741</t>
  </si>
  <si>
    <t>0,1781741 0,1781741 0,1781741</t>
  </si>
  <si>
    <t>capacity.n.08
_x000D_faculty.n.01
_x000D_skill.n.01</t>
  </si>
  <si>
    <t>capacity.n.08, faculty.n.01, skill.n.01</t>
  </si>
  <si>
    <t>0,0086492
_x000D_0,0086492
_x000D_0,0086492</t>
  </si>
  <si>
    <t>0,0086492 0,0086492 0,0086492</t>
  </si>
  <si>
    <t>quality.n.01
_x000D_quality.n.01
_x000D_quality.n.01</t>
  </si>
  <si>
    <t>quality.n.01, quality.n.01, quality.n.01</t>
  </si>
  <si>
    <t>0,1259881
_x000D_0,1259881
_x000D_0,1259881</t>
  </si>
  <si>
    <t>0,1259881 0,1259881 0,1259881</t>
  </si>
  <si>
    <t>asperity.n.01
_x000D_dash.n.01
_x000D_damn.n.01</t>
  </si>
  <si>
    <t>asperity.n.01, dash.n.01, damn.n.01</t>
  </si>
  <si>
    <t>0,0139464
_x000D_0,0139464
_x000D_0,0139464</t>
  </si>
  <si>
    <t>0,0139464 0,0139464 0,0139464</t>
  </si>
  <si>
    <t>state.n.04
_x000D_country.n.02</t>
  </si>
  <si>
    <t>state.n.04, country.n.02</t>
  </si>
  <si>
    <t>0,2773500
_x000D_0,1961161</t>
  </si>
  <si>
    <t>0,2773500 0,1961161</t>
  </si>
  <si>
    <t>world_power.n.01
_x000D_fatherland.n.01</t>
  </si>
  <si>
    <t>world_power.n.01, fatherland.n.01</t>
  </si>
  <si>
    <t>0,0061752
_x000D_0,0061752</t>
  </si>
  <si>
    <t>0,0061752 0,0061752</t>
  </si>
  <si>
    <t>animation.n.01
_x000D_animation.n.01</t>
  </si>
  <si>
    <t>animation.n.01, animation.n.01</t>
  </si>
  <si>
    <t>0,1754116
_x000D_0,1754116</t>
  </si>
  <si>
    <t>0,1754116 0,1754116</t>
  </si>
  <si>
    <t>eternal_life.n.01
_x000D_survival.n.01</t>
  </si>
  <si>
    <t>eternal_life.n.01, survival.n.01</t>
  </si>
  <si>
    <t>0,0046160
_x000D_0,0046160</t>
  </si>
  <si>
    <t>0,0046160 0,0046160</t>
  </si>
  <si>
    <t>flower.n.03</t>
  </si>
  <si>
    <t>land.n.04</t>
  </si>
  <si>
    <t>tungsten.n.01</t>
  </si>
  <si>
    <t>0,1270001
_x000D_0,1270001
_x000D_0,1270001</t>
  </si>
  <si>
    <t>0,1270001 0,1270001 0,1270001</t>
  </si>
  <si>
    <t>0,0022834
_x000D_0,0022834
_x000D_0,0022834</t>
  </si>
  <si>
    <t>0,0022834 0,0022834 0,0022834</t>
  </si>
  <si>
    <t>0,2199706
_x000D_0,2199706
_x000D_0,2199706</t>
  </si>
  <si>
    <t>0,2199706 0,2199706 0,2199706</t>
  </si>
  <si>
    <t>corrupt.v.01
_x000D_decorate.v.01
_x000D_repair.v.01</t>
  </si>
  <si>
    <t>corrupt.v.01, decorate.v.01, repair.v.01</t>
  </si>
  <si>
    <t>0,0109152
_x000D_0,0109152
_x000D_0,0109152</t>
  </si>
  <si>
    <t>0,0109152 0,0109152 0,0109152</t>
  </si>
  <si>
    <t>calm.v.01</t>
  </si>
  <si>
    <t>pacify.v.01</t>
  </si>
  <si>
    <t>cognition.n.01</t>
  </si>
  <si>
    <t>kernel.n.03</t>
  </si>
  <si>
    <t>0,2755891
_x000D_0,1948709</t>
  </si>
  <si>
    <t>0,2755891 0,1948709</t>
  </si>
  <si>
    <t>0,0047692
_x000D_0,0047692</t>
  </si>
  <si>
    <t>0,0047692 0,0047692</t>
  </si>
  <si>
    <t>0,0045443
_x000D_0,0045443</t>
  </si>
  <si>
    <t>0,0045443 0,0045443</t>
  </si>
  <si>
    <t>0,0047575
_x000D_0,0047575
_x000D_0,0047575</t>
  </si>
  <si>
    <t>0,0047575 0,0047575 0,0047575</t>
  </si>
  <si>
    <t>see.v.05
_x000D_see.v.05
_x000D_see.v.05</t>
  </si>
  <si>
    <t>see.v.05, see.v.05, see.v.05</t>
  </si>
  <si>
    <t>0,2581988
_x000D_0,2581988
_x000D_0,2581988</t>
  </si>
  <si>
    <t>0,2581988 0,2581988 0,2581988</t>
  </si>
  <si>
    <t>deem.v.01
_x000D_prize.v.01
_x000D_respect.v.01</t>
  </si>
  <si>
    <t>deem.v.01, prize.v.01, respect.v.01</t>
  </si>
  <si>
    <t>0,0078839
_x000D_0,0078839
_x000D_0,0078839</t>
  </si>
  <si>
    <t>0,0078839 0,0078839 0,0078839</t>
  </si>
  <si>
    <t>gain.v.08</t>
  </si>
  <si>
    <t>0,0054742
_x000D_0,0054742</t>
  </si>
  <si>
    <t>0,0054742 0,0054742</t>
  </si>
  <si>
    <t>0,1727736
_x000D_0,1727736</t>
  </si>
  <si>
    <t>0,1727736 0,1727736</t>
  </si>
  <si>
    <t>0,0031701
_x000D_0,0031701</t>
  </si>
  <si>
    <t>0,0031701 0,0031701</t>
  </si>
  <si>
    <t>0,1221694
_x000D_0,1221694</t>
  </si>
  <si>
    <t>0,1221694 0,1221694</t>
  </si>
  <si>
    <t>store.v.01
_x000D_conserve.v.02</t>
  </si>
  <si>
    <t>store.v.01, conserve.v.02</t>
  </si>
  <si>
    <t>0,0122851
_x000D_0,0122851</t>
  </si>
  <si>
    <t>0,0122851 0,0122851</t>
  </si>
  <si>
    <t>0,2041241
_x000D_0,2041241
_x000D_0,2041241</t>
  </si>
  <si>
    <t>0,2041241 0,2041241 0,2041241</t>
  </si>
  <si>
    <t>0,0077094
_x000D_0,0077094
_x000D_0,0077094</t>
  </si>
  <si>
    <t>0,0077094 0,0077094 0,0077094</t>
  </si>
  <si>
    <t>progress.n.02</t>
  </si>
  <si>
    <t>0,125
_x000D_0,125
_x000D_0,125</t>
  </si>
  <si>
    <t>0,125 0,125 0,125</t>
  </si>
  <si>
    <t>0,0030782
_x000D_0,0030782
_x000D_0,0030782</t>
  </si>
  <si>
    <t>0,0030782 0,0030782 0,0030782</t>
  </si>
  <si>
    <t>0,25
_x000D_0,25
_x000D_0,25</t>
  </si>
  <si>
    <t>0,25 0,25 0,25</t>
  </si>
  <si>
    <t>0,0057471
_x000D_0,0057471
_x000D_0,0057471</t>
  </si>
  <si>
    <t>0,0057471 0,0057471 0,0057471</t>
  </si>
  <si>
    <t>0,0041336
_x000D_0,0041336</t>
  </si>
  <si>
    <t>0,0041336 0,0041336</t>
  </si>
  <si>
    <t>social_control.n.01
_x000D_administrative_district.n.01</t>
  </si>
  <si>
    <t>social_control.n.01, administrative_district.n.01</t>
  </si>
  <si>
    <t>0,1132277
_x000D_0,1601281</t>
  </si>
  <si>
    <t>0,1132277 0,1601281</t>
  </si>
  <si>
    <t>breeding.n.03
_x000D_fatherland.n.01</t>
  </si>
  <si>
    <t>breeding.n.03, fatherland.n.01</t>
  </si>
  <si>
    <t>0,0072684
_x000D_0,0072684</t>
  </si>
  <si>
    <t>0,0072684 0,0072684</t>
  </si>
  <si>
    <t>gorge.v.01</t>
  </si>
  <si>
    <t>crispen.v.01</t>
  </si>
  <si>
    <t>0,0080799
_x000D_0,0080799
_x000D_0,0080799</t>
  </si>
  <si>
    <t>0,0080799 0,0080799 0,0080799</t>
  </si>
  <si>
    <t>travel.v.01
_x000D_travel.v.01</t>
  </si>
  <si>
    <t>travel.v.01, travel.v.01</t>
  </si>
  <si>
    <t>0,2425356
_x000D_0,2425356</t>
  </si>
  <si>
    <t>0,2425356 0,2425356</t>
  </si>
  <si>
    <t>rise.v.01
_x000D_roll.v.12</t>
  </si>
  <si>
    <t>rise.v.01, roll.v.12</t>
  </si>
  <si>
    <t>0,0030909
_x000D_0,0030909</t>
  </si>
  <si>
    <t>0,0030909 0,0030909</t>
  </si>
  <si>
    <t>0,1280368
_x000D_0,1280368
_x000D_0,1280368</t>
  </si>
  <si>
    <t>0,1280368 0,1280368 0,1280368</t>
  </si>
  <si>
    <t>0,0049281
_x000D_0,0049281
_x000D_0,0049281</t>
  </si>
  <si>
    <t>0,0049281 0,0049281 0,0049281</t>
  </si>
  <si>
    <t>0,0061008
_x000D_0,0061008</t>
  </si>
  <si>
    <t>0,0061008 0,0061008</t>
  </si>
  <si>
    <t>0,0043580
_x000D_0,0043580</t>
  </si>
  <si>
    <t>0,0043580 0,0043580</t>
  </si>
  <si>
    <t>correct.v.01
_x000D_right.v.01</t>
  </si>
  <si>
    <t>correct.v.01, right.v.01</t>
  </si>
  <si>
    <t>0,1767766
_x000D_0,1767766</t>
  </si>
  <si>
    <t>0,1767766 0,1767766</t>
  </si>
  <si>
    <t>rectify.v.04
_x000D_expiate.v.01</t>
  </si>
  <si>
    <t>rectify.v.04, expiate.v.01</t>
  </si>
  <si>
    <t>0,0019214
_x000D_0,0019214</t>
  </si>
  <si>
    <t>0,0019214 0,0019214</t>
  </si>
  <si>
    <t>0,2165063
_x000D_0,2165063
_x000D_0,2165063</t>
  </si>
  <si>
    <t>0,2165063 0,2165063 0,2165063</t>
  </si>
  <si>
    <t>0,0109842
_x000D_0,0109842
_x000D_0,0109842</t>
  </si>
  <si>
    <t>0,0109842 0,0109842 0,0109842</t>
  </si>
  <si>
    <t>0,0034462
_x000D_0,0034462</t>
  </si>
  <si>
    <t>0,0034462 0,0034462</t>
  </si>
  <si>
    <t>0,1125087
_x000D_0,1591114</t>
  </si>
  <si>
    <t>0,1125087 0,1591114</t>
  </si>
  <si>
    <t>0,0067993
_x000D_0,0067993</t>
  </si>
  <si>
    <t>0,0067993 0,0067993</t>
  </si>
  <si>
    <t>0,0080187
_x000D_0,0080187
_x000D_0,0080187</t>
  </si>
  <si>
    <t>0,0080187 0,0080187 0,0080187</t>
  </si>
  <si>
    <t>0,0029543
_x000D_0,0029543</t>
  </si>
  <si>
    <t>0,0029543 0,0029543</t>
  </si>
  <si>
    <t>part.n.09
_x000D_property.n.04</t>
  </si>
  <si>
    <t>part.n.09, property.n.04</t>
  </si>
  <si>
    <t>0,0312839
_x000D_0,0312839</t>
  </si>
  <si>
    <t>0,0312839 0,0312839</t>
  </si>
  <si>
    <t>ability.n.01
_x000D_ability.n.01
_x000D_ability.n.01
_x000D_ability.n.01
_x000D_ability.n.01
_x000D_ability.n.01
_x000D_ability.n.01
_x000D_ability.n.01
_x000D_ability.n.01
_x000D_ability.n.01</t>
  </si>
  <si>
    <t>ability.n.01, ability.n.01, ability.n.01, ability.n.01, ability.n.01, ability.n.01, ability.n.01, ability.n.01, ability.n.01, ability.n.01</t>
  </si>
  <si>
    <t>0,1290994
_x000D_0,1290994
_x000D_0,1290994
_x000D_0,1290994
_x000D_0,1290994
_x000D_0,1290994
_x000D_0,1290994
_x000D_0,1290994
_x000D_0,1290994
_x000D_0,1290994</t>
  </si>
  <si>
    <t>0,1290994 0,1290994 0,1290994 0,1290994 0,1290994 0,1290994 0,1290994 0,1290994 0,1290994 0,1290994</t>
  </si>
  <si>
    <t>adaptability.n.01
_x000D_capability.n.01
_x000D_competence.n.01
_x000D_contractility.n.01
_x000D_form.n.14
_x000D_magical_ability.n.01
_x000D_penetration.n.04
_x000D_physical_ability.n.01
_x000D_sensitivity.n.05
_x000D_totipotency.n.01</t>
  </si>
  <si>
    <t>adaptability.n.01, capability.n.01, competence.n.01, contractility.n.01, form.n.14, magical_ability.n.01, penetration.n.04, physical_ability.n.01, sensitivity.n.05, totipotency.n.01</t>
  </si>
  <si>
    <t>0,0358609
_x000D_0,0358609
_x000D_0,0358609
_x000D_0,0358609
_x000D_0,0358609
_x000D_0,0358609
_x000D_0,0358609
_x000D_0,0358609
_x000D_0,0358609
_x000D_0,0358609</t>
  </si>
  <si>
    <t>0,0358609 0,0358609 0,0358609 0,0358609 0,0358609 0,0358609 0,0358609 0,0358609 0,0358609 0,0358609</t>
  </si>
  <si>
    <t>0,1290994
_x000D_0,1290994</t>
  </si>
  <si>
    <t>0,1290994 0,1290994</t>
  </si>
  <si>
    <t>dash.n.01
_x000D_damn.n.01</t>
  </si>
  <si>
    <t>dash.n.01, damn.n.01</t>
  </si>
  <si>
    <t>0,0801875
_x000D_0,0801875</t>
  </si>
  <si>
    <t>0,0801875 0,0801875</t>
  </si>
  <si>
    <t>pile.n.03</t>
  </si>
  <si>
    <t>animation.n.01
_x000D_organism.n.01
_x000D_organism.n.01</t>
  </si>
  <si>
    <t>animation.n.01, organism.n.01, organism.n.01</t>
  </si>
  <si>
    <t>0,1889822
_x000D_0,1889822
_x000D_0,1889822</t>
  </si>
  <si>
    <t>0,1889822 0,1889822 0,1889822</t>
  </si>
  <si>
    <t>skin.n.04
_x000D_animal.n.01
_x000D_person.n.01</t>
  </si>
  <si>
    <t>skin.n.04, animal.n.01, person.n.01</t>
  </si>
  <si>
    <t>0,0190900
_x000D_0,0190900
_x000D_0,0190900</t>
  </si>
  <si>
    <t>0,0190900 0,0190900 0,0190900</t>
  </si>
  <si>
    <t>0,0944911
_x000D_0,0944911</t>
  </si>
  <si>
    <t>0,0944911 0,0944911</t>
  </si>
  <si>
    <t>animation.n.01
_x000D_opportunity.n.01</t>
  </si>
  <si>
    <t>animation.n.01, opportunity.n.01</t>
  </si>
  <si>
    <t>0,0503952
_x000D_0,0503952</t>
  </si>
  <si>
    <t>0,0503952 0,0503952</t>
  </si>
  <si>
    <t>body_of_water.n.01
_x000D_body_of_water.n.01
_x000D_body_of_water.n.01
_x000D_body_of_water.n.01
_x000D_body_of_water.n.01
_x000D_body_of_water.n.01
_x000D_body_of_water.n.01</t>
  </si>
  <si>
    <t>body_of_water.n.01, body_of_water.n.01, body_of_water.n.01, body_of_water.n.01, body_of_water.n.01, body_of_water.n.01, body_of_water.n.01</t>
  </si>
  <si>
    <t>0,1754116
_x000D_0,1754116
_x000D_0,1754116
_x000D_0,1754116
_x000D_0,1754116
_x000D_0,1754116
_x000D_0,1754116</t>
  </si>
  <si>
    <t>0,1754116 0,1754116 0,1754116 0,1754116 0,1754116 0,1754116 0,1754116</t>
  </si>
  <si>
    <t>bay.n.01
_x000D_ford.n.07
_x000D_high_sea.n.01
_x000D_inlet.n.01
_x000D_main.n.01
_x000D_stream.n.01
_x000D_waterfall.n.01</t>
  </si>
  <si>
    <t>bay.n.01, ford.n.07, high_sea.n.01, inlet.n.01, main.n.01, stream.n.01, waterfall.n.01</t>
  </si>
  <si>
    <t>0,0164448
_x000D_0,0164448
_x000D_0,0164448
_x000D_0,0164448
_x000D_0,0164448
_x000D_0,0164448
_x000D_0,0164448</t>
  </si>
  <si>
    <t>0,0164448 0,0164448 0,0164448 0,0164448 0,0164448 0,0164448 0,0164448</t>
  </si>
  <si>
    <t>energy.n.01
_x000D_energy.n.01
_x000D_energy.n.01
_x000D_energy.n.01
_x000D_energy.n.01</t>
  </si>
  <si>
    <t>energy.n.01, energy.n.01, energy.n.01, energy.n.01, energy.n.01</t>
  </si>
  <si>
    <t>0,1754116
_x000D_0,1754116
_x000D_0,1754116
_x000D_0,1754116
_x000D_0,1754116</t>
  </si>
  <si>
    <t>0,1754116 0,1754116 0,1754116 0,1754116 0,1754116</t>
  </si>
  <si>
    <t>activation_energy.n.01
_x000D_atomic_energy.n.01
_x000D_binding_energy.n.01
_x000D_atomic_power.n.01
_x000D_electromagnetic_radiation.n.01</t>
  </si>
  <si>
    <t>activation_energy.n.01, atomic_energy.n.01, binding_energy.n.01, atomic_power.n.01, electromagnetic_radiation.n.01</t>
  </si>
  <si>
    <t>0,0212620
_x000D_0,0212620
_x000D_0,0212620
_x000D_0,0212620
_x000D_0,0212620</t>
  </si>
  <si>
    <t>0,0212620 0,0212620 0,0212620 0,0212620 0,0212620</t>
  </si>
  <si>
    <t>engine.n.04</t>
  </si>
  <si>
    <t>catapult.n.03</t>
  </si>
  <si>
    <t>wisecrack.n.01
_x000D_outline.n.02</t>
  </si>
  <si>
    <t>wisecrack.n.01, outline.n.02</t>
  </si>
  <si>
    <t>0,0337099
_x000D_0,0337099</t>
  </si>
  <si>
    <t>0,0337099 0,0337099</t>
  </si>
  <si>
    <t>metallic_element.n.01
_x000D_metallic_element.n.01
_x000D_metallic_element.n.01
_x000D_metallic_element.n.01</t>
  </si>
  <si>
    <t>metallic_element.n.01, metallic_element.n.01, metallic_element.n.01, metallic_element.n.01</t>
  </si>
  <si>
    <t>0,1104315
_x000D_0,1104315
_x000D_0,1104315
_x000D_0,1104315</t>
  </si>
  <si>
    <t>0,1104315 0,1104315 0,1104315 0,1104315</t>
  </si>
  <si>
    <t>samarium.n.01
_x000D_scandium.n.01
_x000D_strontium.n.01
_x000D_tin.n.01</t>
  </si>
  <si>
    <t>samarium.n.01, scandium.n.01, strontium.n.01, tin.n.01</t>
  </si>
  <si>
    <t>0,0262531
_x000D_0,0262531
_x000D_0,0262531
_x000D_0,0262531</t>
  </si>
  <si>
    <t>0,0262531 0,0262531 0,0262531 0,0262531</t>
  </si>
  <si>
    <t>carbon_black.n.01</t>
  </si>
  <si>
    <t>0,0222015
_x000D_0,0222015</t>
  </si>
  <si>
    <t>0,0222015 0,0222015</t>
  </si>
  <si>
    <t>0,1259881
_x000D_0,1259881
_x000D_0,1259881
_x000D_0,1259881
_x000D_0,1259881
_x000D_0,1259881
_x000D_0,1259881
_x000D_0,1259881
_x000D_0,1259881
_x000D_0,1259881</t>
  </si>
  <si>
    <t>0,1259881 0,1259881 0,1259881 0,1259881 0,1259881 0,1259881 0,1259881 0,1259881 0,1259881 0,1259881</t>
  </si>
  <si>
    <t>0,0209980
_x000D_0,0209980
_x000D_0,0209980
_x000D_0,0209980
_x000D_0,0209980
_x000D_0,0209980
_x000D_0,0209980
_x000D_0,0209980
_x000D_0,0209980
_x000D_0,0209980</t>
  </si>
  <si>
    <t>0,0209980 0,0209980 0,0209980 0,0209980 0,0209980 0,0209980 0,0209980 0,0209980 0,0209980 0,0209980</t>
  </si>
  <si>
    <t>0,1259881
_x000D_0,1259881</t>
  </si>
  <si>
    <t>0,1259881 0,1259881</t>
  </si>
  <si>
    <t>0,0741363
_x000D_0,0741363</t>
  </si>
  <si>
    <t>0,0741363 0,0741363</t>
  </si>
  <si>
    <t>0,1825741
_x000D_0,1825741</t>
  </si>
  <si>
    <t>0,1825741 0,1825741</t>
  </si>
  <si>
    <t>0,0238140
_x000D_0,0238140</t>
  </si>
  <si>
    <t>0,0238140 0,0238140</t>
  </si>
  <si>
    <t>food.n.01
_x000D_food.n.01</t>
  </si>
  <si>
    <t>food.n.01, food.n.01</t>
  </si>
  <si>
    <t>comestible.n.01
_x000D_nutriment.n.01</t>
  </si>
  <si>
    <t>comestible.n.01, nutriment.n.01</t>
  </si>
  <si>
    <t>0,0491807
_x000D_0,0491807</t>
  </si>
  <si>
    <t>0,0491807 0,0491807</t>
  </si>
  <si>
    <t>0,0146176
_x000D_0,0146176
_x000D_0,0146176
_x000D_0,0146176
_x000D_0,0146176
_x000D_0,0146176
_x000D_0,0146176</t>
  </si>
  <si>
    <t>0,0146176 0,0146176 0,0146176 0,0146176 0,0146176 0,0146176 0,0146176</t>
  </si>
  <si>
    <t>0,0206366
_x000D_0,0206366
_x000D_0,0206366
_x000D_0,0206366
_x000D_0,0206366</t>
  </si>
  <si>
    <t>0,0206366 0,0206366 0,0206366 0,0206366 0,0206366</t>
  </si>
  <si>
    <t>0,0323615
_x000D_0,0323615</t>
  </si>
  <si>
    <t>0,0323615 0,0323615</t>
  </si>
  <si>
    <t>0,1078327
_x000D_0,1078327
_x000D_0,1078327
_x000D_0,1078327</t>
  </si>
  <si>
    <t>0,1078327 0,1078327 0,1078327 0,1078327</t>
  </si>
  <si>
    <t>0,0266816
_x000D_0,0266816
_x000D_0,0266816
_x000D_0,0266816</t>
  </si>
  <si>
    <t>0,0266816 0,0266816 0,0266816 0,0266816</t>
  </si>
  <si>
    <t>0,0299237
_x000D_0,0299237</t>
  </si>
  <si>
    <t>0,0299237 0,0299237</t>
  </si>
  <si>
    <t>ability.n.01
_x000D_ability.n.01
_x000D_ability.n.01
_x000D_ability.n.01
_x000D_ability.n.01
_x000D_ability.n.01
_x000D_ability.n.01
_x000D_ability.n.01
_x000D_ability.n.01
_x000D_ability.n.01
_x000D_ability.n.01
_x000D_ability.n.01</t>
  </si>
  <si>
    <t>ability.n.01, ability.n.01, ability.n.01, ability.n.01, ability.n.01, ability.n.01, ability.n.01, ability.n.01, ability.n.01, ability.n.01, ability.n.01, ability.n.01</t>
  </si>
  <si>
    <t>0,1270001
_x000D_0,1270001
_x000D_0,1270001
_x000D_0,1270001
_x000D_0,1270001
_x000D_0,1270001
_x000D_0,1270001
_x000D_0,1270001
_x000D_0,1270001
_x000D_0,1270001
_x000D_0,1270001
_x000D_0,1270001</t>
  </si>
  <si>
    <t>0,1270001 0,1270001 0,1270001 0,1270001 0,1270001 0,1270001 0,1270001 0,1270001 0,1270001 0,1270001 0,1270001 0,1270001</t>
  </si>
  <si>
    <t>adaptability.n.01
_x000D_capability.n.01
_x000D_competence.n.01
_x000D_contractility.n.01
_x000D_form.n.14
_x000D_immunocompetence.n.01
_x000D_interoperability.n.01
_x000D_magical_ability.n.01
_x000D_penetration.n.04
_x000D_physical_ability.n.01
_x000D_sensitivity.n.05
_x000D_totipotency.n.01</t>
  </si>
  <si>
    <t>adaptability.n.01, capability.n.01, competence.n.01, contractility.n.01, form.n.14, immunocompetence.n.01, interoperability.n.01, magical_ability.n.01, penetration.n.04, physical_ability.n.01, sensitivity.n.05, totipotency.n.01</t>
  </si>
  <si>
    <t>0,0211666
_x000D_0,0211666
_x000D_0,0211666
_x000D_0,0211666
_x000D_0,0211666
_x000D_0,0211666
_x000D_0,0211666
_x000D_0,0211666
_x000D_0,0211666
_x000D_0,0211666
_x000D_0,0211666
_x000D_0,0211666</t>
  </si>
  <si>
    <t>0,0211666 0,0211666 0,0211666 0,0211666 0,0211666 0,0211666 0,0211666 0,0211666 0,0211666 0,0211666 0,0211666 0,0211666</t>
  </si>
  <si>
    <t>0,1270001
_x000D_0,1270001</t>
  </si>
  <si>
    <t>0,1270001 0,1270001</t>
  </si>
  <si>
    <t>0,0525890
_x000D_0,0525890</t>
  </si>
  <si>
    <t>0,0525890 0,0525890</t>
  </si>
  <si>
    <t>0,0182574
_x000D_0,0182574</t>
  </si>
  <si>
    <t>0,0182574 0,0182574</t>
  </si>
  <si>
    <t>being.n.01
_x000D_being.n.01
_x000D_being.n.01
_x000D_being.n.01
_x000D_being.n.01</t>
  </si>
  <si>
    <t>being.n.01, being.n.01, being.n.01, being.n.01, being.n.01</t>
  </si>
  <si>
    <t>0,1825741
_x000D_0,1825741
_x000D_0,1825741
_x000D_0,1825741
_x000D_0,1825741</t>
  </si>
  <si>
    <t>0,1825741 0,1825741 0,1825741 0,1825741 0,1825741</t>
  </si>
  <si>
    <t>animation.n.01
_x000D_eternity.n.02
_x000D_eternal_life.n.01
_x000D_survival.n.01
_x000D_opportunity.n.01</t>
  </si>
  <si>
    <t>animation.n.01, eternity.n.02, eternal_life.n.01, survival.n.01, opportunity.n.01</t>
  </si>
  <si>
    <t>0,0384366
_x000D_0,0384366
_x000D_0,0384366
_x000D_0,0384366
_x000D_0,0384366</t>
  </si>
  <si>
    <t>0,0384366 0,0384366 0,0384366 0,0384366 0,0384366</t>
  </si>
  <si>
    <t>heat.n.01
_x000D_heat.n.01
_x000D_heat.n.01
_x000D_heat.n.01
_x000D_heat.n.01</t>
  </si>
  <si>
    <t>heat.n.01, heat.n.01, heat.n.01, heat.n.01, heat.n.01</t>
  </si>
  <si>
    <t>0,1240347
_x000D_0,1240347
_x000D_0,1240347
_x000D_0,1240347
_x000D_0,1240347</t>
  </si>
  <si>
    <t>0,1240347 0,1240347 0,1240347 0,1240347 0,1240347</t>
  </si>
  <si>
    <t>geothermal_energy.n.01
_x000D_heat_of_dissociation.n.01
_x000D_heat_of_formation.n.01
_x000D_heat_of_solution.n.01
_x000D_specific_heat.n.01</t>
  </si>
  <si>
    <t>geothermal_energy.n.01, heat_of_dissociation.n.01, heat_of_formation.n.01, heat_of_solution.n.01, specific_heat.n.01</t>
  </si>
  <si>
    <t>0,0163203
_x000D_0,0163203
_x000D_0,0163203
_x000D_0,0163203
_x000D_0,0163203</t>
  </si>
  <si>
    <t>0,0163203 0,0163203 0,0163203 0,0163203 0,0163203</t>
  </si>
  <si>
    <t>0,0230804
_x000D_0,0230804
_x000D_0,0230804
_x000D_0,0230804
_x000D_0,0230804</t>
  </si>
  <si>
    <t>0,0230804 0,0230804 0,0230804 0,0230804 0,0230804</t>
  </si>
  <si>
    <t>engage.v.10</t>
  </si>
  <si>
    <t>statement.n.01
_x000D_statement.n.01
_x000D_statement.n.01</t>
  </si>
  <si>
    <t>statement.n.01, statement.n.01, statement.n.01</t>
  </si>
  <si>
    <t>0,1336306
_x000D_0,1336306
_x000D_0,1336306</t>
  </si>
  <si>
    <t>0,1336306 0,1336306 0,1336306</t>
  </si>
  <si>
    <t>word_picture.n.01
_x000D_wisecrack.n.01
_x000D_outline.n.02</t>
  </si>
  <si>
    <t>word_picture.n.01, wisecrack.n.01, outline.n.02</t>
  </si>
  <si>
    <t>0,0308378
_x000D_0,0308378
_x000D_0,0308378</t>
  </si>
  <si>
    <t>0,0308378 0,0308378 0,0308378</t>
  </si>
  <si>
    <t>0,1072112
_x000D_0,1072112
_x000D_0,1072112
_x000D_0,1072112</t>
  </si>
  <si>
    <t>0,1072112 0,1072112 0,1072112 0,1072112</t>
  </si>
  <si>
    <t>0,0288859
_x000D_0,0288859
_x000D_0,0288859
_x000D_0,0288859</t>
  </si>
  <si>
    <t>0,0288859 0,0288859 0,0288859 0,0288859</t>
  </si>
  <si>
    <t>0,1313064
_x000D_0,1313064</t>
  </si>
  <si>
    <t>0,1313064 0,1313064</t>
  </si>
  <si>
    <t>0,0213215
_x000D_0,0213215</t>
  </si>
  <si>
    <t>0,0213215 0,0213215</t>
  </si>
  <si>
    <t>0,1240347
_x000D_0,1240347
_x000D_0,1240347
_x000D_0,1240347
_x000D_0,1240347
_x000D_0,1240347
_x000D_0,1240347
_x000D_0,1240347
_x000D_0,1240347
_x000D_0,1240347
_x000D_0,1240347
_x000D_0,1240347</t>
  </si>
  <si>
    <t>0,1240347 0,1240347 0,1240347 0,1240347 0,1240347 0,1240347 0,1240347 0,1240347 0,1240347 0,1240347 0,1240347 0,1240347</t>
  </si>
  <si>
    <t>0,0172270
_x000D_0,0172270
_x000D_0,0172270
_x000D_0,0172270
_x000D_0,0172270
_x000D_0,0172270
_x000D_0,0172270
_x000D_0,0172270
_x000D_0,0172270
_x000D_0,0172270
_x000D_0,0172270
_x000D_0,0172270</t>
  </si>
  <si>
    <t>0,0172270 0,0172270 0,0172270 0,0172270 0,0172270 0,0172270 0,0172270 0,0172270 0,0172270 0,0172270 0,0172270 0,0172270</t>
  </si>
  <si>
    <t>0,1240347
_x000D_0,1240347</t>
  </si>
  <si>
    <t>0,1240347 0,1240347</t>
  </si>
  <si>
    <t>0,0447338
_x000D_0,0447338</t>
  </si>
  <si>
    <t>0,0447338 0,0447338</t>
  </si>
  <si>
    <t>administration.n.02
_x000D_administration.n.02</t>
  </si>
  <si>
    <t>administration.n.02, administration.n.02</t>
  </si>
  <si>
    <t>0,2635231
_x000D_0,2635231</t>
  </si>
  <si>
    <t>0,2635231 0,2635231</t>
  </si>
  <si>
    <t>government_officials.n.01
_x000D_judiciary.n.01</t>
  </si>
  <si>
    <t>government_officials.n.01, judiciary.n.01</t>
  </si>
  <si>
    <t>0,0121951
_x000D_0,0121951</t>
  </si>
  <si>
    <t>0,0121951 0,0121951</t>
  </si>
  <si>
    <t>continue.v.03</t>
  </si>
  <si>
    <t>damage.v.01</t>
  </si>
  <si>
    <t>defile.v.01</t>
  </si>
  <si>
    <t>0,1230914
_x000D_0,1230914
_x000D_0,1230914
_x000D_0,1230914
_x000D_0,1230914</t>
  </si>
  <si>
    <t>0,1230914 0,1230914 0,1230914 0,1230914 0,1230914</t>
  </si>
  <si>
    <t>0,0153864
_x000D_0,0153864
_x000D_0,0153864
_x000D_0,0153864
_x000D_0,0153864</t>
  </si>
  <si>
    <t>0,0153864 0,0153864 0,0153864 0,0153864 0,0153864</t>
  </si>
  <si>
    <t>0,1740776
_x000D_0,1740776
_x000D_0,1740776
_x000D_0,1740776
_x000D_0,1740776</t>
  </si>
  <si>
    <t>0,1740776 0,1740776 0,1740776 0,1740776 0,1740776</t>
  </si>
  <si>
    <t>0,0227057
_x000D_0,0227057
_x000D_0,0227057
_x000D_0,0227057
_x000D_0,0227057</t>
  </si>
  <si>
    <t>0,0227057 0,0227057 0,0227057 0,0227057 0,0227057</t>
  </si>
  <si>
    <t>exploit.v.01
_x000D_exploit.v.01</t>
  </si>
  <si>
    <t>exploit.v.01, exploit.v.01</t>
  </si>
  <si>
    <t>0,1856953
_x000D_0,1856953</t>
  </si>
  <si>
    <t>0,1856953 0,1856953</t>
  </si>
  <si>
    <t>avail.v.03
_x000D_prey.v.01</t>
  </si>
  <si>
    <t>avail.v.03, prey.v.01</t>
  </si>
  <si>
    <t>0,0293203
_x000D_0,0293203</t>
  </si>
  <si>
    <t>0,0293203 0,0293203</t>
  </si>
  <si>
    <t>use.v.01
_x000D_metallic_element.n.01
_x000D_metallic_element.n.01
_x000D_metallic_element.n.01
_x000D_metallic_element.n.01</t>
  </si>
  <si>
    <t>use.v.01, metallic_element.n.01, metallic_element.n.01, metallic_element.n.01, metallic_element.n.01</t>
  </si>
  <si>
    <t>0,1846372
_x000D_0,1066003
_x000D_0,1066003
_x000D_0,1066003
_x000D_0,1066003</t>
  </si>
  <si>
    <t>0,1846372 0,1066003 0,1066003 0,1066003 0,1066003</t>
  </si>
  <si>
    <t>give.v.18
_x000D_samarium.n.01
_x000D_scandium.n.01
_x000D_strontium.n.01
_x000D_tin.n.01</t>
  </si>
  <si>
    <t>give.v.18, samarium.n.01, scandium.n.01, strontium.n.01, tin.n.01</t>
  </si>
  <si>
    <t>0,0201946
_x000D_0,0201946
_x000D_0,0201946
_x000D_0,0201946
_x000D_0,0201946</t>
  </si>
  <si>
    <t>0,0201946 0,0201946 0,0201946 0,0201946 0,0201946</t>
  </si>
  <si>
    <t>0,1301889
_x000D_0,1301889</t>
  </si>
  <si>
    <t>0,1301889 0,1301889</t>
  </si>
  <si>
    <t>0,0281867
_x000D_0,0281867</t>
  </si>
  <si>
    <t>0,0281867 0,0281867</t>
  </si>
  <si>
    <t>0,0178174
_x000D_0,0178174
_x000D_0,0178174</t>
  </si>
  <si>
    <t>0,0178174 0,0178174 0,0178174</t>
  </si>
  <si>
    <t>0,0472455
_x000D_0,0472455</t>
  </si>
  <si>
    <t>0,0472455 0,0472455</t>
  </si>
  <si>
    <t>0,1740776
_x000D_0,1740776
_x000D_0,1740776
_x000D_0,1740776
_x000D_0,1740776
_x000D_0,1740776
_x000D_0,1740776</t>
  </si>
  <si>
    <t>0,1740776 0,1740776 0,1740776 0,1740776 0,1740776 0,1740776 0,1740776</t>
  </si>
  <si>
    <t>0,0149209
_x000D_0,0149209
_x000D_0,0149209
_x000D_0,0149209
_x000D_0,0149209
_x000D_0,0149209
_x000D_0,0149209</t>
  </si>
  <si>
    <t>0,0149209 0,0149209 0,0149209 0,0149209 0,0149209 0,0149209 0,0149209</t>
  </si>
  <si>
    <t>0,0211003
_x000D_0,0211003
_x000D_0,0211003
_x000D_0,0211003
_x000D_0,0211003</t>
  </si>
  <si>
    <t>0,0211003 0,0211003 0,0211003 0,0211003 0,0211003</t>
  </si>
  <si>
    <t>0,0331133
_x000D_0,0331133</t>
  </si>
  <si>
    <t>0,0331133 0,0331133</t>
  </si>
  <si>
    <t>0,0217709
_x000D_0,0217709
_x000D_0,0217709
_x000D_0,0217709</t>
  </si>
  <si>
    <t>0,0217709 0,0217709 0,0217709 0,0217709</t>
  </si>
  <si>
    <t>0,0166411
_x000D_0,0166411</t>
  </si>
  <si>
    <t>0,0166411 0,0166411</t>
  </si>
  <si>
    <t>0,1230914
_x000D_0,1230914
_x000D_0,1230914
_x000D_0,1230914
_x000D_0,1230914
_x000D_0,1230914
_x000D_0,1230914
_x000D_0,1230914
_x000D_0,1230914
_x000D_0,1230914
_x000D_0,1230914
_x000D_0,1230914</t>
  </si>
  <si>
    <t>0,1230914 0,1230914 0,1230914 0,1230914 0,1230914 0,1230914 0,1230914 0,1230914 0,1230914 0,1230914 0,1230914 0,1230914</t>
  </si>
  <si>
    <t>0,0128220
_x000D_0,0128220
_x000D_0,0128220
_x000D_0,0128220
_x000D_0,0128220
_x000D_0,0128220
_x000D_0,0128220
_x000D_0,0128220
_x000D_0,0128220
_x000D_0,0128220
_x000D_0,0128220
_x000D_0,0128220</t>
  </si>
  <si>
    <t>0,0128220 0,0128220 0,0128220 0,0128220 0,0128220 0,0128220 0,0128220 0,0128220 0,0128220 0,0128220 0,0128220 0,0128220</t>
  </si>
  <si>
    <t>0,1230914
_x000D_0,1230914</t>
  </si>
  <si>
    <t>0,1230914 0,1230914</t>
  </si>
  <si>
    <t>0,0430063
_x000D_0,0430063</t>
  </si>
  <si>
    <t>0,0430063 0,0430063</t>
  </si>
  <si>
    <t>0,2599376
_x000D_0,2599376</t>
  </si>
  <si>
    <t>0,2599376 0,2599376</t>
  </si>
  <si>
    <t>0,0102749
_x000D_0,0102749</t>
  </si>
  <si>
    <t>0,0102749 0,0102749</t>
  </si>
  <si>
    <t>0,1781741
_x000D_0,1781741</t>
  </si>
  <si>
    <t>0,1781741 0,1781741</t>
  </si>
  <si>
    <t>0,0133630
_x000D_0,0133630</t>
  </si>
  <si>
    <t>0,0133630 0,0133630</t>
  </si>
  <si>
    <t>mar.v.01</t>
  </si>
  <si>
    <t>0,0142028
_x000D_0,0142028
_x000D_0,0142028
_x000D_0,0142028
_x000D_0,0142028</t>
  </si>
  <si>
    <t>0,0142028 0,0142028 0,0142028 0,0142028 0,0142028</t>
  </si>
  <si>
    <t>0,0222226
_x000D_0,0222226
_x000D_0,0222226
_x000D_0,0222226
_x000D_0,0222226</t>
  </si>
  <si>
    <t>0,0222226 0,0222226 0,0222226 0,0222226 0,0222226</t>
  </si>
  <si>
    <t>0,0285685
_x000D_0,0285685</t>
  </si>
  <si>
    <t>0,0285685 0,0285685</t>
  </si>
  <si>
    <t>0,1835970
_x000D_0,1059997
_x000D_0,1059997
_x000D_0,1059997
_x000D_0,1059997</t>
  </si>
  <si>
    <t>0,1835970 0,1059997 0,1059997 0,1059997 0,1059997</t>
  </si>
  <si>
    <t>0,0162680
_x000D_0,0162680
_x000D_0,0162680
_x000D_0,0162680
_x000D_0,0162680</t>
  </si>
  <si>
    <t>0,0162680 0,0162680 0,0162680 0,0162680 0,0162680</t>
  </si>
  <si>
    <t>0,0237326
_x000D_0,0237326</t>
  </si>
  <si>
    <t>0,0237326 0,0237326</t>
  </si>
  <si>
    <t>0,1280368
_x000D_0,1280368
_x000D_0,1280368
_x000D_0,1280368
_x000D_0,1280368
_x000D_0,1280368
_x000D_0,1280368
_x000D_0,1280368
_x000D_0,1280368
_x000D_0,1280368</t>
  </si>
  <si>
    <t>0,1280368 0,1280368 0,1280368 0,1280368 0,1280368 0,1280368 0,1280368 0,1280368 0,1280368 0,1280368</t>
  </si>
  <si>
    <t>0,0290992
_x000D_0,0290992
_x000D_0,0290992
_x000D_0,0290992
_x000D_0,0290992
_x000D_0,0290992
_x000D_0,0290992
_x000D_0,0290992
_x000D_0,0290992
_x000D_0,0290992</t>
  </si>
  <si>
    <t>0,0290992 0,0290992 0,0290992 0,0290992 0,0290992 0,0290992 0,0290992 0,0290992 0,0290992 0,0290992</t>
  </si>
  <si>
    <t>0,1280368
_x000D_0,1280368</t>
  </si>
  <si>
    <t>0,1280368 0,1280368</t>
  </si>
  <si>
    <t>0,0650679
_x000D_0,0650679</t>
  </si>
  <si>
    <t>0,0650679 0,0650679</t>
  </si>
  <si>
    <t>0,1841149
_x000D_0,1841149</t>
  </si>
  <si>
    <t>0,1841149 0,1841149</t>
  </si>
  <si>
    <t>0,0276172
_x000D_0,0276172</t>
  </si>
  <si>
    <t>0,0276172 0,0276172</t>
  </si>
  <si>
    <t>0,0299644
_x000D_0,0299644</t>
  </si>
  <si>
    <t>0,0299644 0,0299644</t>
  </si>
  <si>
    <t>0,1097642
_x000D_0,1097642
_x000D_0,1097642
_x000D_0,1097642</t>
  </si>
  <si>
    <t>0,1097642 0,1097642 0,1097642 0,1097642</t>
  </si>
  <si>
    <t>0,0239787
_x000D_0,0239787
_x000D_0,0239787
_x000D_0,0239787</t>
  </si>
  <si>
    <t>0,0239787 0,0239787 0,0239787 0,0239787</t>
  </si>
  <si>
    <t>0,0276087
_x000D_0,0276087
_x000D_0,0276087
_x000D_0,0276087
_x000D_0,0276087
_x000D_0,0276087
_x000D_0,0276087
_x000D_0,0276087
_x000D_0,0276087
_x000D_0,0276087
_x000D_0,0276087
_x000D_0,0276087</t>
  </si>
  <si>
    <t>0,0276087 0,0276087 0,0276087 0,0276087 0,0276087 0,0276087 0,0276087 0,0276087 0,0276087 0,0276087 0,0276087 0,0276087</t>
  </si>
  <si>
    <t>0,0617349
_x000D_0,0617349</t>
  </si>
  <si>
    <t>0,0617349 0,0617349</t>
  </si>
  <si>
    <t>0,1873171
_x000D_0,1873171
_x000D_0,1873171</t>
  </si>
  <si>
    <t>0,1873171 0,1873171 0,1873171</t>
  </si>
  <si>
    <t>0,0165566
_x000D_0,0165566
_x000D_0,0165566</t>
  </si>
  <si>
    <t>0,0165566 0,0165566 0,0165566</t>
  </si>
  <si>
    <t>0,0936585
_x000D_0,0936585</t>
  </si>
  <si>
    <t>0,0936585 0,0936585</t>
  </si>
  <si>
    <t>0,0440746
_x000D_0,0440746</t>
  </si>
  <si>
    <t>0,0440746 0,0440746</t>
  </si>
  <si>
    <t>0,0177192
_x000D_0,0177192
_x000D_0,0177192
_x000D_0,0177192
_x000D_0,0177192</t>
  </si>
  <si>
    <t>0,0177192 0,0177192 0,0177192 0,0177192 0,0177192</t>
  </si>
  <si>
    <t>0,0237042
_x000D_0,0237042
_x000D_0,0237042
_x000D_0,0237042
_x000D_0,0237042</t>
  </si>
  <si>
    <t>0,0237042 0,0237042 0,0237042 0,0237042 0,0237042</t>
  </si>
  <si>
    <t>0,0278979
_x000D_0,0278979</t>
  </si>
  <si>
    <t>0,0278979 0,0278979</t>
  </si>
  <si>
    <t>0,0297137
_x000D_0,0297137
_x000D_0,0297137
_x000D_0,0297137</t>
  </si>
  <si>
    <t>0,0297137 0,0297137 0,0297137 0,0297137</t>
  </si>
  <si>
    <t>0,1259881
_x000D_0,1259881
_x000D_0,1259881
_x000D_0,1259881
_x000D_0,1259881
_x000D_0,1259881
_x000D_0,1259881
_x000D_0,1259881
_x000D_0,1259881
_x000D_0,1259881
_x000D_0,1259881
_x000D_0,1259881</t>
  </si>
  <si>
    <t>0,1259881 0,1259881 0,1259881 0,1259881 0,1259881 0,1259881 0,1259881 0,1259881 0,1259881 0,1259881 0,1259881 0,1259881</t>
  </si>
  <si>
    <t>0,0251976
_x000D_0,0251976
_x000D_0,0251976
_x000D_0,0251976
_x000D_0,0251976
_x000D_0,0251976
_x000D_0,0251976
_x000D_0,0251976
_x000D_0,0251976
_x000D_0,0251976
_x000D_0,0251976
_x000D_0,0251976</t>
  </si>
  <si>
    <t>0,0251976 0,0251976 0,0251976 0,0251976 0,0251976 0,0251976 0,0251976 0,0251976 0,0251976 0,0251976 0,0251976 0,0251976</t>
  </si>
  <si>
    <t>0,0563436
_x000D_0,0563436</t>
  </si>
  <si>
    <t>0,0563436 0,0563436</t>
  </si>
  <si>
    <t>0,0147170
_x000D_0,0147170
_x000D_0,0147170</t>
  </si>
  <si>
    <t>0,0147170 0,0147170 0,0147170</t>
  </si>
  <si>
    <t>0,0394351
_x000D_0,0394351</t>
  </si>
  <si>
    <t>0,0394351 0,0394351</t>
  </si>
  <si>
    <t>0,0206724
_x000D_0,0206724
_x000D_0,0206724
_x000D_0,0206724
_x000D_0,0206724</t>
  </si>
  <si>
    <t>0,0206724 0,0206724 0,0206724 0,0206724 0,0206724</t>
  </si>
  <si>
    <t>0,0276965
_x000D_0,0276965
_x000D_0,0276965
_x000D_0,0276965
_x000D_0,0276965</t>
  </si>
  <si>
    <t>0,0276965 0,0276965 0,0276965 0,0276965 0,0276965</t>
  </si>
  <si>
    <t>0,0269679
_x000D_0,0269679</t>
  </si>
  <si>
    <t>0,0269679 0,0269679</t>
  </si>
  <si>
    <t>metallic_element.n.01
_x000D_metallic_element.n.01
_x000D_metallic_element.n.01
_x000D_metallic_element.n.01
_x000D_metallic_element.n.01
_x000D_metallic_element.n.01
_x000D_metallic_element.n.01
_x000D_metallic_element.n.01
_x000D_metallic_element.n.01
_x000D_metallic_element.n.01
_x000D_metallic_element.n.01
_x000D_metallic_element.n.01
_x000D_metallic_element.n.01</t>
  </si>
  <si>
    <t>metallic_element.n.01, metallic_element.n.01, metallic_element.n.01, metallic_element.n.01, metallic_element.n.01, metallic_element.n.01, metallic_element.n.01, metallic_element.n.01, metallic_element.n.01, metallic_element.n.01, metallic_element.n.01, metallic_element.n.01, metallic_element.n.01</t>
  </si>
  <si>
    <t>0,1059997
_x000D_0,1059997
_x000D_0,1059997
_x000D_0,1059997
_x000D_0,1059997
_x000D_0,1059997
_x000D_0,1059997
_x000D_0,1059997
_x000D_0,1059997
_x000D_0,1059997
_x000D_0,1059997
_x000D_0,1059997
_x000D_0,1059997</t>
  </si>
  <si>
    <t>0,1059997 0,1059997 0,1059997 0,1059997 0,1059997 0,1059997 0,1059997 0,1059997 0,1059997 0,1059997 0,1059997 0,1059997 0,1059997</t>
  </si>
  <si>
    <t>fermium.n.01
_x000D_francium.n.01
_x000D_iron.n.01
_x000D_lead.n.02
_x000D_palladium.n.01
_x000D_polonium.n.01
_x000D_praseodymium.n.01
_x000D_promethium.n.01
_x000D_protactinium.n.01
_x000D_samarium.n.01
_x000D_scandium.n.01
_x000D_strontium.n.01
_x000D_tin.n.01</t>
  </si>
  <si>
    <t>fermium.n.01, francium.n.01, iron.n.01, lead.n.02, palladium.n.01, polonium.n.01, praseodymium.n.01, promethium.n.01, protactinium.n.01, samarium.n.01, scandium.n.01, strontium.n.01, tin.n.01</t>
  </si>
  <si>
    <t>0,0267745
_x000D_0,0267745
_x000D_0,0267745
_x000D_0,0267745
_x000D_0,0267745
_x000D_0,0267745
_x000D_0,0267745
_x000D_0,0267745
_x000D_0,0267745
_x000D_0,0267745
_x000D_0,0267745
_x000D_0,0267745
_x000D_0,0267745</t>
  </si>
  <si>
    <t>0,0267745 0,0267745 0,0267745 0,0267745 0,0267745 0,0267745 0,0267745 0,0267745 0,0267745 0,0267745 0,0267745 0,0267745 0,0267745</t>
  </si>
  <si>
    <t>0,0169753
_x000D_0,0169753
_x000D_0,0169753
_x000D_0,0169753
_x000D_0,0169753
_x000D_0,0169753
_x000D_0,0169753</t>
  </si>
  <si>
    <t>0,0169753 0,0169753 0,0169753 0,0169753 0,0169753 0,0169753 0,0169753</t>
  </si>
  <si>
    <t>0,0229415
_x000D_0,0229415</t>
  </si>
  <si>
    <t>0,0229415 0,0229415</t>
  </si>
  <si>
    <t>0,0217220
_x000D_0,0217220
_x000D_0,0217220
_x000D_0,0217220
_x000D_0,0217220
_x000D_0,0217220
_x000D_0,0217220
_x000D_0,0217220
_x000D_0,0217220
_x000D_0,0217220
_x000D_0,0217220
_x000D_0,0217220</t>
  </si>
  <si>
    <t>0,0217220 0,0217220 0,0217220 0,0217220 0,0217220 0,0217220 0,0217220 0,0217220 0,0217220 0,0217220 0,0217220 0,0217220</t>
  </si>
  <si>
    <t>0,0485720
_x000D_0,0485720</t>
  </si>
  <si>
    <t>0,0485720 0,0485720</t>
  </si>
  <si>
    <t>0,0228217
_x000D_0,0228217</t>
  </si>
  <si>
    <t>0,0228217 0,0228217</t>
  </si>
  <si>
    <t>0,0912870
_x000D_0,0912870</t>
  </si>
  <si>
    <t>0,0912870 0,0912870</t>
  </si>
  <si>
    <t>comestible.n.01
_x000D_dainty.n.01</t>
  </si>
  <si>
    <t>comestible.n.01, dainty.n.01</t>
  </si>
  <si>
    <t>0,0516397
_x000D_0,0516397</t>
  </si>
  <si>
    <t>0,0516397 0,0516397</t>
  </si>
  <si>
    <t>0,0201137
_x000D_0,0201137
_x000D_0,0201137
_x000D_0,0201137
_x000D_0,0201137</t>
  </si>
  <si>
    <t>0,0201137 0,0201137 0,0201137 0,0201137 0,0201137</t>
  </si>
  <si>
    <t>0,0269864
_x000D_0,0269864
_x000D_0,0269864
_x000D_0,0269864
_x000D_0,0269864</t>
  </si>
  <si>
    <t>0,0269864 0,0269864 0,0269864 0,0269864 0,0269864</t>
  </si>
  <si>
    <t>0,0245163
_x000D_0,0245163</t>
  </si>
  <si>
    <t>0,0245163 0,0245163</t>
  </si>
  <si>
    <t>0,0251995
_x000D_0,0251995
_x000D_0,0251995
_x000D_0,0251995
_x000D_0,0251995
_x000D_0,0251995
_x000D_0,0251995
_x000D_0,0251995
_x000D_0,0251995
_x000D_0,0251995
_x000D_0,0251995
_x000D_0,0251995
_x000D_0,0251995</t>
  </si>
  <si>
    <t>0,0251995 0,0251995 0,0251995 0,0251995 0,0251995 0,0251995 0,0251995 0,0251995 0,0251995 0,0251995 0,0251995 0,0251995 0,0251995</t>
  </si>
  <si>
    <t>search_type</t>
  </si>
  <si>
    <t>static</t>
  </si>
  <si>
    <t>test_91</t>
  </si>
  <si>
    <t>test_92</t>
  </si>
  <si>
    <t>test_93</t>
  </si>
  <si>
    <t>test_94</t>
  </si>
  <si>
    <t>test_95</t>
  </si>
  <si>
    <t>test_96</t>
  </si>
  <si>
    <t>test_97</t>
  </si>
  <si>
    <t>test_98</t>
  </si>
  <si>
    <t>test_99</t>
  </si>
  <si>
    <t>test_100</t>
  </si>
  <si>
    <t>test_101</t>
  </si>
  <si>
    <t>test_102</t>
  </si>
  <si>
    <t>test_103</t>
  </si>
  <si>
    <t>test_104</t>
  </si>
  <si>
    <t>test_105</t>
  </si>
  <si>
    <t>test_106</t>
  </si>
  <si>
    <t>test_107</t>
  </si>
  <si>
    <t>test_108</t>
  </si>
  <si>
    <t>test_109</t>
  </si>
  <si>
    <t>test_110</t>
  </si>
  <si>
    <t>test_111</t>
  </si>
  <si>
    <t>test_112</t>
  </si>
  <si>
    <t>test_113</t>
  </si>
  <si>
    <t>test_114</t>
  </si>
  <si>
    <t>test_115</t>
  </si>
  <si>
    <t>test_116</t>
  </si>
  <si>
    <t>test_117</t>
  </si>
  <si>
    <t>test_118</t>
  </si>
  <si>
    <t>test_119</t>
  </si>
  <si>
    <t>test_120</t>
  </si>
  <si>
    <t>test_121</t>
  </si>
  <si>
    <t>test_122</t>
  </si>
  <si>
    <t>test_123</t>
  </si>
  <si>
    <t>test_124</t>
  </si>
  <si>
    <t>test_125</t>
  </si>
  <si>
    <t>test_126</t>
  </si>
  <si>
    <t>test_127</t>
  </si>
  <si>
    <t>test_128</t>
  </si>
  <si>
    <t>test_129</t>
  </si>
  <si>
    <t>test_130</t>
  </si>
  <si>
    <t>test_131</t>
  </si>
  <si>
    <t>test_132</t>
  </si>
  <si>
    <t>test_133</t>
  </si>
  <si>
    <t>test_134</t>
  </si>
  <si>
    <t>test_135</t>
  </si>
  <si>
    <t>test_136</t>
  </si>
  <si>
    <t>test_137</t>
  </si>
  <si>
    <t>test_138</t>
  </si>
  <si>
    <t>test_139</t>
  </si>
  <si>
    <t>test_140</t>
  </si>
  <si>
    <t>test_141</t>
  </si>
  <si>
    <t>test_142</t>
  </si>
  <si>
    <t>test_143</t>
  </si>
  <si>
    <t>test_144</t>
  </si>
  <si>
    <t>test_145</t>
  </si>
  <si>
    <t>test_146</t>
  </si>
  <si>
    <t>test_147</t>
  </si>
  <si>
    <t>test_148</t>
  </si>
  <si>
    <t>test_149</t>
  </si>
  <si>
    <t>test_150</t>
  </si>
  <si>
    <t>test_151</t>
  </si>
  <si>
    <t>test_152</t>
  </si>
  <si>
    <t>test_153</t>
  </si>
  <si>
    <t>test_154</t>
  </si>
  <si>
    <t>test_155</t>
  </si>
  <si>
    <t>test_156</t>
  </si>
  <si>
    <t>test_157</t>
  </si>
  <si>
    <t>test_158</t>
  </si>
  <si>
    <t>test_159</t>
  </si>
  <si>
    <t>test_160</t>
  </si>
  <si>
    <t>test_161</t>
  </si>
  <si>
    <t>test_162</t>
  </si>
  <si>
    <t>test_163</t>
  </si>
  <si>
    <t>test_164</t>
  </si>
  <si>
    <t>test_165</t>
  </si>
  <si>
    <t>test_166</t>
  </si>
  <si>
    <t>test_167</t>
  </si>
  <si>
    <t>test_168</t>
  </si>
  <si>
    <t>test_169</t>
  </si>
  <si>
    <t>test_170</t>
  </si>
  <si>
    <t>test_171</t>
  </si>
  <si>
    <t>test_172</t>
  </si>
  <si>
    <t>test_173</t>
  </si>
  <si>
    <t>test_174</t>
  </si>
  <si>
    <t>test_175</t>
  </si>
  <si>
    <t>test_176</t>
  </si>
  <si>
    <t>test_177</t>
  </si>
  <si>
    <t>test_178</t>
  </si>
  <si>
    <t>test_179</t>
  </si>
  <si>
    <t>test_180</t>
  </si>
  <si>
    <t>TEST_91</t>
  </si>
  <si>
    <t>MET_C dynamic search</t>
  </si>
  <si>
    <t>Synset</t>
  </si>
  <si>
    <t>level</t>
  </si>
  <si>
    <t>symilarity2</t>
  </si>
  <si>
    <t>dynamic</t>
  </si>
  <si>
    <t>legal_right.n.01
_x000D_legal_right.n.01</t>
  </si>
  <si>
    <t>legal_right.n.01, legal_right.n.01</t>
  </si>
  <si>
    <t>2
_x000D_2</t>
  </si>
  <si>
    <t>2 2</t>
  </si>
  <si>
    <t>0,17391304347826086
_x000D_0,17391304347826086</t>
  </si>
  <si>
    <t>0,17391304347826086 0,17391304347826086</t>
  </si>
  <si>
    <t>acquisitiveness.n.01</t>
  </si>
  <si>
    <t>section.n.03
_x000D_section.n.03</t>
  </si>
  <si>
    <t>section.n.03, section.n.03</t>
  </si>
  <si>
    <t>0,14285714285714285
_x000D_0,14285714285714285</t>
  </si>
  <si>
    <t>0,14285714285714285 0,14285714285714285</t>
  </si>
  <si>
    <t>solder.n.01
_x000D_solder.n.01</t>
  </si>
  <si>
    <t>solder.n.01, solder.n.01</t>
  </si>
  <si>
    <t>0,21052631578947367
_x000D_0,21052631578947367</t>
  </si>
  <si>
    <t>0,21052631578947367 0,21052631578947367</t>
  </si>
  <si>
    <t>transfer.v.02
_x000D_transfer.v.02</t>
  </si>
  <si>
    <t>transfer.v.02, transfer.v.02</t>
  </si>
  <si>
    <t>body.n.02
_x000D_body.n.02</t>
  </si>
  <si>
    <t>body.n.02, body.n.02</t>
  </si>
  <si>
    <t>0
_x000D_0</t>
  </si>
  <si>
    <t>0 0</t>
  </si>
  <si>
    <t>latent_heat.n.01
_x000D_latent_heat.n.01</t>
  </si>
  <si>
    <t>latent_heat.n.01, latent_heat.n.01</t>
  </si>
  <si>
    <t>air_transportation_system.n.01
_x000D_air_transportation_system.n.01</t>
  </si>
  <si>
    <t>air_transportation_system.n.01, air_transportation_system.n.01</t>
  </si>
  <si>
    <t>endowment.n.01</t>
  </si>
  <si>
    <t>relationship.n.03
_x000D_relationship.n.03
_x000D_authoritarian_state.n.01</t>
  </si>
  <si>
    <t>relationship.n.03, relationship.n.03, authoritarian_state.n.01</t>
  </si>
  <si>
    <t>2
_x000D_2
_x000D_2</t>
  </si>
  <si>
    <t>2 2 2</t>
  </si>
  <si>
    <t>translocate.v.02</t>
  </si>
  <si>
    <t>skill.n.01
_x000D_skill.n.01</t>
  </si>
  <si>
    <t>skill.n.01, skill.n.01</t>
  </si>
  <si>
    <t>fatherland.n.01
_x000D_fatherland.n.01</t>
  </si>
  <si>
    <t>fatherland.n.01, fatherland.n.01</t>
  </si>
  <si>
    <t>0,125
_x000D_0,125</t>
  </si>
  <si>
    <t>0,125 0,125</t>
  </si>
  <si>
    <t>dainty.n.01</t>
  </si>
  <si>
    <t>government_officials.n.01
_x000D_government_officials.n.01</t>
  </si>
  <si>
    <t>government_officials.n.01, government_officials.n.01</t>
  </si>
  <si>
    <t>nutriment.n.01
_x000D_dainty.n.01</t>
  </si>
  <si>
    <t>nutriment.n.01, dainty.n.01</t>
  </si>
  <si>
    <t>1
_x000D_2</t>
  </si>
  <si>
    <t>1 2</t>
  </si>
  <si>
    <t>transmit.v.04
_x000D_transmit.v.04</t>
  </si>
  <si>
    <t>transmit.v.04, transmit.v.04</t>
  </si>
  <si>
    <t>pascal's_law.n.01</t>
  </si>
  <si>
    <t>times.n.01
_x000D_times.n.01</t>
  </si>
  <si>
    <t>times.n.01, times.n.01</t>
  </si>
  <si>
    <t>beg.v.03</t>
  </si>
  <si>
    <t>state_of_the_art.n.01</t>
  </si>
  <si>
    <t>folk.n.01</t>
  </si>
  <si>
    <t>ribbon.n.01
_x000D_ribbon.n.01
_x000D_goal.n.01
_x000D_goal.n.01</t>
  </si>
  <si>
    <t>ribbon.n.01, ribbon.n.01, goal.n.01, goal.n.01</t>
  </si>
  <si>
    <t>2
_x000D_2
_x000D_0
_x000D_0</t>
  </si>
  <si>
    <t>2 2 0 0</t>
  </si>
  <si>
    <t>fail.v.04</t>
  </si>
  <si>
    <t>get_around_to.v.01
_x000D_render-set.v.01</t>
  </si>
  <si>
    <t>get_around_to.v.01, render-set.v.01</t>
  </si>
  <si>
    <t>quality.n.01
_x000D_difficulty.n.04
_x000D_quality.n.01</t>
  </si>
  <si>
    <t>quality.n.01, difficulty.n.04, quality.n.01</t>
  </si>
  <si>
    <t>0
_x000D_1
_x000D_0</t>
  </si>
  <si>
    <t>0 1 0</t>
  </si>
  <si>
    <t>wish.v.01
_x000D_wish.v.01</t>
  </si>
  <si>
    <t>wish.v.01, wish.v.01</t>
  </si>
  <si>
    <t>0,4
_x000D_0,4</t>
  </si>
  <si>
    <t>0,4 0,4</t>
  </si>
  <si>
    <t>human_nature.n.01
_x000D_life.n.01</t>
  </si>
  <si>
    <t>human_nature.n.01, life.n.01</t>
  </si>
  <si>
    <t>1
_x000D_1</t>
  </si>
  <si>
    <t>1 1</t>
  </si>
  <si>
    <t>solution.n.02</t>
  </si>
  <si>
    <t>advance.v.05
_x000D_advance.v.05</t>
  </si>
  <si>
    <t>advance.v.05, advance.v.05</t>
  </si>
  <si>
    <t>swing.n.01</t>
  </si>
  <si>
    <t>corrupt.v.01
_x000D_corrupt.v.01</t>
  </si>
  <si>
    <t>corrupt.v.01, corrupt.v.01</t>
  </si>
  <si>
    <t>mind.n.01</t>
  </si>
  <si>
    <t>topic.n.02</t>
  </si>
  <si>
    <t>hypothesis.n.02
_x000D_model.n.01
_x000D_hypothesis.n.02</t>
  </si>
  <si>
    <t>hypothesis.n.02, model.n.01, hypothesis.n.02</t>
  </si>
  <si>
    <t>2
_x000D_3
_x000D_2</t>
  </si>
  <si>
    <t>2 3 2</t>
  </si>
  <si>
    <t>permit.v.01
_x000D_permit.v.01</t>
  </si>
  <si>
    <t>permit.v.01, permit.v.01</t>
  </si>
  <si>
    <t>rise.v.01
_x000D_rise.v.01</t>
  </si>
  <si>
    <t>rise.v.01, rise.v.01</t>
  </si>
  <si>
    <t>consume.v.02
_x000D_consume.v.02
_x000D_behave.v.02
_x000D_tungsten.n.01</t>
  </si>
  <si>
    <t>consume.v.02, consume.v.02, behave.v.02, tungsten.n.01</t>
  </si>
  <si>
    <t>0
_x000D_0
_x000D_1
_x000D_2</t>
  </si>
  <si>
    <t>0 0 1 2</t>
  </si>
  <si>
    <t>component.n.01</t>
  </si>
  <si>
    <t>pliability.n.02</t>
  </si>
  <si>
    <t>acme.n.01</t>
  </si>
  <si>
    <t>nutriment.n.01</t>
  </si>
  <si>
    <t>discipline.n.01</t>
  </si>
  <si>
    <t>engineering.n.02</t>
  </si>
  <si>
    <t>samarium.n.01</t>
  </si>
  <si>
    <t>energy.n.01
_x000D_activation_energy.n.01
_x000D_energy.n.01</t>
  </si>
  <si>
    <t>energy.n.01, activation_energy.n.01, energy.n.01</t>
  </si>
  <si>
    <t>use.v.01
_x000D_give.v.18</t>
  </si>
  <si>
    <t>use.v.01, give.v.18</t>
  </si>
  <si>
    <t>-1
_x000D_0</t>
  </si>
  <si>
    <t>-1 0</t>
  </si>
  <si>
    <t>give.v.18
_x000D_give.v.18
_x000D_samarium.n.01</t>
  </si>
  <si>
    <t>give.v.18, give.v.18, samarium.n.01</t>
  </si>
  <si>
    <t>cheerfulness.n.01</t>
  </si>
  <si>
    <t>fermium.n.01</t>
  </si>
  <si>
    <t>water.n.06
_x000D_reseed.v.02</t>
  </si>
  <si>
    <t>water.n.06, reseed.v.02</t>
  </si>
  <si>
    <t>TEST_08</t>
  </si>
  <si>
    <t>{test_08.csv}</t>
  </si>
  <si>
    <t>TEST_11</t>
  </si>
  <si>
    <t>{test_11.csv}</t>
  </si>
  <si>
    <t>no</t>
  </si>
  <si>
    <t>met_a score</t>
  </si>
  <si>
    <t>met_b score</t>
  </si>
  <si>
    <t>hypo_met_b2_sym</t>
  </si>
  <si>
    <t>0,3333333
_x000D_0,3333333</t>
  </si>
  <si>
    <t>0,3333333 0,3333333</t>
  </si>
  <si>
    <t>0,2222222
_x000D_0,2222222</t>
  </si>
  <si>
    <t>0,2222222 0,2222222</t>
  </si>
  <si>
    <t>0,1739130
_x000D_0,1739130</t>
  </si>
  <si>
    <t>0,1739130 0,1739130</t>
  </si>
  <si>
    <t>0,1428571
_x000D_0,1428571</t>
  </si>
  <si>
    <t>0,1428571 0,1428571</t>
  </si>
  <si>
    <t>0,2105263
_x000D_0,2105263</t>
  </si>
  <si>
    <t>0,2105263 0,2105263</t>
  </si>
  <si>
    <t>0,3076923
_x000D_0,3076923</t>
  </si>
  <si>
    <t>0,3076923 0,3076923</t>
  </si>
  <si>
    <t>0,3333333
_x000D_0,3333333
_x000D_0,2666666</t>
  </si>
  <si>
    <t>0,3333333 0,3333333 0,2666666</t>
  </si>
  <si>
    <t>0,2857142
_x000D_0,2857142</t>
  </si>
  <si>
    <t>0,2857142 0,2857142</t>
  </si>
  <si>
    <t>0,9090909
_x000D_0,8333333</t>
  </si>
  <si>
    <t>0,9090909 0,8333333</t>
  </si>
  <si>
    <t>0,4444444
_x000D_0,4444444
_x000D_0,1818181
_x000D_0,1818181</t>
  </si>
  <si>
    <t>0,4444444 0,4444444 0,1818181 0,1818181</t>
  </si>
  <si>
    <t>0,125
_x000D_0,1111111</t>
  </si>
  <si>
    <t>0,125 0,1111111</t>
  </si>
  <si>
    <t>0,5
_x000D_0,4615384
_x000D_0,5</t>
  </si>
  <si>
    <t>0,5 0,4615384 0,5</t>
  </si>
  <si>
    <t>0,2222222
_x000D_0,1818181</t>
  </si>
  <si>
    <t>0,2222222 0,1818181</t>
  </si>
  <si>
    <t>0,1176470
_x000D_0,1176470</t>
  </si>
  <si>
    <t>0,1176470 0,1176470</t>
  </si>
  <si>
    <t>0,1904761
_x000D_0,1818181
_x000D_0,1904761</t>
  </si>
  <si>
    <t>0,1904761 0,1818181 0,1904761</t>
  </si>
  <si>
    <t>0,1333333
_x000D_0,1333333
_x000D_0,125
_x000D_0,2105263</t>
  </si>
  <si>
    <t>0,1333333 0,1333333 0,125 0,2105263</t>
  </si>
  <si>
    <t>0,25
_x000D_0,2352941
_x000D_0,25</t>
  </si>
  <si>
    <t>0,25 0,2352941 0,25</t>
  </si>
  <si>
    <t>0,25
_x000D_0,2222222</t>
  </si>
  <si>
    <t>0,25 0,2222222</t>
  </si>
  <si>
    <t>0,125
_x000D_0,125
_x000D_0,2105263</t>
  </si>
  <si>
    <t>0,125 0,125 0,2105263</t>
  </si>
  <si>
    <t>0,9090909
_x000D_0,2</t>
  </si>
  <si>
    <t>0,9090909 0,2</t>
  </si>
  <si>
    <t>STATIC SEARCH</t>
  </si>
  <si>
    <t>met_c_depth</t>
  </si>
  <si>
    <t>DYNAMIC SEARCH</t>
  </si>
  <si>
    <t>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</si>
</sst>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
    <numFmt numFmtId="165" formatCode="0.0000"/>
  </numFmts>
  <fonts count="6" x14ac:knownFonts="1">
    <font>
      <sz val="12"/>
      <color theme="1"/>
      <name val="Calibri"/>
      <family val="2"/>
      <scheme val="minor"/>
    </font>
    <font>
      <sz val="12"/>
      <color theme="0"/>
      <name val="Calibri"/>
      <family val="2"/>
      <scheme val="minor"/>
    </font>
    <font>
      <b/>
      <i/>
      <sz val="14"/>
      <color theme="0"/>
      <name val="Calibri"/>
      <family val="2"/>
      <scheme val="minor"/>
    </font>
    <font>
      <b/>
      <sz val="14"/>
      <color theme="1"/>
      <name val="Calibri"/>
      <family val="2"/>
      <scheme val="minor"/>
    </font>
    <font>
      <b/>
      <sz val="12"/>
      <color rgb="FFFFFFFF"/>
      <name val="Calibri"/>
      <family val="2"/>
      <scheme val="minor"/>
    </font>
    <font>
      <sz val="8"/>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rgb="FF4472C4"/>
        <bgColor rgb="FF4472C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rgb="FF4472C4"/>
      </top>
      <bottom/>
      <diagonal/>
    </border>
  </borders>
  <cellStyleXfs count="1">
    <xf numFmtId="0" fontId="0" fillId="0" borderId="0"/>
  </cellStyleXfs>
  <cellXfs count="55">
    <xf numFmtId="0" fontId="0" fillId="0" borderId="0" xfId="0"/>
    <xf numFmtId="0" fontId="0" fillId="0" borderId="0" xfId="0" applyAlignment="1">
      <alignment vertical="top" wrapText="1"/>
    </xf>
    <xf numFmtId="0" fontId="0" fillId="0" borderId="0" xfId="0" applyAlignment="1">
      <alignment horizontal="center"/>
    </xf>
    <xf numFmtId="0" fontId="0" fillId="6" borderId="1" xfId="0" applyFill="1" applyBorder="1" applyAlignment="1">
      <alignment horizontal="center" vertical="center"/>
    </xf>
    <xf numFmtId="0" fontId="0" fillId="3" borderId="1" xfId="0" applyFill="1" applyBorder="1" applyAlignment="1">
      <alignment horizontal="center" vertical="center"/>
    </xf>
    <xf numFmtId="0" fontId="0" fillId="2" borderId="2" xfId="0" applyFill="1" applyBorder="1" applyAlignment="1">
      <alignment horizontal="left" vertical="center"/>
    </xf>
    <xf numFmtId="0" fontId="0" fillId="2" borderId="5" xfId="0" applyFill="1" applyBorder="1" applyAlignment="1">
      <alignment horizontal="left" vertical="center"/>
    </xf>
    <xf numFmtId="0" fontId="0" fillId="2" borderId="8" xfId="0" applyFill="1" applyBorder="1" applyAlignment="1">
      <alignment horizontal="left" vertical="center"/>
    </xf>
    <xf numFmtId="0" fontId="0" fillId="5" borderId="12" xfId="0" applyFill="1" applyBorder="1" applyAlignment="1">
      <alignment horizontal="center"/>
    </xf>
    <xf numFmtId="0" fontId="1" fillId="10" borderId="11" xfId="0" applyFont="1" applyFill="1" applyBorder="1"/>
    <xf numFmtId="0" fontId="2" fillId="10" borderId="11" xfId="0" applyFont="1" applyFill="1" applyBorder="1" applyAlignment="1">
      <alignment horizontal="center"/>
    </xf>
    <xf numFmtId="0" fontId="0" fillId="11" borderId="0" xfId="0" applyFill="1" applyAlignment="1">
      <alignment vertical="center"/>
    </xf>
    <xf numFmtId="0" fontId="0" fillId="11" borderId="0" xfId="0" applyFill="1" applyAlignment="1">
      <alignment horizontal="center" vertical="center"/>
    </xf>
    <xf numFmtId="0" fontId="1" fillId="10" borderId="13" xfId="0" applyFont="1" applyFill="1" applyBorder="1"/>
    <xf numFmtId="0" fontId="1" fillId="10" borderId="14" xfId="0" applyFont="1" applyFill="1" applyBorder="1" applyAlignment="1">
      <alignment horizontal="center"/>
    </xf>
    <xf numFmtId="0" fontId="1" fillId="0" borderId="0" xfId="0" applyFont="1"/>
    <xf numFmtId="0" fontId="0" fillId="12" borderId="0" xfId="0" applyFill="1"/>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0" fillId="7" borderId="6" xfId="0" applyFill="1" applyBorder="1" applyAlignment="1">
      <alignment horizontal="left" vertical="center"/>
    </xf>
    <xf numFmtId="0" fontId="0" fillId="7" borderId="9" xfId="0" applyFill="1" applyBorder="1" applyAlignment="1">
      <alignment horizontal="left" vertical="center"/>
    </xf>
    <xf numFmtId="0" fontId="0" fillId="4" borderId="3" xfId="0" applyFill="1" applyBorder="1" applyAlignment="1">
      <alignment horizontal="left" vertical="center"/>
    </xf>
    <xf numFmtId="0" fontId="0" fillId="4" borderId="6" xfId="0" applyFill="1" applyBorder="1" applyAlignment="1">
      <alignment horizontal="left" vertical="center"/>
    </xf>
    <xf numFmtId="0" fontId="0" fillId="4" borderId="6" xfId="0" applyFill="1" applyBorder="1" applyAlignment="1">
      <alignment horizontal="left" vertical="center" wrapText="1"/>
    </xf>
    <xf numFmtId="0" fontId="0" fillId="4" borderId="9" xfId="0" applyFill="1" applyBorder="1" applyAlignment="1">
      <alignment horizontal="left" vertical="center"/>
    </xf>
    <xf numFmtId="164" fontId="0" fillId="0" borderId="0" xfId="0" applyNumberFormat="1" applyAlignment="1">
      <alignment vertical="top" wrapText="1"/>
    </xf>
    <xf numFmtId="164" fontId="0" fillId="0" borderId="0" xfId="0" applyNumberFormat="1"/>
    <xf numFmtId="165" fontId="0" fillId="0" borderId="0" xfId="0" applyNumberFormat="1"/>
    <xf numFmtId="0" fontId="0" fillId="0" borderId="0" xfId="0" applyAlignment="1">
      <alignment vertical="top" shrinkToFit="1"/>
    </xf>
    <xf numFmtId="0" fontId="0" fillId="8" borderId="1" xfId="0" applyFill="1" applyBorder="1" applyAlignment="1">
      <alignment horizontal="center" vertical="center"/>
    </xf>
    <xf numFmtId="0" fontId="0" fillId="8" borderId="3" xfId="0" applyFill="1" applyBorder="1" applyAlignment="1">
      <alignment horizontal="right" vertical="center"/>
    </xf>
    <xf numFmtId="0" fontId="0" fillId="8" borderId="6" xfId="0" applyFill="1" applyBorder="1" applyAlignment="1">
      <alignment horizontal="right" vertical="center"/>
    </xf>
    <xf numFmtId="0" fontId="0" fillId="8" borderId="9" xfId="0" applyFill="1" applyBorder="1" applyAlignment="1">
      <alignment horizontal="right" vertical="center"/>
    </xf>
    <xf numFmtId="0" fontId="0" fillId="9" borderId="4" xfId="0" applyFill="1" applyBorder="1" applyAlignment="1">
      <alignment horizontal="right" vertical="center"/>
    </xf>
    <xf numFmtId="0" fontId="0" fillId="9" borderId="7" xfId="0" applyFill="1" applyBorder="1" applyAlignment="1">
      <alignment horizontal="right" vertical="center"/>
    </xf>
    <xf numFmtId="0" fontId="0" fillId="9" borderId="10" xfId="0" applyFill="1" applyBorder="1" applyAlignment="1">
      <alignment horizontal="right" vertical="center"/>
    </xf>
    <xf numFmtId="0" fontId="0" fillId="0" borderId="0" xfId="0" applyAlignment="1">
      <alignment vertical="center" wrapText="1"/>
    </xf>
    <xf numFmtId="164" fontId="0" fillId="0" borderId="0" xfId="0" applyNumberFormat="1" applyAlignment="1">
      <alignment vertical="center" wrapText="1"/>
    </xf>
    <xf numFmtId="0" fontId="0" fillId="0" borderId="0" xfId="0" applyNumberFormat="1" applyAlignment="1">
      <alignment vertical="center" wrapText="1"/>
    </xf>
    <xf numFmtId="0" fontId="4" fillId="13" borderId="15" xfId="0" applyFont="1" applyFill="1" applyBorder="1" applyAlignment="1">
      <alignment vertical="top" wrapText="1"/>
    </xf>
    <xf numFmtId="0" fontId="0" fillId="0" borderId="0" xfId="0" applyAlignment="1">
      <alignment vertical="center" shrinkToFit="1"/>
    </xf>
    <xf numFmtId="0" fontId="0" fillId="8" borderId="0" xfId="0" applyFill="1" applyAlignment="1">
      <alignment horizontal="center"/>
    </xf>
    <xf numFmtId="0" fontId="0" fillId="9" borderId="0" xfId="0" applyFill="1" applyAlignment="1">
      <alignment horizontal="center"/>
    </xf>
    <xf numFmtId="0" fontId="3" fillId="12" borderId="0" xfId="0" applyFont="1" applyFill="1" applyAlignment="1">
      <alignment horizontal="center"/>
    </xf>
    <xf numFmtId="0" fontId="0" fillId="2" borderId="0" xfId="0" applyFill="1" applyAlignment="1">
      <alignment horizontal="center"/>
    </xf>
    <xf numFmtId="0" fontId="0" fillId="0" borderId="0" xfId="0" applyNumberFormat="1" applyAlignment="1">
      <alignment vertical="center" shrinkToFit="1"/>
    </xf>
    <xf numFmtId="0" fontId="0" fillId="0" borderId="0" xfId="0" applyAlignment="1">
      <alignment shrinkToFit="1"/>
    </xf>
    <xf numFmtId="0" fontId="0" fillId="4" borderId="3" xfId="0" applyFill="1" applyBorder="1" applyAlignment="1">
      <alignment horizontal="left" vertical="center" wrapText="1"/>
    </xf>
    <xf numFmtId="0" fontId="0" fillId="4" borderId="9" xfId="0" applyFill="1" applyBorder="1" applyAlignment="1">
      <alignment horizontal="left" vertical="center" wrapText="1"/>
    </xf>
    <xf numFmtId="0" fontId="0" fillId="7" borderId="9" xfId="0" applyFill="1" applyBorder="1" applyAlignment="1">
      <alignment horizontal="left" vertical="center" wrapText="1"/>
    </xf>
    <xf numFmtId="0" fontId="0" fillId="8" borderId="3" xfId="0" applyFill="1" applyBorder="1" applyAlignment="1">
      <alignment horizontal="right" vertical="center" wrapText="1"/>
    </xf>
    <xf numFmtId="0" fontId="0" fillId="8" borderId="6" xfId="0" applyFill="1" applyBorder="1" applyAlignment="1">
      <alignment horizontal="right" vertical="center" wrapText="1"/>
    </xf>
    <xf numFmtId="0" fontId="0" fillId="8" borderId="9" xfId="0" applyFill="1" applyBorder="1" applyAlignment="1">
      <alignment horizontal="right" vertical="center" wrapText="1"/>
    </xf>
    <xf numFmtId="164" fontId="0" fillId="0" borderId="0" xfId="0" applyNumberFormat="1" applyAlignment="1">
      <alignment vertical="center"/>
    </xf>
    <xf numFmtId="0" fontId="0" fillId="0" borderId="0" xfId="0" applyAlignment="1">
      <alignment vertical="center"/>
    </xf>
  </cellXfs>
  <cellStyles count="1">
    <cellStyle name="Normale" xfId="0" builtinId="0"/>
  </cellStyles>
  <dxfs count="40">
    <dxf>
      <numFmt numFmtId="0" formatCode="General"/>
      <alignment horizontal="general" vertical="center" textRotation="0" wrapText="0" indent="0" justifyLastLine="0" shrinkToFit="1"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1"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0" indent="0" justifyLastLine="0" shrinkToFit="1" readingOrder="0"/>
    </dxf>
    <dxf>
      <alignment horizontal="general" vertical="center" textRotation="0" wrapText="1" indent="0" justifyLastLine="0" shrinkToFit="0" readingOrder="0"/>
    </dxf>
    <dxf>
      <numFmt numFmtId="0" formatCode="General"/>
      <alignment horizontal="general" vertical="center" textRotation="0" wrapText="0" indent="0" justifyLastLine="0" shrinkToFit="1" readingOrder="0"/>
    </dxf>
    <dxf>
      <numFmt numFmtId="164" formatCode="0.00000000"/>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1"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79867-5B53-9F4C-A944-828065649D3B}" name="Tabella1" displayName="Tabella1" ref="A1:U722" totalsRowShown="0" headerRowDxfId="39" dataDxfId="38">
  <tableColumns count="21">
    <tableColumn id="1" xr3:uid="{4B140DCF-39F1-C044-A650-BE5C83BF9536}" name="test_id" dataDxfId="37"/>
    <tableColumn id="2" xr3:uid="{6B160DD1-DD54-184B-90DA-47EBF897FCE3}" name="genus_tags" dataDxfId="18">
      <calculatedColumnFormula>VLOOKUP(Tabella1[[#This Row],[test_id]],experiments_specs!A:J,2,FALSE)</calculatedColumnFormula>
    </tableColumn>
    <tableColumn id="3" xr3:uid="{B26E9C8A-9F7E-324E-8EAC-7077531F3492}" name="genus_hypo_depth" dataDxfId="36">
      <calculatedColumnFormula>VLOOKUP(Tabella1[[#This Row],[test_id]],experiments_specs!A:J,3,FALSE)</calculatedColumnFormula>
    </tableColumn>
    <tableColumn id="4" xr3:uid="{5EA56011-EE6D-5D48-B913-8B4E542C917D}" name="genus_hyper_hypo_depth" dataDxfId="35">
      <calculatedColumnFormula>VLOOKUP(Tabella1[[#This Row],[test_id]],experiments_specs!A:J,4,FALSE)</calculatedColumnFormula>
    </tableColumn>
    <tableColumn id="5" xr3:uid="{3A70B891-8CE3-7B43-8F5D-6843A59D4944}" name="lesk_on_genus" dataDxfId="34">
      <calculatedColumnFormula>VLOOKUP(Tabella1[[#This Row],[test_id]],experiments_specs!A:J,5,FALSE)</calculatedColumnFormula>
    </tableColumn>
    <tableColumn id="6" xr3:uid="{F62A712B-565E-8844-A4A1-A9AD00585391}" name="definition_similarity" dataDxfId="33">
      <calculatedColumnFormula>VLOOKUP(Tabella1[[#This Row],[test_id]],experiments_specs!A:J,6,FALSE)</calculatedColumnFormula>
    </tableColumn>
    <tableColumn id="7" xr3:uid="{77D743F9-5DD6-9C47-B75D-323891FC6613}" name="examples_similarity" dataDxfId="32">
      <calculatedColumnFormula>VLOOKUP(Tabella1[[#This Row],[test_id]],experiments_specs!A:J,7,FALSE)</calculatedColumnFormula>
    </tableColumn>
    <tableColumn id="8" xr3:uid="{AF6677BC-F922-E14A-9B13-F62D5A385D58}" name="lemmas_similarity" dataDxfId="31">
      <calculatedColumnFormula>VLOOKUP(Tabella1[[#This Row],[test_id]],experiments_specs!A:J,8,FALSE)</calculatedColumnFormula>
    </tableColumn>
    <tableColumn id="9" xr3:uid="{0B594DC0-56E0-BB49-9617-CFAD50EFE3C6}" name="score_type" dataDxfId="0">
      <calculatedColumnFormula>VLOOKUP(Tabella1[[#This Row],[test_id]],experiments_specs!A:J,9,FALSE)</calculatedColumnFormula>
    </tableColumn>
    <tableColumn id="10" xr3:uid="{4BACF42C-33B4-9A4A-B277-A666E38B9365}" name="lesk_only_n" dataDxfId="30">
      <calculatedColumnFormula>VLOOKUP(Tabella1[[#This Row],[test_id]],experiments_specs!A:J,10,FALSE)</calculatedColumnFormula>
    </tableColumn>
    <tableColumn id="11" xr3:uid="{B375A257-58BE-A544-82CF-089A40DC6A50}" name="target" dataDxfId="29"/>
    <tableColumn id="12" xr3:uid="{5EE819B0-448D-6140-8018-F2E4708692A4}" name="genus_met_a" dataDxfId="28"/>
    <tableColumn id="18" xr3:uid="{E3834100-209A-D74B-AF78-71130A8059B0}" name="genus_met_a2_sym" dataDxfId="27"/>
    <tableColumn id="13" xr3:uid="{E22B3B13-13F0-794E-B5BB-097001FE788B}" name="hypo_met_a" dataDxfId="26"/>
    <tableColumn id="19" xr3:uid="{401E093A-3BE6-8B4F-A0CA-240BF2BE0246}" name="hypo_met_a2_sym" dataDxfId="25"/>
    <tableColumn id="14" xr3:uid="{7F05D52A-ACB7-DE4F-9401-5CF9D482290D}" name="score_met_a" dataDxfId="24"/>
    <tableColumn id="15" xr3:uid="{FBD10BBC-F6B9-A44C-9031-992921C4BCF6}" name="hype_met_b" dataDxfId="23"/>
    <tableColumn id="20" xr3:uid="{327E76EE-335A-BB41-8AA2-EA121D00A1ED}" name="hype_met_b_sym" dataDxfId="22"/>
    <tableColumn id="16" xr3:uid="{6C79431A-E027-F340-9F42-C25DE38F3640}" name="hypo_met_b" dataDxfId="21"/>
    <tableColumn id="21" xr3:uid="{A6D78113-8859-F440-A23A-70075554AC9D}" name="hypo_met_b2_sym" dataDxfId="20"/>
    <tableColumn id="17" xr3:uid="{07719745-F828-8E49-A057-8832BB365244}" name="score_met_b" dataDxfId="19"/>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0FF5DD2-BD16-3848-AAFD-0B3813B3B93F}" name="Tabella13" displayName="Tabella13" ref="A1:O722" totalsRowShown="0" headerRowDxfId="2" dataDxfId="1">
  <tableColumns count="15">
    <tableColumn id="1" xr3:uid="{690D9555-CF02-0A4D-8FC4-6D8875BCBF0C}" name="test_id" dataDxfId="17"/>
    <tableColumn id="2" xr3:uid="{49CECA0F-5E29-EA4E-B21B-7C85AF17BA6B}" name="genus_tags" dataDxfId="16">
      <calculatedColumnFormula>VLOOKUP(Tabella13[[#This Row],[test_id]],experiments_specs!A:J,2,FALSE)</calculatedColumnFormula>
    </tableColumn>
    <tableColumn id="3" xr3:uid="{0291EEB0-4D80-4445-9F69-866F3812C510}" name="genus_hypo_depth" dataDxfId="15">
      <calculatedColumnFormula>VLOOKUP(Tabella13[[#This Row],[test_id]],experiments_specs!A:J,3,FALSE)</calculatedColumnFormula>
    </tableColumn>
    <tableColumn id="4" xr3:uid="{DAF5B64C-B7F4-7F4A-B0D9-12E1EB3A87B9}" name="genus_hyper_hypo_depth" dataDxfId="14">
      <calculatedColumnFormula>VLOOKUP(Tabella13[[#This Row],[test_id]],experiments_specs!A:J,4,FALSE)</calculatedColumnFormula>
    </tableColumn>
    <tableColumn id="5" xr3:uid="{0D37CBD5-C08B-9848-9230-8742810D63E6}" name="lesk_on_genus" dataDxfId="13">
      <calculatedColumnFormula>VLOOKUP(Tabella13[[#This Row],[test_id]],experiments_specs!A:J,5,FALSE)</calculatedColumnFormula>
    </tableColumn>
    <tableColumn id="6" xr3:uid="{A30FA7F9-33B6-584C-8924-F40364784DE4}" name="definition_similarity" dataDxfId="12">
      <calculatedColumnFormula>VLOOKUP(Tabella13[[#This Row],[test_id]],experiments_specs!A:J,6,FALSE)</calculatedColumnFormula>
    </tableColumn>
    <tableColumn id="7" xr3:uid="{C9378BFE-72F2-724A-91BF-7FEE719D7674}" name="examples_similarity" dataDxfId="11">
      <calculatedColumnFormula>VLOOKUP(Tabella13[[#This Row],[test_id]],experiments_specs!A:J,7,FALSE)</calculatedColumnFormula>
    </tableColumn>
    <tableColumn id="8" xr3:uid="{1DB0CE08-02BF-3149-8F79-4456FC8F8C3A}" name="lemmas_similarity" dataDxfId="10">
      <calculatedColumnFormula>VLOOKUP(Tabella13[[#This Row],[test_id]],experiments_specs!A:J,8,FALSE)</calculatedColumnFormula>
    </tableColumn>
    <tableColumn id="9" xr3:uid="{A47840F9-A567-144C-8762-C39A10058EAE}" name="score_type" dataDxfId="9">
      <calculatedColumnFormula>VLOOKUP(Tabella13[[#This Row],[test_id]],experiments_specs!A:J,9,FALSE)</calculatedColumnFormula>
    </tableColumn>
    <tableColumn id="10" xr3:uid="{23098C60-5A99-FC46-9032-17F1028E1261}" name="lesk_only_n" dataDxfId="8">
      <calculatedColumnFormula>VLOOKUP(Tabella13[[#This Row],[test_id]],experiments_specs!A:J,10,FALSE)</calculatedColumnFormula>
    </tableColumn>
    <tableColumn id="11" xr3:uid="{878B5222-57F3-B84D-809D-E2663EEB5AD7}" name="target" dataDxfId="7"/>
    <tableColumn id="12" xr3:uid="{E4A1D831-AABE-AB40-BDEB-77A2387519D5}" name="Synset" dataDxfId="6"/>
    <tableColumn id="18" xr3:uid="{6A407426-DB4D-264F-9EEB-BF76E8139E90}" name="level" dataDxfId="5"/>
    <tableColumn id="13" xr3:uid="{D079AD79-9E81-DD4F-B0BD-0EEA409596DA}" name="symilarity2" dataDxfId="4"/>
    <tableColumn id="19" xr3:uid="{F8593C72-6B91-F744-8EF3-5BE38862095D}" name="Score" dataDxfId="3"/>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494C0-0C14-3846-ACDB-64C9B1276165}">
  <sheetPr codeName="Foglio1"/>
  <dimension ref="B2:BE70"/>
  <sheetViews>
    <sheetView topLeftCell="AD45" workbookViewId="0">
      <selection activeCell="AJ57" sqref="W48:AJ57"/>
    </sheetView>
  </sheetViews>
  <sheetFormatPr baseColWidth="10" defaultRowHeight="16" x14ac:dyDescent="0.2"/>
  <cols>
    <col min="1" max="1" width="0.5" customWidth="1"/>
    <col min="2" max="3" width="3.1640625" customWidth="1"/>
    <col min="4" max="4" width="18.6640625" customWidth="1"/>
    <col min="5" max="5" width="19.83203125"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4.5"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3" t="s">
        <v>127</v>
      </c>
      <c r="E2" s="43"/>
      <c r="F2" s="43"/>
      <c r="G2" s="43"/>
      <c r="H2" s="43"/>
      <c r="I2" s="43"/>
      <c r="J2" s="43"/>
      <c r="K2" s="43"/>
      <c r="L2" s="43"/>
      <c r="M2" s="43"/>
      <c r="N2" s="43"/>
      <c r="O2" s="43"/>
      <c r="P2" s="43"/>
      <c r="Q2" s="43"/>
      <c r="R2" s="16"/>
      <c r="S2" s="16"/>
      <c r="U2" s="16"/>
      <c r="V2" s="16"/>
      <c r="W2" s="43" t="s">
        <v>128</v>
      </c>
      <c r="X2" s="43"/>
      <c r="Y2" s="43"/>
      <c r="Z2" s="43"/>
      <c r="AA2" s="43"/>
      <c r="AB2" s="43"/>
      <c r="AC2" s="43"/>
      <c r="AD2" s="43"/>
      <c r="AE2" s="43"/>
      <c r="AF2" s="43"/>
      <c r="AG2" s="43"/>
      <c r="AH2" s="43"/>
      <c r="AI2" s="43"/>
      <c r="AJ2" s="43"/>
      <c r="AK2" s="16"/>
      <c r="AL2" s="16"/>
      <c r="AN2" s="16"/>
      <c r="AO2" s="16"/>
      <c r="AP2" s="43" t="s">
        <v>129</v>
      </c>
      <c r="AQ2" s="43"/>
      <c r="AR2" s="43"/>
      <c r="AS2" s="43"/>
      <c r="AT2" s="43"/>
      <c r="AU2" s="43"/>
      <c r="AV2" s="43"/>
      <c r="AW2" s="43"/>
      <c r="AX2" s="43"/>
      <c r="AY2" s="43"/>
      <c r="AZ2" s="43"/>
      <c r="BA2" s="43"/>
      <c r="BB2" s="43"/>
      <c r="BC2" s="43"/>
      <c r="BD2" s="16"/>
      <c r="BE2" s="16"/>
    </row>
    <row r="3" spans="2:57" ht="17" thickBot="1" x14ac:dyDescent="0.25">
      <c r="B3" s="16"/>
      <c r="S3" s="16"/>
      <c r="U3" s="16"/>
      <c r="AL3" s="16"/>
      <c r="AN3" s="16"/>
      <c r="BE3" s="16"/>
    </row>
    <row r="4" spans="2:57" ht="20" thickBot="1" x14ac:dyDescent="0.3">
      <c r="B4" s="16"/>
      <c r="D4" s="13" t="s">
        <v>126</v>
      </c>
      <c r="E4" s="14"/>
      <c r="F4" s="9"/>
      <c r="G4" s="10" t="s">
        <v>125</v>
      </c>
      <c r="H4" s="41" t="s">
        <v>124</v>
      </c>
      <c r="I4" s="41"/>
      <c r="J4" s="41"/>
      <c r="K4" s="41"/>
      <c r="L4" s="41"/>
      <c r="M4" s="42" t="s">
        <v>123</v>
      </c>
      <c r="N4" s="42"/>
      <c r="O4" s="42"/>
      <c r="P4" s="42"/>
      <c r="Q4" s="42"/>
      <c r="R4" s="2"/>
      <c r="S4" s="16"/>
      <c r="U4" s="16"/>
      <c r="W4" s="13" t="s">
        <v>126</v>
      </c>
      <c r="X4" s="14"/>
      <c r="Y4" s="9"/>
      <c r="Z4" s="10" t="str">
        <f>"TEST_"&amp;TEXT(RIGHT(G59,2)+1, "00")</f>
        <v>TEST_07</v>
      </c>
      <c r="AA4" s="41" t="s">
        <v>124</v>
      </c>
      <c r="AB4" s="41"/>
      <c r="AC4" s="41"/>
      <c r="AD4" s="41"/>
      <c r="AE4" s="41"/>
      <c r="AF4" s="42" t="s">
        <v>123</v>
      </c>
      <c r="AG4" s="42"/>
      <c r="AH4" s="42"/>
      <c r="AI4" s="42"/>
      <c r="AJ4" s="42"/>
      <c r="AK4" s="2"/>
      <c r="AL4" s="16"/>
      <c r="AN4" s="16"/>
      <c r="AP4" s="13" t="s">
        <v>126</v>
      </c>
      <c r="AQ4" s="14"/>
      <c r="AR4" s="9"/>
      <c r="AS4" s="10" t="str">
        <f>"TEST_"&amp;TEXT(RIGHT(Z59,2)+1, "00")</f>
        <v>TEST_13</v>
      </c>
      <c r="AT4" s="41" t="s">
        <v>124</v>
      </c>
      <c r="AU4" s="41"/>
      <c r="AV4" s="41"/>
      <c r="AW4" s="41"/>
      <c r="AX4" s="41"/>
      <c r="AY4" s="42" t="s">
        <v>123</v>
      </c>
      <c r="AZ4" s="42"/>
      <c r="BA4" s="42"/>
      <c r="BB4" s="42"/>
      <c r="BC4" s="42"/>
      <c r="BD4" s="2"/>
      <c r="BE4" s="16"/>
    </row>
    <row r="5" spans="2:57" x14ac:dyDescent="0.2">
      <c r="B5" s="16"/>
      <c r="D5" s="11" t="s">
        <v>1</v>
      </c>
      <c r="E5" s="12" t="str">
        <f>VLOOKUP(LOWER(G4),experiments_specs!$A:$J,2,FALSE)</f>
        <v>NN</v>
      </c>
      <c r="F5" s="15" t="str">
        <f>"{"&amp;LOWER(G4)&amp;".csv}"</f>
        <v>{test_01.csv}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VLOOKUP(LOWER(Z4),experiments_specs!$A:$J,2,FALSE)</f>
        <v>NN</v>
      </c>
      <c r="Y5" s="15" t="str">
        <f>"{"&amp;LOWER(Z4)&amp;".csv}"</f>
        <v>{test_07.csv}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VLOOKUP(LOWER(AS4),experiments_specs!$A:$J,2,FALSE)</f>
        <v>NN</v>
      </c>
      <c r="AR5" s="15" t="str">
        <f>"{"&amp;LOWER(AS4)&amp;".csv}"</f>
        <v>{test_13.csv}</v>
      </c>
      <c r="AS5" s="8" t="s">
        <v>118</v>
      </c>
      <c r="AT5" s="3" t="s">
        <v>119</v>
      </c>
      <c r="AU5" s="3" t="s">
        <v>178</v>
      </c>
      <c r="AV5" s="3" t="s">
        <v>120</v>
      </c>
      <c r="AW5" s="3" t="s">
        <v>178</v>
      </c>
      <c r="AX5" s="3" t="s">
        <v>121</v>
      </c>
      <c r="AY5" s="4" t="s">
        <v>122</v>
      </c>
      <c r="AZ5" s="4" t="s">
        <v>178</v>
      </c>
      <c r="BA5" s="4" t="s">
        <v>120</v>
      </c>
      <c r="BB5" s="4" t="s">
        <v>178</v>
      </c>
      <c r="BC5" s="4" t="s">
        <v>121</v>
      </c>
      <c r="BE5" s="16"/>
    </row>
    <row r="6" spans="2:57" ht="34" x14ac:dyDescent="0.2">
      <c r="B6" s="16"/>
      <c r="D6" s="11" t="s">
        <v>2</v>
      </c>
      <c r="E6" s="12">
        <f>VLOOKUP(LOWER(G4),experiments_specs!$A:$J,3,FALSE)</f>
        <v>1</v>
      </c>
      <c r="F6" s="15" t="s">
        <v>10</v>
      </c>
      <c r="G6" s="5" t="s">
        <v>19</v>
      </c>
      <c r="H6" s="17" t="s">
        <v>179</v>
      </c>
      <c r="I6" s="17" t="s">
        <v>193</v>
      </c>
      <c r="J6" s="17" t="s">
        <v>180</v>
      </c>
      <c r="K6" s="17" t="s">
        <v>195</v>
      </c>
      <c r="L6" s="30">
        <v>0.19047619047619047</v>
      </c>
      <c r="M6" s="21" t="s">
        <v>197</v>
      </c>
      <c r="N6" s="21">
        <v>0</v>
      </c>
      <c r="O6" s="21" t="s">
        <v>198</v>
      </c>
      <c r="P6" s="21">
        <v>4.3544999999999999E-3</v>
      </c>
      <c r="Q6" s="33">
        <v>9.5238095238095233E-2</v>
      </c>
      <c r="S6" s="16"/>
      <c r="U6" s="16"/>
      <c r="W6" s="11" t="s">
        <v>2</v>
      </c>
      <c r="X6" s="12">
        <f>VLOOKUP(LOWER(Z4),experiments_specs!$A:$J,3,FALSE)</f>
        <v>1</v>
      </c>
      <c r="Y6" s="15" t="s">
        <v>70</v>
      </c>
      <c r="Z6" s="5" t="s">
        <v>19</v>
      </c>
      <c r="AA6" s="17" t="s">
        <v>179</v>
      </c>
      <c r="AB6" s="17" t="s">
        <v>193</v>
      </c>
      <c r="AC6" s="17" t="s">
        <v>180</v>
      </c>
      <c r="AD6" s="17" t="s">
        <v>266</v>
      </c>
      <c r="AE6" s="30">
        <v>0.19047619047619047</v>
      </c>
      <c r="AF6" s="21" t="s">
        <v>47</v>
      </c>
      <c r="AG6" s="21">
        <v>0</v>
      </c>
      <c r="AH6" s="21" t="s">
        <v>48</v>
      </c>
      <c r="AI6" s="21">
        <v>2.4659E-2</v>
      </c>
      <c r="AJ6" s="33">
        <v>0.2</v>
      </c>
      <c r="AL6" s="16"/>
      <c r="AN6" s="16"/>
      <c r="AP6" s="11" t="s">
        <v>2</v>
      </c>
      <c r="AQ6" s="12">
        <f>VLOOKUP(LOWER(AS4),experiments_specs!$A:$J,3,FALSE)</f>
        <v>1</v>
      </c>
      <c r="AR6" s="15" t="s">
        <v>76</v>
      </c>
      <c r="AS6" s="5" t="s">
        <v>19</v>
      </c>
      <c r="AT6" s="17" t="s">
        <v>179</v>
      </c>
      <c r="AU6" s="17" t="s">
        <v>193</v>
      </c>
      <c r="AV6" s="17" t="s">
        <v>180</v>
      </c>
      <c r="AW6" s="17" t="s">
        <v>266</v>
      </c>
      <c r="AX6" s="30">
        <v>0.19047619047619047</v>
      </c>
      <c r="AY6" s="21" t="s">
        <v>47</v>
      </c>
      <c r="AZ6" s="21">
        <v>0</v>
      </c>
      <c r="BA6" s="21" t="s">
        <v>48</v>
      </c>
      <c r="BB6" s="21">
        <v>2.23105E-2</v>
      </c>
      <c r="BC6" s="33">
        <v>0.2</v>
      </c>
      <c r="BE6" s="16"/>
    </row>
    <row r="7" spans="2:57" x14ac:dyDescent="0.2">
      <c r="B7" s="16"/>
      <c r="D7" s="11" t="s">
        <v>3</v>
      </c>
      <c r="E7" s="12">
        <f>VLOOKUP(LOWER(G4),experiments_specs!$A:$J,4,FALSE)</f>
        <v>2</v>
      </c>
      <c r="F7" s="15" t="s">
        <v>10</v>
      </c>
      <c r="G7" s="6" t="s">
        <v>12</v>
      </c>
      <c r="H7" s="19" t="s">
        <v>22</v>
      </c>
      <c r="I7" s="19">
        <v>0.1102635</v>
      </c>
      <c r="J7" s="19" t="s">
        <v>23</v>
      </c>
      <c r="K7" s="19">
        <v>1.0621200000000001E-2</v>
      </c>
      <c r="L7" s="31">
        <v>0.42857142857142855</v>
      </c>
      <c r="M7" s="22" t="s">
        <v>24</v>
      </c>
      <c r="N7" s="22">
        <v>5.5131699999999999E-2</v>
      </c>
      <c r="O7" s="22" t="s">
        <v>23</v>
      </c>
      <c r="P7" s="22">
        <v>1.0831500000000001E-2</v>
      </c>
      <c r="Q7" s="34">
        <v>0.42857142857142855</v>
      </c>
      <c r="S7" s="16"/>
      <c r="U7" s="16"/>
      <c r="W7" s="11" t="s">
        <v>3</v>
      </c>
      <c r="X7" s="12">
        <f>VLOOKUP(LOWER(Z4),experiments_specs!$A:$J,4,FALSE)</f>
        <v>2</v>
      </c>
      <c r="Y7" s="15" t="s">
        <v>70</v>
      </c>
      <c r="Z7" s="6" t="s">
        <v>12</v>
      </c>
      <c r="AA7" s="19" t="s">
        <v>22</v>
      </c>
      <c r="AB7" s="19">
        <v>0.1102635</v>
      </c>
      <c r="AC7" s="19" t="s">
        <v>23</v>
      </c>
      <c r="AD7" s="19">
        <v>6.0776999999999998E-2</v>
      </c>
      <c r="AE7" s="31">
        <v>0.42857142857142855</v>
      </c>
      <c r="AF7" s="22" t="s">
        <v>24</v>
      </c>
      <c r="AG7" s="22">
        <v>5.5131699999999999E-2</v>
      </c>
      <c r="AH7" s="22" t="s">
        <v>23</v>
      </c>
      <c r="AI7" s="22">
        <v>6.0776999999999998E-2</v>
      </c>
      <c r="AJ7" s="34">
        <v>0.42857142857142855</v>
      </c>
      <c r="AL7" s="16"/>
      <c r="AN7" s="16"/>
      <c r="AP7" s="11" t="s">
        <v>3</v>
      </c>
      <c r="AQ7" s="12">
        <f>VLOOKUP(LOWER(AS4),experiments_specs!$A:$J,4,FALSE)</f>
        <v>2</v>
      </c>
      <c r="AR7" s="15" t="s">
        <v>76</v>
      </c>
      <c r="AS7" s="6" t="s">
        <v>12</v>
      </c>
      <c r="AT7" s="19" t="s">
        <v>22</v>
      </c>
      <c r="AU7" s="19">
        <v>0.1102635</v>
      </c>
      <c r="AV7" s="19" t="s">
        <v>23</v>
      </c>
      <c r="AW7" s="19">
        <v>6.0776999999999998E-2</v>
      </c>
      <c r="AX7" s="31">
        <v>0.42857142857142855</v>
      </c>
      <c r="AY7" s="22" t="s">
        <v>24</v>
      </c>
      <c r="AZ7" s="22">
        <v>5.5131699999999999E-2</v>
      </c>
      <c r="BA7" s="22" t="s">
        <v>23</v>
      </c>
      <c r="BB7" s="22">
        <v>6.0776999999999998E-2</v>
      </c>
      <c r="BC7" s="34">
        <v>0.42857142857142855</v>
      </c>
      <c r="BE7" s="16"/>
    </row>
    <row r="8" spans="2:57" x14ac:dyDescent="0.2">
      <c r="B8" s="16"/>
      <c r="D8" s="11" t="s">
        <v>4</v>
      </c>
      <c r="E8" s="12" t="str">
        <f>VLOOKUP(LOWER(G4),experiments_specs!$A:$J,5,FALSE)</f>
        <v>False</v>
      </c>
      <c r="F8" s="15" t="s">
        <v>10</v>
      </c>
      <c r="G8" s="6" t="s">
        <v>13</v>
      </c>
      <c r="H8" s="19" t="s">
        <v>199</v>
      </c>
      <c r="I8" s="19">
        <v>0.17025129999999999</v>
      </c>
      <c r="J8" s="19" t="s">
        <v>200</v>
      </c>
      <c r="K8" s="19">
        <v>8.7422000000000003E-3</v>
      </c>
      <c r="L8" s="31" t="s">
        <v>25</v>
      </c>
      <c r="M8" s="22" t="s">
        <v>201</v>
      </c>
      <c r="N8" s="22">
        <v>0</v>
      </c>
      <c r="O8" s="22" t="s">
        <v>200</v>
      </c>
      <c r="P8" s="22">
        <v>9.2478999999999999E-3</v>
      </c>
      <c r="Q8" s="34" t="s">
        <v>25</v>
      </c>
      <c r="S8" s="16"/>
      <c r="U8" s="16"/>
      <c r="W8" s="11" t="s">
        <v>4</v>
      </c>
      <c r="X8" s="12" t="str">
        <f>VLOOKUP(LOWER(Z4),experiments_specs!$A:$J,5,FALSE)</f>
        <v>True</v>
      </c>
      <c r="Y8" s="15" t="s">
        <v>70</v>
      </c>
      <c r="Z8" s="6" t="s">
        <v>13</v>
      </c>
      <c r="AA8" s="19" t="s">
        <v>32</v>
      </c>
      <c r="AB8" s="19">
        <v>0.14744189999999999</v>
      </c>
      <c r="AC8" s="19" t="s">
        <v>33</v>
      </c>
      <c r="AD8" s="19">
        <v>3.6860400000000001E-2</v>
      </c>
      <c r="AE8" s="31">
        <v>0.4</v>
      </c>
      <c r="AF8" s="22" t="s">
        <v>34</v>
      </c>
      <c r="AG8" s="22">
        <v>0</v>
      </c>
      <c r="AH8" s="22" t="s">
        <v>35</v>
      </c>
      <c r="AI8" s="22">
        <v>3.6860400000000001E-2</v>
      </c>
      <c r="AJ8" s="34" t="s">
        <v>25</v>
      </c>
      <c r="AL8" s="16"/>
      <c r="AN8" s="16"/>
      <c r="AP8" s="11" t="s">
        <v>4</v>
      </c>
      <c r="AQ8" s="12" t="str">
        <f>VLOOKUP(LOWER(AS4),experiments_specs!$A:$J,5,FALSE)</f>
        <v>True</v>
      </c>
      <c r="AR8" s="15" t="s">
        <v>76</v>
      </c>
      <c r="AS8" s="6" t="s">
        <v>13</v>
      </c>
      <c r="AT8" s="19" t="s">
        <v>326</v>
      </c>
      <c r="AU8" s="19">
        <v>0.10425719999999999</v>
      </c>
      <c r="AV8" s="19" t="s">
        <v>327</v>
      </c>
      <c r="AW8" s="19">
        <v>2.4573600000000001E-2</v>
      </c>
      <c r="AX8" s="31" t="s">
        <v>25</v>
      </c>
      <c r="AY8" s="22" t="s">
        <v>34</v>
      </c>
      <c r="AZ8" s="22">
        <v>0</v>
      </c>
      <c r="BA8" s="22" t="s">
        <v>35</v>
      </c>
      <c r="BB8" s="22">
        <v>3.0717000000000001E-2</v>
      </c>
      <c r="BC8" s="34" t="s">
        <v>25</v>
      </c>
      <c r="BE8" s="16"/>
    </row>
    <row r="9" spans="2:57" ht="34" x14ac:dyDescent="0.2">
      <c r="B9" s="16"/>
      <c r="D9" s="11" t="s">
        <v>5</v>
      </c>
      <c r="E9" s="12" t="str">
        <f>VLOOKUP(LOWER(G4),experiments_specs!$A:$J,6,FALSE)</f>
        <v>True</v>
      </c>
      <c r="F9" s="15" t="s">
        <v>10</v>
      </c>
      <c r="G9" s="6" t="s">
        <v>14</v>
      </c>
      <c r="H9" s="19" t="s">
        <v>202</v>
      </c>
      <c r="I9" s="19">
        <v>7.5485099999999999E-2</v>
      </c>
      <c r="J9" s="19" t="s">
        <v>203</v>
      </c>
      <c r="K9" s="19">
        <v>5.5317999999999999E-3</v>
      </c>
      <c r="L9" s="31">
        <v>0.14285714285714285</v>
      </c>
      <c r="M9" s="22" t="s">
        <v>204</v>
      </c>
      <c r="N9" s="22">
        <v>0</v>
      </c>
      <c r="O9" s="22" t="s">
        <v>205</v>
      </c>
      <c r="P9" s="22">
        <v>6.6150000000000002E-3</v>
      </c>
      <c r="Q9" s="34">
        <v>0.625</v>
      </c>
      <c r="S9" s="16"/>
      <c r="U9" s="16"/>
      <c r="W9" s="11" t="s">
        <v>5</v>
      </c>
      <c r="X9" s="12" t="str">
        <f>VLOOKUP(LOWER(Z4),experiments_specs!$A:$J,6,FALSE)</f>
        <v>True</v>
      </c>
      <c r="Y9" s="15" t="s">
        <v>70</v>
      </c>
      <c r="Z9" s="6" t="s">
        <v>14</v>
      </c>
      <c r="AA9" s="18" t="s">
        <v>181</v>
      </c>
      <c r="AB9" s="18" t="s">
        <v>268</v>
      </c>
      <c r="AC9" s="18" t="s">
        <v>182</v>
      </c>
      <c r="AD9" s="18" t="s">
        <v>270</v>
      </c>
      <c r="AE9" s="31">
        <v>0.33333333333333331</v>
      </c>
      <c r="AF9" s="23" t="s">
        <v>183</v>
      </c>
      <c r="AG9" s="23" t="s">
        <v>272</v>
      </c>
      <c r="AH9" s="23" t="s">
        <v>182</v>
      </c>
      <c r="AI9" s="23" t="s">
        <v>274</v>
      </c>
      <c r="AJ9" s="34">
        <v>0.33333333333333331</v>
      </c>
      <c r="AL9" s="16"/>
      <c r="AN9" s="16"/>
      <c r="AP9" s="11" t="s">
        <v>5</v>
      </c>
      <c r="AQ9" s="12" t="str">
        <f>VLOOKUP(LOWER(AS4),experiments_specs!$A:$J,6,FALSE)</f>
        <v>True</v>
      </c>
      <c r="AR9" s="15" t="s">
        <v>76</v>
      </c>
      <c r="AS9" s="6" t="s">
        <v>14</v>
      </c>
      <c r="AT9" s="18" t="s">
        <v>181</v>
      </c>
      <c r="AU9" s="18" t="s">
        <v>268</v>
      </c>
      <c r="AV9" s="18" t="s">
        <v>182</v>
      </c>
      <c r="AW9" s="18" t="s">
        <v>270</v>
      </c>
      <c r="AX9" s="31">
        <v>0.33333333333333331</v>
      </c>
      <c r="AY9" s="23" t="s">
        <v>183</v>
      </c>
      <c r="AZ9" s="23" t="s">
        <v>272</v>
      </c>
      <c r="BA9" s="23" t="s">
        <v>182</v>
      </c>
      <c r="BB9" s="23" t="s">
        <v>291</v>
      </c>
      <c r="BC9" s="34">
        <v>0.33333333333333331</v>
      </c>
      <c r="BE9" s="16"/>
    </row>
    <row r="10" spans="2:57" ht="34" x14ac:dyDescent="0.2">
      <c r="B10" s="16"/>
      <c r="D10" s="11" t="s">
        <v>6</v>
      </c>
      <c r="E10" s="12" t="str">
        <f>VLOOKUP(LOWER(G4),experiments_specs!$A:$J,7,FALSE)</f>
        <v>False</v>
      </c>
      <c r="F10" s="15" t="s">
        <v>10</v>
      </c>
      <c r="G10" s="6" t="s">
        <v>15</v>
      </c>
      <c r="H10" s="19" t="s">
        <v>26</v>
      </c>
      <c r="I10" s="19">
        <v>0.1561737</v>
      </c>
      <c r="J10" s="19" t="s">
        <v>27</v>
      </c>
      <c r="K10" s="19">
        <v>4.1098000000000003E-3</v>
      </c>
      <c r="L10" s="31">
        <v>0.16666666666666666</v>
      </c>
      <c r="M10" s="23" t="s">
        <v>184</v>
      </c>
      <c r="N10" s="23" t="s">
        <v>185</v>
      </c>
      <c r="O10" s="23" t="s">
        <v>187</v>
      </c>
      <c r="P10" s="23" t="s">
        <v>206</v>
      </c>
      <c r="Q10" s="34">
        <v>0.18181818181818182</v>
      </c>
      <c r="S10" s="16"/>
      <c r="U10" s="16"/>
      <c r="W10" s="11" t="s">
        <v>6</v>
      </c>
      <c r="X10" s="12" t="str">
        <f>VLOOKUP(LOWER(Z4),experiments_specs!$A:$J,7,FALSE)</f>
        <v>False</v>
      </c>
      <c r="Y10" s="15" t="s">
        <v>70</v>
      </c>
      <c r="Z10" s="6" t="s">
        <v>15</v>
      </c>
      <c r="AA10" s="19" t="s">
        <v>26</v>
      </c>
      <c r="AB10" s="19">
        <v>0.1561737</v>
      </c>
      <c r="AC10" s="19" t="s">
        <v>27</v>
      </c>
      <c r="AD10" s="19">
        <v>2.23105E-2</v>
      </c>
      <c r="AE10" s="31">
        <v>0.16666666666666666</v>
      </c>
      <c r="AF10" s="23" t="s">
        <v>184</v>
      </c>
      <c r="AG10" s="23" t="s">
        <v>185</v>
      </c>
      <c r="AH10" s="23" t="s">
        <v>187</v>
      </c>
      <c r="AI10" s="23" t="s">
        <v>276</v>
      </c>
      <c r="AJ10" s="34">
        <v>0.18181818181818182</v>
      </c>
      <c r="AL10" s="16"/>
      <c r="AN10" s="16"/>
      <c r="AP10" s="11" t="s">
        <v>6</v>
      </c>
      <c r="AQ10" s="12" t="str">
        <f>VLOOKUP(LOWER(AS4),experiments_specs!$A:$J,7,FALSE)</f>
        <v>False</v>
      </c>
      <c r="AR10" s="15" t="s">
        <v>76</v>
      </c>
      <c r="AS10" s="6" t="s">
        <v>15</v>
      </c>
      <c r="AT10" s="19" t="s">
        <v>26</v>
      </c>
      <c r="AU10" s="19">
        <v>0.1561737</v>
      </c>
      <c r="AV10" s="19" t="s">
        <v>27</v>
      </c>
      <c r="AW10" s="19">
        <v>2.23105E-2</v>
      </c>
      <c r="AX10" s="31">
        <v>0.16666666666666666</v>
      </c>
      <c r="AY10" s="23" t="s">
        <v>184</v>
      </c>
      <c r="AZ10" s="23" t="s">
        <v>185</v>
      </c>
      <c r="BA10" s="23" t="s">
        <v>187</v>
      </c>
      <c r="BB10" s="23" t="s">
        <v>276</v>
      </c>
      <c r="BC10" s="34">
        <v>0.18181818181818182</v>
      </c>
      <c r="BE10" s="16"/>
    </row>
    <row r="11" spans="2:57" ht="34" x14ac:dyDescent="0.2">
      <c r="B11" s="16"/>
      <c r="D11" s="11" t="s">
        <v>7</v>
      </c>
      <c r="E11" s="12" t="str">
        <f>VLOOKUP(LOWER(G4),experiments_specs!$A:$J,8,FALSE)</f>
        <v>False</v>
      </c>
      <c r="F11" s="15" t="s">
        <v>10</v>
      </c>
      <c r="G11" s="6" t="s">
        <v>16</v>
      </c>
      <c r="H11" s="19" t="s">
        <v>208</v>
      </c>
      <c r="I11" s="19">
        <v>0.1666666</v>
      </c>
      <c r="J11" s="19" t="s">
        <v>209</v>
      </c>
      <c r="K11" s="19">
        <v>3.7204E-3</v>
      </c>
      <c r="L11" s="31">
        <v>0.55555555555555558</v>
      </c>
      <c r="M11" s="23" t="s">
        <v>210</v>
      </c>
      <c r="N11" s="23" t="s">
        <v>212</v>
      </c>
      <c r="O11" s="23" t="s">
        <v>214</v>
      </c>
      <c r="P11" s="23" t="s">
        <v>216</v>
      </c>
      <c r="Q11" s="34">
        <v>0.13333333333333333</v>
      </c>
      <c r="S11" s="16"/>
      <c r="U11" s="16"/>
      <c r="W11" s="11" t="s">
        <v>7</v>
      </c>
      <c r="X11" s="12" t="str">
        <f>VLOOKUP(LOWER(Z4),experiments_specs!$A:$J,8,FALSE)</f>
        <v>False</v>
      </c>
      <c r="Y11" s="15" t="s">
        <v>70</v>
      </c>
      <c r="Z11" s="6" t="s">
        <v>16</v>
      </c>
      <c r="AA11" s="19" t="s">
        <v>39</v>
      </c>
      <c r="AB11" s="19">
        <v>6.4549700000000002E-2</v>
      </c>
      <c r="AC11" s="19" t="s">
        <v>40</v>
      </c>
      <c r="AD11" s="19">
        <v>1.91366E-2</v>
      </c>
      <c r="AE11" s="31">
        <v>0.22222222222222221</v>
      </c>
      <c r="AF11" s="23" t="s">
        <v>41</v>
      </c>
      <c r="AG11" s="23">
        <v>4.1666599999999998E-2</v>
      </c>
      <c r="AH11" s="23" t="s">
        <v>40</v>
      </c>
      <c r="AI11" s="23">
        <v>1.8556699999999999E-2</v>
      </c>
      <c r="AJ11" s="34">
        <v>0.22222222222222221</v>
      </c>
      <c r="AL11" s="16"/>
      <c r="AN11" s="16"/>
      <c r="AP11" s="11" t="s">
        <v>7</v>
      </c>
      <c r="AQ11" s="12" t="str">
        <f>VLOOKUP(LOWER(AS4),experiments_specs!$A:$J,8,FALSE)</f>
        <v>False</v>
      </c>
      <c r="AR11" s="15" t="s">
        <v>76</v>
      </c>
      <c r="AS11" s="6" t="s">
        <v>16</v>
      </c>
      <c r="AT11" s="19" t="s">
        <v>39</v>
      </c>
      <c r="AU11" s="19">
        <v>6.4549700000000002E-2</v>
      </c>
      <c r="AV11" s="19" t="s">
        <v>40</v>
      </c>
      <c r="AW11" s="19">
        <v>1.9753900000000001E-2</v>
      </c>
      <c r="AX11" s="31">
        <v>0.22222222222222221</v>
      </c>
      <c r="AY11" s="23" t="s">
        <v>41</v>
      </c>
      <c r="AZ11" s="23">
        <v>4.1666599999999998E-2</v>
      </c>
      <c r="BA11" s="23" t="s">
        <v>40</v>
      </c>
      <c r="BB11" s="23">
        <v>1.8556699999999999E-2</v>
      </c>
      <c r="BC11" s="34">
        <v>0.22222222222222221</v>
      </c>
      <c r="BE11" s="16"/>
    </row>
    <row r="12" spans="2:57" ht="51" x14ac:dyDescent="0.2">
      <c r="B12" s="16"/>
      <c r="D12" s="11" t="s">
        <v>8</v>
      </c>
      <c r="E12" s="12" t="str">
        <f>VLOOKUP(LOWER(G4),experiments_specs!$A:$J,9,FALSE)</f>
        <v>wup_similarity</v>
      </c>
      <c r="F12" s="15" t="s">
        <v>10</v>
      </c>
      <c r="G12" s="6" t="s">
        <v>17</v>
      </c>
      <c r="H12" s="19" t="s">
        <v>218</v>
      </c>
      <c r="I12" s="19">
        <v>0.18898219999999999</v>
      </c>
      <c r="J12" s="19" t="s">
        <v>219</v>
      </c>
      <c r="K12" s="19">
        <v>2.9648999999999999E-3</v>
      </c>
      <c r="L12" s="31">
        <v>0.13333333333333333</v>
      </c>
      <c r="M12" s="22" t="s">
        <v>220</v>
      </c>
      <c r="N12" s="22">
        <v>7.7151600000000001E-2</v>
      </c>
      <c r="O12" s="22" t="s">
        <v>221</v>
      </c>
      <c r="P12" s="22">
        <v>5.6293999999999997E-3</v>
      </c>
      <c r="Q12" s="34">
        <v>0.33333333333333331</v>
      </c>
      <c r="S12" s="16"/>
      <c r="U12" s="16"/>
      <c r="W12" s="11" t="s">
        <v>8</v>
      </c>
      <c r="X12" s="12" t="str">
        <f>VLOOKUP(LOWER(Z4),experiments_specs!$A:$J,9,FALSE)</f>
        <v>wup_similarity</v>
      </c>
      <c r="Y12" s="15" t="s">
        <v>70</v>
      </c>
      <c r="Z12" s="6" t="s">
        <v>17</v>
      </c>
      <c r="AA12" s="18" t="s">
        <v>278</v>
      </c>
      <c r="AB12" s="18" t="s">
        <v>280</v>
      </c>
      <c r="AC12" s="18" t="s">
        <v>189</v>
      </c>
      <c r="AD12" s="18" t="s">
        <v>282</v>
      </c>
      <c r="AE12" s="31">
        <v>0.30769230769230771</v>
      </c>
      <c r="AF12" s="23" t="s">
        <v>188</v>
      </c>
      <c r="AG12" s="23" t="s">
        <v>284</v>
      </c>
      <c r="AH12" s="23" t="s">
        <v>189</v>
      </c>
      <c r="AI12" s="23" t="s">
        <v>286</v>
      </c>
      <c r="AJ12" s="34">
        <v>0.30769230769230771</v>
      </c>
      <c r="AL12" s="16"/>
      <c r="AN12" s="16"/>
      <c r="AP12" s="11" t="s">
        <v>8</v>
      </c>
      <c r="AQ12" s="12" t="str">
        <f>VLOOKUP(LOWER(AS4),experiments_specs!$A:$J,9,FALSE)</f>
        <v>wup_similarity</v>
      </c>
      <c r="AR12" s="15" t="s">
        <v>76</v>
      </c>
      <c r="AS12" s="6" t="s">
        <v>17</v>
      </c>
      <c r="AT12" s="18" t="s">
        <v>278</v>
      </c>
      <c r="AU12" s="18" t="s">
        <v>280</v>
      </c>
      <c r="AV12" s="18" t="s">
        <v>189</v>
      </c>
      <c r="AW12" s="18" t="s">
        <v>286</v>
      </c>
      <c r="AX12" s="31">
        <v>0.30769230769230771</v>
      </c>
      <c r="AY12" s="23" t="s">
        <v>188</v>
      </c>
      <c r="AZ12" s="23" t="s">
        <v>284</v>
      </c>
      <c r="BA12" s="23" t="s">
        <v>189</v>
      </c>
      <c r="BB12" s="23" t="s">
        <v>286</v>
      </c>
      <c r="BC12" s="34">
        <v>0.30769230769230771</v>
      </c>
      <c r="BE12" s="16"/>
    </row>
    <row r="13" spans="2:57" x14ac:dyDescent="0.2">
      <c r="B13" s="16"/>
      <c r="D13" s="11" t="s">
        <v>9</v>
      </c>
      <c r="E13" s="12" t="str">
        <f>VLOOKUP(LOWER(G4),experiments_specs!$A:$J,10,FALSE)</f>
        <v>False</v>
      </c>
      <c r="F13" s="15" t="s">
        <v>10</v>
      </c>
      <c r="G13" s="7" t="s">
        <v>18</v>
      </c>
      <c r="H13" s="20" t="s">
        <v>222</v>
      </c>
      <c r="I13" s="20">
        <v>0.1105064</v>
      </c>
      <c r="J13" s="20" t="s">
        <v>223</v>
      </c>
      <c r="K13" s="20">
        <v>3.13E-3</v>
      </c>
      <c r="L13" s="32">
        <v>0.21052631578947367</v>
      </c>
      <c r="M13" s="24" t="s">
        <v>224</v>
      </c>
      <c r="N13" s="24">
        <v>7.7266699999999994E-2</v>
      </c>
      <c r="O13" s="24" t="s">
        <v>223</v>
      </c>
      <c r="P13" s="24">
        <v>3.4231999999999999E-3</v>
      </c>
      <c r="Q13" s="35">
        <v>0.21052631578947367</v>
      </c>
      <c r="S13" s="16"/>
      <c r="U13" s="16"/>
      <c r="W13" s="11" t="s">
        <v>9</v>
      </c>
      <c r="X13" s="12" t="str">
        <f>VLOOKUP(LOWER(Z4),experiments_specs!$A:$J,10,FALSE)</f>
        <v>False</v>
      </c>
      <c r="Y13" s="15" t="s">
        <v>70</v>
      </c>
      <c r="Z13" s="7" t="s">
        <v>18</v>
      </c>
      <c r="AA13" s="20" t="s">
        <v>44</v>
      </c>
      <c r="AB13" s="20">
        <v>3.5267199999999999E-2</v>
      </c>
      <c r="AC13" s="20" t="s">
        <v>45</v>
      </c>
      <c r="AD13" s="20">
        <v>1.8864300000000001E-2</v>
      </c>
      <c r="AE13" s="32">
        <v>0.21052631578947367</v>
      </c>
      <c r="AF13" s="24" t="s">
        <v>46</v>
      </c>
      <c r="AG13" s="24">
        <v>0</v>
      </c>
      <c r="AH13" s="24" t="s">
        <v>45</v>
      </c>
      <c r="AI13" s="24">
        <v>1.8864300000000001E-2</v>
      </c>
      <c r="AJ13" s="35">
        <v>0.21052631578947367</v>
      </c>
      <c r="AL13" s="16"/>
      <c r="AN13" s="16"/>
      <c r="AP13" s="11" t="s">
        <v>9</v>
      </c>
      <c r="AQ13" s="12" t="str">
        <f>VLOOKUP(LOWER(AS4),experiments_specs!$A:$J,10,FALSE)</f>
        <v>True</v>
      </c>
      <c r="AR13" s="15" t="s">
        <v>76</v>
      </c>
      <c r="AS13" s="7" t="s">
        <v>18</v>
      </c>
      <c r="AT13" s="20" t="s">
        <v>44</v>
      </c>
      <c r="AU13" s="20">
        <v>3.5267199999999999E-2</v>
      </c>
      <c r="AV13" s="20" t="s">
        <v>45</v>
      </c>
      <c r="AW13" s="20">
        <v>1.8864300000000001E-2</v>
      </c>
      <c r="AX13" s="32">
        <v>0.21052631578947367</v>
      </c>
      <c r="AY13" s="24" t="s">
        <v>46</v>
      </c>
      <c r="AZ13" s="24">
        <v>0</v>
      </c>
      <c r="BA13" s="24" t="s">
        <v>45</v>
      </c>
      <c r="BB13" s="24">
        <v>1.8864300000000001E-2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TEST_02</v>
      </c>
      <c r="H15" s="41" t="s">
        <v>124</v>
      </c>
      <c r="I15" s="41"/>
      <c r="J15" s="41"/>
      <c r="K15" s="41"/>
      <c r="L15" s="41"/>
      <c r="M15" s="42" t="s">
        <v>123</v>
      </c>
      <c r="N15" s="42"/>
      <c r="O15" s="42"/>
      <c r="P15" s="42"/>
      <c r="Q15" s="42"/>
      <c r="R15" s="2"/>
      <c r="S15" s="16"/>
      <c r="U15" s="16"/>
      <c r="W15" s="13" t="s">
        <v>126</v>
      </c>
      <c r="X15" s="14"/>
      <c r="Y15" s="9"/>
      <c r="Z15" s="10" t="str">
        <f>"TEST_"&amp;TEXT(RIGHT(Z4,2)+1, "00")</f>
        <v>TEST_08</v>
      </c>
      <c r="AA15" s="41" t="s">
        <v>124</v>
      </c>
      <c r="AB15" s="41"/>
      <c r="AC15" s="41"/>
      <c r="AD15" s="41"/>
      <c r="AE15" s="41"/>
      <c r="AF15" s="42" t="s">
        <v>123</v>
      </c>
      <c r="AG15" s="42"/>
      <c r="AH15" s="42"/>
      <c r="AI15" s="42"/>
      <c r="AJ15" s="42"/>
      <c r="AK15" s="2"/>
      <c r="AL15" s="16"/>
      <c r="AN15" s="16"/>
      <c r="AP15" s="13" t="s">
        <v>126</v>
      </c>
      <c r="AQ15" s="14"/>
      <c r="AR15" s="9"/>
      <c r="AS15" s="10" t="str">
        <f>"TEST_"&amp;TEXT(RIGHT(AS4,2)+1, "00")</f>
        <v>TEST_14</v>
      </c>
      <c r="AT15" s="41" t="s">
        <v>124</v>
      </c>
      <c r="AU15" s="41"/>
      <c r="AV15" s="41"/>
      <c r="AW15" s="41"/>
      <c r="AX15" s="41"/>
      <c r="AY15" s="42" t="s">
        <v>123</v>
      </c>
      <c r="AZ15" s="42"/>
      <c r="BA15" s="42"/>
      <c r="BB15" s="42"/>
      <c r="BC15" s="42"/>
      <c r="BD15" s="2"/>
      <c r="BE15" s="16"/>
    </row>
    <row r="16" spans="2:57" x14ac:dyDescent="0.2">
      <c r="B16" s="16"/>
      <c r="D16" s="11" t="s">
        <v>1</v>
      </c>
      <c r="E16" s="12" t="str">
        <f>VLOOKUP(LOWER(G15),experiments_specs!$A:$J,2,FALSE)</f>
        <v>NN,JJ</v>
      </c>
      <c r="F16" s="15" t="str">
        <f>"{"&amp;LOWER(G15)&amp;".csv}"</f>
        <v>{test_02.csv}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VLOOKUP(LOWER(Z15),experiments_specs!$A:$J,2,FALSE)</f>
        <v>NN,JJ</v>
      </c>
      <c r="Y16" s="15" t="str">
        <f>"{"&amp;LOWER(Z15)&amp;".csv}"</f>
        <v>{test_08.csv}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VLOOKUP(LOWER(AS15),experiments_specs!$A:$J,2,FALSE)</f>
        <v>NN,JJ</v>
      </c>
      <c r="AR16" s="15" t="str">
        <f>"{"&amp;LOWER(AS15)&amp;".csv}"</f>
        <v>{test_14.csv}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17" x14ac:dyDescent="0.2">
      <c r="B17" s="16"/>
      <c r="D17" s="11" t="s">
        <v>2</v>
      </c>
      <c r="E17" s="12">
        <f>VLOOKUP(LOWER(G15),experiments_specs!$A:$J,3,FALSE)</f>
        <v>1</v>
      </c>
      <c r="F17" s="15" t="s">
        <v>60</v>
      </c>
      <c r="G17" s="5" t="s">
        <v>19</v>
      </c>
      <c r="H17" s="17" t="s">
        <v>225</v>
      </c>
      <c r="I17" s="17">
        <v>0.14126440000000001</v>
      </c>
      <c r="J17" s="17" t="s">
        <v>226</v>
      </c>
      <c r="K17" s="17">
        <v>2.8078999999999999E-3</v>
      </c>
      <c r="L17" s="30">
        <v>0.17391304347826086</v>
      </c>
      <c r="M17" s="21" t="s">
        <v>227</v>
      </c>
      <c r="N17" s="21">
        <v>0</v>
      </c>
      <c r="O17" s="21" t="s">
        <v>228</v>
      </c>
      <c r="P17" s="21">
        <v>5.4796999999999997E-3</v>
      </c>
      <c r="Q17" s="33">
        <v>0.11764705882352941</v>
      </c>
      <c r="S17" s="16"/>
      <c r="U17" s="16"/>
      <c r="W17" s="11" t="s">
        <v>2</v>
      </c>
      <c r="X17" s="12">
        <f>VLOOKUP(LOWER(Z15),experiments_specs!$A:$J,3,FALSE)</f>
        <v>1</v>
      </c>
      <c r="Y17" s="15" t="s">
        <v>71</v>
      </c>
      <c r="Z17" s="5" t="s">
        <v>19</v>
      </c>
      <c r="AA17" s="17" t="s">
        <v>225</v>
      </c>
      <c r="AB17" s="17">
        <v>0.14126440000000001</v>
      </c>
      <c r="AC17" s="17" t="s">
        <v>226</v>
      </c>
      <c r="AD17" s="17">
        <v>2.6177499999999999E-2</v>
      </c>
      <c r="AE17" s="30">
        <v>0.17391304347826086</v>
      </c>
      <c r="AF17" s="21" t="s">
        <v>288</v>
      </c>
      <c r="AG17" s="21">
        <v>0.139686</v>
      </c>
      <c r="AH17" s="21" t="s">
        <v>226</v>
      </c>
      <c r="AI17" s="21">
        <v>3.68864E-2</v>
      </c>
      <c r="AJ17" s="33">
        <v>0.17391304347826086</v>
      </c>
      <c r="AL17" s="16"/>
      <c r="AN17" s="16"/>
      <c r="AP17" s="11" t="s">
        <v>2</v>
      </c>
      <c r="AQ17" s="12">
        <f>VLOOKUP(LOWER(AS15),experiments_specs!$A:$J,3,FALSE)</f>
        <v>1</v>
      </c>
      <c r="AR17" s="15" t="s">
        <v>77</v>
      </c>
      <c r="AS17" s="5" t="s">
        <v>19</v>
      </c>
      <c r="AT17" s="17" t="s">
        <v>225</v>
      </c>
      <c r="AU17" s="17">
        <v>0.14126440000000001</v>
      </c>
      <c r="AV17" s="17" t="s">
        <v>226</v>
      </c>
      <c r="AW17" s="17">
        <v>2.7982799999999999E-2</v>
      </c>
      <c r="AX17" s="30">
        <v>0.17391304347826086</v>
      </c>
      <c r="AY17" s="21" t="s">
        <v>288</v>
      </c>
      <c r="AZ17" s="21">
        <v>0.139686</v>
      </c>
      <c r="BA17" s="21" t="s">
        <v>226</v>
      </c>
      <c r="BB17" s="21">
        <v>2.89822E-2</v>
      </c>
      <c r="BC17" s="33">
        <v>0.17391304347826086</v>
      </c>
      <c r="BE17" s="16"/>
    </row>
    <row r="18" spans="2:57" x14ac:dyDescent="0.2">
      <c r="B18" s="16"/>
      <c r="D18" s="11" t="s">
        <v>3</v>
      </c>
      <c r="E18" s="12">
        <f>VLOOKUP(LOWER(G15),experiments_specs!$A:$J,4,FALSE)</f>
        <v>2</v>
      </c>
      <c r="F18" s="15" t="s">
        <v>60</v>
      </c>
      <c r="G18" s="6" t="s">
        <v>12</v>
      </c>
      <c r="H18" s="19" t="s">
        <v>22</v>
      </c>
      <c r="I18" s="19">
        <v>0.1102635</v>
      </c>
      <c r="J18" s="19" t="s">
        <v>23</v>
      </c>
      <c r="K18" s="19">
        <v>5.2849000000000004E-3</v>
      </c>
      <c r="L18" s="31">
        <v>0.42857142857142855</v>
      </c>
      <c r="M18" s="22" t="s">
        <v>24</v>
      </c>
      <c r="N18" s="22">
        <v>5.5131699999999999E-2</v>
      </c>
      <c r="O18" s="22" t="s">
        <v>23</v>
      </c>
      <c r="P18" s="22">
        <v>8.8223999999999993E-3</v>
      </c>
      <c r="Q18" s="34">
        <v>0.42857142857142855</v>
      </c>
      <c r="S18" s="16"/>
      <c r="U18" s="16"/>
      <c r="W18" s="11" t="s">
        <v>3</v>
      </c>
      <c r="X18" s="12">
        <f>VLOOKUP(LOWER(Z15),experiments_specs!$A:$J,4,FALSE)</f>
        <v>2</v>
      </c>
      <c r="Y18" s="15" t="s">
        <v>71</v>
      </c>
      <c r="Z18" s="6" t="s">
        <v>12</v>
      </c>
      <c r="AA18" s="19" t="s">
        <v>22</v>
      </c>
      <c r="AB18" s="19">
        <v>0.1102635</v>
      </c>
      <c r="AC18" s="19" t="s">
        <v>23</v>
      </c>
      <c r="AD18" s="19">
        <v>3.6466199999999997E-2</v>
      </c>
      <c r="AE18" s="31">
        <v>0.42857142857142855</v>
      </c>
      <c r="AF18" s="22" t="s">
        <v>24</v>
      </c>
      <c r="AG18" s="22">
        <v>5.5131699999999999E-2</v>
      </c>
      <c r="AH18" s="22" t="s">
        <v>23</v>
      </c>
      <c r="AI18" s="22">
        <v>5.7578200000000003E-2</v>
      </c>
      <c r="AJ18" s="34">
        <v>0.42857142857142855</v>
      </c>
      <c r="AL18" s="16"/>
      <c r="AN18" s="16"/>
      <c r="AP18" s="11" t="s">
        <v>3</v>
      </c>
      <c r="AQ18" s="12">
        <f>VLOOKUP(LOWER(AS15),experiments_specs!$A:$J,4,FALSE)</f>
        <v>2</v>
      </c>
      <c r="AR18" s="15" t="s">
        <v>77</v>
      </c>
      <c r="AS18" s="6" t="s">
        <v>12</v>
      </c>
      <c r="AT18" s="19" t="s">
        <v>22</v>
      </c>
      <c r="AU18" s="19">
        <v>0.1102635</v>
      </c>
      <c r="AV18" s="19" t="s">
        <v>23</v>
      </c>
      <c r="AW18" s="19">
        <v>4.9726699999999999E-2</v>
      </c>
      <c r="AX18" s="31">
        <v>0.42857142857142855</v>
      </c>
      <c r="AY18" s="22" t="s">
        <v>24</v>
      </c>
      <c r="AZ18" s="22">
        <v>5.5131699999999999E-2</v>
      </c>
      <c r="BA18" s="22" t="s">
        <v>23</v>
      </c>
      <c r="BB18" s="22">
        <v>4.9726699999999999E-2</v>
      </c>
      <c r="BC18" s="34">
        <v>0.42857142857142855</v>
      </c>
      <c r="BE18" s="16"/>
    </row>
    <row r="19" spans="2:57" x14ac:dyDescent="0.2">
      <c r="B19" s="16"/>
      <c r="D19" s="11" t="s">
        <v>4</v>
      </c>
      <c r="E19" s="12" t="str">
        <f>VLOOKUP(LOWER(G15),experiments_specs!$A:$J,5,FALSE)</f>
        <v>False</v>
      </c>
      <c r="F19" s="15" t="s">
        <v>60</v>
      </c>
      <c r="G19" s="6" t="s">
        <v>13</v>
      </c>
      <c r="H19" s="19" t="s">
        <v>199</v>
      </c>
      <c r="I19" s="19">
        <v>0.17025129999999999</v>
      </c>
      <c r="J19" s="19" t="s">
        <v>200</v>
      </c>
      <c r="K19" s="19">
        <v>6.6213000000000001E-3</v>
      </c>
      <c r="L19" s="31" t="s">
        <v>25</v>
      </c>
      <c r="M19" s="22" t="s">
        <v>201</v>
      </c>
      <c r="N19" s="22">
        <v>0</v>
      </c>
      <c r="O19" s="22" t="s">
        <v>200</v>
      </c>
      <c r="P19" s="22">
        <v>9.2478999999999999E-3</v>
      </c>
      <c r="Q19" s="34" t="s">
        <v>25</v>
      </c>
      <c r="S19" s="16"/>
      <c r="U19" s="16"/>
      <c r="W19" s="11" t="s">
        <v>4</v>
      </c>
      <c r="X19" s="12" t="str">
        <f>VLOOKUP(LOWER(Z15),experiments_specs!$A:$J,5,FALSE)</f>
        <v>True</v>
      </c>
      <c r="Y19" s="15" t="s">
        <v>71</v>
      </c>
      <c r="Z19" s="6" t="s">
        <v>13</v>
      </c>
      <c r="AA19" s="19" t="s">
        <v>32</v>
      </c>
      <c r="AB19" s="19">
        <v>0.14744189999999999</v>
      </c>
      <c r="AC19" s="19" t="s">
        <v>33</v>
      </c>
      <c r="AD19" s="19">
        <v>2.4573600000000001E-2</v>
      </c>
      <c r="AE19" s="31">
        <v>0.4</v>
      </c>
      <c r="AF19" s="22" t="s">
        <v>34</v>
      </c>
      <c r="AG19" s="22">
        <v>0</v>
      </c>
      <c r="AH19" s="22" t="s">
        <v>35</v>
      </c>
      <c r="AI19" s="22">
        <v>3.6860400000000001E-2</v>
      </c>
      <c r="AJ19" s="34" t="s">
        <v>25</v>
      </c>
      <c r="AL19" s="16"/>
      <c r="AN19" s="16"/>
      <c r="AP19" s="11" t="s">
        <v>4</v>
      </c>
      <c r="AQ19" s="12" t="str">
        <f>VLOOKUP(LOWER(AS15),experiments_specs!$A:$J,5,FALSE)</f>
        <v>True</v>
      </c>
      <c r="AR19" s="15" t="s">
        <v>77</v>
      </c>
      <c r="AS19" s="6" t="s">
        <v>13</v>
      </c>
      <c r="AT19" s="19" t="s">
        <v>326</v>
      </c>
      <c r="AU19" s="19">
        <v>0.10425719999999999</v>
      </c>
      <c r="AV19" s="19" t="s">
        <v>327</v>
      </c>
      <c r="AW19" s="19">
        <v>2.4573600000000001E-2</v>
      </c>
      <c r="AX19" s="31" t="s">
        <v>25</v>
      </c>
      <c r="AY19" s="22" t="s">
        <v>34</v>
      </c>
      <c r="AZ19" s="22">
        <v>0</v>
      </c>
      <c r="BA19" s="22" t="s">
        <v>35</v>
      </c>
      <c r="BB19" s="22">
        <v>3.0717000000000001E-2</v>
      </c>
      <c r="BC19" s="34" t="s">
        <v>25</v>
      </c>
      <c r="BE19" s="16"/>
    </row>
    <row r="20" spans="2:57" ht="34" x14ac:dyDescent="0.2">
      <c r="B20" s="16"/>
      <c r="D20" s="11" t="s">
        <v>5</v>
      </c>
      <c r="E20" s="12" t="str">
        <f>VLOOKUP(LOWER(G15),experiments_specs!$A:$J,6,FALSE)</f>
        <v>True</v>
      </c>
      <c r="F20" s="15" t="s">
        <v>60</v>
      </c>
      <c r="G20" s="6" t="s">
        <v>14</v>
      </c>
      <c r="H20" s="19" t="s">
        <v>202</v>
      </c>
      <c r="I20" s="19">
        <v>7.5485099999999999E-2</v>
      </c>
      <c r="J20" s="19" t="s">
        <v>203</v>
      </c>
      <c r="K20" s="19">
        <v>4.2995999999999998E-3</v>
      </c>
      <c r="L20" s="31">
        <v>0.14285714285714285</v>
      </c>
      <c r="M20" s="22" t="s">
        <v>204</v>
      </c>
      <c r="N20" s="22">
        <v>0</v>
      </c>
      <c r="O20" s="22" t="s">
        <v>205</v>
      </c>
      <c r="P20" s="22">
        <v>6.0454999999999997E-3</v>
      </c>
      <c r="Q20" s="34">
        <v>0.625</v>
      </c>
      <c r="S20" s="16"/>
      <c r="U20" s="16"/>
      <c r="W20" s="11" t="s">
        <v>5</v>
      </c>
      <c r="X20" s="12" t="str">
        <f>VLOOKUP(LOWER(Z15),experiments_specs!$A:$J,6,FALSE)</f>
        <v>True</v>
      </c>
      <c r="Y20" s="15" t="s">
        <v>71</v>
      </c>
      <c r="Z20" s="6" t="s">
        <v>14</v>
      </c>
      <c r="AA20" s="18" t="s">
        <v>181</v>
      </c>
      <c r="AB20" s="18" t="s">
        <v>268</v>
      </c>
      <c r="AC20" s="18" t="s">
        <v>182</v>
      </c>
      <c r="AD20" s="18" t="s">
        <v>289</v>
      </c>
      <c r="AE20" s="31">
        <v>0.33333333333333331</v>
      </c>
      <c r="AF20" s="23" t="s">
        <v>183</v>
      </c>
      <c r="AG20" s="23" t="s">
        <v>272</v>
      </c>
      <c r="AH20" s="23" t="s">
        <v>182</v>
      </c>
      <c r="AI20" s="23" t="s">
        <v>291</v>
      </c>
      <c r="AJ20" s="34">
        <v>0.33333333333333331</v>
      </c>
      <c r="AL20" s="16"/>
      <c r="AN20" s="16"/>
      <c r="AP20" s="11" t="s">
        <v>5</v>
      </c>
      <c r="AQ20" s="12" t="str">
        <f>VLOOKUP(LOWER(AS15),experiments_specs!$A:$J,6,FALSE)</f>
        <v>True</v>
      </c>
      <c r="AR20" s="15" t="s">
        <v>77</v>
      </c>
      <c r="AS20" s="6" t="s">
        <v>14</v>
      </c>
      <c r="AT20" s="18" t="s">
        <v>181</v>
      </c>
      <c r="AU20" s="18" t="s">
        <v>268</v>
      </c>
      <c r="AV20" s="18" t="s">
        <v>182</v>
      </c>
      <c r="AW20" s="18" t="s">
        <v>328</v>
      </c>
      <c r="AX20" s="31">
        <v>0.33333333333333331</v>
      </c>
      <c r="AY20" s="23" t="s">
        <v>183</v>
      </c>
      <c r="AZ20" s="23" t="s">
        <v>272</v>
      </c>
      <c r="BA20" s="23" t="s">
        <v>182</v>
      </c>
      <c r="BB20" s="23" t="s">
        <v>330</v>
      </c>
      <c r="BC20" s="34">
        <v>0.33333333333333331</v>
      </c>
      <c r="BE20" s="16"/>
    </row>
    <row r="21" spans="2:57" ht="34" x14ac:dyDescent="0.2">
      <c r="B21" s="16"/>
      <c r="D21" s="11" t="s">
        <v>6</v>
      </c>
      <c r="E21" s="12" t="str">
        <f>VLOOKUP(LOWER(G15),experiments_specs!$A:$J,7,FALSE)</f>
        <v>False</v>
      </c>
      <c r="F21" s="15" t="s">
        <v>60</v>
      </c>
      <c r="G21" s="6" t="s">
        <v>15</v>
      </c>
      <c r="H21" s="19" t="s">
        <v>26</v>
      </c>
      <c r="I21" s="19">
        <v>0.1561737</v>
      </c>
      <c r="J21" s="19" t="s">
        <v>27</v>
      </c>
      <c r="K21" s="19">
        <v>4.0458999999999998E-3</v>
      </c>
      <c r="L21" s="31">
        <v>0.16666666666666666</v>
      </c>
      <c r="M21" s="23" t="s">
        <v>184</v>
      </c>
      <c r="N21" s="23" t="s">
        <v>185</v>
      </c>
      <c r="O21" s="23" t="s">
        <v>187</v>
      </c>
      <c r="P21" s="23" t="s">
        <v>229</v>
      </c>
      <c r="Q21" s="34">
        <v>0.18181818181818182</v>
      </c>
      <c r="S21" s="16"/>
      <c r="U21" s="16"/>
      <c r="W21" s="11" t="s">
        <v>6</v>
      </c>
      <c r="X21" s="12" t="str">
        <f>VLOOKUP(LOWER(Z15),experiments_specs!$A:$J,7,FALSE)</f>
        <v>False</v>
      </c>
      <c r="Y21" s="15" t="s">
        <v>71</v>
      </c>
      <c r="Z21" s="6" t="s">
        <v>15</v>
      </c>
      <c r="AA21" s="19" t="s">
        <v>26</v>
      </c>
      <c r="AB21" s="19">
        <v>0.1561737</v>
      </c>
      <c r="AC21" s="19" t="s">
        <v>27</v>
      </c>
      <c r="AD21" s="19">
        <v>2.03704E-2</v>
      </c>
      <c r="AE21" s="31">
        <v>0.16666666666666666</v>
      </c>
      <c r="AF21" s="23" t="s">
        <v>15</v>
      </c>
      <c r="AG21" s="23">
        <v>0.1770844</v>
      </c>
      <c r="AH21" s="23" t="s">
        <v>293</v>
      </c>
      <c r="AI21" s="23">
        <v>3.9910300000000003E-2</v>
      </c>
      <c r="AJ21" s="34">
        <v>0.90909090909090906</v>
      </c>
      <c r="AL21" s="16"/>
      <c r="AN21" s="16"/>
      <c r="AP21" s="11" t="s">
        <v>6</v>
      </c>
      <c r="AQ21" s="12" t="str">
        <f>VLOOKUP(LOWER(AS15),experiments_specs!$A:$J,7,FALSE)</f>
        <v>False</v>
      </c>
      <c r="AR21" s="15" t="s">
        <v>77</v>
      </c>
      <c r="AS21" s="6" t="s">
        <v>15</v>
      </c>
      <c r="AT21" s="19" t="s">
        <v>26</v>
      </c>
      <c r="AU21" s="19">
        <v>0.1561737</v>
      </c>
      <c r="AV21" s="19" t="s">
        <v>27</v>
      </c>
      <c r="AW21" s="19">
        <v>2.3425999999999999E-2</v>
      </c>
      <c r="AX21" s="31">
        <v>0.16666666666666666</v>
      </c>
      <c r="AY21" s="23" t="s">
        <v>15</v>
      </c>
      <c r="AZ21" s="23">
        <v>0.1770844</v>
      </c>
      <c r="BA21" s="23" t="s">
        <v>293</v>
      </c>
      <c r="BB21" s="23">
        <v>3.9910300000000003E-2</v>
      </c>
      <c r="BC21" s="34">
        <v>0.90909090909090906</v>
      </c>
      <c r="BE21" s="16"/>
    </row>
    <row r="22" spans="2:57" ht="34" x14ac:dyDescent="0.2">
      <c r="B22" s="16"/>
      <c r="D22" s="11" t="s">
        <v>7</v>
      </c>
      <c r="E22" s="12" t="str">
        <f>VLOOKUP(LOWER(G15),experiments_specs!$A:$J,8,FALSE)</f>
        <v>False</v>
      </c>
      <c r="F22" s="15" t="s">
        <v>60</v>
      </c>
      <c r="G22" s="6" t="s">
        <v>16</v>
      </c>
      <c r="H22" s="19" t="s">
        <v>208</v>
      </c>
      <c r="I22" s="19">
        <v>0.1666666</v>
      </c>
      <c r="J22" s="19" t="s">
        <v>209</v>
      </c>
      <c r="K22" s="19">
        <v>2.9521999999999999E-3</v>
      </c>
      <c r="L22" s="31">
        <v>0.55555555555555558</v>
      </c>
      <c r="M22" s="23" t="s">
        <v>210</v>
      </c>
      <c r="N22" s="23" t="s">
        <v>212</v>
      </c>
      <c r="O22" s="23" t="s">
        <v>214</v>
      </c>
      <c r="P22" s="23" t="s">
        <v>231</v>
      </c>
      <c r="Q22" s="34">
        <v>0.13333333333333333</v>
      </c>
      <c r="S22" s="16"/>
      <c r="U22" s="16"/>
      <c r="W22" s="11" t="s">
        <v>7</v>
      </c>
      <c r="X22" s="12" t="str">
        <f>VLOOKUP(LOWER(Z15),experiments_specs!$A:$J,8,FALSE)</f>
        <v>False</v>
      </c>
      <c r="Y22" s="15" t="s">
        <v>71</v>
      </c>
      <c r="Z22" s="6" t="s">
        <v>16</v>
      </c>
      <c r="AA22" s="19" t="s">
        <v>39</v>
      </c>
      <c r="AB22" s="19">
        <v>6.4549700000000002E-2</v>
      </c>
      <c r="AC22" s="19" t="s">
        <v>40</v>
      </c>
      <c r="AD22" s="19">
        <v>1.7010299999999999E-2</v>
      </c>
      <c r="AE22" s="31">
        <v>0.22222222222222221</v>
      </c>
      <c r="AF22" s="23" t="s">
        <v>41</v>
      </c>
      <c r="AG22" s="23">
        <v>4.1666599999999998E-2</v>
      </c>
      <c r="AH22" s="23" t="s">
        <v>40</v>
      </c>
      <c r="AI22" s="23">
        <v>1.80109E-2</v>
      </c>
      <c r="AJ22" s="34">
        <v>0.22222222222222221</v>
      </c>
      <c r="AL22" s="16"/>
      <c r="AN22" s="16"/>
      <c r="AP22" s="11" t="s">
        <v>7</v>
      </c>
      <c r="AQ22" s="12" t="str">
        <f>VLOOKUP(LOWER(AS15),experiments_specs!$A:$J,8,FALSE)</f>
        <v>False</v>
      </c>
      <c r="AR22" s="15" t="s">
        <v>77</v>
      </c>
      <c r="AS22" s="6" t="s">
        <v>16</v>
      </c>
      <c r="AT22" s="19" t="s">
        <v>39</v>
      </c>
      <c r="AU22" s="19">
        <v>6.4549700000000002E-2</v>
      </c>
      <c r="AV22" s="19" t="s">
        <v>40</v>
      </c>
      <c r="AW22" s="19">
        <v>1.91366E-2</v>
      </c>
      <c r="AX22" s="31">
        <v>0.22222222222222221</v>
      </c>
      <c r="AY22" s="23" t="s">
        <v>41</v>
      </c>
      <c r="AZ22" s="23">
        <v>4.1666599999999998E-2</v>
      </c>
      <c r="BA22" s="23" t="s">
        <v>40</v>
      </c>
      <c r="BB22" s="23">
        <v>1.80109E-2</v>
      </c>
      <c r="BC22" s="34">
        <v>0.22222222222222221</v>
      </c>
      <c r="BE22" s="16"/>
    </row>
    <row r="23" spans="2:57" ht="51" x14ac:dyDescent="0.2">
      <c r="B23" s="16"/>
      <c r="D23" s="11" t="s">
        <v>8</v>
      </c>
      <c r="E23" s="12" t="str">
        <f>VLOOKUP(LOWER(G15),experiments_specs!$A:$J,9,FALSE)</f>
        <v>wup_similarity</v>
      </c>
      <c r="F23" s="15" t="s">
        <v>60</v>
      </c>
      <c r="G23" s="6" t="s">
        <v>17</v>
      </c>
      <c r="H23" s="19" t="s">
        <v>218</v>
      </c>
      <c r="I23" s="19">
        <v>0.18898219999999999</v>
      </c>
      <c r="J23" s="19" t="s">
        <v>219</v>
      </c>
      <c r="K23" s="19">
        <v>2.7277E-3</v>
      </c>
      <c r="L23" s="31">
        <v>0.13333333333333333</v>
      </c>
      <c r="M23" s="22" t="s">
        <v>220</v>
      </c>
      <c r="N23" s="22">
        <v>7.7151600000000001E-2</v>
      </c>
      <c r="O23" s="22" t="s">
        <v>221</v>
      </c>
      <c r="P23" s="22">
        <v>5.5649000000000002E-3</v>
      </c>
      <c r="Q23" s="34">
        <v>0.33333333333333331</v>
      </c>
      <c r="S23" s="16"/>
      <c r="U23" s="16"/>
      <c r="W23" s="11" t="s">
        <v>8</v>
      </c>
      <c r="X23" s="12" t="str">
        <f>VLOOKUP(LOWER(Z15),experiments_specs!$A:$J,9,FALSE)</f>
        <v>wup_similarity</v>
      </c>
      <c r="Y23" s="15" t="s">
        <v>71</v>
      </c>
      <c r="Z23" s="6" t="s">
        <v>17</v>
      </c>
      <c r="AA23" s="18" t="s">
        <v>278</v>
      </c>
      <c r="AB23" s="18" t="s">
        <v>280</v>
      </c>
      <c r="AC23" s="18" t="s">
        <v>189</v>
      </c>
      <c r="AD23" s="18" t="s">
        <v>294</v>
      </c>
      <c r="AE23" s="31">
        <v>0.30769230769230771</v>
      </c>
      <c r="AF23" s="23" t="s">
        <v>188</v>
      </c>
      <c r="AG23" s="23" t="s">
        <v>284</v>
      </c>
      <c r="AH23" s="23" t="s">
        <v>189</v>
      </c>
      <c r="AI23" s="23" t="s">
        <v>282</v>
      </c>
      <c r="AJ23" s="34">
        <v>0.30769230769230771</v>
      </c>
      <c r="AL23" s="16"/>
      <c r="AN23" s="16"/>
      <c r="AP23" s="11" t="s">
        <v>8</v>
      </c>
      <c r="AQ23" s="12" t="str">
        <f>VLOOKUP(LOWER(AS15),experiments_specs!$A:$J,9,FALSE)</f>
        <v>wup_similarity</v>
      </c>
      <c r="AR23" s="15" t="s">
        <v>77</v>
      </c>
      <c r="AS23" s="6" t="s">
        <v>17</v>
      </c>
      <c r="AT23" s="18" t="s">
        <v>278</v>
      </c>
      <c r="AU23" s="18" t="s">
        <v>280</v>
      </c>
      <c r="AV23" s="18" t="s">
        <v>189</v>
      </c>
      <c r="AW23" s="18" t="s">
        <v>332</v>
      </c>
      <c r="AX23" s="31">
        <v>0.30769230769230771</v>
      </c>
      <c r="AY23" s="23" t="s">
        <v>188</v>
      </c>
      <c r="AZ23" s="23" t="s">
        <v>284</v>
      </c>
      <c r="BA23" s="23" t="s">
        <v>189</v>
      </c>
      <c r="BB23" s="23" t="s">
        <v>332</v>
      </c>
      <c r="BC23" s="34">
        <v>0.30769230769230771</v>
      </c>
      <c r="BE23" s="16"/>
    </row>
    <row r="24" spans="2:57" x14ac:dyDescent="0.2">
      <c r="B24" s="16"/>
      <c r="D24" s="11" t="s">
        <v>9</v>
      </c>
      <c r="E24" s="12" t="str">
        <f>VLOOKUP(LOWER(G15),experiments_specs!$A:$J,10,FALSE)</f>
        <v>False</v>
      </c>
      <c r="F24" s="15" t="s">
        <v>60</v>
      </c>
      <c r="G24" s="7" t="s">
        <v>18</v>
      </c>
      <c r="H24" s="20" t="s">
        <v>222</v>
      </c>
      <c r="I24" s="20">
        <v>0.1105064</v>
      </c>
      <c r="J24" s="20" t="s">
        <v>223</v>
      </c>
      <c r="K24" s="20">
        <v>2.2725000000000002E-3</v>
      </c>
      <c r="L24" s="32">
        <v>0.21052631578947367</v>
      </c>
      <c r="M24" s="24" t="s">
        <v>224</v>
      </c>
      <c r="N24" s="24">
        <v>7.7266699999999994E-2</v>
      </c>
      <c r="O24" s="24" t="s">
        <v>223</v>
      </c>
      <c r="P24" s="24">
        <v>2.8830000000000001E-3</v>
      </c>
      <c r="Q24" s="35">
        <v>0.21052631578947367</v>
      </c>
      <c r="S24" s="16"/>
      <c r="U24" s="16"/>
      <c r="W24" s="11" t="s">
        <v>9</v>
      </c>
      <c r="X24" s="12" t="str">
        <f>VLOOKUP(LOWER(Z15),experiments_specs!$A:$J,10,FALSE)</f>
        <v>False</v>
      </c>
      <c r="Y24" s="15" t="s">
        <v>71</v>
      </c>
      <c r="Z24" s="7" t="s">
        <v>18</v>
      </c>
      <c r="AA24" s="20" t="s">
        <v>44</v>
      </c>
      <c r="AB24" s="20">
        <v>3.5267199999999999E-2</v>
      </c>
      <c r="AC24" s="20" t="s">
        <v>45</v>
      </c>
      <c r="AD24" s="20">
        <v>1.30895E-2</v>
      </c>
      <c r="AE24" s="32">
        <v>0.21052631578947367</v>
      </c>
      <c r="AF24" s="24" t="s">
        <v>46</v>
      </c>
      <c r="AG24" s="24">
        <v>0</v>
      </c>
      <c r="AH24" s="24" t="s">
        <v>45</v>
      </c>
      <c r="AI24" s="24">
        <v>1.6878600000000001E-2</v>
      </c>
      <c r="AJ24" s="35">
        <v>0.21052631578947367</v>
      </c>
      <c r="AL24" s="16"/>
      <c r="AN24" s="16"/>
      <c r="AP24" s="11" t="s">
        <v>9</v>
      </c>
      <c r="AQ24" s="12" t="str">
        <f>VLOOKUP(LOWER(AS15),experiments_specs!$A:$J,10,FALSE)</f>
        <v>True</v>
      </c>
      <c r="AR24" s="15" t="s">
        <v>77</v>
      </c>
      <c r="AS24" s="7" t="s">
        <v>18</v>
      </c>
      <c r="AT24" s="20" t="s">
        <v>44</v>
      </c>
      <c r="AU24" s="20">
        <v>3.5267199999999999E-2</v>
      </c>
      <c r="AV24" s="20" t="s">
        <v>45</v>
      </c>
      <c r="AW24" s="20">
        <v>1.7334800000000001E-2</v>
      </c>
      <c r="AX24" s="32">
        <v>0.21052631578947367</v>
      </c>
      <c r="AY24" s="24" t="s">
        <v>46</v>
      </c>
      <c r="AZ24" s="24">
        <v>0</v>
      </c>
      <c r="BA24" s="24" t="s">
        <v>45</v>
      </c>
      <c r="BB24" s="24">
        <v>1.7334800000000001E-2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TEST_03</v>
      </c>
      <c r="H26" s="41" t="s">
        <v>124</v>
      </c>
      <c r="I26" s="41"/>
      <c r="J26" s="41"/>
      <c r="K26" s="41"/>
      <c r="L26" s="41"/>
      <c r="M26" s="42" t="s">
        <v>123</v>
      </c>
      <c r="N26" s="42"/>
      <c r="O26" s="42"/>
      <c r="P26" s="42"/>
      <c r="Q26" s="42"/>
      <c r="R26" s="2"/>
      <c r="S26" s="16"/>
      <c r="U26" s="16"/>
      <c r="W26" s="13" t="s">
        <v>126</v>
      </c>
      <c r="X26" s="14"/>
      <c r="Y26" s="9"/>
      <c r="Z26" s="10" t="str">
        <f>"TEST_"&amp;TEXT(RIGHT(Z15,2)+1, "00")</f>
        <v>TEST_09</v>
      </c>
      <c r="AA26" s="41" t="s">
        <v>124</v>
      </c>
      <c r="AB26" s="41"/>
      <c r="AC26" s="41"/>
      <c r="AD26" s="41"/>
      <c r="AE26" s="41"/>
      <c r="AF26" s="42" t="s">
        <v>123</v>
      </c>
      <c r="AG26" s="42"/>
      <c r="AH26" s="42"/>
      <c r="AI26" s="42"/>
      <c r="AJ26" s="42"/>
      <c r="AK26" s="2"/>
      <c r="AL26" s="16"/>
      <c r="AN26" s="16"/>
      <c r="AP26" s="13" t="s">
        <v>126</v>
      </c>
      <c r="AQ26" s="14"/>
      <c r="AR26" s="9"/>
      <c r="AS26" s="10" t="str">
        <f>"TEST_"&amp;TEXT(RIGHT(AS15,2)+1, "00")</f>
        <v>TEST_15</v>
      </c>
      <c r="AT26" s="41" t="s">
        <v>124</v>
      </c>
      <c r="AU26" s="41"/>
      <c r="AV26" s="41"/>
      <c r="AW26" s="41"/>
      <c r="AX26" s="41"/>
      <c r="AY26" s="42" t="s">
        <v>123</v>
      </c>
      <c r="AZ26" s="42"/>
      <c r="BA26" s="42"/>
      <c r="BB26" s="42"/>
      <c r="BC26" s="42"/>
      <c r="BD26" s="2"/>
      <c r="BE26" s="16"/>
    </row>
    <row r="27" spans="2:57" x14ac:dyDescent="0.2">
      <c r="B27" s="16"/>
      <c r="D27" s="11" t="s">
        <v>1</v>
      </c>
      <c r="E27" s="12" t="str">
        <f>VLOOKUP(LOWER(G26),experiments_specs!$A:$J,2,FALSE)</f>
        <v>NN,VB</v>
      </c>
      <c r="F27" s="15" t="str">
        <f>"{"&amp;LOWER(G26)&amp;".csv}"</f>
        <v>{test_03.csv}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VLOOKUP(LOWER(Z26),experiments_specs!$A:$J,2,FALSE)</f>
        <v>NN,VB</v>
      </c>
      <c r="Y27" s="15" t="str">
        <f>"{"&amp;LOWER(Z26)&amp;".csv}"</f>
        <v>{test_09.csv}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VLOOKUP(LOWER(AS26),experiments_specs!$A:$J,2,FALSE)</f>
        <v>NN,VB</v>
      </c>
      <c r="AR27" s="15" t="str">
        <f>"{"&amp;LOWER(AS26)&amp;".csv}"</f>
        <v>{test_15.csv}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34" x14ac:dyDescent="0.2">
      <c r="B28" s="16"/>
      <c r="D28" s="11" t="s">
        <v>2</v>
      </c>
      <c r="E28" s="12">
        <f>VLOOKUP(LOWER(G26),experiments_specs!$A:$J,3,FALSE)</f>
        <v>1</v>
      </c>
      <c r="F28" s="15" t="s">
        <v>62</v>
      </c>
      <c r="G28" s="5" t="s">
        <v>19</v>
      </c>
      <c r="H28" s="17" t="s">
        <v>179</v>
      </c>
      <c r="I28" s="17" t="s">
        <v>193</v>
      </c>
      <c r="J28" s="17" t="s">
        <v>180</v>
      </c>
      <c r="K28" s="17" t="s">
        <v>233</v>
      </c>
      <c r="L28" s="30">
        <v>0.19047619047619047</v>
      </c>
      <c r="M28" s="21" t="s">
        <v>197</v>
      </c>
      <c r="N28" s="21">
        <v>0</v>
      </c>
      <c r="O28" s="21" t="s">
        <v>198</v>
      </c>
      <c r="P28" s="21">
        <v>5.4070999999999998E-3</v>
      </c>
      <c r="Q28" s="33">
        <v>9.5238095238095233E-2</v>
      </c>
      <c r="S28" s="16"/>
      <c r="U28" s="16"/>
      <c r="W28" s="11" t="s">
        <v>2</v>
      </c>
      <c r="X28" s="12">
        <f>VLOOKUP(LOWER(Z26),experiments_specs!$A:$J,3,FALSE)</f>
        <v>1</v>
      </c>
      <c r="Y28" s="15" t="s">
        <v>72</v>
      </c>
      <c r="Z28" s="5" t="s">
        <v>19</v>
      </c>
      <c r="AA28" s="17" t="s">
        <v>179</v>
      </c>
      <c r="AB28" s="17" t="s">
        <v>193</v>
      </c>
      <c r="AC28" s="17" t="s">
        <v>180</v>
      </c>
      <c r="AD28" s="17" t="s">
        <v>296</v>
      </c>
      <c r="AE28" s="30">
        <v>0.19047619047619047</v>
      </c>
      <c r="AF28" s="21" t="s">
        <v>47</v>
      </c>
      <c r="AG28" s="21">
        <v>0</v>
      </c>
      <c r="AH28" s="21" t="s">
        <v>48</v>
      </c>
      <c r="AI28" s="21">
        <v>2.3425999999999999E-2</v>
      </c>
      <c r="AJ28" s="33">
        <v>0.2</v>
      </c>
      <c r="AL28" s="16"/>
      <c r="AN28" s="16"/>
      <c r="AP28" s="11" t="s">
        <v>2</v>
      </c>
      <c r="AQ28" s="12">
        <f>VLOOKUP(LOWER(AS26),experiments_specs!$A:$J,3,FALSE)</f>
        <v>1</v>
      </c>
      <c r="AR28" s="15" t="s">
        <v>78</v>
      </c>
      <c r="AS28" s="5" t="s">
        <v>19</v>
      </c>
      <c r="AT28" s="17" t="s">
        <v>179</v>
      </c>
      <c r="AU28" s="17" t="s">
        <v>193</v>
      </c>
      <c r="AV28" s="17" t="s">
        <v>180</v>
      </c>
      <c r="AW28" s="17" t="s">
        <v>296</v>
      </c>
      <c r="AX28" s="30">
        <v>0.19047619047619047</v>
      </c>
      <c r="AY28" s="21" t="s">
        <v>47</v>
      </c>
      <c r="AZ28" s="21">
        <v>0</v>
      </c>
      <c r="BA28" s="21" t="s">
        <v>48</v>
      </c>
      <c r="BB28" s="21">
        <v>2.12964E-2</v>
      </c>
      <c r="BC28" s="33">
        <v>0.2</v>
      </c>
      <c r="BE28" s="16"/>
    </row>
    <row r="29" spans="2:57" x14ac:dyDescent="0.2">
      <c r="B29" s="16"/>
      <c r="D29" s="11" t="s">
        <v>3</v>
      </c>
      <c r="E29" s="12">
        <f>VLOOKUP(LOWER(G26),experiments_specs!$A:$J,4,FALSE)</f>
        <v>2</v>
      </c>
      <c r="F29" s="15" t="s">
        <v>62</v>
      </c>
      <c r="G29" s="6" t="s">
        <v>12</v>
      </c>
      <c r="H29" s="19" t="s">
        <v>22</v>
      </c>
      <c r="I29" s="19">
        <v>0.1102635</v>
      </c>
      <c r="J29" s="19" t="s">
        <v>23</v>
      </c>
      <c r="K29" s="19">
        <v>4.7980999999999996E-3</v>
      </c>
      <c r="L29" s="31">
        <v>0.42857142857142855</v>
      </c>
      <c r="M29" s="22" t="s">
        <v>235</v>
      </c>
      <c r="N29" s="22">
        <v>0</v>
      </c>
      <c r="O29" s="22" t="s">
        <v>236</v>
      </c>
      <c r="P29" s="22">
        <v>8.6350999999999997E-3</v>
      </c>
      <c r="Q29" s="34">
        <v>0.125</v>
      </c>
      <c r="S29" s="16"/>
      <c r="U29" s="16"/>
      <c r="W29" s="11" t="s">
        <v>3</v>
      </c>
      <c r="X29" s="12">
        <f>VLOOKUP(LOWER(Z26),experiments_specs!$A:$J,4,FALSE)</f>
        <v>2</v>
      </c>
      <c r="Y29" s="15" t="s">
        <v>72</v>
      </c>
      <c r="Z29" s="6" t="s">
        <v>12</v>
      </c>
      <c r="AA29" s="19" t="s">
        <v>22</v>
      </c>
      <c r="AB29" s="19">
        <v>0.1102635</v>
      </c>
      <c r="AC29" s="19" t="s">
        <v>23</v>
      </c>
      <c r="AD29" s="19">
        <v>3.6466199999999997E-2</v>
      </c>
      <c r="AE29" s="31">
        <v>0.42857142857142855</v>
      </c>
      <c r="AF29" s="22" t="s">
        <v>24</v>
      </c>
      <c r="AG29" s="22">
        <v>5.5131699999999999E-2</v>
      </c>
      <c r="AH29" s="22" t="s">
        <v>23</v>
      </c>
      <c r="AI29" s="22">
        <v>4.0517999999999998E-2</v>
      </c>
      <c r="AJ29" s="34">
        <v>0.42857142857142855</v>
      </c>
      <c r="AL29" s="16"/>
      <c r="AN29" s="16"/>
      <c r="AP29" s="11" t="s">
        <v>3</v>
      </c>
      <c r="AQ29" s="12">
        <f>VLOOKUP(LOWER(AS26),experiments_specs!$A:$J,4,FALSE)</f>
        <v>2</v>
      </c>
      <c r="AR29" s="15" t="s">
        <v>78</v>
      </c>
      <c r="AS29" s="6" t="s">
        <v>12</v>
      </c>
      <c r="AT29" s="19" t="s">
        <v>22</v>
      </c>
      <c r="AU29" s="19">
        <v>0.1102635</v>
      </c>
      <c r="AV29" s="19" t="s">
        <v>23</v>
      </c>
      <c r="AW29" s="19">
        <v>4.7564599999999999E-2</v>
      </c>
      <c r="AX29" s="31">
        <v>0.42857142857142855</v>
      </c>
      <c r="AY29" s="22" t="s">
        <v>24</v>
      </c>
      <c r="AZ29" s="22">
        <v>5.5131699999999999E-2</v>
      </c>
      <c r="BA29" s="22" t="s">
        <v>23</v>
      </c>
      <c r="BB29" s="22">
        <v>4.7564599999999999E-2</v>
      </c>
      <c r="BC29" s="34">
        <v>0.42857142857142855</v>
      </c>
      <c r="BE29" s="16"/>
    </row>
    <row r="30" spans="2:57" ht="34" x14ac:dyDescent="0.2">
      <c r="B30" s="16"/>
      <c r="D30" s="11" t="s">
        <v>4</v>
      </c>
      <c r="E30" s="12" t="str">
        <f>VLOOKUP(LOWER(G26),experiments_specs!$A:$J,5,FALSE)</f>
        <v>False</v>
      </c>
      <c r="F30" s="15" t="s">
        <v>62</v>
      </c>
      <c r="G30" s="6" t="s">
        <v>13</v>
      </c>
      <c r="H30" s="19" t="s">
        <v>199</v>
      </c>
      <c r="I30" s="19">
        <v>0.17025129999999999</v>
      </c>
      <c r="J30" s="19" t="s">
        <v>200</v>
      </c>
      <c r="K30" s="19">
        <v>6.9245000000000001E-3</v>
      </c>
      <c r="L30" s="31" t="s">
        <v>25</v>
      </c>
      <c r="M30" s="22" t="s">
        <v>201</v>
      </c>
      <c r="N30" s="22">
        <v>0</v>
      </c>
      <c r="O30" s="22" t="s">
        <v>200</v>
      </c>
      <c r="P30" s="22">
        <v>7.6854000000000002E-3</v>
      </c>
      <c r="Q30" s="34" t="s">
        <v>25</v>
      </c>
      <c r="S30" s="16"/>
      <c r="U30" s="16"/>
      <c r="W30" s="11" t="s">
        <v>4</v>
      </c>
      <c r="X30" s="12" t="str">
        <f>VLOOKUP(LOWER(Z26),experiments_specs!$A:$J,5,FALSE)</f>
        <v>True</v>
      </c>
      <c r="Y30" s="15" t="s">
        <v>72</v>
      </c>
      <c r="Z30" s="6" t="s">
        <v>13</v>
      </c>
      <c r="AA30" s="19" t="s">
        <v>32</v>
      </c>
      <c r="AB30" s="19">
        <v>0.14744189999999999</v>
      </c>
      <c r="AC30" s="19" t="s">
        <v>33</v>
      </c>
      <c r="AD30" s="19">
        <v>3.3509499999999998E-2</v>
      </c>
      <c r="AE30" s="31">
        <v>0.4</v>
      </c>
      <c r="AF30" s="22" t="s">
        <v>34</v>
      </c>
      <c r="AG30" s="22">
        <v>0</v>
      </c>
      <c r="AH30" s="22" t="s">
        <v>35</v>
      </c>
      <c r="AI30" s="22">
        <v>2.83542E-2</v>
      </c>
      <c r="AJ30" s="34" t="s">
        <v>25</v>
      </c>
      <c r="AL30" s="16"/>
      <c r="AN30" s="16"/>
      <c r="AP30" s="11" t="s">
        <v>4</v>
      </c>
      <c r="AQ30" s="12" t="str">
        <f>VLOOKUP(LOWER(AS26),experiments_specs!$A:$J,5,FALSE)</f>
        <v>True</v>
      </c>
      <c r="AR30" s="15" t="s">
        <v>78</v>
      </c>
      <c r="AS30" s="6" t="s">
        <v>13</v>
      </c>
      <c r="AT30" s="19" t="s">
        <v>326</v>
      </c>
      <c r="AU30" s="19">
        <v>0.10425719999999999</v>
      </c>
      <c r="AV30" s="19" t="s">
        <v>327</v>
      </c>
      <c r="AW30" s="19">
        <v>2.5420999999999999E-2</v>
      </c>
      <c r="AX30" s="31" t="s">
        <v>25</v>
      </c>
      <c r="AY30" s="23" t="s">
        <v>334</v>
      </c>
      <c r="AZ30" s="23" t="s">
        <v>185</v>
      </c>
      <c r="BA30" s="23" t="s">
        <v>336</v>
      </c>
      <c r="BB30" s="23" t="s">
        <v>338</v>
      </c>
      <c r="BC30" s="34" t="s">
        <v>25</v>
      </c>
      <c r="BE30" s="16"/>
    </row>
    <row r="31" spans="2:57" ht="34" x14ac:dyDescent="0.2">
      <c r="B31" s="16"/>
      <c r="D31" s="11" t="s">
        <v>5</v>
      </c>
      <c r="E31" s="12" t="str">
        <f>VLOOKUP(LOWER(G26),experiments_specs!$A:$J,6,FALSE)</f>
        <v>True</v>
      </c>
      <c r="F31" s="15" t="s">
        <v>62</v>
      </c>
      <c r="G31" s="6" t="s">
        <v>14</v>
      </c>
      <c r="H31" s="19" t="s">
        <v>202</v>
      </c>
      <c r="I31" s="19">
        <v>7.5485099999999999E-2</v>
      </c>
      <c r="J31" s="19" t="s">
        <v>203</v>
      </c>
      <c r="K31" s="19">
        <v>4.9037999999999998E-3</v>
      </c>
      <c r="L31" s="31">
        <v>0.14285714285714285</v>
      </c>
      <c r="M31" s="22" t="s">
        <v>204</v>
      </c>
      <c r="N31" s="22">
        <v>0</v>
      </c>
      <c r="O31" s="22" t="s">
        <v>205</v>
      </c>
      <c r="P31" s="22">
        <v>5.7775999999999999E-3</v>
      </c>
      <c r="Q31" s="34">
        <v>0.625</v>
      </c>
      <c r="S31" s="16"/>
      <c r="U31" s="16"/>
      <c r="W31" s="11" t="s">
        <v>5</v>
      </c>
      <c r="X31" s="12" t="str">
        <f>VLOOKUP(LOWER(Z26),experiments_specs!$A:$J,6,FALSE)</f>
        <v>True</v>
      </c>
      <c r="Y31" s="15" t="s">
        <v>72</v>
      </c>
      <c r="Z31" s="6" t="s">
        <v>14</v>
      </c>
      <c r="AA31" s="18" t="s">
        <v>181</v>
      </c>
      <c r="AB31" s="18" t="s">
        <v>268</v>
      </c>
      <c r="AC31" s="18" t="s">
        <v>182</v>
      </c>
      <c r="AD31" s="18" t="s">
        <v>298</v>
      </c>
      <c r="AE31" s="31">
        <v>0.33333333333333331</v>
      </c>
      <c r="AF31" s="23" t="s">
        <v>183</v>
      </c>
      <c r="AG31" s="23" t="s">
        <v>272</v>
      </c>
      <c r="AH31" s="23" t="s">
        <v>182</v>
      </c>
      <c r="AI31" s="23" t="s">
        <v>300</v>
      </c>
      <c r="AJ31" s="34">
        <v>0.33333333333333331</v>
      </c>
      <c r="AL31" s="16"/>
      <c r="AN31" s="16"/>
      <c r="AP31" s="11" t="s">
        <v>5</v>
      </c>
      <c r="AQ31" s="12" t="str">
        <f>VLOOKUP(LOWER(AS26),experiments_specs!$A:$J,6,FALSE)</f>
        <v>True</v>
      </c>
      <c r="AR31" s="15" t="s">
        <v>78</v>
      </c>
      <c r="AS31" s="6" t="s">
        <v>14</v>
      </c>
      <c r="AT31" s="18" t="s">
        <v>181</v>
      </c>
      <c r="AU31" s="18" t="s">
        <v>268</v>
      </c>
      <c r="AV31" s="18" t="s">
        <v>182</v>
      </c>
      <c r="AW31" s="18" t="s">
        <v>298</v>
      </c>
      <c r="AX31" s="31">
        <v>0.33333333333333331</v>
      </c>
      <c r="AY31" s="23" t="s">
        <v>183</v>
      </c>
      <c r="AZ31" s="23" t="s">
        <v>272</v>
      </c>
      <c r="BA31" s="23" t="s">
        <v>182</v>
      </c>
      <c r="BB31" s="23" t="s">
        <v>270</v>
      </c>
      <c r="BC31" s="34">
        <v>0.33333333333333331</v>
      </c>
      <c r="BE31" s="16"/>
    </row>
    <row r="32" spans="2:57" ht="34" x14ac:dyDescent="0.2">
      <c r="B32" s="16"/>
      <c r="D32" s="11" t="s">
        <v>6</v>
      </c>
      <c r="E32" s="12" t="str">
        <f>VLOOKUP(LOWER(G26),experiments_specs!$A:$J,7,FALSE)</f>
        <v>False</v>
      </c>
      <c r="F32" s="15" t="s">
        <v>62</v>
      </c>
      <c r="G32" s="6" t="s">
        <v>15</v>
      </c>
      <c r="H32" s="19" t="s">
        <v>237</v>
      </c>
      <c r="I32" s="19">
        <v>0</v>
      </c>
      <c r="J32" s="19" t="s">
        <v>238</v>
      </c>
      <c r="K32" s="19">
        <v>2.8833999999999999E-3</v>
      </c>
      <c r="L32" s="31">
        <v>0.2</v>
      </c>
      <c r="M32" s="23" t="s">
        <v>239</v>
      </c>
      <c r="N32" s="23" t="s">
        <v>185</v>
      </c>
      <c r="O32" s="23" t="s">
        <v>241</v>
      </c>
      <c r="P32" s="23" t="s">
        <v>243</v>
      </c>
      <c r="Q32" s="34">
        <v>0.2</v>
      </c>
      <c r="S32" s="16"/>
      <c r="U32" s="16"/>
      <c r="W32" s="11" t="s">
        <v>6</v>
      </c>
      <c r="X32" s="12" t="str">
        <f>VLOOKUP(LOWER(Z26),experiments_specs!$A:$J,7,FALSE)</f>
        <v>False</v>
      </c>
      <c r="Y32" s="15" t="s">
        <v>72</v>
      </c>
      <c r="Z32" s="6" t="s">
        <v>15</v>
      </c>
      <c r="AA32" s="19" t="s">
        <v>26</v>
      </c>
      <c r="AB32" s="19">
        <v>0.1561737</v>
      </c>
      <c r="AC32" s="19" t="s">
        <v>27</v>
      </c>
      <c r="AD32" s="19">
        <v>1.5617300000000001E-2</v>
      </c>
      <c r="AE32" s="31">
        <v>0.16666666666666666</v>
      </c>
      <c r="AF32" s="23" t="s">
        <v>184</v>
      </c>
      <c r="AG32" s="23" t="s">
        <v>185</v>
      </c>
      <c r="AH32" s="23" t="s">
        <v>187</v>
      </c>
      <c r="AI32" s="23" t="s">
        <v>302</v>
      </c>
      <c r="AJ32" s="34">
        <v>0.18181818181818182</v>
      </c>
      <c r="AL32" s="16"/>
      <c r="AN32" s="16"/>
      <c r="AP32" s="11" t="s">
        <v>6</v>
      </c>
      <c r="AQ32" s="12" t="str">
        <f>VLOOKUP(LOWER(AS26),experiments_specs!$A:$J,7,FALSE)</f>
        <v>False</v>
      </c>
      <c r="AR32" s="15" t="s">
        <v>78</v>
      </c>
      <c r="AS32" s="6" t="s">
        <v>15</v>
      </c>
      <c r="AT32" s="19" t="s">
        <v>26</v>
      </c>
      <c r="AU32" s="19">
        <v>0.1561737</v>
      </c>
      <c r="AV32" s="19" t="s">
        <v>27</v>
      </c>
      <c r="AW32" s="19">
        <v>1.9521699999999999E-2</v>
      </c>
      <c r="AX32" s="31">
        <v>0.16666666666666666</v>
      </c>
      <c r="AY32" s="23" t="s">
        <v>184</v>
      </c>
      <c r="AZ32" s="23" t="s">
        <v>185</v>
      </c>
      <c r="BA32" s="23" t="s">
        <v>187</v>
      </c>
      <c r="BB32" s="23" t="s">
        <v>340</v>
      </c>
      <c r="BC32" s="34">
        <v>0.18181818181818182</v>
      </c>
      <c r="BE32" s="16"/>
    </row>
    <row r="33" spans="2:57" ht="17" x14ac:dyDescent="0.2">
      <c r="B33" s="16"/>
      <c r="D33" s="11" t="s">
        <v>7</v>
      </c>
      <c r="E33" s="12" t="str">
        <f>VLOOKUP(LOWER(G26),experiments_specs!$A:$J,8,FALSE)</f>
        <v>False</v>
      </c>
      <c r="F33" s="15" t="s">
        <v>62</v>
      </c>
      <c r="G33" s="6" t="s">
        <v>16</v>
      </c>
      <c r="H33" s="19" t="s">
        <v>208</v>
      </c>
      <c r="I33" s="19">
        <v>0.1666666</v>
      </c>
      <c r="J33" s="19" t="s">
        <v>209</v>
      </c>
      <c r="K33" s="19">
        <v>3.4708999999999999E-3</v>
      </c>
      <c r="L33" s="31">
        <v>0.55555555555555558</v>
      </c>
      <c r="M33" s="23" t="s">
        <v>227</v>
      </c>
      <c r="N33" s="23">
        <v>0</v>
      </c>
      <c r="O33" s="23" t="s">
        <v>245</v>
      </c>
      <c r="P33" s="23">
        <v>5.7819999999999998E-3</v>
      </c>
      <c r="Q33" s="34">
        <v>0.14285714285714285</v>
      </c>
      <c r="S33" s="16"/>
      <c r="U33" s="16"/>
      <c r="W33" s="11" t="s">
        <v>7</v>
      </c>
      <c r="X33" s="12" t="str">
        <f>VLOOKUP(LOWER(Z26),experiments_specs!$A:$J,8,FALSE)</f>
        <v>False</v>
      </c>
      <c r="Y33" s="15" t="s">
        <v>72</v>
      </c>
      <c r="Z33" s="6" t="s">
        <v>16</v>
      </c>
      <c r="AA33" s="19" t="s">
        <v>39</v>
      </c>
      <c r="AB33" s="19">
        <v>6.4549700000000002E-2</v>
      </c>
      <c r="AC33" s="19" t="s">
        <v>40</v>
      </c>
      <c r="AD33" s="19">
        <v>2.01438E-2</v>
      </c>
      <c r="AE33" s="31">
        <v>0.22222222222222221</v>
      </c>
      <c r="AF33" s="23" t="s">
        <v>41</v>
      </c>
      <c r="AG33" s="23">
        <v>4.1666599999999998E-2</v>
      </c>
      <c r="AH33" s="23" t="s">
        <v>40</v>
      </c>
      <c r="AI33" s="23">
        <v>2.01438E-2</v>
      </c>
      <c r="AJ33" s="34">
        <v>0.22222222222222221</v>
      </c>
      <c r="AL33" s="16"/>
      <c r="AN33" s="16"/>
      <c r="AP33" s="11" t="s">
        <v>7</v>
      </c>
      <c r="AQ33" s="12" t="str">
        <f>VLOOKUP(LOWER(AS26),experiments_specs!$A:$J,8,FALSE)</f>
        <v>False</v>
      </c>
      <c r="AR33" s="15" t="s">
        <v>78</v>
      </c>
      <c r="AS33" s="6" t="s">
        <v>16</v>
      </c>
      <c r="AT33" s="19" t="s">
        <v>39</v>
      </c>
      <c r="AU33" s="19">
        <v>6.4549700000000002E-2</v>
      </c>
      <c r="AV33" s="19" t="s">
        <v>40</v>
      </c>
      <c r="AW33" s="19">
        <v>2.1870400000000002E-2</v>
      </c>
      <c r="AX33" s="31">
        <v>0.22222222222222221</v>
      </c>
      <c r="AY33" s="23" t="s">
        <v>41</v>
      </c>
      <c r="AZ33" s="23">
        <v>4.1666599999999998E-2</v>
      </c>
      <c r="BA33" s="23" t="s">
        <v>40</v>
      </c>
      <c r="BB33" s="23">
        <v>2.06882E-2</v>
      </c>
      <c r="BC33" s="34">
        <v>0.22222222222222221</v>
      </c>
      <c r="BE33" s="16"/>
    </row>
    <row r="34" spans="2:57" ht="51" x14ac:dyDescent="0.2">
      <c r="B34" s="16"/>
      <c r="D34" s="11" t="s">
        <v>8</v>
      </c>
      <c r="E34" s="12" t="str">
        <f>VLOOKUP(LOWER(G26),experiments_specs!$A:$J,9,FALSE)</f>
        <v>wup_similarity</v>
      </c>
      <c r="F34" s="15" t="s">
        <v>62</v>
      </c>
      <c r="G34" s="6" t="s">
        <v>17</v>
      </c>
      <c r="H34" s="19" t="s">
        <v>218</v>
      </c>
      <c r="I34" s="19">
        <v>0.18898219999999999</v>
      </c>
      <c r="J34" s="19" t="s">
        <v>219</v>
      </c>
      <c r="K34" s="19">
        <v>3.7780000000000001E-3</v>
      </c>
      <c r="L34" s="31">
        <v>0.13333333333333333</v>
      </c>
      <c r="M34" s="22" t="s">
        <v>246</v>
      </c>
      <c r="N34" s="22">
        <v>0</v>
      </c>
      <c r="O34" s="22" t="s">
        <v>247</v>
      </c>
      <c r="P34" s="22">
        <v>7.7631999999999996E-3</v>
      </c>
      <c r="Q34" s="34">
        <v>0.14285714285714285</v>
      </c>
      <c r="S34" s="16"/>
      <c r="U34" s="16"/>
      <c r="W34" s="11" t="s">
        <v>8</v>
      </c>
      <c r="X34" s="12" t="str">
        <f>VLOOKUP(LOWER(Z26),experiments_specs!$A:$J,9,FALSE)</f>
        <v>wup_similarity</v>
      </c>
      <c r="Y34" s="15" t="s">
        <v>72</v>
      </c>
      <c r="Z34" s="6" t="s">
        <v>17</v>
      </c>
      <c r="AA34" s="19" t="s">
        <v>30</v>
      </c>
      <c r="AB34" s="19">
        <v>0.1028688</v>
      </c>
      <c r="AC34" s="19" t="s">
        <v>31</v>
      </c>
      <c r="AD34" s="19">
        <v>3.0860599999999998E-2</v>
      </c>
      <c r="AE34" s="31">
        <v>0.22222222222222221</v>
      </c>
      <c r="AF34" s="23" t="s">
        <v>188</v>
      </c>
      <c r="AG34" s="23" t="s">
        <v>284</v>
      </c>
      <c r="AH34" s="23" t="s">
        <v>189</v>
      </c>
      <c r="AI34" s="23" t="s">
        <v>304</v>
      </c>
      <c r="AJ34" s="34">
        <v>0.30769230769230771</v>
      </c>
      <c r="AL34" s="16"/>
      <c r="AN34" s="16"/>
      <c r="AP34" s="11" t="s">
        <v>8</v>
      </c>
      <c r="AQ34" s="12" t="str">
        <f>VLOOKUP(LOWER(AS26),experiments_specs!$A:$J,9,FALSE)</f>
        <v>wup_similarity</v>
      </c>
      <c r="AR34" s="15" t="s">
        <v>78</v>
      </c>
      <c r="AS34" s="6" t="s">
        <v>17</v>
      </c>
      <c r="AT34" s="18" t="s">
        <v>278</v>
      </c>
      <c r="AU34" s="18" t="s">
        <v>280</v>
      </c>
      <c r="AV34" s="18" t="s">
        <v>189</v>
      </c>
      <c r="AW34" s="18" t="s">
        <v>342</v>
      </c>
      <c r="AX34" s="31">
        <v>0.30769230769230771</v>
      </c>
      <c r="AY34" s="23" t="s">
        <v>188</v>
      </c>
      <c r="AZ34" s="23" t="s">
        <v>284</v>
      </c>
      <c r="BA34" s="23" t="s">
        <v>189</v>
      </c>
      <c r="BB34" s="23" t="s">
        <v>342</v>
      </c>
      <c r="BC34" s="34">
        <v>0.30769230769230771</v>
      </c>
      <c r="BE34" s="16"/>
    </row>
    <row r="35" spans="2:57" x14ac:dyDescent="0.2">
      <c r="B35" s="16"/>
      <c r="D35" s="11" t="s">
        <v>9</v>
      </c>
      <c r="E35" s="12" t="str">
        <f>VLOOKUP(LOWER(G26),experiments_specs!$A:$J,10,FALSE)</f>
        <v>False</v>
      </c>
      <c r="F35" s="15" t="s">
        <v>62</v>
      </c>
      <c r="G35" s="7" t="s">
        <v>18</v>
      </c>
      <c r="H35" s="20" t="s">
        <v>222</v>
      </c>
      <c r="I35" s="20">
        <v>0.1105064</v>
      </c>
      <c r="J35" s="20" t="s">
        <v>223</v>
      </c>
      <c r="K35" s="20">
        <v>2.284E-3</v>
      </c>
      <c r="L35" s="32">
        <v>0.21052631578947367</v>
      </c>
      <c r="M35" s="24" t="s">
        <v>227</v>
      </c>
      <c r="N35" s="24">
        <v>0</v>
      </c>
      <c r="O35" s="24" t="s">
        <v>248</v>
      </c>
      <c r="P35" s="24">
        <v>3.2089000000000002E-3</v>
      </c>
      <c r="Q35" s="35">
        <v>0.11764705882352941</v>
      </c>
      <c r="S35" s="16"/>
      <c r="U35" s="16"/>
      <c r="W35" s="11" t="s">
        <v>9</v>
      </c>
      <c r="X35" s="12" t="str">
        <f>VLOOKUP(LOWER(Z26),experiments_specs!$A:$J,10,FALSE)</f>
        <v>False</v>
      </c>
      <c r="Y35" s="15" t="s">
        <v>72</v>
      </c>
      <c r="Z35" s="7" t="s">
        <v>18</v>
      </c>
      <c r="AA35" s="20" t="s">
        <v>44</v>
      </c>
      <c r="AB35" s="20">
        <v>3.5267199999999999E-2</v>
      </c>
      <c r="AC35" s="20" t="s">
        <v>45</v>
      </c>
      <c r="AD35" s="20">
        <v>1.4253099999999999E-2</v>
      </c>
      <c r="AE35" s="32">
        <v>0.21052631578947367</v>
      </c>
      <c r="AF35" s="24" t="s">
        <v>46</v>
      </c>
      <c r="AG35" s="24">
        <v>0</v>
      </c>
      <c r="AH35" s="24" t="s">
        <v>45</v>
      </c>
      <c r="AI35" s="24">
        <v>1.4253099999999999E-2</v>
      </c>
      <c r="AJ35" s="35">
        <v>0.21052631578947367</v>
      </c>
      <c r="AL35" s="16"/>
      <c r="AN35" s="16"/>
      <c r="AP35" s="11" t="s">
        <v>9</v>
      </c>
      <c r="AQ35" s="12" t="str">
        <f>VLOOKUP(LOWER(AS26),experiments_specs!$A:$J,10,FALSE)</f>
        <v>True</v>
      </c>
      <c r="AR35" s="15" t="s">
        <v>78</v>
      </c>
      <c r="AS35" s="7" t="s">
        <v>18</v>
      </c>
      <c r="AT35" s="20" t="s">
        <v>44</v>
      </c>
      <c r="AU35" s="20">
        <v>3.5267199999999999E-2</v>
      </c>
      <c r="AV35" s="20" t="s">
        <v>45</v>
      </c>
      <c r="AW35" s="20">
        <v>1.4577E-2</v>
      </c>
      <c r="AX35" s="32">
        <v>0.21052631578947367</v>
      </c>
      <c r="AY35" s="24" t="s">
        <v>46</v>
      </c>
      <c r="AZ35" s="24">
        <v>0</v>
      </c>
      <c r="BA35" s="24" t="s">
        <v>45</v>
      </c>
      <c r="BB35" s="24">
        <v>1.4577E-2</v>
      </c>
      <c r="BC35" s="35">
        <v>0.21052631578947367</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TEST_04</v>
      </c>
      <c r="H37" s="41" t="s">
        <v>124</v>
      </c>
      <c r="I37" s="41"/>
      <c r="J37" s="41"/>
      <c r="K37" s="41"/>
      <c r="L37" s="41"/>
      <c r="M37" s="42" t="s">
        <v>123</v>
      </c>
      <c r="N37" s="42"/>
      <c r="O37" s="42"/>
      <c r="P37" s="42"/>
      <c r="Q37" s="42"/>
      <c r="R37" s="2"/>
      <c r="S37" s="16"/>
      <c r="U37" s="16"/>
      <c r="W37" s="13" t="s">
        <v>126</v>
      </c>
      <c r="X37" s="14"/>
      <c r="Y37" s="9"/>
      <c r="Z37" s="10" t="str">
        <f>"TEST_"&amp;TEXT(RIGHT(Z26,2)+1, "00")</f>
        <v>TEST_10</v>
      </c>
      <c r="AA37" s="41" t="s">
        <v>124</v>
      </c>
      <c r="AB37" s="41"/>
      <c r="AC37" s="41"/>
      <c r="AD37" s="41"/>
      <c r="AE37" s="41"/>
      <c r="AF37" s="42" t="s">
        <v>123</v>
      </c>
      <c r="AG37" s="42"/>
      <c r="AH37" s="42"/>
      <c r="AI37" s="42"/>
      <c r="AJ37" s="42"/>
      <c r="AK37" s="2"/>
      <c r="AL37" s="16"/>
      <c r="AN37" s="16"/>
      <c r="AP37" s="13" t="s">
        <v>126</v>
      </c>
      <c r="AQ37" s="14"/>
      <c r="AR37" s="9"/>
      <c r="AS37" s="10" t="str">
        <f>"TEST_"&amp;TEXT(RIGHT(AS26,2)+1, "00")</f>
        <v>TEST_16</v>
      </c>
      <c r="AT37" s="41" t="s">
        <v>124</v>
      </c>
      <c r="AU37" s="41"/>
      <c r="AV37" s="41"/>
      <c r="AW37" s="41"/>
      <c r="AX37" s="41"/>
      <c r="AY37" s="42" t="s">
        <v>123</v>
      </c>
      <c r="AZ37" s="42"/>
      <c r="BA37" s="42"/>
      <c r="BB37" s="42"/>
      <c r="BC37" s="42"/>
      <c r="BD37" s="2"/>
      <c r="BE37" s="16"/>
    </row>
    <row r="38" spans="2:57" x14ac:dyDescent="0.2">
      <c r="B38" s="16"/>
      <c r="D38" s="11" t="s">
        <v>1</v>
      </c>
      <c r="E38" s="12" t="str">
        <f>VLOOKUP(LOWER(G37),experiments_specs!$A:$J,2,FALSE)</f>
        <v>NN,VB,VBD,VBG,VBN,VBP,VBZ</v>
      </c>
      <c r="F38" s="15" t="str">
        <f>"{"&amp;LOWER(G37)&amp;".csv}"</f>
        <v>{test_04.csv}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VLOOKUP(LOWER(Z37),experiments_specs!$A:$J,2,FALSE)</f>
        <v>NN,VB,VBD,VBG,VBN,VBP,VBZ</v>
      </c>
      <c r="Y38" s="15" t="str">
        <f>"{"&amp;LOWER(Z37)&amp;".csv}"</f>
        <v>{test_10.csv}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VLOOKUP(LOWER(AS37),experiments_specs!$A:$J,2,FALSE)</f>
        <v>NN,VB,VBD,VBG,VBN,VBP,VBZ</v>
      </c>
      <c r="AR38" s="15" t="str">
        <f>"{"&amp;LOWER(AS37)&amp;".csv}"</f>
        <v>{test_16.csv}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34" x14ac:dyDescent="0.2">
      <c r="B39" s="16"/>
      <c r="D39" s="11" t="s">
        <v>2</v>
      </c>
      <c r="E39" s="12">
        <f>VLOOKUP(LOWER(G37),experiments_specs!$A:$J,3,FALSE)</f>
        <v>1</v>
      </c>
      <c r="F39" s="15" t="s">
        <v>64</v>
      </c>
      <c r="G39" s="5" t="s">
        <v>19</v>
      </c>
      <c r="H39" s="17" t="s">
        <v>179</v>
      </c>
      <c r="I39" s="17" t="s">
        <v>193</v>
      </c>
      <c r="J39" s="17" t="s">
        <v>180</v>
      </c>
      <c r="K39" s="17" t="s">
        <v>249</v>
      </c>
      <c r="L39" s="30">
        <v>0.19047619047619047</v>
      </c>
      <c r="M39" s="21" t="s">
        <v>197</v>
      </c>
      <c r="N39" s="21">
        <v>0</v>
      </c>
      <c r="O39" s="21" t="s">
        <v>198</v>
      </c>
      <c r="P39" s="21">
        <v>4.0708999999999997E-3</v>
      </c>
      <c r="Q39" s="33">
        <v>9.5238095238095233E-2</v>
      </c>
      <c r="S39" s="16"/>
      <c r="U39" s="16"/>
      <c r="W39" s="11" t="s">
        <v>2</v>
      </c>
      <c r="X39" s="12">
        <f>VLOOKUP(LOWER(Z37),experiments_specs!$A:$J,3,FALSE)</f>
        <v>1</v>
      </c>
      <c r="Y39" s="15" t="s">
        <v>73</v>
      </c>
      <c r="Z39" s="5" t="s">
        <v>19</v>
      </c>
      <c r="AA39" s="17" t="s">
        <v>179</v>
      </c>
      <c r="AB39" s="17" t="s">
        <v>193</v>
      </c>
      <c r="AC39" s="17" t="s">
        <v>180</v>
      </c>
      <c r="AD39" s="17" t="s">
        <v>306</v>
      </c>
      <c r="AE39" s="30">
        <v>0.19047619047619047</v>
      </c>
      <c r="AF39" s="21" t="s">
        <v>47</v>
      </c>
      <c r="AG39" s="21">
        <v>0</v>
      </c>
      <c r="AH39" s="21" t="s">
        <v>48</v>
      </c>
      <c r="AI39" s="21">
        <v>1.8740799999999998E-2</v>
      </c>
      <c r="AJ39" s="33">
        <v>0.2</v>
      </c>
      <c r="AL39" s="16"/>
      <c r="AN39" s="16"/>
      <c r="AP39" s="11" t="s">
        <v>2</v>
      </c>
      <c r="AQ39" s="12">
        <f>VLOOKUP(LOWER(AS37),experiments_specs!$A:$J,3,FALSE)</f>
        <v>1</v>
      </c>
      <c r="AR39" s="15" t="s">
        <v>79</v>
      </c>
      <c r="AS39" s="5" t="s">
        <v>19</v>
      </c>
      <c r="AT39" s="17" t="s">
        <v>179</v>
      </c>
      <c r="AU39" s="17" t="s">
        <v>193</v>
      </c>
      <c r="AV39" s="17" t="s">
        <v>180</v>
      </c>
      <c r="AW39" s="17" t="s">
        <v>296</v>
      </c>
      <c r="AX39" s="30">
        <v>0.19047619047619047</v>
      </c>
      <c r="AY39" s="21" t="s">
        <v>47</v>
      </c>
      <c r="AZ39" s="21">
        <v>0</v>
      </c>
      <c r="BA39" s="21" t="s">
        <v>48</v>
      </c>
      <c r="BB39" s="21">
        <v>2.12964E-2</v>
      </c>
      <c r="BC39" s="33">
        <v>0.2</v>
      </c>
      <c r="BE39" s="16"/>
    </row>
    <row r="40" spans="2:57" x14ac:dyDescent="0.2">
      <c r="B40" s="16"/>
      <c r="D40" s="11" t="s">
        <v>3</v>
      </c>
      <c r="E40" s="12">
        <f>VLOOKUP(LOWER(G37),experiments_specs!$A:$J,4,FALSE)</f>
        <v>2</v>
      </c>
      <c r="F40" s="15" t="s">
        <v>64</v>
      </c>
      <c r="G40" s="6" t="s">
        <v>12</v>
      </c>
      <c r="H40" s="19" t="s">
        <v>251</v>
      </c>
      <c r="I40" s="19">
        <v>0.14586489999999999</v>
      </c>
      <c r="J40" s="19" t="s">
        <v>236</v>
      </c>
      <c r="K40" s="19">
        <v>4.2827000000000004E-3</v>
      </c>
      <c r="L40" s="31">
        <v>0.125</v>
      </c>
      <c r="M40" s="22" t="s">
        <v>235</v>
      </c>
      <c r="N40" s="22">
        <v>0</v>
      </c>
      <c r="O40" s="22" t="s">
        <v>236</v>
      </c>
      <c r="P40" s="22">
        <v>7.8434999999999998E-3</v>
      </c>
      <c r="Q40" s="34">
        <v>0.125</v>
      </c>
      <c r="S40" s="16"/>
      <c r="U40" s="16"/>
      <c r="W40" s="11" t="s">
        <v>3</v>
      </c>
      <c r="X40" s="12">
        <f>VLOOKUP(LOWER(Z37),experiments_specs!$A:$J,4,FALSE)</f>
        <v>2</v>
      </c>
      <c r="Y40" s="15" t="s">
        <v>73</v>
      </c>
      <c r="Z40" s="6" t="s">
        <v>12</v>
      </c>
      <c r="AA40" s="19" t="s">
        <v>22</v>
      </c>
      <c r="AB40" s="19">
        <v>0.1102635</v>
      </c>
      <c r="AC40" s="19" t="s">
        <v>23</v>
      </c>
      <c r="AD40" s="19">
        <v>3.0388499999999999E-2</v>
      </c>
      <c r="AE40" s="31">
        <v>0.42857142857142855</v>
      </c>
      <c r="AF40" s="22" t="s">
        <v>24</v>
      </c>
      <c r="AG40" s="22">
        <v>5.5131699999999999E-2</v>
      </c>
      <c r="AH40" s="22" t="s">
        <v>23</v>
      </c>
      <c r="AI40" s="22">
        <v>3.5289899999999999E-2</v>
      </c>
      <c r="AJ40" s="34">
        <v>0.42857142857142855</v>
      </c>
      <c r="AL40" s="16"/>
      <c r="AN40" s="16"/>
      <c r="AP40" s="11" t="s">
        <v>3</v>
      </c>
      <c r="AQ40" s="12">
        <f>VLOOKUP(LOWER(AS37),experiments_specs!$A:$J,4,FALSE)</f>
        <v>2</v>
      </c>
      <c r="AR40" s="15" t="s">
        <v>79</v>
      </c>
      <c r="AS40" s="6" t="s">
        <v>12</v>
      </c>
      <c r="AT40" s="19" t="s">
        <v>22</v>
      </c>
      <c r="AU40" s="19">
        <v>0.1102635</v>
      </c>
      <c r="AV40" s="19" t="s">
        <v>23</v>
      </c>
      <c r="AW40" s="19">
        <v>4.3759399999999997E-2</v>
      </c>
      <c r="AX40" s="31">
        <v>0.42857142857142855</v>
      </c>
      <c r="AY40" s="22" t="s">
        <v>24</v>
      </c>
      <c r="AZ40" s="22">
        <v>5.5131699999999999E-2</v>
      </c>
      <c r="BA40" s="22" t="s">
        <v>23</v>
      </c>
      <c r="BB40" s="22">
        <v>4.3759399999999997E-2</v>
      </c>
      <c r="BC40" s="34">
        <v>0.42857142857142855</v>
      </c>
      <c r="BE40" s="16"/>
    </row>
    <row r="41" spans="2:57" ht="34" x14ac:dyDescent="0.2">
      <c r="B41" s="16"/>
      <c r="D41" s="11" t="s">
        <v>4</v>
      </c>
      <c r="E41" s="12" t="str">
        <f>VLOOKUP(LOWER(G37),experiments_specs!$A:$J,5,FALSE)</f>
        <v>False</v>
      </c>
      <c r="F41" s="15" t="s">
        <v>64</v>
      </c>
      <c r="G41" s="6" t="s">
        <v>13</v>
      </c>
      <c r="H41" s="19" t="s">
        <v>199</v>
      </c>
      <c r="I41" s="19">
        <v>0.17025129999999999</v>
      </c>
      <c r="J41" s="19" t="s">
        <v>200</v>
      </c>
      <c r="K41" s="19">
        <v>6.0552000000000002E-3</v>
      </c>
      <c r="L41" s="31" t="s">
        <v>25</v>
      </c>
      <c r="M41" s="22" t="s">
        <v>252</v>
      </c>
      <c r="N41" s="22">
        <v>0.13187599999999999</v>
      </c>
      <c r="O41" s="22" t="s">
        <v>253</v>
      </c>
      <c r="P41" s="22">
        <v>7.7020999999999999E-3</v>
      </c>
      <c r="Q41" s="34">
        <v>0.4</v>
      </c>
      <c r="S41" s="16"/>
      <c r="U41" s="16"/>
      <c r="W41" s="11" t="s">
        <v>4</v>
      </c>
      <c r="X41" s="12" t="str">
        <f>VLOOKUP(LOWER(Z37),experiments_specs!$A:$J,5,FALSE)</f>
        <v>True</v>
      </c>
      <c r="Y41" s="15" t="s">
        <v>73</v>
      </c>
      <c r="Z41" s="6" t="s">
        <v>13</v>
      </c>
      <c r="AA41" s="19" t="s">
        <v>32</v>
      </c>
      <c r="AB41" s="19">
        <v>0.14744189999999999</v>
      </c>
      <c r="AC41" s="19" t="s">
        <v>33</v>
      </c>
      <c r="AD41" s="19">
        <v>2.9100299999999999E-2</v>
      </c>
      <c r="AE41" s="31">
        <v>0.4</v>
      </c>
      <c r="AF41" s="22" t="s">
        <v>34</v>
      </c>
      <c r="AG41" s="22">
        <v>0</v>
      </c>
      <c r="AH41" s="22" t="s">
        <v>35</v>
      </c>
      <c r="AI41" s="22">
        <v>2.6328899999999999E-2</v>
      </c>
      <c r="AJ41" s="34" t="s">
        <v>25</v>
      </c>
      <c r="AL41" s="16"/>
      <c r="AN41" s="16"/>
      <c r="AP41" s="11" t="s">
        <v>4</v>
      </c>
      <c r="AQ41" s="12" t="str">
        <f>VLOOKUP(LOWER(AS37),experiments_specs!$A:$J,5,FALSE)</f>
        <v>True</v>
      </c>
      <c r="AR41" s="15" t="s">
        <v>79</v>
      </c>
      <c r="AS41" s="6" t="s">
        <v>13</v>
      </c>
      <c r="AT41" s="19" t="s">
        <v>326</v>
      </c>
      <c r="AU41" s="19">
        <v>0.10425719999999999</v>
      </c>
      <c r="AV41" s="19" t="s">
        <v>327</v>
      </c>
      <c r="AW41" s="19">
        <v>2.4573600000000001E-2</v>
      </c>
      <c r="AX41" s="31" t="s">
        <v>25</v>
      </c>
      <c r="AY41" s="23" t="s">
        <v>334</v>
      </c>
      <c r="AZ41" s="23" t="s">
        <v>185</v>
      </c>
      <c r="BA41" s="23" t="s">
        <v>336</v>
      </c>
      <c r="BB41" s="23" t="s">
        <v>344</v>
      </c>
      <c r="BC41" s="34" t="s">
        <v>25</v>
      </c>
      <c r="BE41" s="16"/>
    </row>
    <row r="42" spans="2:57" ht="34" x14ac:dyDescent="0.2">
      <c r="B42" s="16"/>
      <c r="D42" s="11" t="s">
        <v>5</v>
      </c>
      <c r="E42" s="12" t="str">
        <f>VLOOKUP(LOWER(G37),experiments_specs!$A:$J,6,FALSE)</f>
        <v>True</v>
      </c>
      <c r="F42" s="15" t="s">
        <v>64</v>
      </c>
      <c r="G42" s="6" t="s">
        <v>14</v>
      </c>
      <c r="H42" s="19" t="s">
        <v>202</v>
      </c>
      <c r="I42" s="19">
        <v>7.5485099999999999E-2</v>
      </c>
      <c r="J42" s="19" t="s">
        <v>203</v>
      </c>
      <c r="K42" s="19">
        <v>3.7028999999999999E-3</v>
      </c>
      <c r="L42" s="31">
        <v>0.14285714285714285</v>
      </c>
      <c r="M42" s="22" t="s">
        <v>204</v>
      </c>
      <c r="N42" s="22">
        <v>0</v>
      </c>
      <c r="O42" s="22" t="s">
        <v>205</v>
      </c>
      <c r="P42" s="22">
        <v>5.2413E-3</v>
      </c>
      <c r="Q42" s="34">
        <v>0.625</v>
      </c>
      <c r="S42" s="16"/>
      <c r="U42" s="16"/>
      <c r="W42" s="11" t="s">
        <v>5</v>
      </c>
      <c r="X42" s="12" t="str">
        <f>VLOOKUP(LOWER(Z37),experiments_specs!$A:$J,6,FALSE)</f>
        <v>True</v>
      </c>
      <c r="Y42" s="15" t="s">
        <v>73</v>
      </c>
      <c r="Z42" s="6" t="s">
        <v>14</v>
      </c>
      <c r="AA42" s="18" t="s">
        <v>181</v>
      </c>
      <c r="AB42" s="18" t="s">
        <v>268</v>
      </c>
      <c r="AC42" s="18" t="s">
        <v>182</v>
      </c>
      <c r="AD42" s="18" t="s">
        <v>308</v>
      </c>
      <c r="AE42" s="31">
        <v>0.33333333333333331</v>
      </c>
      <c r="AF42" s="23" t="s">
        <v>183</v>
      </c>
      <c r="AG42" s="23" t="s">
        <v>272</v>
      </c>
      <c r="AH42" s="23" t="s">
        <v>182</v>
      </c>
      <c r="AI42" s="23" t="s">
        <v>310</v>
      </c>
      <c r="AJ42" s="34">
        <v>0.33333333333333331</v>
      </c>
      <c r="AL42" s="16"/>
      <c r="AN42" s="16"/>
      <c r="AP42" s="11" t="s">
        <v>5</v>
      </c>
      <c r="AQ42" s="12" t="str">
        <f>VLOOKUP(LOWER(AS37),experiments_specs!$A:$J,6,FALSE)</f>
        <v>True</v>
      </c>
      <c r="AR42" s="15" t="s">
        <v>79</v>
      </c>
      <c r="AS42" s="6" t="s">
        <v>14</v>
      </c>
      <c r="AT42" s="18" t="s">
        <v>181</v>
      </c>
      <c r="AU42" s="18" t="s">
        <v>268</v>
      </c>
      <c r="AV42" s="18" t="s">
        <v>182</v>
      </c>
      <c r="AW42" s="18" t="s">
        <v>310</v>
      </c>
      <c r="AX42" s="31">
        <v>0.33333333333333331</v>
      </c>
      <c r="AY42" s="23" t="s">
        <v>183</v>
      </c>
      <c r="AZ42" s="23" t="s">
        <v>272</v>
      </c>
      <c r="BA42" s="23" t="s">
        <v>182</v>
      </c>
      <c r="BB42" s="23" t="s">
        <v>346</v>
      </c>
      <c r="BC42" s="34">
        <v>0.33333333333333331</v>
      </c>
      <c r="BE42" s="16"/>
    </row>
    <row r="43" spans="2:57" ht="34" x14ac:dyDescent="0.2">
      <c r="B43" s="16"/>
      <c r="D43" s="11" t="s">
        <v>6</v>
      </c>
      <c r="E43" s="12" t="str">
        <f>VLOOKUP(LOWER(G37),experiments_specs!$A:$J,7,FALSE)</f>
        <v>False</v>
      </c>
      <c r="F43" s="15" t="s">
        <v>64</v>
      </c>
      <c r="G43" s="6" t="s">
        <v>15</v>
      </c>
      <c r="H43" s="19" t="s">
        <v>237</v>
      </c>
      <c r="I43" s="19">
        <v>0</v>
      </c>
      <c r="J43" s="19" t="s">
        <v>238</v>
      </c>
      <c r="K43" s="19">
        <v>2.7751999999999998E-3</v>
      </c>
      <c r="L43" s="31">
        <v>0.2</v>
      </c>
      <c r="M43" s="23" t="s">
        <v>254</v>
      </c>
      <c r="N43" s="23" t="s">
        <v>185</v>
      </c>
      <c r="O43" s="23" t="s">
        <v>256</v>
      </c>
      <c r="P43" s="23" t="s">
        <v>258</v>
      </c>
      <c r="Q43" s="34">
        <v>0.22222222222222221</v>
      </c>
      <c r="S43" s="16"/>
      <c r="U43" s="16"/>
      <c r="W43" s="11" t="s">
        <v>6</v>
      </c>
      <c r="X43" s="12" t="str">
        <f>VLOOKUP(LOWER(Z37),experiments_specs!$A:$J,7,FALSE)</f>
        <v>False</v>
      </c>
      <c r="Y43" s="15" t="s">
        <v>73</v>
      </c>
      <c r="Z43" s="6" t="s">
        <v>15</v>
      </c>
      <c r="AA43" s="19" t="s">
        <v>26</v>
      </c>
      <c r="AB43" s="19">
        <v>0.1561737</v>
      </c>
      <c r="AC43" s="19" t="s">
        <v>27</v>
      </c>
      <c r="AD43" s="19">
        <v>1.00757E-2</v>
      </c>
      <c r="AE43" s="31">
        <v>0.16666666666666666</v>
      </c>
      <c r="AF43" s="23" t="s">
        <v>184</v>
      </c>
      <c r="AG43" s="23" t="s">
        <v>185</v>
      </c>
      <c r="AH43" s="23" t="s">
        <v>187</v>
      </c>
      <c r="AI43" s="23" t="s">
        <v>312</v>
      </c>
      <c r="AJ43" s="34">
        <v>0.18181818181818182</v>
      </c>
      <c r="AL43" s="16"/>
      <c r="AN43" s="16"/>
      <c r="AP43" s="11" t="s">
        <v>6</v>
      </c>
      <c r="AQ43" s="12" t="str">
        <f>VLOOKUP(LOWER(AS37),experiments_specs!$A:$J,7,FALSE)</f>
        <v>False</v>
      </c>
      <c r="AR43" s="15" t="s">
        <v>79</v>
      </c>
      <c r="AS43" s="6" t="s">
        <v>15</v>
      </c>
      <c r="AT43" s="19" t="s">
        <v>26</v>
      </c>
      <c r="AU43" s="19">
        <v>0.1561737</v>
      </c>
      <c r="AV43" s="19" t="s">
        <v>27</v>
      </c>
      <c r="AW43" s="19">
        <v>1.7352599999999999E-2</v>
      </c>
      <c r="AX43" s="31">
        <v>0.16666666666666666</v>
      </c>
      <c r="AY43" s="23" t="s">
        <v>184</v>
      </c>
      <c r="AZ43" s="23" t="s">
        <v>185</v>
      </c>
      <c r="BA43" s="23" t="s">
        <v>187</v>
      </c>
      <c r="BB43" s="23" t="s">
        <v>302</v>
      </c>
      <c r="BC43" s="34">
        <v>0.18181818181818182</v>
      </c>
      <c r="BE43" s="16"/>
    </row>
    <row r="44" spans="2:57" ht="17" x14ac:dyDescent="0.2">
      <c r="B44" s="16"/>
      <c r="D44" s="11" t="s">
        <v>7</v>
      </c>
      <c r="E44" s="12" t="str">
        <f>VLOOKUP(LOWER(G37),experiments_specs!$A:$J,8,FALSE)</f>
        <v>False</v>
      </c>
      <c r="F44" s="15" t="s">
        <v>64</v>
      </c>
      <c r="G44" s="6" t="s">
        <v>16</v>
      </c>
      <c r="H44" s="19" t="s">
        <v>208</v>
      </c>
      <c r="I44" s="19">
        <v>0.1666666</v>
      </c>
      <c r="J44" s="19" t="s">
        <v>209</v>
      </c>
      <c r="K44" s="19">
        <v>3.2967000000000001E-3</v>
      </c>
      <c r="L44" s="31">
        <v>0.55555555555555558</v>
      </c>
      <c r="M44" s="23" t="s">
        <v>227</v>
      </c>
      <c r="N44" s="23">
        <v>0</v>
      </c>
      <c r="O44" s="23" t="s">
        <v>245</v>
      </c>
      <c r="P44" s="23">
        <v>6.0599E-3</v>
      </c>
      <c r="Q44" s="34">
        <v>0.14285714285714285</v>
      </c>
      <c r="S44" s="16"/>
      <c r="U44" s="16"/>
      <c r="W44" s="11" t="s">
        <v>7</v>
      </c>
      <c r="X44" s="12" t="str">
        <f>VLOOKUP(LOWER(Z37),experiments_specs!$A:$J,8,FALSE)</f>
        <v>False</v>
      </c>
      <c r="Y44" s="15" t="s">
        <v>73</v>
      </c>
      <c r="Z44" s="6" t="s">
        <v>16</v>
      </c>
      <c r="AA44" s="19" t="s">
        <v>39</v>
      </c>
      <c r="AB44" s="19">
        <v>6.4549700000000002E-2</v>
      </c>
      <c r="AC44" s="19" t="s">
        <v>40</v>
      </c>
      <c r="AD44" s="19">
        <v>1.91366E-2</v>
      </c>
      <c r="AE44" s="31">
        <v>0.22222222222222221</v>
      </c>
      <c r="AF44" s="23" t="s">
        <v>41</v>
      </c>
      <c r="AG44" s="23">
        <v>4.1666599999999998E-2</v>
      </c>
      <c r="AH44" s="23" t="s">
        <v>40</v>
      </c>
      <c r="AI44" s="23">
        <v>1.99686E-2</v>
      </c>
      <c r="AJ44" s="34">
        <v>0.22222222222222221</v>
      </c>
      <c r="AL44" s="16"/>
      <c r="AN44" s="16"/>
      <c r="AP44" s="11" t="s">
        <v>7</v>
      </c>
      <c r="AQ44" s="12" t="str">
        <f>VLOOKUP(LOWER(AS37),experiments_specs!$A:$J,8,FALSE)</f>
        <v>False</v>
      </c>
      <c r="AR44" s="15" t="s">
        <v>79</v>
      </c>
      <c r="AS44" s="6" t="s">
        <v>16</v>
      </c>
      <c r="AT44" s="19" t="s">
        <v>39</v>
      </c>
      <c r="AU44" s="19">
        <v>6.4549700000000002E-2</v>
      </c>
      <c r="AV44" s="19" t="s">
        <v>40</v>
      </c>
      <c r="AW44" s="19">
        <v>2.55155E-2</v>
      </c>
      <c r="AX44" s="31">
        <v>0.22222222222222221</v>
      </c>
      <c r="AY44" s="23" t="s">
        <v>41</v>
      </c>
      <c r="AZ44" s="23">
        <v>4.1666599999999998E-2</v>
      </c>
      <c r="BA44" s="23" t="s">
        <v>40</v>
      </c>
      <c r="BB44" s="23">
        <v>2.41725E-2</v>
      </c>
      <c r="BC44" s="34">
        <v>0.22222222222222221</v>
      </c>
      <c r="BE44" s="16"/>
    </row>
    <row r="45" spans="2:57" ht="51" x14ac:dyDescent="0.2">
      <c r="B45" s="16"/>
      <c r="D45" s="11" t="s">
        <v>8</v>
      </c>
      <c r="E45" s="12" t="str">
        <f>VLOOKUP(LOWER(G37),experiments_specs!$A:$J,9,FALSE)</f>
        <v>wup_similarity</v>
      </c>
      <c r="F45" s="15" t="s">
        <v>64</v>
      </c>
      <c r="G45" s="6" t="s">
        <v>17</v>
      </c>
      <c r="H45" s="19" t="s">
        <v>30</v>
      </c>
      <c r="I45" s="19">
        <v>0.1028688</v>
      </c>
      <c r="J45" s="19" t="s">
        <v>31</v>
      </c>
      <c r="K45" s="19">
        <v>2.9729999999999999E-3</v>
      </c>
      <c r="L45" s="31">
        <v>0.22222222222222221</v>
      </c>
      <c r="M45" s="22" t="s">
        <v>30</v>
      </c>
      <c r="N45" s="22">
        <v>0.1028688</v>
      </c>
      <c r="O45" s="22" t="s">
        <v>31</v>
      </c>
      <c r="P45" s="22">
        <v>1.5430299999999999E-2</v>
      </c>
      <c r="Q45" s="34">
        <v>0.22222222222222221</v>
      </c>
      <c r="S45" s="16"/>
      <c r="U45" s="16"/>
      <c r="W45" s="11" t="s">
        <v>8</v>
      </c>
      <c r="X45" s="12" t="str">
        <f>VLOOKUP(LOWER(Z37),experiments_specs!$A:$J,9,FALSE)</f>
        <v>wup_similarity</v>
      </c>
      <c r="Y45" s="15" t="s">
        <v>73</v>
      </c>
      <c r="Z45" s="6" t="s">
        <v>17</v>
      </c>
      <c r="AA45" s="19" t="s">
        <v>30</v>
      </c>
      <c r="AB45" s="19">
        <v>0.1028688</v>
      </c>
      <c r="AC45" s="19" t="s">
        <v>31</v>
      </c>
      <c r="AD45" s="19">
        <v>3.50689E-2</v>
      </c>
      <c r="AE45" s="31">
        <v>0.22222222222222221</v>
      </c>
      <c r="AF45" s="22" t="s">
        <v>30</v>
      </c>
      <c r="AG45" s="22">
        <v>0.1028688</v>
      </c>
      <c r="AH45" s="22" t="s">
        <v>31</v>
      </c>
      <c r="AI45" s="22">
        <v>3.2484899999999997E-2</v>
      </c>
      <c r="AJ45" s="34">
        <v>0.22222222222222221</v>
      </c>
      <c r="AL45" s="16"/>
      <c r="AN45" s="16"/>
      <c r="AP45" s="11" t="s">
        <v>8</v>
      </c>
      <c r="AQ45" s="12" t="str">
        <f>VLOOKUP(LOWER(AS37),experiments_specs!$A:$J,9,FALSE)</f>
        <v>wup_similarity</v>
      </c>
      <c r="AR45" s="15" t="s">
        <v>79</v>
      </c>
      <c r="AS45" s="6" t="s">
        <v>17</v>
      </c>
      <c r="AT45" s="18" t="s">
        <v>278</v>
      </c>
      <c r="AU45" s="18" t="s">
        <v>280</v>
      </c>
      <c r="AV45" s="18" t="s">
        <v>189</v>
      </c>
      <c r="AW45" s="18" t="s">
        <v>294</v>
      </c>
      <c r="AX45" s="31">
        <v>0.30769230769230771</v>
      </c>
      <c r="AY45" s="23" t="s">
        <v>188</v>
      </c>
      <c r="AZ45" s="23" t="s">
        <v>284</v>
      </c>
      <c r="BA45" s="23" t="s">
        <v>189</v>
      </c>
      <c r="BB45" s="23" t="s">
        <v>294</v>
      </c>
      <c r="BC45" s="34">
        <v>0.30769230769230771</v>
      </c>
      <c r="BE45" s="16"/>
    </row>
    <row r="46" spans="2:57" x14ac:dyDescent="0.2">
      <c r="B46" s="16"/>
      <c r="D46" s="11" t="s">
        <v>9</v>
      </c>
      <c r="E46" s="12" t="str">
        <f>VLOOKUP(LOWER(G37),experiments_specs!$A:$J,10,FALSE)</f>
        <v>False</v>
      </c>
      <c r="F46" s="15" t="s">
        <v>64</v>
      </c>
      <c r="G46" s="7" t="s">
        <v>18</v>
      </c>
      <c r="H46" s="20" t="s">
        <v>222</v>
      </c>
      <c r="I46" s="20">
        <v>0.1105064</v>
      </c>
      <c r="J46" s="20" t="s">
        <v>223</v>
      </c>
      <c r="K46" s="20">
        <v>1.5208999999999999E-3</v>
      </c>
      <c r="L46" s="32">
        <v>0.21052631578947367</v>
      </c>
      <c r="M46" s="24" t="s">
        <v>227</v>
      </c>
      <c r="N46" s="24">
        <v>0</v>
      </c>
      <c r="O46" s="24" t="s">
        <v>248</v>
      </c>
      <c r="P46" s="24">
        <v>2.6167E-3</v>
      </c>
      <c r="Q46" s="35">
        <v>0.11764705882352941</v>
      </c>
      <c r="S46" s="16"/>
      <c r="U46" s="16"/>
      <c r="W46" s="11" t="s">
        <v>9</v>
      </c>
      <c r="X46" s="12" t="str">
        <f>VLOOKUP(LOWER(Z37),experiments_specs!$A:$J,10,FALSE)</f>
        <v>False</v>
      </c>
      <c r="Y46" s="15" t="s">
        <v>73</v>
      </c>
      <c r="Z46" s="7" t="s">
        <v>18</v>
      </c>
      <c r="AA46" s="20" t="s">
        <v>44</v>
      </c>
      <c r="AB46" s="20">
        <v>3.5267199999999999E-2</v>
      </c>
      <c r="AC46" s="20" t="s">
        <v>45</v>
      </c>
      <c r="AD46" s="20">
        <v>1.00217E-2</v>
      </c>
      <c r="AE46" s="32">
        <v>0.21052631578947367</v>
      </c>
      <c r="AF46" s="24" t="s">
        <v>46</v>
      </c>
      <c r="AG46" s="24">
        <v>0</v>
      </c>
      <c r="AH46" s="24" t="s">
        <v>45</v>
      </c>
      <c r="AI46" s="24">
        <v>1.1661599999999999E-2</v>
      </c>
      <c r="AJ46" s="35">
        <v>0.21052631578947367</v>
      </c>
      <c r="AL46" s="16"/>
      <c r="AN46" s="16"/>
      <c r="AP46" s="11" t="s">
        <v>9</v>
      </c>
      <c r="AQ46" s="12" t="str">
        <f>VLOOKUP(LOWER(AS37),experiments_specs!$A:$J,10,FALSE)</f>
        <v>True</v>
      </c>
      <c r="AR46" s="15" t="s">
        <v>79</v>
      </c>
      <c r="AS46" s="7" t="s">
        <v>18</v>
      </c>
      <c r="AT46" s="20" t="s">
        <v>44</v>
      </c>
      <c r="AU46" s="20">
        <v>3.5267199999999999E-2</v>
      </c>
      <c r="AV46" s="20" t="s">
        <v>45</v>
      </c>
      <c r="AW46" s="20">
        <v>1.3362199999999999E-2</v>
      </c>
      <c r="AX46" s="32">
        <v>0.21052631578947367</v>
      </c>
      <c r="AY46" s="24" t="s">
        <v>46</v>
      </c>
      <c r="AZ46" s="24">
        <v>0</v>
      </c>
      <c r="BA46" s="24" t="s">
        <v>45</v>
      </c>
      <c r="BB46" s="24">
        <v>1.3646500000000001E-2</v>
      </c>
      <c r="BC46" s="35">
        <v>0.21052631578947367</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TEST_05</v>
      </c>
      <c r="H48" s="41" t="s">
        <v>124</v>
      </c>
      <c r="I48" s="41"/>
      <c r="J48" s="41"/>
      <c r="K48" s="41"/>
      <c r="L48" s="41"/>
      <c r="M48" s="42" t="s">
        <v>123</v>
      </c>
      <c r="N48" s="42"/>
      <c r="O48" s="42"/>
      <c r="P48" s="42"/>
      <c r="Q48" s="42"/>
      <c r="R48" s="2"/>
      <c r="S48" s="16"/>
      <c r="U48" s="16"/>
      <c r="W48" s="13" t="s">
        <v>126</v>
      </c>
      <c r="X48" s="14"/>
      <c r="Y48" s="9"/>
      <c r="Z48" s="10" t="str">
        <f>"TEST_"&amp;TEXT(RIGHT(Z37,2)+1, "00")</f>
        <v>TEST_11</v>
      </c>
      <c r="AA48" s="41" t="s">
        <v>124</v>
      </c>
      <c r="AB48" s="41"/>
      <c r="AC48" s="41"/>
      <c r="AD48" s="41"/>
      <c r="AE48" s="41"/>
      <c r="AF48" s="42" t="s">
        <v>123</v>
      </c>
      <c r="AG48" s="42"/>
      <c r="AH48" s="42"/>
      <c r="AI48" s="42"/>
      <c r="AJ48" s="42"/>
      <c r="AK48" s="2"/>
      <c r="AL48" s="16"/>
      <c r="AN48" s="16"/>
      <c r="AP48" s="13" t="s">
        <v>126</v>
      </c>
      <c r="AQ48" s="14"/>
      <c r="AR48" s="9"/>
      <c r="AS48" s="10" t="str">
        <f>"TEST_"&amp;TEXT(RIGHT(AS37,2)+1, "00")</f>
        <v>TEST_17</v>
      </c>
      <c r="AT48" s="41" t="s">
        <v>124</v>
      </c>
      <c r="AU48" s="41"/>
      <c r="AV48" s="41"/>
      <c r="AW48" s="41"/>
      <c r="AX48" s="41"/>
      <c r="AY48" s="42" t="s">
        <v>123</v>
      </c>
      <c r="AZ48" s="42"/>
      <c r="BA48" s="42"/>
      <c r="BB48" s="42"/>
      <c r="BC48" s="42"/>
      <c r="BD48" s="2"/>
      <c r="BE48" s="16"/>
    </row>
    <row r="49" spans="2:57" x14ac:dyDescent="0.2">
      <c r="B49" s="16"/>
      <c r="D49" s="11" t="s">
        <v>1</v>
      </c>
      <c r="E49" s="12" t="str">
        <f>VLOOKUP(LOWER(G48),experiments_specs!$A:$J,2,FALSE)</f>
        <v>NN,RB</v>
      </c>
      <c r="F49" s="15" t="str">
        <f>"{"&amp;LOWER(G48)&amp;".csv}"</f>
        <v>{test_05.csv}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VLOOKUP(LOWER(Z48),experiments_specs!$A:$J,2,FALSE)</f>
        <v>NN,RB</v>
      </c>
      <c r="Y49" s="15" t="str">
        <f>"{"&amp;LOWER(Z48)&amp;".csv}"</f>
        <v>{test_11.csv}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VLOOKUP(LOWER(AS48),experiments_specs!$A:$J,2,FALSE)</f>
        <v>NN,RB</v>
      </c>
      <c r="AR49" s="15" t="str">
        <f>"{"&amp;LOWER(AS48)&amp;".csv}"</f>
        <v>{test_17.csv}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34" x14ac:dyDescent="0.2">
      <c r="B50" s="16"/>
      <c r="D50" s="11" t="s">
        <v>2</v>
      </c>
      <c r="E50" s="12">
        <f>VLOOKUP(LOWER(G48),experiments_specs!$A:$J,3,FALSE)</f>
        <v>1</v>
      </c>
      <c r="F50" s="15" t="s">
        <v>66</v>
      </c>
      <c r="G50" s="5" t="s">
        <v>19</v>
      </c>
      <c r="H50" s="17" t="s">
        <v>179</v>
      </c>
      <c r="I50" s="17" t="s">
        <v>193</v>
      </c>
      <c r="J50" s="17" t="s">
        <v>180</v>
      </c>
      <c r="K50" s="17" t="s">
        <v>260</v>
      </c>
      <c r="L50" s="30">
        <v>0.19047619047619047</v>
      </c>
      <c r="M50" s="21" t="s">
        <v>197</v>
      </c>
      <c r="N50" s="21">
        <v>0</v>
      </c>
      <c r="O50" s="21" t="s">
        <v>198</v>
      </c>
      <c r="P50" s="21">
        <v>4.3544999999999999E-3</v>
      </c>
      <c r="Q50" s="33">
        <v>9.5238095238095233E-2</v>
      </c>
      <c r="S50" s="16"/>
      <c r="U50" s="16"/>
      <c r="W50" s="11" t="s">
        <v>2</v>
      </c>
      <c r="X50" s="12">
        <f>VLOOKUP(LOWER(Z48),experiments_specs!$A:$J,3,FALSE)</f>
        <v>1</v>
      </c>
      <c r="Y50" s="15" t="s">
        <v>74</v>
      </c>
      <c r="Z50" s="5" t="s">
        <v>19</v>
      </c>
      <c r="AA50" s="17" t="s">
        <v>179</v>
      </c>
      <c r="AB50" s="17" t="s">
        <v>193</v>
      </c>
      <c r="AC50" s="17" t="s">
        <v>180</v>
      </c>
      <c r="AD50" s="17" t="s">
        <v>314</v>
      </c>
      <c r="AE50" s="30">
        <v>0.19047619047619047</v>
      </c>
      <c r="AF50" s="21" t="s">
        <v>47</v>
      </c>
      <c r="AG50" s="21">
        <v>0</v>
      </c>
      <c r="AH50" s="21" t="s">
        <v>48</v>
      </c>
      <c r="AI50" s="21">
        <v>2.4659E-2</v>
      </c>
      <c r="AJ50" s="33">
        <v>0.2</v>
      </c>
      <c r="AL50" s="16"/>
      <c r="AN50" s="16"/>
      <c r="AP50" s="11" t="s">
        <v>2</v>
      </c>
      <c r="AQ50" s="12">
        <f>VLOOKUP(LOWER(AS48),experiments_specs!$A:$J,3,FALSE)</f>
        <v>1</v>
      </c>
      <c r="AR50" s="15" t="s">
        <v>80</v>
      </c>
      <c r="AS50" s="5" t="s">
        <v>19</v>
      </c>
      <c r="AT50" s="17" t="s">
        <v>179</v>
      </c>
      <c r="AU50" s="17" t="s">
        <v>193</v>
      </c>
      <c r="AV50" s="17" t="s">
        <v>180</v>
      </c>
      <c r="AW50" s="17" t="s">
        <v>266</v>
      </c>
      <c r="AX50" s="30">
        <v>0.19047619047619047</v>
      </c>
      <c r="AY50" s="21" t="s">
        <v>47</v>
      </c>
      <c r="AZ50" s="21">
        <v>0</v>
      </c>
      <c r="BA50" s="21" t="s">
        <v>48</v>
      </c>
      <c r="BB50" s="21">
        <v>2.23105E-2</v>
      </c>
      <c r="BC50" s="33">
        <v>0.2</v>
      </c>
      <c r="BE50" s="16"/>
    </row>
    <row r="51" spans="2:57" x14ac:dyDescent="0.2">
      <c r="B51" s="16"/>
      <c r="D51" s="11" t="s">
        <v>3</v>
      </c>
      <c r="E51" s="12">
        <f>VLOOKUP(LOWER(G48),experiments_specs!$A:$J,4,FALSE)</f>
        <v>2</v>
      </c>
      <c r="F51" s="15" t="s">
        <v>66</v>
      </c>
      <c r="G51" s="6" t="s">
        <v>12</v>
      </c>
      <c r="H51" s="19" t="s">
        <v>22</v>
      </c>
      <c r="I51" s="19">
        <v>0.1102635</v>
      </c>
      <c r="J51" s="19" t="s">
        <v>23</v>
      </c>
      <c r="K51" s="19">
        <v>1.0621200000000001E-2</v>
      </c>
      <c r="L51" s="31">
        <v>0.42857142857142855</v>
      </c>
      <c r="M51" s="22" t="s">
        <v>24</v>
      </c>
      <c r="N51" s="22">
        <v>5.5131699999999999E-2</v>
      </c>
      <c r="O51" s="22" t="s">
        <v>23</v>
      </c>
      <c r="P51" s="22">
        <v>1.0831500000000001E-2</v>
      </c>
      <c r="Q51" s="34">
        <v>0.42857142857142855</v>
      </c>
      <c r="S51" s="16"/>
      <c r="U51" s="16"/>
      <c r="W51" s="11" t="s">
        <v>3</v>
      </c>
      <c r="X51" s="12">
        <f>VLOOKUP(LOWER(Z48),experiments_specs!$A:$J,4,FALSE)</f>
        <v>2</v>
      </c>
      <c r="Y51" s="15" t="s">
        <v>74</v>
      </c>
      <c r="Z51" s="6" t="s">
        <v>12</v>
      </c>
      <c r="AA51" s="19" t="s">
        <v>22</v>
      </c>
      <c r="AB51" s="19">
        <v>0.1102635</v>
      </c>
      <c r="AC51" s="19" t="s">
        <v>23</v>
      </c>
      <c r="AD51" s="19">
        <v>6.0776999999999998E-2</v>
      </c>
      <c r="AE51" s="31">
        <v>0.42857142857142855</v>
      </c>
      <c r="AF51" s="22" t="s">
        <v>24</v>
      </c>
      <c r="AG51" s="22">
        <v>5.5131699999999999E-2</v>
      </c>
      <c r="AH51" s="22" t="s">
        <v>23</v>
      </c>
      <c r="AI51" s="22">
        <v>6.0776999999999998E-2</v>
      </c>
      <c r="AJ51" s="34">
        <v>0.42857142857142855</v>
      </c>
      <c r="AL51" s="16"/>
      <c r="AN51" s="16"/>
      <c r="AP51" s="11" t="s">
        <v>3</v>
      </c>
      <c r="AQ51" s="12">
        <f>VLOOKUP(LOWER(AS48),experiments_specs!$A:$J,4,FALSE)</f>
        <v>2</v>
      </c>
      <c r="AR51" s="15" t="s">
        <v>80</v>
      </c>
      <c r="AS51" s="6" t="s">
        <v>12</v>
      </c>
      <c r="AT51" s="19" t="s">
        <v>22</v>
      </c>
      <c r="AU51" s="19">
        <v>0.1102635</v>
      </c>
      <c r="AV51" s="19" t="s">
        <v>23</v>
      </c>
      <c r="AW51" s="19">
        <v>6.0776999999999998E-2</v>
      </c>
      <c r="AX51" s="31">
        <v>0.42857142857142855</v>
      </c>
      <c r="AY51" s="22" t="s">
        <v>24</v>
      </c>
      <c r="AZ51" s="22">
        <v>5.5131699999999999E-2</v>
      </c>
      <c r="BA51" s="22" t="s">
        <v>23</v>
      </c>
      <c r="BB51" s="22">
        <v>6.0776999999999998E-2</v>
      </c>
      <c r="BC51" s="34">
        <v>0.42857142857142855</v>
      </c>
      <c r="BE51" s="16"/>
    </row>
    <row r="52" spans="2:57" x14ac:dyDescent="0.2">
      <c r="B52" s="16"/>
      <c r="D52" s="11" t="s">
        <v>4</v>
      </c>
      <c r="E52" s="12" t="str">
        <f>VLOOKUP(LOWER(G48),experiments_specs!$A:$J,5,FALSE)</f>
        <v>False</v>
      </c>
      <c r="F52" s="15" t="s">
        <v>66</v>
      </c>
      <c r="G52" s="6" t="s">
        <v>13</v>
      </c>
      <c r="H52" s="19" t="s">
        <v>199</v>
      </c>
      <c r="I52" s="19">
        <v>0.17025129999999999</v>
      </c>
      <c r="J52" s="19" t="s">
        <v>200</v>
      </c>
      <c r="K52" s="19">
        <v>8.7422000000000003E-3</v>
      </c>
      <c r="L52" s="31" t="s">
        <v>25</v>
      </c>
      <c r="M52" s="22" t="s">
        <v>201</v>
      </c>
      <c r="N52" s="22">
        <v>0</v>
      </c>
      <c r="O52" s="22" t="s">
        <v>200</v>
      </c>
      <c r="P52" s="22">
        <v>9.2478999999999999E-3</v>
      </c>
      <c r="Q52" s="34" t="s">
        <v>25</v>
      </c>
      <c r="S52" s="16"/>
      <c r="U52" s="16"/>
      <c r="W52" s="11" t="s">
        <v>4</v>
      </c>
      <c r="X52" s="12" t="str">
        <f>VLOOKUP(LOWER(Z48),experiments_specs!$A:$J,5,FALSE)</f>
        <v>True</v>
      </c>
      <c r="Y52" s="15" t="s">
        <v>74</v>
      </c>
      <c r="Z52" s="6" t="s">
        <v>13</v>
      </c>
      <c r="AA52" s="19" t="s">
        <v>32</v>
      </c>
      <c r="AB52" s="19">
        <v>0.14744189999999999</v>
      </c>
      <c r="AC52" s="19" t="s">
        <v>33</v>
      </c>
      <c r="AD52" s="19">
        <v>3.6860400000000001E-2</v>
      </c>
      <c r="AE52" s="31">
        <v>0.4</v>
      </c>
      <c r="AF52" s="22" t="s">
        <v>34</v>
      </c>
      <c r="AG52" s="22">
        <v>0</v>
      </c>
      <c r="AH52" s="22" t="s">
        <v>35</v>
      </c>
      <c r="AI52" s="22">
        <v>3.6860400000000001E-2</v>
      </c>
      <c r="AJ52" s="34" t="s">
        <v>25</v>
      </c>
      <c r="AL52" s="16"/>
      <c r="AN52" s="16"/>
      <c r="AP52" s="11" t="s">
        <v>4</v>
      </c>
      <c r="AQ52" s="12" t="str">
        <f>VLOOKUP(LOWER(AS48),experiments_specs!$A:$J,5,FALSE)</f>
        <v>True</v>
      </c>
      <c r="AR52" s="15" t="s">
        <v>80</v>
      </c>
      <c r="AS52" s="6" t="s">
        <v>13</v>
      </c>
      <c r="AT52" s="19" t="s">
        <v>326</v>
      </c>
      <c r="AU52" s="19">
        <v>0.10425719999999999</v>
      </c>
      <c r="AV52" s="19" t="s">
        <v>327</v>
      </c>
      <c r="AW52" s="19">
        <v>2.4573600000000001E-2</v>
      </c>
      <c r="AX52" s="31" t="s">
        <v>25</v>
      </c>
      <c r="AY52" s="22" t="s">
        <v>34</v>
      </c>
      <c r="AZ52" s="22">
        <v>0</v>
      </c>
      <c r="BA52" s="22" t="s">
        <v>35</v>
      </c>
      <c r="BB52" s="22">
        <v>3.0717000000000001E-2</v>
      </c>
      <c r="BC52" s="34" t="s">
        <v>25</v>
      </c>
      <c r="BE52" s="16"/>
    </row>
    <row r="53" spans="2:57" ht="34" x14ac:dyDescent="0.2">
      <c r="B53" s="16"/>
      <c r="D53" s="11" t="s">
        <v>5</v>
      </c>
      <c r="E53" s="12" t="str">
        <f>VLOOKUP(LOWER(G48),experiments_specs!$A:$J,6,FALSE)</f>
        <v>True</v>
      </c>
      <c r="F53" s="15" t="s">
        <v>66</v>
      </c>
      <c r="G53" s="6" t="s">
        <v>14</v>
      </c>
      <c r="H53" s="19" t="s">
        <v>202</v>
      </c>
      <c r="I53" s="19">
        <v>7.5485099999999999E-2</v>
      </c>
      <c r="J53" s="19" t="s">
        <v>203</v>
      </c>
      <c r="K53" s="19">
        <v>5.4650999999999996E-3</v>
      </c>
      <c r="L53" s="31">
        <v>0.14285714285714285</v>
      </c>
      <c r="M53" s="22" t="s">
        <v>204</v>
      </c>
      <c r="N53" s="22">
        <v>0</v>
      </c>
      <c r="O53" s="22" t="s">
        <v>205</v>
      </c>
      <c r="P53" s="22">
        <v>6.6150000000000002E-3</v>
      </c>
      <c r="Q53" s="34">
        <v>0.625</v>
      </c>
      <c r="S53" s="16"/>
      <c r="U53" s="16"/>
      <c r="W53" s="11" t="s">
        <v>5</v>
      </c>
      <c r="X53" s="12" t="str">
        <f>VLOOKUP(LOWER(Z48),experiments_specs!$A:$J,6,FALSE)</f>
        <v>True</v>
      </c>
      <c r="Y53" s="15" t="s">
        <v>74</v>
      </c>
      <c r="Z53" s="6" t="s">
        <v>14</v>
      </c>
      <c r="AA53" s="18" t="s">
        <v>181</v>
      </c>
      <c r="AB53" s="18" t="s">
        <v>268</v>
      </c>
      <c r="AC53" s="18" t="s">
        <v>182</v>
      </c>
      <c r="AD53" s="18" t="s">
        <v>316</v>
      </c>
      <c r="AE53" s="31">
        <v>0.33333333333333331</v>
      </c>
      <c r="AF53" s="23" t="s">
        <v>183</v>
      </c>
      <c r="AG53" s="23" t="s">
        <v>272</v>
      </c>
      <c r="AH53" s="23" t="s">
        <v>182</v>
      </c>
      <c r="AI53" s="23" t="s">
        <v>274</v>
      </c>
      <c r="AJ53" s="34">
        <v>0.33333333333333331</v>
      </c>
      <c r="AL53" s="16"/>
      <c r="AN53" s="16"/>
      <c r="AP53" s="11" t="s">
        <v>5</v>
      </c>
      <c r="AQ53" s="12" t="str">
        <f>VLOOKUP(LOWER(AS48),experiments_specs!$A:$J,6,FALSE)</f>
        <v>True</v>
      </c>
      <c r="AR53" s="15" t="s">
        <v>80</v>
      </c>
      <c r="AS53" s="6" t="s">
        <v>14</v>
      </c>
      <c r="AT53" s="18" t="s">
        <v>181</v>
      </c>
      <c r="AU53" s="18" t="s">
        <v>268</v>
      </c>
      <c r="AV53" s="18" t="s">
        <v>182</v>
      </c>
      <c r="AW53" s="18" t="s">
        <v>270</v>
      </c>
      <c r="AX53" s="31">
        <v>0.33333333333333331</v>
      </c>
      <c r="AY53" s="23" t="s">
        <v>183</v>
      </c>
      <c r="AZ53" s="23" t="s">
        <v>272</v>
      </c>
      <c r="BA53" s="23" t="s">
        <v>182</v>
      </c>
      <c r="BB53" s="23" t="s">
        <v>291</v>
      </c>
      <c r="BC53" s="34">
        <v>0.33333333333333331</v>
      </c>
      <c r="BE53" s="16"/>
    </row>
    <row r="54" spans="2:57" ht="34" x14ac:dyDescent="0.2">
      <c r="B54" s="16"/>
      <c r="D54" s="11" t="s">
        <v>6</v>
      </c>
      <c r="E54" s="12" t="str">
        <f>VLOOKUP(LOWER(G48),experiments_specs!$A:$J,7,FALSE)</f>
        <v>False</v>
      </c>
      <c r="F54" s="15" t="s">
        <v>66</v>
      </c>
      <c r="G54" s="6" t="s">
        <v>15</v>
      </c>
      <c r="H54" s="19" t="s">
        <v>26</v>
      </c>
      <c r="I54" s="19">
        <v>0.1561737</v>
      </c>
      <c r="J54" s="19" t="s">
        <v>27</v>
      </c>
      <c r="K54" s="19">
        <v>3.8800000000000002E-3</v>
      </c>
      <c r="L54" s="31">
        <v>0.16666666666666666</v>
      </c>
      <c r="M54" s="23" t="s">
        <v>184</v>
      </c>
      <c r="N54" s="23" t="s">
        <v>185</v>
      </c>
      <c r="O54" s="23" t="s">
        <v>187</v>
      </c>
      <c r="P54" s="23" t="s">
        <v>262</v>
      </c>
      <c r="Q54" s="34">
        <v>0.18181818181818182</v>
      </c>
      <c r="S54" s="16"/>
      <c r="U54" s="16"/>
      <c r="W54" s="11" t="s">
        <v>6</v>
      </c>
      <c r="X54" s="12" t="str">
        <f>VLOOKUP(LOWER(Z48),experiments_specs!$A:$J,7,FALSE)</f>
        <v>False</v>
      </c>
      <c r="Y54" s="15" t="s">
        <v>74</v>
      </c>
      <c r="Z54" s="6" t="s">
        <v>15</v>
      </c>
      <c r="AA54" s="19" t="s">
        <v>26</v>
      </c>
      <c r="AB54" s="19">
        <v>0.1561737</v>
      </c>
      <c r="AC54" s="19" t="s">
        <v>27</v>
      </c>
      <c r="AD54" s="19">
        <v>2.0823100000000001E-2</v>
      </c>
      <c r="AE54" s="31">
        <v>0.16666666666666666</v>
      </c>
      <c r="AF54" s="23" t="s">
        <v>184</v>
      </c>
      <c r="AG54" s="23" t="s">
        <v>185</v>
      </c>
      <c r="AH54" s="23" t="s">
        <v>187</v>
      </c>
      <c r="AI54" s="23" t="s">
        <v>318</v>
      </c>
      <c r="AJ54" s="34">
        <v>0.18181818181818182</v>
      </c>
      <c r="AL54" s="16"/>
      <c r="AN54" s="16"/>
      <c r="AP54" s="11" t="s">
        <v>6</v>
      </c>
      <c r="AQ54" s="12" t="str">
        <f>VLOOKUP(LOWER(AS48),experiments_specs!$A:$J,7,FALSE)</f>
        <v>False</v>
      </c>
      <c r="AR54" s="15" t="s">
        <v>80</v>
      </c>
      <c r="AS54" s="6" t="s">
        <v>15</v>
      </c>
      <c r="AT54" s="19" t="s">
        <v>26</v>
      </c>
      <c r="AU54" s="19">
        <v>0.1561737</v>
      </c>
      <c r="AV54" s="19" t="s">
        <v>27</v>
      </c>
      <c r="AW54" s="19">
        <v>2.23105E-2</v>
      </c>
      <c r="AX54" s="31">
        <v>0.16666666666666666</v>
      </c>
      <c r="AY54" s="23" t="s">
        <v>184</v>
      </c>
      <c r="AZ54" s="23" t="s">
        <v>185</v>
      </c>
      <c r="BA54" s="23" t="s">
        <v>187</v>
      </c>
      <c r="BB54" s="23" t="s">
        <v>276</v>
      </c>
      <c r="BC54" s="34">
        <v>0.18181818181818182</v>
      </c>
      <c r="BE54" s="16"/>
    </row>
    <row r="55" spans="2:57" ht="34" x14ac:dyDescent="0.2">
      <c r="B55" s="16"/>
      <c r="D55" s="11" t="s">
        <v>7</v>
      </c>
      <c r="E55" s="12" t="str">
        <f>VLOOKUP(LOWER(G48),experiments_specs!$A:$J,8,FALSE)</f>
        <v>False</v>
      </c>
      <c r="F55" s="15" t="s">
        <v>66</v>
      </c>
      <c r="G55" s="6" t="s">
        <v>16</v>
      </c>
      <c r="H55" s="19" t="s">
        <v>208</v>
      </c>
      <c r="I55" s="19">
        <v>0.1666666</v>
      </c>
      <c r="J55" s="19" t="s">
        <v>209</v>
      </c>
      <c r="K55" s="19">
        <v>3.6392E-3</v>
      </c>
      <c r="L55" s="31">
        <v>0.55555555555555558</v>
      </c>
      <c r="M55" s="23" t="s">
        <v>210</v>
      </c>
      <c r="N55" s="23" t="s">
        <v>212</v>
      </c>
      <c r="O55" s="23" t="s">
        <v>214</v>
      </c>
      <c r="P55" s="23" t="s">
        <v>216</v>
      </c>
      <c r="Q55" s="34">
        <v>0.13333333333333333</v>
      </c>
      <c r="S55" s="16"/>
      <c r="U55" s="16"/>
      <c r="W55" s="11" t="s">
        <v>7</v>
      </c>
      <c r="X55" s="12" t="str">
        <f>VLOOKUP(LOWER(Z48),experiments_specs!$A:$J,8,FALSE)</f>
        <v>False</v>
      </c>
      <c r="Y55" s="15" t="s">
        <v>74</v>
      </c>
      <c r="Z55" s="6" t="s">
        <v>16</v>
      </c>
      <c r="AA55" s="19" t="s">
        <v>39</v>
      </c>
      <c r="AB55" s="19">
        <v>6.4549700000000002E-2</v>
      </c>
      <c r="AC55" s="19" t="s">
        <v>40</v>
      </c>
      <c r="AD55" s="19">
        <v>1.7496299999999999E-2</v>
      </c>
      <c r="AE55" s="31">
        <v>0.22222222222222221</v>
      </c>
      <c r="AF55" s="23" t="s">
        <v>41</v>
      </c>
      <c r="AG55" s="23">
        <v>4.1666599999999998E-2</v>
      </c>
      <c r="AH55" s="23" t="s">
        <v>40</v>
      </c>
      <c r="AI55" s="23">
        <v>1.8556699999999999E-2</v>
      </c>
      <c r="AJ55" s="34">
        <v>0.22222222222222221</v>
      </c>
      <c r="AL55" s="16"/>
      <c r="AN55" s="16"/>
      <c r="AP55" s="11" t="s">
        <v>7</v>
      </c>
      <c r="AQ55" s="12" t="str">
        <f>VLOOKUP(LOWER(AS48),experiments_specs!$A:$J,8,FALSE)</f>
        <v>False</v>
      </c>
      <c r="AR55" s="15" t="s">
        <v>80</v>
      </c>
      <c r="AS55" s="6" t="s">
        <v>16</v>
      </c>
      <c r="AT55" s="19" t="s">
        <v>39</v>
      </c>
      <c r="AU55" s="19">
        <v>6.4549700000000002E-2</v>
      </c>
      <c r="AV55" s="19" t="s">
        <v>40</v>
      </c>
      <c r="AW55" s="19">
        <v>1.9753900000000001E-2</v>
      </c>
      <c r="AX55" s="31">
        <v>0.22222222222222221</v>
      </c>
      <c r="AY55" s="23" t="s">
        <v>41</v>
      </c>
      <c r="AZ55" s="23">
        <v>4.1666599999999998E-2</v>
      </c>
      <c r="BA55" s="23" t="s">
        <v>40</v>
      </c>
      <c r="BB55" s="23">
        <v>1.8556699999999999E-2</v>
      </c>
      <c r="BC55" s="34">
        <v>0.22222222222222221</v>
      </c>
      <c r="BE55" s="16"/>
    </row>
    <row r="56" spans="2:57" ht="51" x14ac:dyDescent="0.2">
      <c r="B56" s="16"/>
      <c r="D56" s="11" t="s">
        <v>8</v>
      </c>
      <c r="E56" s="12" t="str">
        <f>VLOOKUP(LOWER(G48),experiments_specs!$A:$J,9,FALSE)</f>
        <v>wup_similarity</v>
      </c>
      <c r="F56" s="15" t="s">
        <v>66</v>
      </c>
      <c r="G56" s="6" t="s">
        <v>17</v>
      </c>
      <c r="H56" s="19" t="s">
        <v>218</v>
      </c>
      <c r="I56" s="19">
        <v>0.18898219999999999</v>
      </c>
      <c r="J56" s="19" t="s">
        <v>219</v>
      </c>
      <c r="K56" s="19">
        <v>2.9120999999999999E-3</v>
      </c>
      <c r="L56" s="31">
        <v>0.13333333333333333</v>
      </c>
      <c r="M56" s="22" t="s">
        <v>220</v>
      </c>
      <c r="N56" s="22">
        <v>7.7151600000000001E-2</v>
      </c>
      <c r="O56" s="22" t="s">
        <v>221</v>
      </c>
      <c r="P56" s="22">
        <v>5.6293999999999997E-3</v>
      </c>
      <c r="Q56" s="34">
        <v>0.33333333333333331</v>
      </c>
      <c r="S56" s="16"/>
      <c r="U56" s="16"/>
      <c r="W56" s="11" t="s">
        <v>8</v>
      </c>
      <c r="X56" s="12" t="str">
        <f>VLOOKUP(LOWER(Z48),experiments_specs!$A:$J,9,FALSE)</f>
        <v>wup_similarity</v>
      </c>
      <c r="Y56" s="15" t="s">
        <v>74</v>
      </c>
      <c r="Z56" s="6" t="s">
        <v>17</v>
      </c>
      <c r="AA56" s="18" t="s">
        <v>278</v>
      </c>
      <c r="AB56" s="18" t="s">
        <v>280</v>
      </c>
      <c r="AC56" s="18" t="s">
        <v>189</v>
      </c>
      <c r="AD56" s="18" t="s">
        <v>320</v>
      </c>
      <c r="AE56" s="31">
        <v>0.30769230769230771</v>
      </c>
      <c r="AF56" s="23" t="s">
        <v>188</v>
      </c>
      <c r="AG56" s="23" t="s">
        <v>284</v>
      </c>
      <c r="AH56" s="23" t="s">
        <v>189</v>
      </c>
      <c r="AI56" s="23" t="s">
        <v>286</v>
      </c>
      <c r="AJ56" s="34">
        <v>0.30769230769230771</v>
      </c>
      <c r="AL56" s="16"/>
      <c r="AN56" s="16"/>
      <c r="AP56" s="11" t="s">
        <v>8</v>
      </c>
      <c r="AQ56" s="12" t="str">
        <f>VLOOKUP(LOWER(AS48),experiments_specs!$A:$J,9,FALSE)</f>
        <v>wup_similarity</v>
      </c>
      <c r="AR56" s="15" t="s">
        <v>80</v>
      </c>
      <c r="AS56" s="6" t="s">
        <v>17</v>
      </c>
      <c r="AT56" s="18" t="s">
        <v>278</v>
      </c>
      <c r="AU56" s="18" t="s">
        <v>280</v>
      </c>
      <c r="AV56" s="18" t="s">
        <v>189</v>
      </c>
      <c r="AW56" s="18" t="s">
        <v>286</v>
      </c>
      <c r="AX56" s="31">
        <v>0.30769230769230771</v>
      </c>
      <c r="AY56" s="23" t="s">
        <v>188</v>
      </c>
      <c r="AZ56" s="23" t="s">
        <v>284</v>
      </c>
      <c r="BA56" s="23" t="s">
        <v>189</v>
      </c>
      <c r="BB56" s="23" t="s">
        <v>286</v>
      </c>
      <c r="BC56" s="34">
        <v>0.30769230769230771</v>
      </c>
      <c r="BE56" s="16"/>
    </row>
    <row r="57" spans="2:57" x14ac:dyDescent="0.2">
      <c r="B57" s="16"/>
      <c r="D57" s="11" t="s">
        <v>9</v>
      </c>
      <c r="E57" s="12" t="str">
        <f>VLOOKUP(LOWER(G48),experiments_specs!$A:$J,10,FALSE)</f>
        <v>False</v>
      </c>
      <c r="F57" s="15" t="s">
        <v>66</v>
      </c>
      <c r="G57" s="7" t="s">
        <v>18</v>
      </c>
      <c r="H57" s="20" t="s">
        <v>222</v>
      </c>
      <c r="I57" s="20">
        <v>0.1105064</v>
      </c>
      <c r="J57" s="20" t="s">
        <v>223</v>
      </c>
      <c r="K57" s="20">
        <v>2.8111E-3</v>
      </c>
      <c r="L57" s="32">
        <v>0.21052631578947367</v>
      </c>
      <c r="M57" s="24" t="s">
        <v>224</v>
      </c>
      <c r="N57" s="24">
        <v>7.7266699999999994E-2</v>
      </c>
      <c r="O57" s="24" t="s">
        <v>223</v>
      </c>
      <c r="P57" s="24">
        <v>3.4145E-3</v>
      </c>
      <c r="Q57" s="35">
        <v>0.21052631578947367</v>
      </c>
      <c r="S57" s="16"/>
      <c r="U57" s="16"/>
      <c r="W57" s="11" t="s">
        <v>9</v>
      </c>
      <c r="X57" s="12" t="str">
        <f>VLOOKUP(LOWER(Z48),experiments_specs!$A:$J,10,FALSE)</f>
        <v>False</v>
      </c>
      <c r="Y57" s="15" t="s">
        <v>74</v>
      </c>
      <c r="Z57" s="7" t="s">
        <v>18</v>
      </c>
      <c r="AA57" s="20" t="s">
        <v>44</v>
      </c>
      <c r="AB57" s="20">
        <v>3.5267199999999999E-2</v>
      </c>
      <c r="AC57" s="20" t="s">
        <v>45</v>
      </c>
      <c r="AD57" s="20">
        <v>1.5643600000000001E-2</v>
      </c>
      <c r="AE57" s="32">
        <v>0.21052631578947367</v>
      </c>
      <c r="AF57" s="24" t="s">
        <v>46</v>
      </c>
      <c r="AG57" s="24">
        <v>0</v>
      </c>
      <c r="AH57" s="24" t="s">
        <v>45</v>
      </c>
      <c r="AI57" s="24">
        <v>1.8864300000000001E-2</v>
      </c>
      <c r="AJ57" s="35">
        <v>0.21052631578947367</v>
      </c>
      <c r="AL57" s="16"/>
      <c r="AN57" s="16"/>
      <c r="AP57" s="11" t="s">
        <v>9</v>
      </c>
      <c r="AQ57" s="12" t="str">
        <f>VLOOKUP(LOWER(AS48),experiments_specs!$A:$J,10,FALSE)</f>
        <v>True</v>
      </c>
      <c r="AR57" s="15" t="s">
        <v>80</v>
      </c>
      <c r="AS57" s="7" t="s">
        <v>18</v>
      </c>
      <c r="AT57" s="20" t="s">
        <v>44</v>
      </c>
      <c r="AU57" s="20">
        <v>3.5267199999999999E-2</v>
      </c>
      <c r="AV57" s="20" t="s">
        <v>45</v>
      </c>
      <c r="AW57" s="20">
        <v>1.8864300000000001E-2</v>
      </c>
      <c r="AX57" s="32">
        <v>0.21052631578947367</v>
      </c>
      <c r="AY57" s="24" t="s">
        <v>46</v>
      </c>
      <c r="AZ57" s="24">
        <v>0</v>
      </c>
      <c r="BA57" s="24" t="s">
        <v>45</v>
      </c>
      <c r="BB57" s="24">
        <v>1.8864300000000001E-2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TEST_06</v>
      </c>
      <c r="H59" s="41" t="s">
        <v>124</v>
      </c>
      <c r="I59" s="41"/>
      <c r="J59" s="41"/>
      <c r="K59" s="41"/>
      <c r="L59" s="41"/>
      <c r="M59" s="42" t="s">
        <v>123</v>
      </c>
      <c r="N59" s="42"/>
      <c r="O59" s="42"/>
      <c r="P59" s="42"/>
      <c r="Q59" s="42"/>
      <c r="R59" s="2"/>
      <c r="S59" s="16"/>
      <c r="U59" s="16"/>
      <c r="W59" s="13" t="s">
        <v>126</v>
      </c>
      <c r="X59" s="14"/>
      <c r="Y59" s="9"/>
      <c r="Z59" s="10" t="str">
        <f>"TEST_"&amp;TEXT(RIGHT(Z48,2)+1, "00")</f>
        <v>TEST_12</v>
      </c>
      <c r="AA59" s="41" t="s">
        <v>124</v>
      </c>
      <c r="AB59" s="41"/>
      <c r="AC59" s="41"/>
      <c r="AD59" s="41"/>
      <c r="AE59" s="41"/>
      <c r="AF59" s="42" t="s">
        <v>123</v>
      </c>
      <c r="AG59" s="42"/>
      <c r="AH59" s="42"/>
      <c r="AI59" s="42"/>
      <c r="AJ59" s="42"/>
      <c r="AK59" s="2"/>
      <c r="AL59" s="16"/>
      <c r="AN59" s="16"/>
      <c r="AP59" s="13" t="s">
        <v>126</v>
      </c>
      <c r="AQ59" s="14"/>
      <c r="AR59" s="9"/>
      <c r="AS59" s="10" t="str">
        <f>"TEST_"&amp;TEXT(RIGHT(AS48,2)+1, "00")</f>
        <v>TEST_18</v>
      </c>
      <c r="AT59" s="41" t="s">
        <v>124</v>
      </c>
      <c r="AU59" s="41"/>
      <c r="AV59" s="41"/>
      <c r="AW59" s="41"/>
      <c r="AX59" s="41"/>
      <c r="AY59" s="42" t="s">
        <v>123</v>
      </c>
      <c r="AZ59" s="42"/>
      <c r="BA59" s="42"/>
      <c r="BB59" s="42"/>
      <c r="BC59" s="42"/>
      <c r="BD59" s="2"/>
      <c r="BE59" s="16"/>
    </row>
    <row r="60" spans="2:57" x14ac:dyDescent="0.2">
      <c r="B60" s="16"/>
      <c r="D60" s="11" t="s">
        <v>1</v>
      </c>
      <c r="E60" s="12" t="str">
        <f>VLOOKUP(LOWER(G59),experiments_specs!$A:$J,2,FALSE)</f>
        <v>NN,JJ,VB,VBD,VBG,VBN,VBP,VBZ</v>
      </c>
      <c r="F60" s="15" t="str">
        <f>"{"&amp;LOWER(G59)&amp;".csv}"</f>
        <v>{test_06.csv}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VLOOKUP(LOWER(Z59),experiments_specs!$A:$J,2,FALSE)</f>
        <v>NN,JJ,VB,VBD,VBG,VBN,VBP,VBZ</v>
      </c>
      <c r="Y60" s="15" t="str">
        <f>"{"&amp;LOWER(Z59)&amp;".csv}"</f>
        <v>{test_12.csv}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VLOOKUP(LOWER(AS59),experiments_specs!$A:$J,2,FALSE)</f>
        <v>NN,JJ,VB,VBD,VBG,VBN,VBP,VBZ</v>
      </c>
      <c r="AR60" s="15" t="str">
        <f>"{"&amp;LOWER(AS59)&amp;".csv}"</f>
        <v>{test_18.csv}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17" x14ac:dyDescent="0.2">
      <c r="B61" s="16"/>
      <c r="D61" s="11" t="s">
        <v>2</v>
      </c>
      <c r="E61" s="12">
        <f>VLOOKUP(LOWER(G59),experiments_specs!$A:$J,3,FALSE)</f>
        <v>1</v>
      </c>
      <c r="F61" s="15" t="s">
        <v>68</v>
      </c>
      <c r="G61" s="5" t="s">
        <v>19</v>
      </c>
      <c r="H61" s="17" t="s">
        <v>225</v>
      </c>
      <c r="I61" s="17">
        <v>0.14126440000000001</v>
      </c>
      <c r="J61" s="17" t="s">
        <v>226</v>
      </c>
      <c r="K61" s="17">
        <v>2.2051000000000002E-3</v>
      </c>
      <c r="L61" s="30">
        <v>0.17391304347826086</v>
      </c>
      <c r="M61" s="21" t="s">
        <v>227</v>
      </c>
      <c r="N61" s="21">
        <v>0</v>
      </c>
      <c r="O61" s="21" t="s">
        <v>228</v>
      </c>
      <c r="P61" s="21">
        <v>5.6026000000000001E-3</v>
      </c>
      <c r="Q61" s="33">
        <v>0.11764705882352941</v>
      </c>
      <c r="S61" s="16"/>
      <c r="U61" s="16"/>
      <c r="W61" s="11" t="s">
        <v>2</v>
      </c>
      <c r="X61" s="12">
        <f>VLOOKUP(LOWER(Z59),experiments_specs!$A:$J,3,FALSE)</f>
        <v>1</v>
      </c>
      <c r="Y61" s="15" t="s">
        <v>75</v>
      </c>
      <c r="Z61" s="5" t="s">
        <v>19</v>
      </c>
      <c r="AA61" s="17" t="s">
        <v>225</v>
      </c>
      <c r="AB61" s="17">
        <v>0.14126440000000001</v>
      </c>
      <c r="AC61" s="17" t="s">
        <v>226</v>
      </c>
      <c r="AD61" s="17">
        <v>1.97927E-2</v>
      </c>
      <c r="AE61" s="30">
        <v>0.17391304347826086</v>
      </c>
      <c r="AF61" s="21" t="s">
        <v>288</v>
      </c>
      <c r="AG61" s="21">
        <v>0.139686</v>
      </c>
      <c r="AH61" s="21" t="s">
        <v>226</v>
      </c>
      <c r="AI61" s="21">
        <v>2.89822E-2</v>
      </c>
      <c r="AJ61" s="33">
        <v>0.17391304347826086</v>
      </c>
      <c r="AL61" s="16"/>
      <c r="AN61" s="16"/>
      <c r="AP61" s="11" t="s">
        <v>2</v>
      </c>
      <c r="AQ61" s="12">
        <f>VLOOKUP(LOWER(AS59),experiments_specs!$A:$J,3,FALSE)</f>
        <v>1</v>
      </c>
      <c r="AR61" s="15" t="s">
        <v>81</v>
      </c>
      <c r="AS61" s="5" t="s">
        <v>19</v>
      </c>
      <c r="AT61" s="17" t="s">
        <v>225</v>
      </c>
      <c r="AU61" s="17">
        <v>0.14126440000000001</v>
      </c>
      <c r="AV61" s="17" t="s">
        <v>226</v>
      </c>
      <c r="AW61" s="17">
        <v>2.7050000000000001E-2</v>
      </c>
      <c r="AX61" s="30">
        <v>0.17391304347826086</v>
      </c>
      <c r="AY61" s="21" t="s">
        <v>288</v>
      </c>
      <c r="AZ61" s="21">
        <v>0.139686</v>
      </c>
      <c r="BA61" s="21" t="s">
        <v>226</v>
      </c>
      <c r="BB61" s="21">
        <v>2.7982799999999999E-2</v>
      </c>
      <c r="BC61" s="33">
        <v>0.17391304347826086</v>
      </c>
      <c r="BE61" s="16"/>
    </row>
    <row r="62" spans="2:57" x14ac:dyDescent="0.2">
      <c r="B62" s="16"/>
      <c r="D62" s="11" t="s">
        <v>3</v>
      </c>
      <c r="E62" s="12">
        <f>VLOOKUP(LOWER(G59),experiments_specs!$A:$J,4,FALSE)</f>
        <v>2</v>
      </c>
      <c r="F62" s="15" t="s">
        <v>68</v>
      </c>
      <c r="G62" s="6" t="s">
        <v>12</v>
      </c>
      <c r="H62" s="19" t="s">
        <v>251</v>
      </c>
      <c r="I62" s="19">
        <v>0.14586489999999999</v>
      </c>
      <c r="J62" s="19" t="s">
        <v>236</v>
      </c>
      <c r="K62" s="19">
        <v>3.1492999999999998E-3</v>
      </c>
      <c r="L62" s="31">
        <v>0.125</v>
      </c>
      <c r="M62" s="22" t="s">
        <v>235</v>
      </c>
      <c r="N62" s="22">
        <v>0</v>
      </c>
      <c r="O62" s="22" t="s">
        <v>236</v>
      </c>
      <c r="P62" s="22">
        <v>7.2126999999999998E-3</v>
      </c>
      <c r="Q62" s="34">
        <v>0.125</v>
      </c>
      <c r="S62" s="16"/>
      <c r="U62" s="16"/>
      <c r="W62" s="11" t="s">
        <v>3</v>
      </c>
      <c r="X62" s="12">
        <f>VLOOKUP(LOWER(Z59),experiments_specs!$A:$J,4,FALSE)</f>
        <v>2</v>
      </c>
      <c r="Y62" s="15" t="s">
        <v>75</v>
      </c>
      <c r="Z62" s="6" t="s">
        <v>12</v>
      </c>
      <c r="AA62" s="19" t="s">
        <v>22</v>
      </c>
      <c r="AB62" s="19">
        <v>0.1102635</v>
      </c>
      <c r="AC62" s="19" t="s">
        <v>23</v>
      </c>
      <c r="AD62" s="19">
        <v>2.27914E-2</v>
      </c>
      <c r="AE62" s="31">
        <v>0.42857142857142855</v>
      </c>
      <c r="AF62" s="22" t="s">
        <v>24</v>
      </c>
      <c r="AG62" s="22">
        <v>5.5131699999999999E-2</v>
      </c>
      <c r="AH62" s="22" t="s">
        <v>23</v>
      </c>
      <c r="AI62" s="22">
        <v>3.4187099999999998E-2</v>
      </c>
      <c r="AJ62" s="34">
        <v>0.42857142857142855</v>
      </c>
      <c r="AL62" s="16"/>
      <c r="AN62" s="16"/>
      <c r="AP62" s="11" t="s">
        <v>3</v>
      </c>
      <c r="AQ62" s="12">
        <f>VLOOKUP(LOWER(AS59),experiments_specs!$A:$J,4,FALSE)</f>
        <v>2</v>
      </c>
      <c r="AR62" s="15" t="s">
        <v>81</v>
      </c>
      <c r="AS62" s="6" t="s">
        <v>12</v>
      </c>
      <c r="AT62" s="19" t="s">
        <v>22</v>
      </c>
      <c r="AU62" s="19">
        <v>0.1102635</v>
      </c>
      <c r="AV62" s="19" t="s">
        <v>23</v>
      </c>
      <c r="AW62" s="19">
        <v>3.7723699999999999E-2</v>
      </c>
      <c r="AX62" s="31">
        <v>0.42857142857142855</v>
      </c>
      <c r="AY62" s="22" t="s">
        <v>24</v>
      </c>
      <c r="AZ62" s="22">
        <v>5.5131699999999999E-2</v>
      </c>
      <c r="BA62" s="22" t="s">
        <v>23</v>
      </c>
      <c r="BB62" s="22">
        <v>3.7723699999999999E-2</v>
      </c>
      <c r="BC62" s="34">
        <v>0.42857142857142855</v>
      </c>
      <c r="BE62" s="16"/>
    </row>
    <row r="63" spans="2:57" ht="34" x14ac:dyDescent="0.2">
      <c r="B63" s="16"/>
      <c r="D63" s="11" t="s">
        <v>4</v>
      </c>
      <c r="E63" s="12" t="str">
        <f>VLOOKUP(LOWER(G59),experiments_specs!$A:$J,5,FALSE)</f>
        <v>False</v>
      </c>
      <c r="F63" s="15" t="s">
        <v>68</v>
      </c>
      <c r="G63" s="6" t="s">
        <v>13</v>
      </c>
      <c r="H63" s="19" t="s">
        <v>199</v>
      </c>
      <c r="I63" s="19">
        <v>0.17025129999999999</v>
      </c>
      <c r="J63" s="19" t="s">
        <v>200</v>
      </c>
      <c r="K63" s="19">
        <v>5.1424000000000001E-3</v>
      </c>
      <c r="L63" s="31" t="s">
        <v>25</v>
      </c>
      <c r="M63" s="22" t="s">
        <v>252</v>
      </c>
      <c r="N63" s="22">
        <v>0.13187599999999999</v>
      </c>
      <c r="O63" s="22" t="s">
        <v>253</v>
      </c>
      <c r="P63" s="22">
        <v>7.7020999999999999E-3</v>
      </c>
      <c r="Q63" s="34">
        <v>0.4</v>
      </c>
      <c r="S63" s="16"/>
      <c r="U63" s="16"/>
      <c r="W63" s="11" t="s">
        <v>4</v>
      </c>
      <c r="X63" s="12" t="str">
        <f>VLOOKUP(LOWER(Z59),experiments_specs!$A:$J,5,FALSE)</f>
        <v>True</v>
      </c>
      <c r="Y63" s="15" t="s">
        <v>75</v>
      </c>
      <c r="Z63" s="6" t="s">
        <v>13</v>
      </c>
      <c r="AA63" s="19" t="s">
        <v>32</v>
      </c>
      <c r="AB63" s="19">
        <v>0.14744189999999999</v>
      </c>
      <c r="AC63" s="19" t="s">
        <v>33</v>
      </c>
      <c r="AD63" s="19">
        <v>2.2116199999999999E-2</v>
      </c>
      <c r="AE63" s="31">
        <v>0.4</v>
      </c>
      <c r="AF63" s="22" t="s">
        <v>34</v>
      </c>
      <c r="AG63" s="22">
        <v>0</v>
      </c>
      <c r="AH63" s="22" t="s">
        <v>35</v>
      </c>
      <c r="AI63" s="22">
        <v>2.6328899999999999E-2</v>
      </c>
      <c r="AJ63" s="34" t="s">
        <v>25</v>
      </c>
      <c r="AL63" s="16"/>
      <c r="AN63" s="16"/>
      <c r="AP63" s="11" t="s">
        <v>4</v>
      </c>
      <c r="AQ63" s="12" t="str">
        <f>VLOOKUP(LOWER(AS59),experiments_specs!$A:$J,5,FALSE)</f>
        <v>True</v>
      </c>
      <c r="AR63" s="15" t="s">
        <v>81</v>
      </c>
      <c r="AS63" s="6" t="s">
        <v>13</v>
      </c>
      <c r="AT63" s="19" t="s">
        <v>326</v>
      </c>
      <c r="AU63" s="19">
        <v>0.10425719999999999</v>
      </c>
      <c r="AV63" s="19" t="s">
        <v>327</v>
      </c>
      <c r="AW63" s="19">
        <v>2.4573600000000001E-2</v>
      </c>
      <c r="AX63" s="31" t="s">
        <v>25</v>
      </c>
      <c r="AY63" s="23" t="s">
        <v>334</v>
      </c>
      <c r="AZ63" s="23" t="s">
        <v>185</v>
      </c>
      <c r="BA63" s="23" t="s">
        <v>336</v>
      </c>
      <c r="BB63" s="23" t="s">
        <v>344</v>
      </c>
      <c r="BC63" s="34" t="s">
        <v>25</v>
      </c>
      <c r="BE63" s="16"/>
    </row>
    <row r="64" spans="2:57" ht="34" x14ac:dyDescent="0.2">
      <c r="B64" s="16"/>
      <c r="D64" s="11" t="s">
        <v>5</v>
      </c>
      <c r="E64" s="12" t="str">
        <f>VLOOKUP(LOWER(G59),experiments_specs!$A:$J,6,FALSE)</f>
        <v>True</v>
      </c>
      <c r="F64" s="15" t="s">
        <v>68</v>
      </c>
      <c r="G64" s="6" t="s">
        <v>14</v>
      </c>
      <c r="H64" s="19" t="s">
        <v>202</v>
      </c>
      <c r="I64" s="19">
        <v>7.5485099999999999E-2</v>
      </c>
      <c r="J64" s="19" t="s">
        <v>203</v>
      </c>
      <c r="K64" s="19">
        <v>3.1069000000000001E-3</v>
      </c>
      <c r="L64" s="31">
        <v>0.14285714285714285</v>
      </c>
      <c r="M64" s="22" t="s">
        <v>204</v>
      </c>
      <c r="N64" s="22">
        <v>0</v>
      </c>
      <c r="O64" s="22" t="s">
        <v>205</v>
      </c>
      <c r="P64" s="22">
        <v>4.9344000000000002E-3</v>
      </c>
      <c r="Q64" s="34">
        <v>0.625</v>
      </c>
      <c r="S64" s="16"/>
      <c r="U64" s="16"/>
      <c r="W64" s="11" t="s">
        <v>5</v>
      </c>
      <c r="X64" s="12" t="str">
        <f>VLOOKUP(LOWER(Z59),experiments_specs!$A:$J,6,FALSE)</f>
        <v>True</v>
      </c>
      <c r="Y64" s="15" t="s">
        <v>75</v>
      </c>
      <c r="Z64" s="6" t="s">
        <v>14</v>
      </c>
      <c r="AA64" s="18" t="s">
        <v>181</v>
      </c>
      <c r="AB64" s="18" t="s">
        <v>268</v>
      </c>
      <c r="AC64" s="18" t="s">
        <v>182</v>
      </c>
      <c r="AD64" s="18" t="s">
        <v>322</v>
      </c>
      <c r="AE64" s="31">
        <v>0.33333333333333331</v>
      </c>
      <c r="AF64" s="23" t="s">
        <v>183</v>
      </c>
      <c r="AG64" s="23" t="s">
        <v>272</v>
      </c>
      <c r="AH64" s="23" t="s">
        <v>182</v>
      </c>
      <c r="AI64" s="23" t="s">
        <v>324</v>
      </c>
      <c r="AJ64" s="34">
        <v>0.33333333333333331</v>
      </c>
      <c r="AL64" s="16"/>
      <c r="AN64" s="16"/>
      <c r="AP64" s="11" t="s">
        <v>5</v>
      </c>
      <c r="AQ64" s="12" t="str">
        <f>VLOOKUP(LOWER(AS59),experiments_specs!$A:$J,6,FALSE)</f>
        <v>True</v>
      </c>
      <c r="AR64" s="15" t="s">
        <v>81</v>
      </c>
      <c r="AS64" s="6" t="s">
        <v>14</v>
      </c>
      <c r="AT64" s="18" t="s">
        <v>181</v>
      </c>
      <c r="AU64" s="18" t="s">
        <v>268</v>
      </c>
      <c r="AV64" s="18" t="s">
        <v>182</v>
      </c>
      <c r="AW64" s="18" t="s">
        <v>348</v>
      </c>
      <c r="AX64" s="31">
        <v>0.33333333333333331</v>
      </c>
      <c r="AY64" s="23" t="s">
        <v>183</v>
      </c>
      <c r="AZ64" s="23" t="s">
        <v>272</v>
      </c>
      <c r="BA64" s="23" t="s">
        <v>182</v>
      </c>
      <c r="BB64" s="23" t="s">
        <v>350</v>
      </c>
      <c r="BC64" s="34">
        <v>0.33333333333333331</v>
      </c>
      <c r="BE64" s="16"/>
    </row>
    <row r="65" spans="2:57" ht="34" x14ac:dyDescent="0.2">
      <c r="B65" s="16"/>
      <c r="D65" s="11" t="s">
        <v>6</v>
      </c>
      <c r="E65" s="12" t="str">
        <f>VLOOKUP(LOWER(G59),experiments_specs!$A:$J,7,FALSE)</f>
        <v>False</v>
      </c>
      <c r="F65" s="15" t="s">
        <v>68</v>
      </c>
      <c r="G65" s="6" t="s">
        <v>15</v>
      </c>
      <c r="H65" s="19" t="s">
        <v>237</v>
      </c>
      <c r="I65" s="19">
        <v>0</v>
      </c>
      <c r="J65" s="19" t="s">
        <v>238</v>
      </c>
      <c r="K65" s="19">
        <v>2.4434000000000001E-3</v>
      </c>
      <c r="L65" s="31">
        <v>0.2</v>
      </c>
      <c r="M65" s="23" t="s">
        <v>254</v>
      </c>
      <c r="N65" s="23" t="s">
        <v>185</v>
      </c>
      <c r="O65" s="23" t="s">
        <v>256</v>
      </c>
      <c r="P65" s="23" t="s">
        <v>264</v>
      </c>
      <c r="Q65" s="34">
        <v>0.22222222222222221</v>
      </c>
      <c r="S65" s="16"/>
      <c r="U65" s="16"/>
      <c r="W65" s="11" t="s">
        <v>6</v>
      </c>
      <c r="X65" s="12" t="str">
        <f>VLOOKUP(LOWER(Z59),experiments_specs!$A:$J,7,FALSE)</f>
        <v>False</v>
      </c>
      <c r="Y65" s="15" t="s">
        <v>75</v>
      </c>
      <c r="Z65" s="6" t="s">
        <v>15</v>
      </c>
      <c r="AA65" s="19" t="s">
        <v>26</v>
      </c>
      <c r="AB65" s="19">
        <v>0.1561737</v>
      </c>
      <c r="AC65" s="19" t="s">
        <v>27</v>
      </c>
      <c r="AD65" s="19">
        <v>1.1712999999999999E-2</v>
      </c>
      <c r="AE65" s="31">
        <v>0.16666666666666666</v>
      </c>
      <c r="AF65" s="23" t="s">
        <v>15</v>
      </c>
      <c r="AG65" s="23">
        <v>0.1770844</v>
      </c>
      <c r="AH65" s="23" t="s">
        <v>293</v>
      </c>
      <c r="AI65" s="23">
        <v>2.7036000000000001E-2</v>
      </c>
      <c r="AJ65" s="34">
        <v>0.90909090909090906</v>
      </c>
      <c r="AL65" s="16"/>
      <c r="AN65" s="16"/>
      <c r="AP65" s="11" t="s">
        <v>6</v>
      </c>
      <c r="AQ65" s="12" t="str">
        <f>VLOOKUP(LOWER(AS59),experiments_specs!$A:$J,7,FALSE)</f>
        <v>False</v>
      </c>
      <c r="AR65" s="15" t="s">
        <v>81</v>
      </c>
      <c r="AS65" s="6" t="s">
        <v>15</v>
      </c>
      <c r="AT65" s="19" t="s">
        <v>26</v>
      </c>
      <c r="AU65" s="19">
        <v>0.1561737</v>
      </c>
      <c r="AV65" s="19" t="s">
        <v>27</v>
      </c>
      <c r="AW65" s="19">
        <v>1.9521699999999999E-2</v>
      </c>
      <c r="AX65" s="31">
        <v>0.16666666666666666</v>
      </c>
      <c r="AY65" s="23" t="s">
        <v>15</v>
      </c>
      <c r="AZ65" s="23">
        <v>0.1770844</v>
      </c>
      <c r="BA65" s="23" t="s">
        <v>293</v>
      </c>
      <c r="BB65" s="23">
        <v>4.19058E-2</v>
      </c>
      <c r="BC65" s="34">
        <v>0.90909090909090906</v>
      </c>
      <c r="BE65" s="16"/>
    </row>
    <row r="66" spans="2:57" ht="17" x14ac:dyDescent="0.2">
      <c r="B66" s="16"/>
      <c r="D66" s="11" t="s">
        <v>7</v>
      </c>
      <c r="E66" s="12" t="str">
        <f>VLOOKUP(LOWER(G59),experiments_specs!$A:$J,8,FALSE)</f>
        <v>False</v>
      </c>
      <c r="F66" s="15" t="s">
        <v>68</v>
      </c>
      <c r="G66" s="6" t="s">
        <v>16</v>
      </c>
      <c r="H66" s="19" t="s">
        <v>208</v>
      </c>
      <c r="I66" s="19">
        <v>0.1666666</v>
      </c>
      <c r="J66" s="19" t="s">
        <v>209</v>
      </c>
      <c r="K66" s="19">
        <v>2.8305000000000001E-3</v>
      </c>
      <c r="L66" s="31">
        <v>0.55555555555555558</v>
      </c>
      <c r="M66" s="23" t="s">
        <v>227</v>
      </c>
      <c r="N66" s="23">
        <v>0</v>
      </c>
      <c r="O66" s="23" t="s">
        <v>245</v>
      </c>
      <c r="P66" s="23">
        <v>6.0140000000000002E-3</v>
      </c>
      <c r="Q66" s="34">
        <v>0.14285714285714285</v>
      </c>
      <c r="S66" s="16"/>
      <c r="U66" s="16"/>
      <c r="W66" s="11" t="s">
        <v>7</v>
      </c>
      <c r="X66" s="12" t="str">
        <f>VLOOKUP(LOWER(Z59),experiments_specs!$A:$J,8,FALSE)</f>
        <v>False</v>
      </c>
      <c r="Y66" s="15" t="s">
        <v>75</v>
      </c>
      <c r="Z66" s="6" t="s">
        <v>16</v>
      </c>
      <c r="AA66" s="19" t="s">
        <v>39</v>
      </c>
      <c r="AB66" s="19">
        <v>6.4549700000000002E-2</v>
      </c>
      <c r="AC66" s="19" t="s">
        <v>40</v>
      </c>
      <c r="AD66" s="19">
        <v>1.76645E-2</v>
      </c>
      <c r="AE66" s="31">
        <v>0.22222222222222221</v>
      </c>
      <c r="AF66" s="23" t="s">
        <v>41</v>
      </c>
      <c r="AG66" s="23">
        <v>4.1666599999999998E-2</v>
      </c>
      <c r="AH66" s="23" t="s">
        <v>40</v>
      </c>
      <c r="AI66" s="23">
        <v>1.95438E-2</v>
      </c>
      <c r="AJ66" s="34">
        <v>0.22222222222222221</v>
      </c>
      <c r="AL66" s="16"/>
      <c r="AN66" s="16"/>
      <c r="AP66" s="11" t="s">
        <v>7</v>
      </c>
      <c r="AQ66" s="12" t="str">
        <f>VLOOKUP(LOWER(AS59),experiments_specs!$A:$J,8,FALSE)</f>
        <v>False</v>
      </c>
      <c r="AR66" s="15" t="s">
        <v>81</v>
      </c>
      <c r="AS66" s="6" t="s">
        <v>16</v>
      </c>
      <c r="AT66" s="19" t="s">
        <v>39</v>
      </c>
      <c r="AU66" s="19">
        <v>6.4549700000000002E-2</v>
      </c>
      <c r="AV66" s="19" t="s">
        <v>40</v>
      </c>
      <c r="AW66" s="19">
        <v>2.4825900000000001E-2</v>
      </c>
      <c r="AX66" s="31">
        <v>0.22222222222222221</v>
      </c>
      <c r="AY66" s="23" t="s">
        <v>41</v>
      </c>
      <c r="AZ66" s="23">
        <v>4.1666599999999998E-2</v>
      </c>
      <c r="BA66" s="23" t="s">
        <v>40</v>
      </c>
      <c r="BB66" s="23">
        <v>2.3552699999999999E-2</v>
      </c>
      <c r="BC66" s="34">
        <v>0.22222222222222221</v>
      </c>
      <c r="BE66" s="16"/>
    </row>
    <row r="67" spans="2:57" ht="51" x14ac:dyDescent="0.2">
      <c r="B67" s="16"/>
      <c r="D67" s="11" t="s">
        <v>8</v>
      </c>
      <c r="E67" s="12" t="str">
        <f>VLOOKUP(LOWER(G59),experiments_specs!$A:$J,9,FALSE)</f>
        <v>wup_similarity</v>
      </c>
      <c r="F67" s="15" t="s">
        <v>68</v>
      </c>
      <c r="G67" s="6" t="s">
        <v>17</v>
      </c>
      <c r="H67" s="19" t="s">
        <v>30</v>
      </c>
      <c r="I67" s="19">
        <v>0.1028688</v>
      </c>
      <c r="J67" s="19" t="s">
        <v>31</v>
      </c>
      <c r="K67" s="19">
        <v>2.8416000000000001E-3</v>
      </c>
      <c r="L67" s="31">
        <v>0.22222222222222221</v>
      </c>
      <c r="M67" s="22" t="s">
        <v>30</v>
      </c>
      <c r="N67" s="22">
        <v>0.1028688</v>
      </c>
      <c r="O67" s="22" t="s">
        <v>31</v>
      </c>
      <c r="P67" s="22">
        <v>1.5320800000000001E-2</v>
      </c>
      <c r="Q67" s="34">
        <v>0.22222222222222221</v>
      </c>
      <c r="S67" s="16"/>
      <c r="U67" s="16"/>
      <c r="W67" s="11" t="s">
        <v>8</v>
      </c>
      <c r="X67" s="12" t="str">
        <f>VLOOKUP(LOWER(Z59),experiments_specs!$A:$J,9,FALSE)</f>
        <v>wup_similarity</v>
      </c>
      <c r="Y67" s="15" t="s">
        <v>75</v>
      </c>
      <c r="Z67" s="6" t="s">
        <v>17</v>
      </c>
      <c r="AA67" s="19" t="s">
        <v>30</v>
      </c>
      <c r="AB67" s="19">
        <v>0.1028688</v>
      </c>
      <c r="AC67" s="19" t="s">
        <v>31</v>
      </c>
      <c r="AD67" s="19">
        <v>3.1490400000000002E-2</v>
      </c>
      <c r="AE67" s="31">
        <v>0.22222222222222221</v>
      </c>
      <c r="AF67" s="22" t="s">
        <v>30</v>
      </c>
      <c r="AG67" s="22">
        <v>0.1028688</v>
      </c>
      <c r="AH67" s="22" t="s">
        <v>31</v>
      </c>
      <c r="AI67" s="22">
        <v>3.1651899999999997E-2</v>
      </c>
      <c r="AJ67" s="34">
        <v>0.22222222222222221</v>
      </c>
      <c r="AL67" s="16"/>
      <c r="AN67" s="16"/>
      <c r="AP67" s="11" t="s">
        <v>8</v>
      </c>
      <c r="AQ67" s="12" t="str">
        <f>VLOOKUP(LOWER(AS59),experiments_specs!$A:$J,9,FALSE)</f>
        <v>wup_similarity</v>
      </c>
      <c r="AR67" s="15" t="s">
        <v>81</v>
      </c>
      <c r="AS67" s="6" t="s">
        <v>17</v>
      </c>
      <c r="AT67" s="18" t="s">
        <v>278</v>
      </c>
      <c r="AU67" s="18" t="s">
        <v>280</v>
      </c>
      <c r="AV67" s="18" t="s">
        <v>189</v>
      </c>
      <c r="AW67" s="18" t="s">
        <v>352</v>
      </c>
      <c r="AX67" s="31">
        <v>0.30769230769230771</v>
      </c>
      <c r="AY67" s="23" t="s">
        <v>188</v>
      </c>
      <c r="AZ67" s="23" t="s">
        <v>284</v>
      </c>
      <c r="BA67" s="23" t="s">
        <v>189</v>
      </c>
      <c r="BB67" s="23" t="s">
        <v>352</v>
      </c>
      <c r="BC67" s="34">
        <v>0.30769230769230771</v>
      </c>
      <c r="BE67" s="16"/>
    </row>
    <row r="68" spans="2:57" x14ac:dyDescent="0.2">
      <c r="B68" s="16"/>
      <c r="D68" s="11" t="s">
        <v>9</v>
      </c>
      <c r="E68" s="12" t="str">
        <f>VLOOKUP(LOWER(G59),experiments_specs!$A:$J,10,FALSE)</f>
        <v>False</v>
      </c>
      <c r="F68" s="15" t="s">
        <v>68</v>
      </c>
      <c r="G68" s="7" t="s">
        <v>18</v>
      </c>
      <c r="H68" s="20" t="s">
        <v>222</v>
      </c>
      <c r="I68" s="20">
        <v>0.1105064</v>
      </c>
      <c r="J68" s="20" t="s">
        <v>223</v>
      </c>
      <c r="K68" s="20">
        <v>1.2853000000000001E-3</v>
      </c>
      <c r="L68" s="32">
        <v>0.21052631578947367</v>
      </c>
      <c r="M68" s="24" t="s">
        <v>227</v>
      </c>
      <c r="N68" s="24">
        <v>0</v>
      </c>
      <c r="O68" s="24" t="s">
        <v>248</v>
      </c>
      <c r="P68" s="24">
        <v>2.9761000000000002E-3</v>
      </c>
      <c r="Q68" s="35">
        <v>0.11764705882352941</v>
      </c>
      <c r="S68" s="16"/>
      <c r="U68" s="16"/>
      <c r="W68" s="11" t="s">
        <v>9</v>
      </c>
      <c r="X68" s="12" t="str">
        <f>VLOOKUP(LOWER(Z59),experiments_specs!$A:$J,10,FALSE)</f>
        <v>False</v>
      </c>
      <c r="Y68" s="15" t="s">
        <v>75</v>
      </c>
      <c r="Z68" s="7" t="s">
        <v>18</v>
      </c>
      <c r="AA68" s="20" t="s">
        <v>44</v>
      </c>
      <c r="AB68" s="20">
        <v>3.5267199999999999E-2</v>
      </c>
      <c r="AC68" s="20" t="s">
        <v>45</v>
      </c>
      <c r="AD68" s="20">
        <v>8.1188000000000007E-3</v>
      </c>
      <c r="AE68" s="32">
        <v>0.21052631578947367</v>
      </c>
      <c r="AF68" s="24" t="s">
        <v>46</v>
      </c>
      <c r="AG68" s="24">
        <v>0</v>
      </c>
      <c r="AH68" s="24" t="s">
        <v>45</v>
      </c>
      <c r="AI68" s="24">
        <v>1.0871E-2</v>
      </c>
      <c r="AJ68" s="35">
        <v>0.21052631578947367</v>
      </c>
      <c r="AL68" s="16"/>
      <c r="AN68" s="16"/>
      <c r="AP68" s="11" t="s">
        <v>9</v>
      </c>
      <c r="AQ68" s="12" t="str">
        <f>VLOOKUP(LOWER(AS59),experiments_specs!$A:$J,10,FALSE)</f>
        <v>True</v>
      </c>
      <c r="AR68" s="15" t="s">
        <v>81</v>
      </c>
      <c r="AS68" s="7" t="s">
        <v>18</v>
      </c>
      <c r="AT68" s="20" t="s">
        <v>44</v>
      </c>
      <c r="AU68" s="20">
        <v>3.5267199999999999E-2</v>
      </c>
      <c r="AV68" s="20" t="s">
        <v>45</v>
      </c>
      <c r="AW68" s="20">
        <v>1.2576199999999999E-2</v>
      </c>
      <c r="AX68" s="32">
        <v>0.21052631578947367</v>
      </c>
      <c r="AY68" s="24" t="s">
        <v>46</v>
      </c>
      <c r="AZ68" s="24">
        <v>0</v>
      </c>
      <c r="BA68" s="24" t="s">
        <v>45</v>
      </c>
      <c r="BB68" s="24">
        <v>1.2827699999999999E-2</v>
      </c>
      <c r="BC68" s="35">
        <v>0.21052631578947367</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H4:L4"/>
    <mergeCell ref="M4:Q4"/>
    <mergeCell ref="D2:Q2"/>
    <mergeCell ref="H15:L15"/>
    <mergeCell ref="M15:Q15"/>
    <mergeCell ref="H59:L59"/>
    <mergeCell ref="M59:Q59"/>
    <mergeCell ref="W2:AJ2"/>
    <mergeCell ref="AA4:AE4"/>
    <mergeCell ref="AF4:AJ4"/>
    <mergeCell ref="AA15:AE15"/>
    <mergeCell ref="AF15:AJ15"/>
    <mergeCell ref="AA26:AE26"/>
    <mergeCell ref="AF26:AJ26"/>
    <mergeCell ref="AA37:AE37"/>
    <mergeCell ref="H26:L26"/>
    <mergeCell ref="M26:Q26"/>
    <mergeCell ref="H37:L37"/>
    <mergeCell ref="M37:Q37"/>
    <mergeCell ref="H48:L48"/>
    <mergeCell ref="M48:Q48"/>
    <mergeCell ref="AP2:BC2"/>
    <mergeCell ref="AT4:AX4"/>
    <mergeCell ref="AY4:BC4"/>
    <mergeCell ref="AT15:AX15"/>
    <mergeCell ref="AY15:BC15"/>
    <mergeCell ref="AF37:AJ37"/>
    <mergeCell ref="AA48:AE48"/>
    <mergeCell ref="AF48:AJ48"/>
    <mergeCell ref="AA59:AE59"/>
    <mergeCell ref="AF59:AJ59"/>
    <mergeCell ref="AT59:AX59"/>
    <mergeCell ref="AY59:BC59"/>
    <mergeCell ref="AT26:AX26"/>
    <mergeCell ref="AY26:BC26"/>
    <mergeCell ref="AT37:AX37"/>
    <mergeCell ref="AY37:BC37"/>
    <mergeCell ref="AT48:AX48"/>
    <mergeCell ref="AY48:BC4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1F01-B934-1741-8EB8-4F64F685D99D}">
  <sheetPr codeName="Foglio11"/>
  <dimension ref="A1:O23"/>
  <sheetViews>
    <sheetView topLeftCell="B1" workbookViewId="0">
      <selection activeCell="O18" sqref="O18"/>
    </sheetView>
  </sheetViews>
  <sheetFormatPr baseColWidth="10" defaultRowHeight="16" x14ac:dyDescent="0.2"/>
  <cols>
    <col min="1" max="1" width="22.33203125" bestFit="1" customWidth="1"/>
    <col min="2" max="2" width="24.5" customWidth="1"/>
    <col min="3" max="3" width="1.83203125" customWidth="1"/>
    <col min="4" max="4" width="24.1640625" bestFit="1" customWidth="1"/>
    <col min="5" max="5" width="25.83203125" customWidth="1"/>
    <col min="6" max="6" width="11.83203125" customWidth="1"/>
    <col min="7" max="7" width="25.83203125" customWidth="1"/>
    <col min="8" max="8" width="11.83203125" customWidth="1"/>
    <col min="9" max="9" width="12.1640625" bestFit="1" customWidth="1"/>
    <col min="10" max="10" width="25.83203125" customWidth="1"/>
    <col min="11" max="11" width="11.83203125" customWidth="1"/>
    <col min="12" max="12" width="25.83203125" customWidth="1"/>
    <col min="13" max="13" width="11.83203125" customWidth="1"/>
    <col min="14" max="14" width="12.1640625" bestFit="1" customWidth="1"/>
  </cols>
  <sheetData>
    <row r="1" spans="1:15" ht="17" thickBot="1" x14ac:dyDescent="0.25"/>
    <row r="2" spans="1:15" ht="20" thickBot="1" x14ac:dyDescent="0.3">
      <c r="A2" s="13" t="s">
        <v>126</v>
      </c>
      <c r="B2" s="14">
        <v>0</v>
      </c>
      <c r="C2" s="9">
        <v>0</v>
      </c>
      <c r="D2" s="10" t="s">
        <v>1421</v>
      </c>
      <c r="E2" s="41" t="s">
        <v>124</v>
      </c>
      <c r="F2" s="41"/>
      <c r="G2" s="41"/>
      <c r="H2" s="41"/>
      <c r="I2" s="41"/>
      <c r="J2" s="42" t="s">
        <v>123</v>
      </c>
      <c r="K2" s="42"/>
      <c r="L2" s="42"/>
      <c r="M2" s="42"/>
      <c r="N2" s="42"/>
    </row>
    <row r="3" spans="1:15" x14ac:dyDescent="0.2">
      <c r="A3" s="11" t="s">
        <v>1</v>
      </c>
      <c r="B3" s="12" t="s">
        <v>61</v>
      </c>
      <c r="C3" s="15" t="s">
        <v>1422</v>
      </c>
      <c r="D3" s="8" t="s">
        <v>118</v>
      </c>
      <c r="E3" s="3" t="s">
        <v>119</v>
      </c>
      <c r="F3" s="3" t="s">
        <v>178</v>
      </c>
      <c r="G3" s="3" t="s">
        <v>120</v>
      </c>
      <c r="H3" s="3" t="s">
        <v>178</v>
      </c>
      <c r="I3" s="3" t="s">
        <v>121</v>
      </c>
      <c r="J3" s="4" t="s">
        <v>122</v>
      </c>
      <c r="K3" s="4" t="s">
        <v>178</v>
      </c>
      <c r="L3" s="4" t="s">
        <v>120</v>
      </c>
      <c r="M3" s="4" t="s">
        <v>178</v>
      </c>
      <c r="N3" s="4" t="s">
        <v>121</v>
      </c>
    </row>
    <row r="4" spans="1:15" ht="17" x14ac:dyDescent="0.2">
      <c r="A4" s="11" t="s">
        <v>2</v>
      </c>
      <c r="B4" s="12">
        <v>1</v>
      </c>
      <c r="C4" s="15" t="s">
        <v>71</v>
      </c>
      <c r="D4" s="5" t="s">
        <v>19</v>
      </c>
      <c r="E4" s="17" t="s">
        <v>225</v>
      </c>
      <c r="F4" s="17">
        <v>0.14126440000000001</v>
      </c>
      <c r="G4" s="17" t="s">
        <v>226</v>
      </c>
      <c r="H4" s="17">
        <v>2.6177499999999999E-2</v>
      </c>
      <c r="I4" s="30">
        <v>0.17391304347826086</v>
      </c>
      <c r="J4" s="21" t="s">
        <v>288</v>
      </c>
      <c r="K4" s="21">
        <v>0.139686</v>
      </c>
      <c r="L4" s="21" t="s">
        <v>226</v>
      </c>
      <c r="M4" s="21">
        <v>3.68864E-2</v>
      </c>
      <c r="N4" s="33">
        <v>0.17391304347826086</v>
      </c>
    </row>
    <row r="5" spans="1:15" x14ac:dyDescent="0.2">
      <c r="A5" s="11" t="s">
        <v>3</v>
      </c>
      <c r="B5" s="12">
        <v>2</v>
      </c>
      <c r="C5" s="15" t="s">
        <v>71</v>
      </c>
      <c r="D5" s="6" t="s">
        <v>12</v>
      </c>
      <c r="E5" s="19" t="s">
        <v>22</v>
      </c>
      <c r="F5" s="19">
        <v>0.1102635</v>
      </c>
      <c r="G5" s="19" t="s">
        <v>23</v>
      </c>
      <c r="H5" s="19">
        <v>3.6466199999999997E-2</v>
      </c>
      <c r="I5" s="31">
        <v>0.42857142857142855</v>
      </c>
      <c r="J5" s="22" t="s">
        <v>24</v>
      </c>
      <c r="K5" s="22">
        <v>5.5131699999999999E-2</v>
      </c>
      <c r="L5" s="22" t="s">
        <v>23</v>
      </c>
      <c r="M5" s="22">
        <v>5.7578200000000003E-2</v>
      </c>
      <c r="N5" s="34">
        <v>0.42857142857142855</v>
      </c>
    </row>
    <row r="6" spans="1:15" x14ac:dyDescent="0.2">
      <c r="A6" s="11" t="s">
        <v>4</v>
      </c>
      <c r="B6" s="12" t="s">
        <v>58</v>
      </c>
      <c r="C6" s="15" t="s">
        <v>71</v>
      </c>
      <c r="D6" s="6" t="s">
        <v>13</v>
      </c>
      <c r="E6" s="19" t="s">
        <v>32</v>
      </c>
      <c r="F6" s="19">
        <v>0.14744189999999999</v>
      </c>
      <c r="G6" s="19" t="s">
        <v>33</v>
      </c>
      <c r="H6" s="19">
        <v>2.4573600000000001E-2</v>
      </c>
      <c r="I6" s="31">
        <v>0.4</v>
      </c>
      <c r="J6" s="22" t="s">
        <v>34</v>
      </c>
      <c r="K6" s="22">
        <v>0</v>
      </c>
      <c r="L6" s="22" t="s">
        <v>35</v>
      </c>
      <c r="M6" s="22">
        <v>3.6860400000000001E-2</v>
      </c>
      <c r="N6" s="34" t="s">
        <v>25</v>
      </c>
    </row>
    <row r="7" spans="1:15" ht="34" x14ac:dyDescent="0.2">
      <c r="A7" s="11" t="s">
        <v>5</v>
      </c>
      <c r="B7" s="12" t="s">
        <v>58</v>
      </c>
      <c r="C7" s="15" t="s">
        <v>71</v>
      </c>
      <c r="D7" s="6" t="s">
        <v>14</v>
      </c>
      <c r="E7" s="18" t="s">
        <v>181</v>
      </c>
      <c r="F7" s="18" t="s">
        <v>268</v>
      </c>
      <c r="G7" s="18" t="s">
        <v>182</v>
      </c>
      <c r="H7" s="18" t="s">
        <v>289</v>
      </c>
      <c r="I7" s="31">
        <v>0.33333333333333331</v>
      </c>
      <c r="J7" s="23" t="s">
        <v>183</v>
      </c>
      <c r="K7" s="23" t="s">
        <v>272</v>
      </c>
      <c r="L7" s="23" t="s">
        <v>182</v>
      </c>
      <c r="M7" s="23" t="s">
        <v>291</v>
      </c>
      <c r="N7" s="34">
        <v>0.33333333333333331</v>
      </c>
    </row>
    <row r="8" spans="1:15" ht="17" x14ac:dyDescent="0.2">
      <c r="A8" s="11" t="s">
        <v>6</v>
      </c>
      <c r="B8" s="12" t="s">
        <v>57</v>
      </c>
      <c r="C8" s="15" t="s">
        <v>71</v>
      </c>
      <c r="D8" s="6" t="s">
        <v>15</v>
      </c>
      <c r="E8" s="19" t="s">
        <v>26</v>
      </c>
      <c r="F8" s="19">
        <v>0.1561737</v>
      </c>
      <c r="G8" s="19" t="s">
        <v>27</v>
      </c>
      <c r="H8" s="19">
        <v>2.03704E-2</v>
      </c>
      <c r="I8" s="31">
        <v>0.16666666666666666</v>
      </c>
      <c r="J8" s="23" t="s">
        <v>15</v>
      </c>
      <c r="K8" s="23">
        <v>0.1770844</v>
      </c>
      <c r="L8" s="23" t="s">
        <v>293</v>
      </c>
      <c r="M8" s="23">
        <v>3.9910300000000003E-2</v>
      </c>
      <c r="N8" s="34">
        <v>0.90909090909090906</v>
      </c>
    </row>
    <row r="9" spans="1:15" ht="17" x14ac:dyDescent="0.2">
      <c r="A9" s="11" t="s">
        <v>7</v>
      </c>
      <c r="B9" s="12" t="s">
        <v>57</v>
      </c>
      <c r="C9" s="15" t="s">
        <v>71</v>
      </c>
      <c r="D9" s="6" t="s">
        <v>16</v>
      </c>
      <c r="E9" s="19" t="s">
        <v>39</v>
      </c>
      <c r="F9" s="19">
        <v>6.4549700000000002E-2</v>
      </c>
      <c r="G9" s="19" t="s">
        <v>40</v>
      </c>
      <c r="H9" s="19">
        <v>1.7010299999999999E-2</v>
      </c>
      <c r="I9" s="31">
        <v>0.22222222222222221</v>
      </c>
      <c r="J9" s="23" t="s">
        <v>41</v>
      </c>
      <c r="K9" s="23">
        <v>4.1666599999999998E-2</v>
      </c>
      <c r="L9" s="23" t="s">
        <v>40</v>
      </c>
      <c r="M9" s="23">
        <v>1.80109E-2</v>
      </c>
      <c r="N9" s="34">
        <v>0.22222222222222221</v>
      </c>
    </row>
    <row r="10" spans="1:15" ht="51" x14ac:dyDescent="0.2">
      <c r="A10" s="11" t="s">
        <v>8</v>
      </c>
      <c r="B10" s="12" t="s">
        <v>59</v>
      </c>
      <c r="C10" s="15" t="s">
        <v>71</v>
      </c>
      <c r="D10" s="6" t="s">
        <v>17</v>
      </c>
      <c r="E10" s="18" t="s">
        <v>278</v>
      </c>
      <c r="F10" s="18" t="s">
        <v>280</v>
      </c>
      <c r="G10" s="18" t="s">
        <v>189</v>
      </c>
      <c r="H10" s="18" t="s">
        <v>294</v>
      </c>
      <c r="I10" s="31">
        <v>0.30769230769230771</v>
      </c>
      <c r="J10" s="23" t="s">
        <v>188</v>
      </c>
      <c r="K10" s="23" t="s">
        <v>284</v>
      </c>
      <c r="L10" s="23" t="s">
        <v>189</v>
      </c>
      <c r="M10" s="23" t="s">
        <v>282</v>
      </c>
      <c r="N10" s="34">
        <v>0.30769230769230771</v>
      </c>
    </row>
    <row r="11" spans="1:15" x14ac:dyDescent="0.2">
      <c r="A11" s="11" t="s">
        <v>9</v>
      </c>
      <c r="B11" s="12" t="s">
        <v>57</v>
      </c>
      <c r="C11" s="15" t="s">
        <v>71</v>
      </c>
      <c r="D11" s="7" t="s">
        <v>18</v>
      </c>
      <c r="E11" s="20" t="s">
        <v>44</v>
      </c>
      <c r="F11" s="20">
        <v>3.5267199999999999E-2</v>
      </c>
      <c r="G11" s="20" t="s">
        <v>45</v>
      </c>
      <c r="H11" s="20">
        <v>1.30895E-2</v>
      </c>
      <c r="I11" s="32">
        <v>0.21052631578947367</v>
      </c>
      <c r="J11" s="24" t="s">
        <v>46</v>
      </c>
      <c r="K11" s="24">
        <v>0</v>
      </c>
      <c r="L11" s="24" t="s">
        <v>45</v>
      </c>
      <c r="M11" s="24">
        <v>1.6878600000000001E-2</v>
      </c>
      <c r="N11" s="35">
        <v>0.21052631578947367</v>
      </c>
    </row>
    <row r="13" spans="1:15" ht="17" thickBot="1" x14ac:dyDescent="0.25"/>
    <row r="14" spans="1:15" ht="20" thickBot="1" x14ac:dyDescent="0.3">
      <c r="A14" s="13" t="s">
        <v>126</v>
      </c>
      <c r="B14" s="14">
        <v>0</v>
      </c>
      <c r="C14" s="9">
        <v>0</v>
      </c>
      <c r="D14" s="10" t="s">
        <v>1423</v>
      </c>
      <c r="E14" s="41" t="s">
        <v>124</v>
      </c>
      <c r="F14" s="41"/>
      <c r="G14" s="41"/>
      <c r="H14" s="41"/>
      <c r="I14" s="41"/>
      <c r="J14" s="42" t="s">
        <v>123</v>
      </c>
      <c r="K14" s="42"/>
      <c r="L14" s="42"/>
      <c r="M14" s="42"/>
      <c r="N14" s="42"/>
    </row>
    <row r="15" spans="1:15" x14ac:dyDescent="0.2">
      <c r="A15" s="11" t="s">
        <v>1</v>
      </c>
      <c r="B15" s="12" t="s">
        <v>67</v>
      </c>
      <c r="C15" s="15" t="s">
        <v>1424</v>
      </c>
      <c r="D15" s="8" t="s">
        <v>118</v>
      </c>
      <c r="E15" s="3" t="s">
        <v>119</v>
      </c>
      <c r="F15" s="3" t="s">
        <v>178</v>
      </c>
      <c r="G15" s="3" t="s">
        <v>120</v>
      </c>
      <c r="H15" s="3" t="s">
        <v>178</v>
      </c>
      <c r="I15" s="3" t="s">
        <v>121</v>
      </c>
      <c r="J15" s="4" t="s">
        <v>122</v>
      </c>
      <c r="K15" s="4" t="s">
        <v>178</v>
      </c>
      <c r="L15" s="4" t="s">
        <v>120</v>
      </c>
      <c r="M15" s="4" t="s">
        <v>178</v>
      </c>
      <c r="N15" s="4" t="s">
        <v>121</v>
      </c>
    </row>
    <row r="16" spans="1:15" ht="34" x14ac:dyDescent="0.2">
      <c r="A16" s="11" t="s">
        <v>2</v>
      </c>
      <c r="B16" s="12">
        <v>1</v>
      </c>
      <c r="C16" s="15" t="s">
        <v>74</v>
      </c>
      <c r="D16" s="5" t="s">
        <v>19</v>
      </c>
      <c r="E16" s="17" t="s">
        <v>179</v>
      </c>
      <c r="F16" s="17" t="s">
        <v>193</v>
      </c>
      <c r="G16" s="17" t="s">
        <v>180</v>
      </c>
      <c r="H16" s="17" t="s">
        <v>314</v>
      </c>
      <c r="I16" s="30">
        <v>0.19047619047619047</v>
      </c>
      <c r="J16" s="21" t="s">
        <v>47</v>
      </c>
      <c r="K16" s="21">
        <v>0</v>
      </c>
      <c r="L16" s="21" t="s">
        <v>48</v>
      </c>
      <c r="M16" s="21">
        <v>2.4659E-2</v>
      </c>
      <c r="N16" s="33">
        <v>0.2</v>
      </c>
      <c r="O16" t="s">
        <v>1425</v>
      </c>
    </row>
    <row r="17" spans="1:15" x14ac:dyDescent="0.2">
      <c r="A17" s="11" t="s">
        <v>3</v>
      </c>
      <c r="B17" s="12">
        <v>2</v>
      </c>
      <c r="C17" s="15" t="s">
        <v>74</v>
      </c>
      <c r="D17" s="6" t="s">
        <v>12</v>
      </c>
      <c r="E17" s="19" t="s">
        <v>22</v>
      </c>
      <c r="F17" s="19">
        <v>0.1102635</v>
      </c>
      <c r="G17" s="19" t="s">
        <v>23</v>
      </c>
      <c r="H17" s="19">
        <v>6.0776999999999998E-2</v>
      </c>
      <c r="I17" s="31">
        <v>0.42857142857142855</v>
      </c>
      <c r="J17" s="22" t="s">
        <v>24</v>
      </c>
      <c r="K17" s="22">
        <v>5.5131699999999999E-2</v>
      </c>
      <c r="L17" s="22" t="s">
        <v>23</v>
      </c>
      <c r="M17" s="22">
        <v>6.0776999999999998E-2</v>
      </c>
      <c r="N17" s="34">
        <v>0.42857142857142855</v>
      </c>
      <c r="O17" t="s">
        <v>1425</v>
      </c>
    </row>
    <row r="18" spans="1:15" x14ac:dyDescent="0.2">
      <c r="A18" s="11" t="s">
        <v>4</v>
      </c>
      <c r="B18" s="12" t="s">
        <v>58</v>
      </c>
      <c r="C18" s="15" t="s">
        <v>74</v>
      </c>
      <c r="D18" s="6" t="s">
        <v>13</v>
      </c>
      <c r="E18" s="19" t="s">
        <v>32</v>
      </c>
      <c r="F18" s="19">
        <v>0.14744189999999999</v>
      </c>
      <c r="G18" s="19" t="s">
        <v>33</v>
      </c>
      <c r="H18" s="19">
        <v>3.6860400000000001E-2</v>
      </c>
      <c r="I18" s="31">
        <v>0.4</v>
      </c>
      <c r="J18" s="22" t="s">
        <v>34</v>
      </c>
      <c r="K18" s="22">
        <v>0</v>
      </c>
      <c r="L18" s="22" t="s">
        <v>35</v>
      </c>
      <c r="M18" s="22">
        <v>3.6860400000000001E-2</v>
      </c>
      <c r="N18" s="34" t="s">
        <v>25</v>
      </c>
    </row>
    <row r="19" spans="1:15" ht="34" x14ac:dyDescent="0.2">
      <c r="A19" s="11" t="s">
        <v>5</v>
      </c>
      <c r="B19" s="12" t="s">
        <v>58</v>
      </c>
      <c r="C19" s="15" t="s">
        <v>74</v>
      </c>
      <c r="D19" s="6" t="s">
        <v>14</v>
      </c>
      <c r="E19" s="18" t="s">
        <v>181</v>
      </c>
      <c r="F19" s="18" t="s">
        <v>268</v>
      </c>
      <c r="G19" s="18" t="s">
        <v>182</v>
      </c>
      <c r="H19" s="18" t="s">
        <v>316</v>
      </c>
      <c r="I19" s="31">
        <v>0.33333333333333331</v>
      </c>
      <c r="J19" s="23" t="s">
        <v>183</v>
      </c>
      <c r="K19" s="23" t="s">
        <v>272</v>
      </c>
      <c r="L19" s="23" t="s">
        <v>182</v>
      </c>
      <c r="M19" s="23" t="s">
        <v>274</v>
      </c>
      <c r="N19" s="34">
        <v>0.33333333333333331</v>
      </c>
    </row>
    <row r="20" spans="1:15" ht="34" x14ac:dyDescent="0.2">
      <c r="A20" s="11" t="s">
        <v>6</v>
      </c>
      <c r="B20" s="12" t="s">
        <v>57</v>
      </c>
      <c r="C20" s="15" t="s">
        <v>74</v>
      </c>
      <c r="D20" s="6" t="s">
        <v>15</v>
      </c>
      <c r="E20" s="19" t="s">
        <v>26</v>
      </c>
      <c r="F20" s="19">
        <v>0.1561737</v>
      </c>
      <c r="G20" s="19" t="s">
        <v>27</v>
      </c>
      <c r="H20" s="19">
        <v>2.0823100000000001E-2</v>
      </c>
      <c r="I20" s="31">
        <v>0.16666666666666666</v>
      </c>
      <c r="J20" s="23" t="s">
        <v>184</v>
      </c>
      <c r="K20" s="23" t="s">
        <v>185</v>
      </c>
      <c r="L20" s="23" t="s">
        <v>187</v>
      </c>
      <c r="M20" s="23" t="s">
        <v>318</v>
      </c>
      <c r="N20" s="34">
        <v>0.18181818181818182</v>
      </c>
    </row>
    <row r="21" spans="1:15" ht="17" x14ac:dyDescent="0.2">
      <c r="A21" s="11" t="s">
        <v>7</v>
      </c>
      <c r="B21" s="12" t="s">
        <v>57</v>
      </c>
      <c r="C21" s="15" t="s">
        <v>74</v>
      </c>
      <c r="D21" s="6" t="s">
        <v>16</v>
      </c>
      <c r="E21" s="19" t="s">
        <v>39</v>
      </c>
      <c r="F21" s="19">
        <v>6.4549700000000002E-2</v>
      </c>
      <c r="G21" s="19" t="s">
        <v>40</v>
      </c>
      <c r="H21" s="19">
        <v>1.7496299999999999E-2</v>
      </c>
      <c r="I21" s="31">
        <v>0.22222222222222221</v>
      </c>
      <c r="J21" s="23" t="s">
        <v>41</v>
      </c>
      <c r="K21" s="23">
        <v>4.1666599999999998E-2</v>
      </c>
      <c r="L21" s="23" t="s">
        <v>40</v>
      </c>
      <c r="M21" s="23">
        <v>1.8556699999999999E-2</v>
      </c>
      <c r="N21" s="34">
        <v>0.22222222222222221</v>
      </c>
    </row>
    <row r="22" spans="1:15" ht="51" x14ac:dyDescent="0.2">
      <c r="A22" s="11" t="s">
        <v>8</v>
      </c>
      <c r="B22" s="12" t="s">
        <v>59</v>
      </c>
      <c r="C22" s="15" t="s">
        <v>74</v>
      </c>
      <c r="D22" s="6" t="s">
        <v>17</v>
      </c>
      <c r="E22" s="18" t="s">
        <v>278</v>
      </c>
      <c r="F22" s="18" t="s">
        <v>280</v>
      </c>
      <c r="G22" s="18" t="s">
        <v>189</v>
      </c>
      <c r="H22" s="18" t="s">
        <v>320</v>
      </c>
      <c r="I22" s="31">
        <v>0.30769230769230771</v>
      </c>
      <c r="J22" s="23" t="s">
        <v>188</v>
      </c>
      <c r="K22" s="23" t="s">
        <v>284</v>
      </c>
      <c r="L22" s="23" t="s">
        <v>189</v>
      </c>
      <c r="M22" s="23" t="s">
        <v>286</v>
      </c>
      <c r="N22" s="34">
        <v>0.30769230769230771</v>
      </c>
    </row>
    <row r="23" spans="1:15" x14ac:dyDescent="0.2">
      <c r="A23" s="11" t="s">
        <v>9</v>
      </c>
      <c r="B23" s="12" t="s">
        <v>57</v>
      </c>
      <c r="C23" s="15" t="s">
        <v>74</v>
      </c>
      <c r="D23" s="7" t="s">
        <v>18</v>
      </c>
      <c r="E23" s="20" t="s">
        <v>44</v>
      </c>
      <c r="F23" s="20">
        <v>3.5267199999999999E-2</v>
      </c>
      <c r="G23" s="20" t="s">
        <v>45</v>
      </c>
      <c r="H23" s="20">
        <v>1.5643600000000001E-2</v>
      </c>
      <c r="I23" s="32">
        <v>0.21052631578947367</v>
      </c>
      <c r="J23" s="24" t="s">
        <v>46</v>
      </c>
      <c r="K23" s="24">
        <v>0</v>
      </c>
      <c r="L23" s="24" t="s">
        <v>45</v>
      </c>
      <c r="M23" s="24">
        <v>1.8864300000000001E-2</v>
      </c>
      <c r="N23" s="35">
        <v>0.21052631578947367</v>
      </c>
    </row>
  </sheetData>
  <mergeCells count="4">
    <mergeCell ref="E14:I14"/>
    <mergeCell ref="J14:N14"/>
    <mergeCell ref="E2:I2"/>
    <mergeCell ref="J2:N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010B0-6814-9E4C-AC5E-B60E23007B5A}">
  <sheetPr codeName="Foglio4"/>
  <dimension ref="B2:BE70"/>
  <sheetViews>
    <sheetView topLeftCell="G12" workbookViewId="0">
      <selection activeCell="O9" sqref="O9"/>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3" t="s">
        <v>127</v>
      </c>
      <c r="E2" s="43"/>
      <c r="F2" s="43"/>
      <c r="G2" s="43"/>
      <c r="H2" s="43"/>
      <c r="I2" s="43"/>
      <c r="J2" s="43"/>
      <c r="K2" s="43"/>
      <c r="L2" s="43"/>
      <c r="M2" s="43"/>
      <c r="N2" s="43"/>
      <c r="O2" s="43"/>
      <c r="P2" s="43"/>
      <c r="Q2" s="43"/>
      <c r="R2" s="16"/>
      <c r="S2" s="16"/>
      <c r="U2" s="16"/>
      <c r="V2" s="16"/>
      <c r="W2" s="43" t="s">
        <v>128</v>
      </c>
      <c r="X2" s="43"/>
      <c r="Y2" s="43"/>
      <c r="Z2" s="43"/>
      <c r="AA2" s="43"/>
      <c r="AB2" s="43"/>
      <c r="AC2" s="43"/>
      <c r="AD2" s="43"/>
      <c r="AE2" s="43"/>
      <c r="AF2" s="43"/>
      <c r="AG2" s="43"/>
      <c r="AH2" s="43"/>
      <c r="AI2" s="43"/>
      <c r="AJ2" s="43"/>
      <c r="AK2" s="16"/>
      <c r="AL2" s="16"/>
      <c r="AN2" s="16"/>
      <c r="AO2" s="16"/>
      <c r="AP2" s="43" t="s">
        <v>129</v>
      </c>
      <c r="AQ2" s="43"/>
      <c r="AR2" s="43"/>
      <c r="AS2" s="43"/>
      <c r="AT2" s="43"/>
      <c r="AU2" s="43"/>
      <c r="AV2" s="43"/>
      <c r="AW2" s="43"/>
      <c r="AX2" s="43"/>
      <c r="AY2" s="43"/>
      <c r="AZ2" s="43"/>
      <c r="BA2" s="43"/>
      <c r="BB2" s="43"/>
      <c r="BC2" s="43"/>
      <c r="BD2" s="16"/>
      <c r="BE2" s="16"/>
    </row>
    <row r="3" spans="2:57" ht="17" thickBot="1" x14ac:dyDescent="0.25">
      <c r="B3" s="16"/>
      <c r="S3" s="16"/>
      <c r="U3" s="16"/>
      <c r="AL3" s="16"/>
      <c r="AN3" s="16"/>
      <c r="BE3" s="16"/>
    </row>
    <row r="4" spans="2:57" ht="20" thickBot="1" x14ac:dyDescent="0.3">
      <c r="B4" s="16"/>
      <c r="D4" s="13" t="s">
        <v>126</v>
      </c>
      <c r="E4" s="14"/>
      <c r="F4" s="9"/>
      <c r="G4" s="10" t="s">
        <v>130</v>
      </c>
      <c r="H4" s="41" t="s">
        <v>124</v>
      </c>
      <c r="I4" s="41"/>
      <c r="J4" s="41"/>
      <c r="K4" s="41"/>
      <c r="L4" s="41"/>
      <c r="M4" s="42" t="s">
        <v>123</v>
      </c>
      <c r="N4" s="42"/>
      <c r="O4" s="42"/>
      <c r="P4" s="42"/>
      <c r="Q4" s="42"/>
      <c r="R4" s="2"/>
      <c r="S4" s="16"/>
      <c r="U4" s="16"/>
      <c r="W4" s="13" t="s">
        <v>126</v>
      </c>
      <c r="X4" s="14"/>
      <c r="Y4" s="9"/>
      <c r="Z4" s="10" t="str">
        <f>"TEST_"&amp;TEXT(RIGHT(G59,2)+1, "00")</f>
        <v>TEST_25</v>
      </c>
      <c r="AA4" s="41" t="s">
        <v>124</v>
      </c>
      <c r="AB4" s="41"/>
      <c r="AC4" s="41"/>
      <c r="AD4" s="41"/>
      <c r="AE4" s="41"/>
      <c r="AF4" s="42" t="s">
        <v>123</v>
      </c>
      <c r="AG4" s="42"/>
      <c r="AH4" s="42"/>
      <c r="AI4" s="42"/>
      <c r="AJ4" s="42"/>
      <c r="AK4" s="2"/>
      <c r="AL4" s="16"/>
      <c r="AN4" s="16"/>
      <c r="AP4" s="13" t="s">
        <v>126</v>
      </c>
      <c r="AQ4" s="14"/>
      <c r="AR4" s="9"/>
      <c r="AS4" s="10" t="str">
        <f>"TEST_"&amp;TEXT(RIGHT(Z59,2)+1, "00")</f>
        <v>TEST_31</v>
      </c>
      <c r="AT4" s="41" t="s">
        <v>124</v>
      </c>
      <c r="AU4" s="41"/>
      <c r="AV4" s="41"/>
      <c r="AW4" s="41"/>
      <c r="AX4" s="41"/>
      <c r="AY4" s="42" t="s">
        <v>123</v>
      </c>
      <c r="AZ4" s="42"/>
      <c r="BA4" s="42"/>
      <c r="BB4" s="42"/>
      <c r="BC4" s="42"/>
      <c r="BD4" s="2"/>
      <c r="BE4" s="16"/>
    </row>
    <row r="5" spans="2:57" x14ac:dyDescent="0.2">
      <c r="B5" s="16"/>
      <c r="D5" s="11" t="s">
        <v>1</v>
      </c>
      <c r="E5" s="12" t="str">
        <f>VLOOKUP(LOWER(G4),experiments_specs!$A:$J,2,FALSE)</f>
        <v>NN</v>
      </c>
      <c r="F5" s="15" t="str">
        <f>"{"&amp;LOWER(G4)&amp;".csv}"</f>
        <v>{test_19.csv}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VLOOKUP(LOWER(Z4),experiments_specs!$A:$J,2,FALSE)</f>
        <v>NN</v>
      </c>
      <c r="Y5" s="15" t="str">
        <f>"{"&amp;LOWER(Z4)&amp;".csv}"</f>
        <v>{test_25.csv}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VLOOKUP(LOWER(AS4),experiments_specs!$A:$J,2,FALSE)</f>
        <v>NN</v>
      </c>
      <c r="AR5" s="15" t="str">
        <f>"{"&amp;LOWER(AS4)&amp;".csv}"</f>
        <v>{test_31.csv}</v>
      </c>
      <c r="AS5" s="8" t="s">
        <v>118</v>
      </c>
      <c r="AT5" s="3" t="s">
        <v>119</v>
      </c>
      <c r="AU5" s="3" t="s">
        <v>178</v>
      </c>
      <c r="AV5" s="3" t="s">
        <v>120</v>
      </c>
      <c r="AW5" s="3" t="s">
        <v>178</v>
      </c>
      <c r="AX5" s="3" t="s">
        <v>121</v>
      </c>
      <c r="AY5" s="4" t="s">
        <v>122</v>
      </c>
      <c r="AZ5" s="4" t="s">
        <v>178</v>
      </c>
      <c r="BA5" s="4" t="s">
        <v>120</v>
      </c>
      <c r="BB5" s="4" t="s">
        <v>178</v>
      </c>
      <c r="BC5" s="4" t="s">
        <v>121</v>
      </c>
      <c r="BE5" s="16"/>
    </row>
    <row r="6" spans="2:57" ht="17" x14ac:dyDescent="0.2">
      <c r="B6" s="16"/>
      <c r="D6" s="11" t="s">
        <v>2</v>
      </c>
      <c r="E6" s="12">
        <f>VLOOKUP(LOWER(G4),experiments_specs!$A:$J,3,FALSE)</f>
        <v>1</v>
      </c>
      <c r="F6" s="15" t="s">
        <v>82</v>
      </c>
      <c r="G6" s="5" t="s">
        <v>19</v>
      </c>
      <c r="H6" s="17" t="s">
        <v>354</v>
      </c>
      <c r="I6" s="17">
        <v>0.1180562</v>
      </c>
      <c r="J6" s="17" t="s">
        <v>288</v>
      </c>
      <c r="K6" s="17">
        <v>3.5493999999999999E-3</v>
      </c>
      <c r="L6" s="30">
        <v>0.19047619047619047</v>
      </c>
      <c r="M6" s="21" t="s">
        <v>197</v>
      </c>
      <c r="N6" s="21">
        <v>4.5083400000000003E-2</v>
      </c>
      <c r="O6" s="21" t="s">
        <v>198</v>
      </c>
      <c r="P6" s="21">
        <v>4.3544999999999999E-3</v>
      </c>
      <c r="Q6" s="33">
        <v>9.5238095238095233E-2</v>
      </c>
      <c r="S6" s="16"/>
      <c r="U6" s="16"/>
      <c r="W6" s="11" t="s">
        <v>2</v>
      </c>
      <c r="X6" s="12">
        <f>VLOOKUP(LOWER(Z4),experiments_specs!$A:$J,3,FALSE)</f>
        <v>1</v>
      </c>
      <c r="Y6" s="15" t="s">
        <v>88</v>
      </c>
      <c r="Z6" s="5" t="s">
        <v>19</v>
      </c>
      <c r="AA6" s="17" t="s">
        <v>354</v>
      </c>
      <c r="AB6" s="17">
        <v>0.1180562</v>
      </c>
      <c r="AC6" s="17" t="s">
        <v>288</v>
      </c>
      <c r="AD6" s="17">
        <v>2.12964E-2</v>
      </c>
      <c r="AE6" s="30">
        <v>0.19047619047619047</v>
      </c>
      <c r="AF6" s="21" t="s">
        <v>47</v>
      </c>
      <c r="AG6" s="21">
        <v>4.7088100000000001E-2</v>
      </c>
      <c r="AH6" s="21" t="s">
        <v>288</v>
      </c>
      <c r="AI6" s="21">
        <v>2.4659E-2</v>
      </c>
      <c r="AJ6" s="33">
        <v>0.19047619047619047</v>
      </c>
      <c r="AL6" s="16"/>
      <c r="AN6" s="16"/>
      <c r="AP6" s="11" t="s">
        <v>2</v>
      </c>
      <c r="AQ6" s="12">
        <f>VLOOKUP(LOWER(AS4),experiments_specs!$A:$J,3,FALSE)</f>
        <v>1</v>
      </c>
      <c r="AR6" s="15" t="s">
        <v>94</v>
      </c>
      <c r="AS6" s="5" t="s">
        <v>19</v>
      </c>
      <c r="AT6" s="17" t="s">
        <v>354</v>
      </c>
      <c r="AU6" s="17">
        <v>0.1180562</v>
      </c>
      <c r="AV6" s="17" t="s">
        <v>288</v>
      </c>
      <c r="AW6" s="17">
        <v>2.12964E-2</v>
      </c>
      <c r="AX6" s="30">
        <v>0.19047619047619047</v>
      </c>
      <c r="AY6" s="21" t="s">
        <v>47</v>
      </c>
      <c r="AZ6" s="21">
        <v>4.7088100000000001E-2</v>
      </c>
      <c r="BA6" s="21" t="s">
        <v>288</v>
      </c>
      <c r="BB6" s="21">
        <v>2.23105E-2</v>
      </c>
      <c r="BC6" s="33">
        <v>0.19047619047619047</v>
      </c>
      <c r="BE6" s="16"/>
    </row>
    <row r="7" spans="2:57" ht="34" x14ac:dyDescent="0.2">
      <c r="B7" s="16"/>
      <c r="D7" s="11" t="s">
        <v>3</v>
      </c>
      <c r="E7" s="12">
        <f>VLOOKUP(LOWER(G4),experiments_specs!$A:$J,4,FALSE)</f>
        <v>2</v>
      </c>
      <c r="F7" s="15" t="s">
        <v>82</v>
      </c>
      <c r="G7" s="6" t="s">
        <v>12</v>
      </c>
      <c r="H7" s="18" t="s">
        <v>355</v>
      </c>
      <c r="I7" s="18" t="s">
        <v>357</v>
      </c>
      <c r="J7" s="18" t="s">
        <v>359</v>
      </c>
      <c r="K7" s="18" t="s">
        <v>361</v>
      </c>
      <c r="L7" s="31">
        <v>0.42857142857142855</v>
      </c>
      <c r="M7" s="22" t="s">
        <v>363</v>
      </c>
      <c r="N7" s="22">
        <v>9.2253100000000005E-2</v>
      </c>
      <c r="O7" s="22" t="s">
        <v>364</v>
      </c>
      <c r="P7" s="22">
        <v>8.6651999999999996E-3</v>
      </c>
      <c r="Q7" s="34">
        <v>0.2857142857142857</v>
      </c>
      <c r="S7" s="16"/>
      <c r="U7" s="16"/>
      <c r="W7" s="11" t="s">
        <v>3</v>
      </c>
      <c r="X7" s="12">
        <f>VLOOKUP(LOWER(Z4),experiments_specs!$A:$J,4,FALSE)</f>
        <v>2</v>
      </c>
      <c r="Y7" s="15" t="s">
        <v>88</v>
      </c>
      <c r="Z7" s="6" t="s">
        <v>12</v>
      </c>
      <c r="AA7" s="18" t="s">
        <v>22</v>
      </c>
      <c r="AB7" s="18">
        <v>0.1102635</v>
      </c>
      <c r="AC7" s="18" t="s">
        <v>23</v>
      </c>
      <c r="AD7" s="18">
        <v>3.8438800000000002E-2</v>
      </c>
      <c r="AE7" s="31">
        <v>0.42857142857142855</v>
      </c>
      <c r="AF7" s="23" t="s">
        <v>390</v>
      </c>
      <c r="AG7" s="23" t="s">
        <v>392</v>
      </c>
      <c r="AH7" s="23" t="s">
        <v>394</v>
      </c>
      <c r="AI7" s="23" t="s">
        <v>396</v>
      </c>
      <c r="AJ7" s="34">
        <v>0.46153846153846156</v>
      </c>
      <c r="AL7" s="16"/>
      <c r="AN7" s="16"/>
      <c r="AP7" s="11" t="s">
        <v>3</v>
      </c>
      <c r="AQ7" s="12">
        <f>VLOOKUP(LOWER(AS4),experiments_specs!$A:$J,4,FALSE)</f>
        <v>2</v>
      </c>
      <c r="AR7" s="15" t="s">
        <v>94</v>
      </c>
      <c r="AS7" s="6" t="s">
        <v>12</v>
      </c>
      <c r="AT7" s="18" t="s">
        <v>22</v>
      </c>
      <c r="AU7" s="18">
        <v>0.1102635</v>
      </c>
      <c r="AV7" s="18" t="s">
        <v>23</v>
      </c>
      <c r="AW7" s="18">
        <v>3.8438800000000002E-2</v>
      </c>
      <c r="AX7" s="31">
        <v>0.42857142857142855</v>
      </c>
      <c r="AY7" s="23" t="s">
        <v>390</v>
      </c>
      <c r="AZ7" s="23" t="s">
        <v>392</v>
      </c>
      <c r="BA7" s="23" t="s">
        <v>394</v>
      </c>
      <c r="BB7" s="23" t="s">
        <v>396</v>
      </c>
      <c r="BC7" s="34">
        <v>0.46153846153846156</v>
      </c>
      <c r="BE7" s="16"/>
    </row>
    <row r="8" spans="2:57" x14ac:dyDescent="0.2">
      <c r="B8" s="16"/>
      <c r="D8" s="11" t="s">
        <v>4</v>
      </c>
      <c r="E8" s="12" t="str">
        <f>VLOOKUP(LOWER(G4),experiments_specs!$A:$J,5,FALSE)</f>
        <v>False</v>
      </c>
      <c r="F8" s="15" t="s">
        <v>82</v>
      </c>
      <c r="G8" s="6" t="s">
        <v>13</v>
      </c>
      <c r="H8" s="19" t="s">
        <v>199</v>
      </c>
      <c r="I8" s="19">
        <v>0.18057870000000001</v>
      </c>
      <c r="J8" s="19" t="s">
        <v>200</v>
      </c>
      <c r="K8" s="19">
        <v>8.7422000000000003E-3</v>
      </c>
      <c r="L8" s="31" t="s">
        <v>25</v>
      </c>
      <c r="M8" s="22" t="s">
        <v>201</v>
      </c>
      <c r="N8" s="22">
        <v>0</v>
      </c>
      <c r="O8" s="22" t="s">
        <v>200</v>
      </c>
      <c r="P8" s="22">
        <v>9.2478999999999999E-3</v>
      </c>
      <c r="Q8" s="34" t="s">
        <v>25</v>
      </c>
      <c r="S8" s="16"/>
      <c r="U8" s="16"/>
      <c r="W8" s="11" t="s">
        <v>4</v>
      </c>
      <c r="X8" s="12" t="str">
        <f>VLOOKUP(LOWER(Z4),experiments_specs!$A:$J,5,FALSE)</f>
        <v>True</v>
      </c>
      <c r="Y8" s="15" t="s">
        <v>88</v>
      </c>
      <c r="Z8" s="6" t="s">
        <v>13</v>
      </c>
      <c r="AA8" s="19" t="s">
        <v>32</v>
      </c>
      <c r="AB8" s="19">
        <v>0.10425719999999999</v>
      </c>
      <c r="AC8" s="19" t="s">
        <v>398</v>
      </c>
      <c r="AD8" s="19">
        <v>2.83752E-2</v>
      </c>
      <c r="AE8" s="31">
        <v>0.4</v>
      </c>
      <c r="AF8" s="22" t="s">
        <v>34</v>
      </c>
      <c r="AG8" s="22">
        <v>0</v>
      </c>
      <c r="AH8" s="22" t="s">
        <v>35</v>
      </c>
      <c r="AI8" s="22">
        <v>3.0096399999999999E-2</v>
      </c>
      <c r="AJ8" s="34" t="s">
        <v>25</v>
      </c>
      <c r="AL8" s="16"/>
      <c r="AN8" s="16"/>
      <c r="AP8" s="11" t="s">
        <v>4</v>
      </c>
      <c r="AQ8" s="12" t="str">
        <f>VLOOKUP(LOWER(AS4),experiments_specs!$A:$J,5,FALSE)</f>
        <v>True</v>
      </c>
      <c r="AR8" s="15" t="s">
        <v>94</v>
      </c>
      <c r="AS8" s="6" t="s">
        <v>13</v>
      </c>
      <c r="AT8" s="19" t="s">
        <v>326</v>
      </c>
      <c r="AU8" s="19">
        <v>0.10425719999999999</v>
      </c>
      <c r="AV8" s="19" t="s">
        <v>327</v>
      </c>
      <c r="AW8" s="19">
        <v>2.4573600000000001E-2</v>
      </c>
      <c r="AX8" s="31" t="s">
        <v>25</v>
      </c>
      <c r="AY8" s="22" t="s">
        <v>34</v>
      </c>
      <c r="AZ8" s="22">
        <v>0</v>
      </c>
      <c r="BA8" s="22" t="s">
        <v>35</v>
      </c>
      <c r="BB8" s="22">
        <v>2.50803E-2</v>
      </c>
      <c r="BC8" s="34" t="s">
        <v>25</v>
      </c>
      <c r="BE8" s="16"/>
    </row>
    <row r="9" spans="2:57" ht="34" x14ac:dyDescent="0.2">
      <c r="B9" s="16"/>
      <c r="D9" s="11" t="s">
        <v>5</v>
      </c>
      <c r="E9" s="12" t="str">
        <f>VLOOKUP(LOWER(G4),experiments_specs!$A:$J,6,FALSE)</f>
        <v>True</v>
      </c>
      <c r="F9" s="15" t="s">
        <v>82</v>
      </c>
      <c r="G9" s="6" t="s">
        <v>14</v>
      </c>
      <c r="H9" s="19" t="s">
        <v>202</v>
      </c>
      <c r="I9" s="19">
        <v>0.13201959999999999</v>
      </c>
      <c r="J9" s="19" t="s">
        <v>203</v>
      </c>
      <c r="K9" s="19">
        <v>4.1488000000000002E-3</v>
      </c>
      <c r="L9" s="31">
        <v>0.14285714285714285</v>
      </c>
      <c r="M9" s="22" t="s">
        <v>204</v>
      </c>
      <c r="N9" s="22">
        <v>0</v>
      </c>
      <c r="O9" s="22" t="s">
        <v>205</v>
      </c>
      <c r="P9" s="22">
        <v>6.6150000000000002E-3</v>
      </c>
      <c r="Q9" s="34">
        <v>0.625</v>
      </c>
      <c r="S9" s="16"/>
      <c r="U9" s="16"/>
      <c r="W9" s="11" t="s">
        <v>5</v>
      </c>
      <c r="X9" s="12" t="str">
        <f>VLOOKUP(LOWER(Z4),experiments_specs!$A:$J,6,FALSE)</f>
        <v>True</v>
      </c>
      <c r="Y9" s="15" t="s">
        <v>88</v>
      </c>
      <c r="Z9" s="6" t="s">
        <v>14</v>
      </c>
      <c r="AA9" s="18" t="s">
        <v>181</v>
      </c>
      <c r="AB9" s="18" t="s">
        <v>399</v>
      </c>
      <c r="AC9" s="18" t="s">
        <v>182</v>
      </c>
      <c r="AD9" s="18" t="s">
        <v>270</v>
      </c>
      <c r="AE9" s="31">
        <v>0.33333333333333331</v>
      </c>
      <c r="AF9" s="23" t="s">
        <v>183</v>
      </c>
      <c r="AG9" s="23" t="s">
        <v>272</v>
      </c>
      <c r="AH9" s="23" t="s">
        <v>182</v>
      </c>
      <c r="AI9" s="23" t="s">
        <v>274</v>
      </c>
      <c r="AJ9" s="34">
        <v>0.33333333333333331</v>
      </c>
      <c r="AL9" s="16"/>
      <c r="AN9" s="16"/>
      <c r="AP9" s="11" t="s">
        <v>5</v>
      </c>
      <c r="AQ9" s="12" t="str">
        <f>VLOOKUP(LOWER(AS4),experiments_specs!$A:$J,6,FALSE)</f>
        <v>True</v>
      </c>
      <c r="AR9" s="15" t="s">
        <v>94</v>
      </c>
      <c r="AS9" s="6" t="s">
        <v>14</v>
      </c>
      <c r="AT9" s="18" t="s">
        <v>181</v>
      </c>
      <c r="AU9" s="18" t="s">
        <v>399</v>
      </c>
      <c r="AV9" s="18" t="s">
        <v>182</v>
      </c>
      <c r="AW9" s="18" t="s">
        <v>270</v>
      </c>
      <c r="AX9" s="31">
        <v>0.33333333333333331</v>
      </c>
      <c r="AY9" s="23" t="s">
        <v>183</v>
      </c>
      <c r="AZ9" s="23" t="s">
        <v>272</v>
      </c>
      <c r="BA9" s="23" t="s">
        <v>182</v>
      </c>
      <c r="BB9" s="23" t="s">
        <v>291</v>
      </c>
      <c r="BC9" s="34">
        <v>0.33333333333333331</v>
      </c>
      <c r="BE9" s="16"/>
    </row>
    <row r="10" spans="2:57" ht="17" x14ac:dyDescent="0.2">
      <c r="B10" s="16"/>
      <c r="D10" s="11" t="s">
        <v>6</v>
      </c>
      <c r="E10" s="12" t="str">
        <f>VLOOKUP(LOWER(G4),experiments_specs!$A:$J,7,FALSE)</f>
        <v>True</v>
      </c>
      <c r="F10" s="15" t="s">
        <v>82</v>
      </c>
      <c r="G10" s="6" t="s">
        <v>15</v>
      </c>
      <c r="H10" s="19" t="s">
        <v>26</v>
      </c>
      <c r="I10" s="19">
        <v>0.18033389999999999</v>
      </c>
      <c r="J10" s="19" t="s">
        <v>27</v>
      </c>
      <c r="K10" s="19">
        <v>4.1098000000000003E-3</v>
      </c>
      <c r="L10" s="31">
        <v>0.16666666666666666</v>
      </c>
      <c r="M10" s="23" t="s">
        <v>365</v>
      </c>
      <c r="N10" s="23">
        <v>0</v>
      </c>
      <c r="O10" s="23" t="s">
        <v>26</v>
      </c>
      <c r="P10" s="23">
        <v>1.1729E-2</v>
      </c>
      <c r="Q10" s="34">
        <v>0.18181818181818182</v>
      </c>
      <c r="S10" s="16"/>
      <c r="U10" s="16"/>
      <c r="W10" s="11" t="s">
        <v>6</v>
      </c>
      <c r="X10" s="12" t="str">
        <f>VLOOKUP(LOWER(Z4),experiments_specs!$A:$J,7,FALSE)</f>
        <v>True</v>
      </c>
      <c r="Y10" s="15" t="s">
        <v>88</v>
      </c>
      <c r="Z10" s="6" t="s">
        <v>15</v>
      </c>
      <c r="AA10" s="19" t="s">
        <v>26</v>
      </c>
      <c r="AB10" s="19">
        <v>0.18033389999999999</v>
      </c>
      <c r="AC10" s="19" t="s">
        <v>27</v>
      </c>
      <c r="AD10" s="19">
        <v>2.23105E-2</v>
      </c>
      <c r="AE10" s="31">
        <v>0.16666666666666666</v>
      </c>
      <c r="AF10" s="23" t="s">
        <v>365</v>
      </c>
      <c r="AG10" s="23">
        <v>0</v>
      </c>
      <c r="AH10" s="23" t="s">
        <v>26</v>
      </c>
      <c r="AI10" s="23">
        <v>4.8089E-2</v>
      </c>
      <c r="AJ10" s="34">
        <v>0.18181818181818182</v>
      </c>
      <c r="AL10" s="16"/>
      <c r="AN10" s="16"/>
      <c r="AP10" s="11" t="s">
        <v>6</v>
      </c>
      <c r="AQ10" s="12" t="str">
        <f>VLOOKUP(LOWER(AS4),experiments_specs!$A:$J,7,FALSE)</f>
        <v>True</v>
      </c>
      <c r="AR10" s="15" t="s">
        <v>94</v>
      </c>
      <c r="AS10" s="6" t="s">
        <v>15</v>
      </c>
      <c r="AT10" s="19" t="s">
        <v>26</v>
      </c>
      <c r="AU10" s="19">
        <v>0.18033389999999999</v>
      </c>
      <c r="AV10" s="19" t="s">
        <v>27</v>
      </c>
      <c r="AW10" s="19">
        <v>2.23105E-2</v>
      </c>
      <c r="AX10" s="31">
        <v>0.16666666666666666</v>
      </c>
      <c r="AY10" s="23" t="s">
        <v>365</v>
      </c>
      <c r="AZ10" s="23">
        <v>0</v>
      </c>
      <c r="BA10" s="23" t="s">
        <v>26</v>
      </c>
      <c r="BB10" s="23">
        <v>4.8089E-2</v>
      </c>
      <c r="BC10" s="34">
        <v>0.18181818181818182</v>
      </c>
      <c r="BE10" s="16"/>
    </row>
    <row r="11" spans="2:57" ht="34" x14ac:dyDescent="0.2">
      <c r="B11" s="16"/>
      <c r="D11" s="11" t="s">
        <v>7</v>
      </c>
      <c r="E11" s="12" t="str">
        <f>VLOOKUP(LOWER(G4),experiments_specs!$A:$J,8,FALSE)</f>
        <v>False</v>
      </c>
      <c r="F11" s="15" t="s">
        <v>82</v>
      </c>
      <c r="G11" s="6" t="s">
        <v>16</v>
      </c>
      <c r="H11" s="19" t="s">
        <v>208</v>
      </c>
      <c r="I11" s="19">
        <v>0.2041241</v>
      </c>
      <c r="J11" s="19" t="s">
        <v>209</v>
      </c>
      <c r="K11" s="19">
        <v>3.7204E-3</v>
      </c>
      <c r="L11" s="31">
        <v>0.55555555555555558</v>
      </c>
      <c r="M11" s="23" t="s">
        <v>210</v>
      </c>
      <c r="N11" s="23" t="s">
        <v>366</v>
      </c>
      <c r="O11" s="23" t="s">
        <v>368</v>
      </c>
      <c r="P11" s="23" t="s">
        <v>370</v>
      </c>
      <c r="Q11" s="34">
        <v>0.13333333333333333</v>
      </c>
      <c r="S11" s="16"/>
      <c r="U11" s="16"/>
      <c r="W11" s="11" t="s">
        <v>7</v>
      </c>
      <c r="X11" s="12" t="str">
        <f>VLOOKUP(LOWER(Z4),experiments_specs!$A:$J,8,FALSE)</f>
        <v>False</v>
      </c>
      <c r="Y11" s="15" t="s">
        <v>88</v>
      </c>
      <c r="Z11" s="6" t="s">
        <v>16</v>
      </c>
      <c r="AA11" s="19" t="s">
        <v>39</v>
      </c>
      <c r="AB11" s="19">
        <v>6.4549700000000002E-2</v>
      </c>
      <c r="AC11" s="19" t="s">
        <v>40</v>
      </c>
      <c r="AD11" s="19">
        <v>1.91366E-2</v>
      </c>
      <c r="AE11" s="31">
        <v>0.22222222222222221</v>
      </c>
      <c r="AF11" s="23" t="s">
        <v>41</v>
      </c>
      <c r="AG11" s="23">
        <v>3.60843E-2</v>
      </c>
      <c r="AH11" s="23" t="s">
        <v>40</v>
      </c>
      <c r="AI11" s="23">
        <v>1.8556699999999999E-2</v>
      </c>
      <c r="AJ11" s="34">
        <v>0.22222222222222221</v>
      </c>
      <c r="AL11" s="16"/>
      <c r="AN11" s="16"/>
      <c r="AP11" s="11" t="s">
        <v>7</v>
      </c>
      <c r="AQ11" s="12" t="str">
        <f>VLOOKUP(LOWER(AS4),experiments_specs!$A:$J,8,FALSE)</f>
        <v>False</v>
      </c>
      <c r="AR11" s="15" t="s">
        <v>94</v>
      </c>
      <c r="AS11" s="6" t="s">
        <v>16</v>
      </c>
      <c r="AT11" s="19" t="s">
        <v>39</v>
      </c>
      <c r="AU11" s="19">
        <v>6.4549700000000002E-2</v>
      </c>
      <c r="AV11" s="19" t="s">
        <v>40</v>
      </c>
      <c r="AW11" s="19">
        <v>1.9753900000000001E-2</v>
      </c>
      <c r="AX11" s="31">
        <v>0.22222222222222221</v>
      </c>
      <c r="AY11" s="23" t="s">
        <v>41</v>
      </c>
      <c r="AZ11" s="23">
        <v>3.60843E-2</v>
      </c>
      <c r="BA11" s="23" t="s">
        <v>40</v>
      </c>
      <c r="BB11" s="23">
        <v>1.8556699999999999E-2</v>
      </c>
      <c r="BC11" s="34">
        <v>0.22222222222222221</v>
      </c>
      <c r="BE11" s="16"/>
    </row>
    <row r="12" spans="2:57" ht="51" x14ac:dyDescent="0.2">
      <c r="B12" s="16"/>
      <c r="D12" s="11" t="s">
        <v>8</v>
      </c>
      <c r="E12" s="12" t="str">
        <f>VLOOKUP(LOWER(G4),experiments_specs!$A:$J,9,FALSE)</f>
        <v>wup_similarity</v>
      </c>
      <c r="F12" s="15" t="s">
        <v>82</v>
      </c>
      <c r="G12" s="6" t="s">
        <v>17</v>
      </c>
      <c r="H12" s="19" t="s">
        <v>218</v>
      </c>
      <c r="I12" s="19">
        <v>0.18898219999999999</v>
      </c>
      <c r="J12" s="19" t="s">
        <v>219</v>
      </c>
      <c r="K12" s="19">
        <v>2.9648999999999999E-3</v>
      </c>
      <c r="L12" s="31">
        <v>0.13333333333333333</v>
      </c>
      <c r="M12" s="22" t="s">
        <v>220</v>
      </c>
      <c r="N12" s="22">
        <v>7.7151600000000001E-2</v>
      </c>
      <c r="O12" s="22" t="s">
        <v>221</v>
      </c>
      <c r="P12" s="22">
        <v>5.6293999999999997E-3</v>
      </c>
      <c r="Q12" s="34">
        <v>0.33333333333333331</v>
      </c>
      <c r="S12" s="16"/>
      <c r="U12" s="16"/>
      <c r="W12" s="11" t="s">
        <v>8</v>
      </c>
      <c r="X12" s="12" t="str">
        <f>VLOOKUP(LOWER(Z4),experiments_specs!$A:$J,9,FALSE)</f>
        <v>wup_similarity</v>
      </c>
      <c r="Y12" s="15" t="s">
        <v>88</v>
      </c>
      <c r="Z12" s="6" t="s">
        <v>17</v>
      </c>
      <c r="AA12" s="18" t="s">
        <v>278</v>
      </c>
      <c r="AB12" s="18" t="s">
        <v>280</v>
      </c>
      <c r="AC12" s="18" t="s">
        <v>189</v>
      </c>
      <c r="AD12" s="18" t="s">
        <v>282</v>
      </c>
      <c r="AE12" s="31">
        <v>0.30769230769230771</v>
      </c>
      <c r="AF12" s="23" t="s">
        <v>188</v>
      </c>
      <c r="AG12" s="23" t="s">
        <v>401</v>
      </c>
      <c r="AH12" s="23" t="s">
        <v>189</v>
      </c>
      <c r="AI12" s="23" t="s">
        <v>286</v>
      </c>
      <c r="AJ12" s="34">
        <v>0.30769230769230771</v>
      </c>
      <c r="AL12" s="16"/>
      <c r="AN12" s="16"/>
      <c r="AP12" s="11" t="s">
        <v>8</v>
      </c>
      <c r="AQ12" s="12" t="str">
        <f>VLOOKUP(LOWER(AS4),experiments_specs!$A:$J,9,FALSE)</f>
        <v>wup_similarity</v>
      </c>
      <c r="AR12" s="15" t="s">
        <v>94</v>
      </c>
      <c r="AS12" s="6" t="s">
        <v>17</v>
      </c>
      <c r="AT12" s="18" t="s">
        <v>278</v>
      </c>
      <c r="AU12" s="18" t="s">
        <v>280</v>
      </c>
      <c r="AV12" s="18" t="s">
        <v>189</v>
      </c>
      <c r="AW12" s="18" t="s">
        <v>286</v>
      </c>
      <c r="AX12" s="31">
        <v>0.30769230769230771</v>
      </c>
      <c r="AY12" s="23" t="s">
        <v>188</v>
      </c>
      <c r="AZ12" s="23" t="s">
        <v>401</v>
      </c>
      <c r="BA12" s="23" t="s">
        <v>189</v>
      </c>
      <c r="BB12" s="23" t="s">
        <v>286</v>
      </c>
      <c r="BC12" s="34">
        <v>0.30769230769230771</v>
      </c>
      <c r="BE12" s="16"/>
    </row>
    <row r="13" spans="2:57" x14ac:dyDescent="0.2">
      <c r="B13" s="16"/>
      <c r="D13" s="11" t="s">
        <v>9</v>
      </c>
      <c r="E13" s="12" t="str">
        <f>VLOOKUP(LOWER(G4),experiments_specs!$A:$J,10,FALSE)</f>
        <v>False</v>
      </c>
      <c r="F13" s="15" t="s">
        <v>82</v>
      </c>
      <c r="G13" s="7" t="s">
        <v>18</v>
      </c>
      <c r="H13" s="20" t="s">
        <v>222</v>
      </c>
      <c r="I13" s="20">
        <v>9.4631999999999994E-2</v>
      </c>
      <c r="J13" s="20" t="s">
        <v>223</v>
      </c>
      <c r="K13" s="20">
        <v>3.13E-3</v>
      </c>
      <c r="L13" s="32">
        <v>0.21052631578947367</v>
      </c>
      <c r="M13" s="24" t="s">
        <v>224</v>
      </c>
      <c r="N13" s="24">
        <v>7.7266699999999994E-2</v>
      </c>
      <c r="O13" s="24" t="s">
        <v>223</v>
      </c>
      <c r="P13" s="24">
        <v>3.4231999999999999E-3</v>
      </c>
      <c r="Q13" s="35">
        <v>0.21052631578947367</v>
      </c>
      <c r="S13" s="16"/>
      <c r="U13" s="16"/>
      <c r="W13" s="11" t="s">
        <v>9</v>
      </c>
      <c r="X13" s="12" t="str">
        <f>VLOOKUP(LOWER(Z4),experiments_specs!$A:$J,10,FALSE)</f>
        <v>False</v>
      </c>
      <c r="Y13" s="15" t="s">
        <v>88</v>
      </c>
      <c r="Z13" s="7" t="s">
        <v>18</v>
      </c>
      <c r="AA13" s="20" t="s">
        <v>44</v>
      </c>
      <c r="AB13" s="20">
        <v>3.5267199999999999E-2</v>
      </c>
      <c r="AC13" s="20" t="s">
        <v>45</v>
      </c>
      <c r="AD13" s="20">
        <v>1.8864300000000001E-2</v>
      </c>
      <c r="AE13" s="32">
        <v>0.21052631578947367</v>
      </c>
      <c r="AF13" s="24" t="s">
        <v>46</v>
      </c>
      <c r="AG13" s="24">
        <v>0</v>
      </c>
      <c r="AH13" s="24" t="s">
        <v>45</v>
      </c>
      <c r="AI13" s="24">
        <v>1.8864300000000001E-2</v>
      </c>
      <c r="AJ13" s="35">
        <v>0.21052631578947367</v>
      </c>
      <c r="AL13" s="16"/>
      <c r="AN13" s="16"/>
      <c r="AP13" s="11" t="s">
        <v>9</v>
      </c>
      <c r="AQ13" s="12" t="str">
        <f>VLOOKUP(LOWER(AS4),experiments_specs!$A:$J,10,FALSE)</f>
        <v>True</v>
      </c>
      <c r="AR13" s="15" t="s">
        <v>94</v>
      </c>
      <c r="AS13" s="7" t="s">
        <v>18</v>
      </c>
      <c r="AT13" s="20" t="s">
        <v>44</v>
      </c>
      <c r="AU13" s="20">
        <v>3.5267199999999999E-2</v>
      </c>
      <c r="AV13" s="20" t="s">
        <v>45</v>
      </c>
      <c r="AW13" s="20">
        <v>1.8864300000000001E-2</v>
      </c>
      <c r="AX13" s="32">
        <v>0.21052631578947367</v>
      </c>
      <c r="AY13" s="24" t="s">
        <v>46</v>
      </c>
      <c r="AZ13" s="24">
        <v>0</v>
      </c>
      <c r="BA13" s="24" t="s">
        <v>45</v>
      </c>
      <c r="BB13" s="24">
        <v>1.8864300000000001E-2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TEST_20</v>
      </c>
      <c r="H15" s="41" t="s">
        <v>124</v>
      </c>
      <c r="I15" s="41"/>
      <c r="J15" s="41"/>
      <c r="K15" s="41"/>
      <c r="L15" s="41"/>
      <c r="M15" s="42" t="s">
        <v>123</v>
      </c>
      <c r="N15" s="42"/>
      <c r="O15" s="42"/>
      <c r="P15" s="42"/>
      <c r="Q15" s="42"/>
      <c r="R15" s="2"/>
      <c r="S15" s="16"/>
      <c r="U15" s="16"/>
      <c r="W15" s="13" t="s">
        <v>126</v>
      </c>
      <c r="X15" s="14"/>
      <c r="Y15" s="9"/>
      <c r="Z15" s="10" t="str">
        <f>"TEST_"&amp;TEXT(RIGHT(Z4,2)+1, "00")</f>
        <v>TEST_26</v>
      </c>
      <c r="AA15" s="41" t="s">
        <v>124</v>
      </c>
      <c r="AB15" s="41"/>
      <c r="AC15" s="41"/>
      <c r="AD15" s="41"/>
      <c r="AE15" s="41"/>
      <c r="AF15" s="42" t="s">
        <v>123</v>
      </c>
      <c r="AG15" s="42"/>
      <c r="AH15" s="42"/>
      <c r="AI15" s="42"/>
      <c r="AJ15" s="42"/>
      <c r="AK15" s="2"/>
      <c r="AL15" s="16"/>
      <c r="AN15" s="16"/>
      <c r="AP15" s="13" t="s">
        <v>126</v>
      </c>
      <c r="AQ15" s="14"/>
      <c r="AR15" s="9"/>
      <c r="AS15" s="10" t="str">
        <f>"TEST_"&amp;TEXT(RIGHT(AS4,2)+1, "00")</f>
        <v>TEST_32</v>
      </c>
      <c r="AT15" s="41" t="s">
        <v>124</v>
      </c>
      <c r="AU15" s="41"/>
      <c r="AV15" s="41"/>
      <c r="AW15" s="41"/>
      <c r="AX15" s="41"/>
      <c r="AY15" s="42" t="s">
        <v>123</v>
      </c>
      <c r="AZ15" s="42"/>
      <c r="BA15" s="42"/>
      <c r="BB15" s="42"/>
      <c r="BC15" s="42"/>
      <c r="BD15" s="2"/>
      <c r="BE15" s="16"/>
    </row>
    <row r="16" spans="2:57" x14ac:dyDescent="0.2">
      <c r="B16" s="16"/>
      <c r="D16" s="11" t="s">
        <v>1</v>
      </c>
      <c r="E16" s="12" t="str">
        <f>VLOOKUP(LOWER(G15),experiments_specs!$A:$J,2,FALSE)</f>
        <v>NN,JJ</v>
      </c>
      <c r="F16" s="15" t="str">
        <f>"{"&amp;LOWER(G15)&amp;".csv}"</f>
        <v>{test_20.csv}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VLOOKUP(LOWER(Z15),experiments_specs!$A:$J,2,FALSE)</f>
        <v>NN,JJ</v>
      </c>
      <c r="Y16" s="15" t="str">
        <f>"{"&amp;LOWER(Z15)&amp;".csv}"</f>
        <v>{test_26.csv}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VLOOKUP(LOWER(AS15),experiments_specs!$A:$J,2,FALSE)</f>
        <v>NN,JJ</v>
      </c>
      <c r="AR16" s="15" t="str">
        <f>"{"&amp;LOWER(AS15)&amp;".csv}"</f>
        <v>{test_32.csv}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17" x14ac:dyDescent="0.2">
      <c r="B17" s="16"/>
      <c r="D17" s="11" t="s">
        <v>2</v>
      </c>
      <c r="E17" s="12">
        <f>VLOOKUP(LOWER(G15),experiments_specs!$A:$J,3,FALSE)</f>
        <v>1</v>
      </c>
      <c r="F17" s="15" t="s">
        <v>83</v>
      </c>
      <c r="G17" s="5" t="s">
        <v>19</v>
      </c>
      <c r="H17" s="17" t="s">
        <v>225</v>
      </c>
      <c r="I17" s="17">
        <v>0.14024809999999999</v>
      </c>
      <c r="J17" s="17" t="s">
        <v>226</v>
      </c>
      <c r="K17" s="17">
        <v>2.8078999999999999E-3</v>
      </c>
      <c r="L17" s="30">
        <v>0.17391304347826086</v>
      </c>
      <c r="M17" s="21" t="s">
        <v>227</v>
      </c>
      <c r="N17" s="21">
        <v>0</v>
      </c>
      <c r="O17" s="21" t="s">
        <v>228</v>
      </c>
      <c r="P17" s="21">
        <v>5.4796999999999997E-3</v>
      </c>
      <c r="Q17" s="33">
        <v>0.11764705882352941</v>
      </c>
      <c r="S17" s="16"/>
      <c r="U17" s="16"/>
      <c r="W17" s="11" t="s">
        <v>2</v>
      </c>
      <c r="X17" s="12">
        <f>VLOOKUP(LOWER(Z15),experiments_specs!$A:$J,3,FALSE)</f>
        <v>1</v>
      </c>
      <c r="Y17" s="15" t="s">
        <v>89</v>
      </c>
      <c r="Z17" s="5" t="s">
        <v>19</v>
      </c>
      <c r="AA17" s="17" t="s">
        <v>225</v>
      </c>
      <c r="AB17" s="17">
        <v>0.14024809999999999</v>
      </c>
      <c r="AC17" s="17" t="s">
        <v>226</v>
      </c>
      <c r="AD17" s="17">
        <v>2.6177499999999999E-2</v>
      </c>
      <c r="AE17" s="30">
        <v>0.17391304347826086</v>
      </c>
      <c r="AF17" s="21" t="s">
        <v>288</v>
      </c>
      <c r="AG17" s="21">
        <v>0.1561737</v>
      </c>
      <c r="AH17" s="21" t="s">
        <v>226</v>
      </c>
      <c r="AI17" s="21">
        <v>3.68864E-2</v>
      </c>
      <c r="AJ17" s="33">
        <v>0.17391304347826086</v>
      </c>
      <c r="AL17" s="16"/>
      <c r="AN17" s="16"/>
      <c r="AP17" s="11" t="s">
        <v>2</v>
      </c>
      <c r="AQ17" s="12">
        <f>VLOOKUP(LOWER(AS15),experiments_specs!$A:$J,3,FALSE)</f>
        <v>1</v>
      </c>
      <c r="AR17" s="15" t="s">
        <v>95</v>
      </c>
      <c r="AS17" s="5" t="s">
        <v>19</v>
      </c>
      <c r="AT17" s="17" t="s">
        <v>225</v>
      </c>
      <c r="AU17" s="17">
        <v>0.14024809999999999</v>
      </c>
      <c r="AV17" s="17" t="s">
        <v>226</v>
      </c>
      <c r="AW17" s="17">
        <v>2.7982799999999999E-2</v>
      </c>
      <c r="AX17" s="30">
        <v>0.17391304347826086</v>
      </c>
      <c r="AY17" s="21" t="s">
        <v>288</v>
      </c>
      <c r="AZ17" s="21">
        <v>0.1561737</v>
      </c>
      <c r="BA17" s="21" t="s">
        <v>226</v>
      </c>
      <c r="BB17" s="21">
        <v>2.89822E-2</v>
      </c>
      <c r="BC17" s="33">
        <v>0.17391304347826086</v>
      </c>
      <c r="BE17" s="16"/>
    </row>
    <row r="18" spans="2:57" ht="34" x14ac:dyDescent="0.2">
      <c r="B18" s="16"/>
      <c r="D18" s="11" t="s">
        <v>3</v>
      </c>
      <c r="E18" s="12">
        <f>VLOOKUP(LOWER(G15),experiments_specs!$A:$J,4,FALSE)</f>
        <v>2</v>
      </c>
      <c r="F18" s="15" t="s">
        <v>83</v>
      </c>
      <c r="G18" s="6" t="s">
        <v>12</v>
      </c>
      <c r="H18" s="18" t="s">
        <v>355</v>
      </c>
      <c r="I18" s="18" t="s">
        <v>357</v>
      </c>
      <c r="J18" s="18" t="s">
        <v>359</v>
      </c>
      <c r="K18" s="18" t="s">
        <v>372</v>
      </c>
      <c r="L18" s="31">
        <v>0.42857142857142855</v>
      </c>
      <c r="M18" s="22" t="s">
        <v>363</v>
      </c>
      <c r="N18" s="22">
        <v>9.2253100000000005E-2</v>
      </c>
      <c r="O18" s="22" t="s">
        <v>364</v>
      </c>
      <c r="P18" s="22">
        <v>7.0578999999999998E-3</v>
      </c>
      <c r="Q18" s="34">
        <v>0.2857142857142857</v>
      </c>
      <c r="S18" s="16"/>
      <c r="U18" s="16"/>
      <c r="W18" s="11" t="s">
        <v>3</v>
      </c>
      <c r="X18" s="12">
        <f>VLOOKUP(LOWER(Z15),experiments_specs!$A:$J,4,FALSE)</f>
        <v>2</v>
      </c>
      <c r="Y18" s="15" t="s">
        <v>89</v>
      </c>
      <c r="Z18" s="6" t="s">
        <v>12</v>
      </c>
      <c r="AA18" s="18" t="s">
        <v>22</v>
      </c>
      <c r="AB18" s="18">
        <v>0.1102635</v>
      </c>
      <c r="AC18" s="18" t="s">
        <v>23</v>
      </c>
      <c r="AD18" s="18">
        <v>2.3063199999999999E-2</v>
      </c>
      <c r="AE18" s="31">
        <v>0.42857142857142855</v>
      </c>
      <c r="AF18" s="23" t="s">
        <v>390</v>
      </c>
      <c r="AG18" s="23" t="s">
        <v>392</v>
      </c>
      <c r="AH18" s="23" t="s">
        <v>394</v>
      </c>
      <c r="AI18" s="23" t="s">
        <v>403</v>
      </c>
      <c r="AJ18" s="34">
        <v>0.46153846153846156</v>
      </c>
      <c r="AL18" s="16"/>
      <c r="AN18" s="16"/>
      <c r="AP18" s="11" t="s">
        <v>3</v>
      </c>
      <c r="AQ18" s="12">
        <f>VLOOKUP(LOWER(AS15),experiments_specs!$A:$J,4,FALSE)</f>
        <v>2</v>
      </c>
      <c r="AR18" s="15" t="s">
        <v>95</v>
      </c>
      <c r="AS18" s="6" t="s">
        <v>12</v>
      </c>
      <c r="AT18" s="18" t="s">
        <v>22</v>
      </c>
      <c r="AU18" s="18">
        <v>0.1102635</v>
      </c>
      <c r="AV18" s="18" t="s">
        <v>23</v>
      </c>
      <c r="AW18" s="18">
        <v>3.1449900000000003E-2</v>
      </c>
      <c r="AX18" s="31">
        <v>0.42857142857142855</v>
      </c>
      <c r="AY18" s="23" t="s">
        <v>390</v>
      </c>
      <c r="AZ18" s="23" t="s">
        <v>392</v>
      </c>
      <c r="BA18" s="23" t="s">
        <v>394</v>
      </c>
      <c r="BB18" s="23" t="s">
        <v>413</v>
      </c>
      <c r="BC18" s="34">
        <v>0.46153846153846156</v>
      </c>
      <c r="BE18" s="16"/>
    </row>
    <row r="19" spans="2:57" x14ac:dyDescent="0.2">
      <c r="B19" s="16"/>
      <c r="D19" s="11" t="s">
        <v>4</v>
      </c>
      <c r="E19" s="12" t="str">
        <f>VLOOKUP(LOWER(G15),experiments_specs!$A:$J,5,FALSE)</f>
        <v>False</v>
      </c>
      <c r="F19" s="15" t="s">
        <v>83</v>
      </c>
      <c r="G19" s="6" t="s">
        <v>13</v>
      </c>
      <c r="H19" s="19" t="s">
        <v>199</v>
      </c>
      <c r="I19" s="19">
        <v>0.18057870000000001</v>
      </c>
      <c r="J19" s="19" t="s">
        <v>200</v>
      </c>
      <c r="K19" s="19">
        <v>6.6213000000000001E-3</v>
      </c>
      <c r="L19" s="31" t="s">
        <v>25</v>
      </c>
      <c r="M19" s="22" t="s">
        <v>201</v>
      </c>
      <c r="N19" s="22">
        <v>0</v>
      </c>
      <c r="O19" s="22" t="s">
        <v>200</v>
      </c>
      <c r="P19" s="22">
        <v>9.2478999999999999E-3</v>
      </c>
      <c r="Q19" s="34" t="s">
        <v>25</v>
      </c>
      <c r="S19" s="16"/>
      <c r="U19" s="16"/>
      <c r="W19" s="11" t="s">
        <v>4</v>
      </c>
      <c r="X19" s="12" t="str">
        <f>VLOOKUP(LOWER(Z15),experiments_specs!$A:$J,5,FALSE)</f>
        <v>True</v>
      </c>
      <c r="Y19" s="15" t="s">
        <v>89</v>
      </c>
      <c r="Z19" s="6" t="s">
        <v>13</v>
      </c>
      <c r="AA19" s="19" t="s">
        <v>32</v>
      </c>
      <c r="AB19" s="19">
        <v>0.10425719999999999</v>
      </c>
      <c r="AC19" s="19" t="s">
        <v>398</v>
      </c>
      <c r="AD19" s="19">
        <v>1.8916800000000001E-2</v>
      </c>
      <c r="AE19" s="31">
        <v>0.4</v>
      </c>
      <c r="AF19" s="22" t="s">
        <v>34</v>
      </c>
      <c r="AG19" s="22">
        <v>0</v>
      </c>
      <c r="AH19" s="22" t="s">
        <v>35</v>
      </c>
      <c r="AI19" s="22">
        <v>3.0096399999999999E-2</v>
      </c>
      <c r="AJ19" s="34" t="s">
        <v>25</v>
      </c>
      <c r="AL19" s="16"/>
      <c r="AN19" s="16"/>
      <c r="AP19" s="11" t="s">
        <v>4</v>
      </c>
      <c r="AQ19" s="12" t="str">
        <f>VLOOKUP(LOWER(AS15),experiments_specs!$A:$J,5,FALSE)</f>
        <v>True</v>
      </c>
      <c r="AR19" s="15" t="s">
        <v>95</v>
      </c>
      <c r="AS19" s="6" t="s">
        <v>13</v>
      </c>
      <c r="AT19" s="19" t="s">
        <v>326</v>
      </c>
      <c r="AU19" s="19">
        <v>0.10425719999999999</v>
      </c>
      <c r="AV19" s="19" t="s">
        <v>327</v>
      </c>
      <c r="AW19" s="19">
        <v>2.4573600000000001E-2</v>
      </c>
      <c r="AX19" s="31" t="s">
        <v>25</v>
      </c>
      <c r="AY19" s="22" t="s">
        <v>34</v>
      </c>
      <c r="AZ19" s="22">
        <v>0</v>
      </c>
      <c r="BA19" s="22" t="s">
        <v>35</v>
      </c>
      <c r="BB19" s="22">
        <v>2.50803E-2</v>
      </c>
      <c r="BC19" s="34" t="s">
        <v>25</v>
      </c>
      <c r="BE19" s="16"/>
    </row>
    <row r="20" spans="2:57" ht="34" x14ac:dyDescent="0.2">
      <c r="B20" s="16"/>
      <c r="D20" s="11" t="s">
        <v>5</v>
      </c>
      <c r="E20" s="12" t="str">
        <f>VLOOKUP(LOWER(G15),experiments_specs!$A:$J,6,FALSE)</f>
        <v>True</v>
      </c>
      <c r="F20" s="15" t="s">
        <v>83</v>
      </c>
      <c r="G20" s="6" t="s">
        <v>14</v>
      </c>
      <c r="H20" s="19" t="s">
        <v>202</v>
      </c>
      <c r="I20" s="19">
        <v>0.13201959999999999</v>
      </c>
      <c r="J20" s="19" t="s">
        <v>203</v>
      </c>
      <c r="K20" s="19">
        <v>3.2247E-3</v>
      </c>
      <c r="L20" s="31">
        <v>0.14285714285714285</v>
      </c>
      <c r="M20" s="22" t="s">
        <v>204</v>
      </c>
      <c r="N20" s="22">
        <v>0</v>
      </c>
      <c r="O20" s="22" t="s">
        <v>205</v>
      </c>
      <c r="P20" s="22">
        <v>6.0454999999999997E-3</v>
      </c>
      <c r="Q20" s="34">
        <v>0.625</v>
      </c>
      <c r="S20" s="16"/>
      <c r="U20" s="16"/>
      <c r="W20" s="11" t="s">
        <v>5</v>
      </c>
      <c r="X20" s="12" t="str">
        <f>VLOOKUP(LOWER(Z15),experiments_specs!$A:$J,6,FALSE)</f>
        <v>True</v>
      </c>
      <c r="Y20" s="15" t="s">
        <v>89</v>
      </c>
      <c r="Z20" s="6" t="s">
        <v>14</v>
      </c>
      <c r="AA20" s="18" t="s">
        <v>181</v>
      </c>
      <c r="AB20" s="18" t="s">
        <v>399</v>
      </c>
      <c r="AC20" s="18" t="s">
        <v>182</v>
      </c>
      <c r="AD20" s="18" t="s">
        <v>289</v>
      </c>
      <c r="AE20" s="31">
        <v>0.33333333333333331</v>
      </c>
      <c r="AF20" s="23" t="s">
        <v>183</v>
      </c>
      <c r="AG20" s="23" t="s">
        <v>272</v>
      </c>
      <c r="AH20" s="23" t="s">
        <v>182</v>
      </c>
      <c r="AI20" s="23" t="s">
        <v>291</v>
      </c>
      <c r="AJ20" s="34">
        <v>0.33333333333333331</v>
      </c>
      <c r="AL20" s="16"/>
      <c r="AN20" s="16"/>
      <c r="AP20" s="11" t="s">
        <v>5</v>
      </c>
      <c r="AQ20" s="12" t="str">
        <f>VLOOKUP(LOWER(AS15),experiments_specs!$A:$J,6,FALSE)</f>
        <v>True</v>
      </c>
      <c r="AR20" s="15" t="s">
        <v>95</v>
      </c>
      <c r="AS20" s="6" t="s">
        <v>14</v>
      </c>
      <c r="AT20" s="18" t="s">
        <v>181</v>
      </c>
      <c r="AU20" s="18" t="s">
        <v>399</v>
      </c>
      <c r="AV20" s="18" t="s">
        <v>182</v>
      </c>
      <c r="AW20" s="18" t="s">
        <v>328</v>
      </c>
      <c r="AX20" s="31">
        <v>0.33333333333333331</v>
      </c>
      <c r="AY20" s="23" t="s">
        <v>183</v>
      </c>
      <c r="AZ20" s="23" t="s">
        <v>272</v>
      </c>
      <c r="BA20" s="23" t="s">
        <v>182</v>
      </c>
      <c r="BB20" s="23" t="s">
        <v>330</v>
      </c>
      <c r="BC20" s="34">
        <v>0.33333333333333331</v>
      </c>
      <c r="BE20" s="16"/>
    </row>
    <row r="21" spans="2:57" ht="17" x14ac:dyDescent="0.2">
      <c r="B21" s="16"/>
      <c r="D21" s="11" t="s">
        <v>6</v>
      </c>
      <c r="E21" s="12" t="str">
        <f>VLOOKUP(LOWER(G15),experiments_specs!$A:$J,7,FALSE)</f>
        <v>True</v>
      </c>
      <c r="F21" s="15" t="s">
        <v>83</v>
      </c>
      <c r="G21" s="6" t="s">
        <v>15</v>
      </c>
      <c r="H21" s="19" t="s">
        <v>26</v>
      </c>
      <c r="I21" s="19">
        <v>0.18033389999999999</v>
      </c>
      <c r="J21" s="19" t="s">
        <v>27</v>
      </c>
      <c r="K21" s="19">
        <v>4.0458999999999998E-3</v>
      </c>
      <c r="L21" s="31">
        <v>0.16666666666666666</v>
      </c>
      <c r="M21" s="23" t="s">
        <v>365</v>
      </c>
      <c r="N21" s="23">
        <v>0</v>
      </c>
      <c r="O21" s="23" t="s">
        <v>26</v>
      </c>
      <c r="P21" s="23">
        <v>1.21119E-2</v>
      </c>
      <c r="Q21" s="34">
        <v>0.18181818181818182</v>
      </c>
      <c r="S21" s="16"/>
      <c r="U21" s="16"/>
      <c r="W21" s="11" t="s">
        <v>6</v>
      </c>
      <c r="X21" s="12" t="str">
        <f>VLOOKUP(LOWER(Z15),experiments_specs!$A:$J,7,FALSE)</f>
        <v>True</v>
      </c>
      <c r="Y21" s="15" t="s">
        <v>89</v>
      </c>
      <c r="Z21" s="6" t="s">
        <v>15</v>
      </c>
      <c r="AA21" s="19" t="s">
        <v>26</v>
      </c>
      <c r="AB21" s="19">
        <v>0.18033389999999999</v>
      </c>
      <c r="AC21" s="19" t="s">
        <v>27</v>
      </c>
      <c r="AD21" s="19">
        <v>2.03704E-2</v>
      </c>
      <c r="AE21" s="31">
        <v>0.16666666666666666</v>
      </c>
      <c r="AF21" s="23" t="s">
        <v>365</v>
      </c>
      <c r="AG21" s="23">
        <v>0</v>
      </c>
      <c r="AH21" s="23" t="s">
        <v>26</v>
      </c>
      <c r="AI21" s="23">
        <v>4.2936599999999998E-2</v>
      </c>
      <c r="AJ21" s="34">
        <v>0.18181818181818182</v>
      </c>
      <c r="AL21" s="16"/>
      <c r="AN21" s="16"/>
      <c r="AP21" s="11" t="s">
        <v>6</v>
      </c>
      <c r="AQ21" s="12" t="str">
        <f>VLOOKUP(LOWER(AS15),experiments_specs!$A:$J,7,FALSE)</f>
        <v>True</v>
      </c>
      <c r="AR21" s="15" t="s">
        <v>95</v>
      </c>
      <c r="AS21" s="6" t="s">
        <v>15</v>
      </c>
      <c r="AT21" s="19" t="s">
        <v>26</v>
      </c>
      <c r="AU21" s="19">
        <v>0.18033389999999999</v>
      </c>
      <c r="AV21" s="19" t="s">
        <v>27</v>
      </c>
      <c r="AW21" s="19">
        <v>2.3425999999999999E-2</v>
      </c>
      <c r="AX21" s="31">
        <v>0.16666666666666666</v>
      </c>
      <c r="AY21" s="23" t="s">
        <v>365</v>
      </c>
      <c r="AZ21" s="23">
        <v>0</v>
      </c>
      <c r="BA21" s="23" t="s">
        <v>26</v>
      </c>
      <c r="BB21" s="23">
        <v>4.2936599999999998E-2</v>
      </c>
      <c r="BC21" s="34">
        <v>0.18181818181818182</v>
      </c>
      <c r="BE21" s="16"/>
    </row>
    <row r="22" spans="2:57" ht="34" x14ac:dyDescent="0.2">
      <c r="B22" s="16"/>
      <c r="D22" s="11" t="s">
        <v>7</v>
      </c>
      <c r="E22" s="12" t="str">
        <f>VLOOKUP(LOWER(G15),experiments_specs!$A:$J,8,FALSE)</f>
        <v>False</v>
      </c>
      <c r="F22" s="15" t="s">
        <v>83</v>
      </c>
      <c r="G22" s="6" t="s">
        <v>16</v>
      </c>
      <c r="H22" s="19" t="s">
        <v>208</v>
      </c>
      <c r="I22" s="19">
        <v>0.2041241</v>
      </c>
      <c r="J22" s="19" t="s">
        <v>209</v>
      </c>
      <c r="K22" s="19">
        <v>2.9521999999999999E-3</v>
      </c>
      <c r="L22" s="31">
        <v>0.55555555555555558</v>
      </c>
      <c r="M22" s="23" t="s">
        <v>210</v>
      </c>
      <c r="N22" s="23" t="s">
        <v>366</v>
      </c>
      <c r="O22" s="23" t="s">
        <v>368</v>
      </c>
      <c r="P22" s="23" t="s">
        <v>374</v>
      </c>
      <c r="Q22" s="34">
        <v>0.13333333333333333</v>
      </c>
      <c r="S22" s="16"/>
      <c r="U22" s="16"/>
      <c r="W22" s="11" t="s">
        <v>7</v>
      </c>
      <c r="X22" s="12" t="str">
        <f>VLOOKUP(LOWER(Z15),experiments_specs!$A:$J,8,FALSE)</f>
        <v>False</v>
      </c>
      <c r="Y22" s="15" t="s">
        <v>89</v>
      </c>
      <c r="Z22" s="6" t="s">
        <v>16</v>
      </c>
      <c r="AA22" s="19" t="s">
        <v>39</v>
      </c>
      <c r="AB22" s="19">
        <v>6.4549700000000002E-2</v>
      </c>
      <c r="AC22" s="19" t="s">
        <v>40</v>
      </c>
      <c r="AD22" s="19">
        <v>1.7010299999999999E-2</v>
      </c>
      <c r="AE22" s="31">
        <v>0.22222222222222221</v>
      </c>
      <c r="AF22" s="23" t="s">
        <v>41</v>
      </c>
      <c r="AG22" s="23">
        <v>3.60843E-2</v>
      </c>
      <c r="AH22" s="23" t="s">
        <v>40</v>
      </c>
      <c r="AI22" s="23">
        <v>1.80109E-2</v>
      </c>
      <c r="AJ22" s="34">
        <v>0.22222222222222221</v>
      </c>
      <c r="AL22" s="16"/>
      <c r="AN22" s="16"/>
      <c r="AP22" s="11" t="s">
        <v>7</v>
      </c>
      <c r="AQ22" s="12" t="str">
        <f>VLOOKUP(LOWER(AS15),experiments_specs!$A:$J,8,FALSE)</f>
        <v>False</v>
      </c>
      <c r="AR22" s="15" t="s">
        <v>95</v>
      </c>
      <c r="AS22" s="6" t="s">
        <v>16</v>
      </c>
      <c r="AT22" s="19" t="s">
        <v>39</v>
      </c>
      <c r="AU22" s="19">
        <v>6.4549700000000002E-2</v>
      </c>
      <c r="AV22" s="19" t="s">
        <v>40</v>
      </c>
      <c r="AW22" s="19">
        <v>1.91366E-2</v>
      </c>
      <c r="AX22" s="31">
        <v>0.22222222222222221</v>
      </c>
      <c r="AY22" s="23" t="s">
        <v>41</v>
      </c>
      <c r="AZ22" s="23">
        <v>3.60843E-2</v>
      </c>
      <c r="BA22" s="23" t="s">
        <v>40</v>
      </c>
      <c r="BB22" s="23">
        <v>1.80109E-2</v>
      </c>
      <c r="BC22" s="34">
        <v>0.22222222222222221</v>
      </c>
      <c r="BE22" s="16"/>
    </row>
    <row r="23" spans="2:57" ht="51" x14ac:dyDescent="0.2">
      <c r="B23" s="16"/>
      <c r="D23" s="11" t="s">
        <v>8</v>
      </c>
      <c r="E23" s="12" t="str">
        <f>VLOOKUP(LOWER(G15),experiments_specs!$A:$J,9,FALSE)</f>
        <v>wup_similarity</v>
      </c>
      <c r="F23" s="15" t="s">
        <v>83</v>
      </c>
      <c r="G23" s="6" t="s">
        <v>17</v>
      </c>
      <c r="H23" s="19" t="s">
        <v>218</v>
      </c>
      <c r="I23" s="19">
        <v>0.18898219999999999</v>
      </c>
      <c r="J23" s="19" t="s">
        <v>219</v>
      </c>
      <c r="K23" s="19">
        <v>2.7277E-3</v>
      </c>
      <c r="L23" s="31">
        <v>0.13333333333333333</v>
      </c>
      <c r="M23" s="22" t="s">
        <v>220</v>
      </c>
      <c r="N23" s="22">
        <v>7.7151600000000001E-2</v>
      </c>
      <c r="O23" s="22" t="s">
        <v>221</v>
      </c>
      <c r="P23" s="22">
        <v>5.5649000000000002E-3</v>
      </c>
      <c r="Q23" s="34">
        <v>0.33333333333333331</v>
      </c>
      <c r="S23" s="16"/>
      <c r="U23" s="16"/>
      <c r="W23" s="11" t="s">
        <v>8</v>
      </c>
      <c r="X23" s="12" t="str">
        <f>VLOOKUP(LOWER(Z15),experiments_specs!$A:$J,9,FALSE)</f>
        <v>wup_similarity</v>
      </c>
      <c r="Y23" s="15" t="s">
        <v>89</v>
      </c>
      <c r="Z23" s="6" t="s">
        <v>17</v>
      </c>
      <c r="AA23" s="18" t="s">
        <v>278</v>
      </c>
      <c r="AB23" s="18" t="s">
        <v>280</v>
      </c>
      <c r="AC23" s="18" t="s">
        <v>189</v>
      </c>
      <c r="AD23" s="18" t="s">
        <v>294</v>
      </c>
      <c r="AE23" s="31">
        <v>0.30769230769230771</v>
      </c>
      <c r="AF23" s="23" t="s">
        <v>188</v>
      </c>
      <c r="AG23" s="23" t="s">
        <v>401</v>
      </c>
      <c r="AH23" s="23" t="s">
        <v>189</v>
      </c>
      <c r="AI23" s="23" t="s">
        <v>282</v>
      </c>
      <c r="AJ23" s="34">
        <v>0.30769230769230771</v>
      </c>
      <c r="AL23" s="16"/>
      <c r="AN23" s="16"/>
      <c r="AP23" s="11" t="s">
        <v>8</v>
      </c>
      <c r="AQ23" s="12" t="str">
        <f>VLOOKUP(LOWER(AS15),experiments_specs!$A:$J,9,FALSE)</f>
        <v>wup_similarity</v>
      </c>
      <c r="AR23" s="15" t="s">
        <v>95</v>
      </c>
      <c r="AS23" s="6" t="s">
        <v>17</v>
      </c>
      <c r="AT23" s="18" t="s">
        <v>278</v>
      </c>
      <c r="AU23" s="18" t="s">
        <v>280</v>
      </c>
      <c r="AV23" s="18" t="s">
        <v>189</v>
      </c>
      <c r="AW23" s="18" t="s">
        <v>332</v>
      </c>
      <c r="AX23" s="31">
        <v>0.30769230769230771</v>
      </c>
      <c r="AY23" s="23" t="s">
        <v>188</v>
      </c>
      <c r="AZ23" s="23" t="s">
        <v>401</v>
      </c>
      <c r="BA23" s="23" t="s">
        <v>189</v>
      </c>
      <c r="BB23" s="23" t="s">
        <v>332</v>
      </c>
      <c r="BC23" s="34">
        <v>0.30769230769230771</v>
      </c>
      <c r="BE23" s="16"/>
    </row>
    <row r="24" spans="2:57" x14ac:dyDescent="0.2">
      <c r="B24" s="16"/>
      <c r="D24" s="11" t="s">
        <v>9</v>
      </c>
      <c r="E24" s="12" t="str">
        <f>VLOOKUP(LOWER(G15),experiments_specs!$A:$J,10,FALSE)</f>
        <v>False</v>
      </c>
      <c r="F24" s="15" t="s">
        <v>83</v>
      </c>
      <c r="G24" s="7" t="s">
        <v>18</v>
      </c>
      <c r="H24" s="20" t="s">
        <v>222</v>
      </c>
      <c r="I24" s="20">
        <v>9.4631999999999994E-2</v>
      </c>
      <c r="J24" s="20" t="s">
        <v>223</v>
      </c>
      <c r="K24" s="20">
        <v>2.2725000000000002E-3</v>
      </c>
      <c r="L24" s="32">
        <v>0.21052631578947367</v>
      </c>
      <c r="M24" s="24" t="s">
        <v>224</v>
      </c>
      <c r="N24" s="24">
        <v>7.7266699999999994E-2</v>
      </c>
      <c r="O24" s="24" t="s">
        <v>223</v>
      </c>
      <c r="P24" s="24">
        <v>2.8830000000000001E-3</v>
      </c>
      <c r="Q24" s="35">
        <v>0.21052631578947367</v>
      </c>
      <c r="S24" s="16"/>
      <c r="U24" s="16"/>
      <c r="W24" s="11" t="s">
        <v>9</v>
      </c>
      <c r="X24" s="12" t="str">
        <f>VLOOKUP(LOWER(Z15),experiments_specs!$A:$J,10,FALSE)</f>
        <v>False</v>
      </c>
      <c r="Y24" s="15" t="s">
        <v>89</v>
      </c>
      <c r="Z24" s="7" t="s">
        <v>18</v>
      </c>
      <c r="AA24" s="20" t="s">
        <v>44</v>
      </c>
      <c r="AB24" s="20">
        <v>3.5267199999999999E-2</v>
      </c>
      <c r="AC24" s="20" t="s">
        <v>45</v>
      </c>
      <c r="AD24" s="20">
        <v>1.30895E-2</v>
      </c>
      <c r="AE24" s="32">
        <v>0.21052631578947367</v>
      </c>
      <c r="AF24" s="24" t="s">
        <v>46</v>
      </c>
      <c r="AG24" s="24">
        <v>0</v>
      </c>
      <c r="AH24" s="24" t="s">
        <v>45</v>
      </c>
      <c r="AI24" s="24">
        <v>1.6878600000000001E-2</v>
      </c>
      <c r="AJ24" s="35">
        <v>0.21052631578947367</v>
      </c>
      <c r="AL24" s="16"/>
      <c r="AN24" s="16"/>
      <c r="AP24" s="11" t="s">
        <v>9</v>
      </c>
      <c r="AQ24" s="12" t="str">
        <f>VLOOKUP(LOWER(AS15),experiments_specs!$A:$J,10,FALSE)</f>
        <v>True</v>
      </c>
      <c r="AR24" s="15" t="s">
        <v>95</v>
      </c>
      <c r="AS24" s="7" t="s">
        <v>18</v>
      </c>
      <c r="AT24" s="20" t="s">
        <v>44</v>
      </c>
      <c r="AU24" s="20">
        <v>3.5267199999999999E-2</v>
      </c>
      <c r="AV24" s="20" t="s">
        <v>45</v>
      </c>
      <c r="AW24" s="20">
        <v>1.7334800000000001E-2</v>
      </c>
      <c r="AX24" s="32">
        <v>0.21052631578947367</v>
      </c>
      <c r="AY24" s="24" t="s">
        <v>46</v>
      </c>
      <c r="AZ24" s="24">
        <v>0</v>
      </c>
      <c r="BA24" s="24" t="s">
        <v>45</v>
      </c>
      <c r="BB24" s="24">
        <v>1.7334800000000001E-2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TEST_21</v>
      </c>
      <c r="H26" s="41" t="s">
        <v>124</v>
      </c>
      <c r="I26" s="41"/>
      <c r="J26" s="41"/>
      <c r="K26" s="41"/>
      <c r="L26" s="41"/>
      <c r="M26" s="42" t="s">
        <v>123</v>
      </c>
      <c r="N26" s="42"/>
      <c r="O26" s="42"/>
      <c r="P26" s="42"/>
      <c r="Q26" s="42"/>
      <c r="R26" s="2"/>
      <c r="S26" s="16"/>
      <c r="U26" s="16"/>
      <c r="W26" s="13" t="s">
        <v>126</v>
      </c>
      <c r="X26" s="14"/>
      <c r="Y26" s="9"/>
      <c r="Z26" s="10" t="str">
        <f>"TEST_"&amp;TEXT(RIGHT(Z15,2)+1, "00")</f>
        <v>TEST_27</v>
      </c>
      <c r="AA26" s="41" t="s">
        <v>124</v>
      </c>
      <c r="AB26" s="41"/>
      <c r="AC26" s="41"/>
      <c r="AD26" s="41"/>
      <c r="AE26" s="41"/>
      <c r="AF26" s="42" t="s">
        <v>123</v>
      </c>
      <c r="AG26" s="42"/>
      <c r="AH26" s="42"/>
      <c r="AI26" s="42"/>
      <c r="AJ26" s="42"/>
      <c r="AK26" s="2"/>
      <c r="AL26" s="16"/>
      <c r="AN26" s="16"/>
      <c r="AP26" s="13" t="s">
        <v>126</v>
      </c>
      <c r="AQ26" s="14"/>
      <c r="AR26" s="9"/>
      <c r="AS26" s="10" t="str">
        <f>"TEST_"&amp;TEXT(RIGHT(AS15,2)+1, "00")</f>
        <v>TEST_33</v>
      </c>
      <c r="AT26" s="41" t="s">
        <v>124</v>
      </c>
      <c r="AU26" s="41"/>
      <c r="AV26" s="41"/>
      <c r="AW26" s="41"/>
      <c r="AX26" s="41"/>
      <c r="AY26" s="42" t="s">
        <v>123</v>
      </c>
      <c r="AZ26" s="42"/>
      <c r="BA26" s="42"/>
      <c r="BB26" s="42"/>
      <c r="BC26" s="42"/>
      <c r="BD26" s="2"/>
      <c r="BE26" s="16"/>
    </row>
    <row r="27" spans="2:57" x14ac:dyDescent="0.2">
      <c r="B27" s="16"/>
      <c r="D27" s="11" t="s">
        <v>1</v>
      </c>
      <c r="E27" s="12" t="str">
        <f>VLOOKUP(LOWER(G26),experiments_specs!$A:$J,2,FALSE)</f>
        <v>NN,VB</v>
      </c>
      <c r="F27" s="15" t="str">
        <f>"{"&amp;LOWER(G26)&amp;".csv}"</f>
        <v>{test_21.csv}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VLOOKUP(LOWER(Z26),experiments_specs!$A:$J,2,FALSE)</f>
        <v>NN,VB</v>
      </c>
      <c r="Y27" s="15" t="str">
        <f>"{"&amp;LOWER(Z26)&amp;".csv}"</f>
        <v>{test_27.csv}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VLOOKUP(LOWER(AS26),experiments_specs!$A:$J,2,FALSE)</f>
        <v>NN,VB</v>
      </c>
      <c r="AR27" s="15" t="str">
        <f>"{"&amp;LOWER(AS26)&amp;".csv}"</f>
        <v>{test_33.csv}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17" x14ac:dyDescent="0.2">
      <c r="B28" s="16"/>
      <c r="D28" s="11" t="s">
        <v>2</v>
      </c>
      <c r="E28" s="12">
        <f>VLOOKUP(LOWER(G26),experiments_specs!$A:$J,3,FALSE)</f>
        <v>1</v>
      </c>
      <c r="F28" s="15" t="s">
        <v>84</v>
      </c>
      <c r="G28" s="5" t="s">
        <v>19</v>
      </c>
      <c r="H28" s="17" t="s">
        <v>354</v>
      </c>
      <c r="I28" s="17">
        <v>0.1180562</v>
      </c>
      <c r="J28" s="17" t="s">
        <v>288</v>
      </c>
      <c r="K28" s="17">
        <v>3.3227999999999999E-3</v>
      </c>
      <c r="L28" s="30">
        <v>0.19047619047619047</v>
      </c>
      <c r="M28" s="21" t="s">
        <v>197</v>
      </c>
      <c r="N28" s="21">
        <v>4.5083400000000003E-2</v>
      </c>
      <c r="O28" s="21" t="s">
        <v>198</v>
      </c>
      <c r="P28" s="21">
        <v>5.4070999999999998E-3</v>
      </c>
      <c r="Q28" s="33">
        <v>9.5238095238095233E-2</v>
      </c>
      <c r="S28" s="16"/>
      <c r="U28" s="16"/>
      <c r="W28" s="11" t="s">
        <v>2</v>
      </c>
      <c r="X28" s="12">
        <f>VLOOKUP(LOWER(Z26),experiments_specs!$A:$J,3,FALSE)</f>
        <v>1</v>
      </c>
      <c r="Y28" s="15" t="s">
        <v>90</v>
      </c>
      <c r="Z28" s="5" t="s">
        <v>19</v>
      </c>
      <c r="AA28" s="17" t="s">
        <v>354</v>
      </c>
      <c r="AB28" s="17">
        <v>0.1180562</v>
      </c>
      <c r="AC28" s="17" t="s">
        <v>288</v>
      </c>
      <c r="AD28" s="17">
        <v>2.03704E-2</v>
      </c>
      <c r="AE28" s="30">
        <v>0.19047619047619047</v>
      </c>
      <c r="AF28" s="21" t="s">
        <v>47</v>
      </c>
      <c r="AG28" s="21">
        <v>4.7088100000000001E-2</v>
      </c>
      <c r="AH28" s="21" t="s">
        <v>288</v>
      </c>
      <c r="AI28" s="21">
        <v>2.3425999999999999E-2</v>
      </c>
      <c r="AJ28" s="33">
        <v>0.19047619047619047</v>
      </c>
      <c r="AL28" s="16"/>
      <c r="AN28" s="16"/>
      <c r="AP28" s="11" t="s">
        <v>2</v>
      </c>
      <c r="AQ28" s="12">
        <f>VLOOKUP(LOWER(AS26),experiments_specs!$A:$J,3,FALSE)</f>
        <v>1</v>
      </c>
      <c r="AR28" s="15" t="s">
        <v>96</v>
      </c>
      <c r="AS28" s="5" t="s">
        <v>19</v>
      </c>
      <c r="AT28" s="17" t="s">
        <v>354</v>
      </c>
      <c r="AU28" s="17">
        <v>0.1180562</v>
      </c>
      <c r="AV28" s="17" t="s">
        <v>288</v>
      </c>
      <c r="AW28" s="17">
        <v>2.03704E-2</v>
      </c>
      <c r="AX28" s="30">
        <v>0.19047619047619047</v>
      </c>
      <c r="AY28" s="21" t="s">
        <v>47</v>
      </c>
      <c r="AZ28" s="21">
        <v>4.7088100000000001E-2</v>
      </c>
      <c r="BA28" s="21" t="s">
        <v>288</v>
      </c>
      <c r="BB28" s="21">
        <v>2.12964E-2</v>
      </c>
      <c r="BC28" s="33">
        <v>0.19047619047619047</v>
      </c>
      <c r="BE28" s="16"/>
    </row>
    <row r="29" spans="2:57" ht="34" x14ac:dyDescent="0.2">
      <c r="B29" s="16"/>
      <c r="D29" s="11" t="s">
        <v>3</v>
      </c>
      <c r="E29" s="12">
        <f>VLOOKUP(LOWER(G26),experiments_specs!$A:$J,4,FALSE)</f>
        <v>2</v>
      </c>
      <c r="F29" s="15" t="s">
        <v>84</v>
      </c>
      <c r="G29" s="6" t="s">
        <v>12</v>
      </c>
      <c r="H29" s="18" t="s">
        <v>251</v>
      </c>
      <c r="I29" s="18">
        <v>0.1190982</v>
      </c>
      <c r="J29" s="18" t="s">
        <v>236</v>
      </c>
      <c r="K29" s="18">
        <v>3.3928000000000001E-3</v>
      </c>
      <c r="L29" s="31">
        <v>0.125</v>
      </c>
      <c r="M29" s="22" t="s">
        <v>235</v>
      </c>
      <c r="N29" s="22">
        <v>0</v>
      </c>
      <c r="O29" s="22" t="s">
        <v>236</v>
      </c>
      <c r="P29" s="22">
        <v>6.4762999999999999E-3</v>
      </c>
      <c r="Q29" s="34">
        <v>0.125</v>
      </c>
      <c r="S29" s="16"/>
      <c r="U29" s="16"/>
      <c r="W29" s="11" t="s">
        <v>3</v>
      </c>
      <c r="X29" s="12">
        <f>VLOOKUP(LOWER(Z26),experiments_specs!$A:$J,4,FALSE)</f>
        <v>2</v>
      </c>
      <c r="Y29" s="15" t="s">
        <v>90</v>
      </c>
      <c r="Z29" s="6" t="s">
        <v>12</v>
      </c>
      <c r="AA29" s="18" t="s">
        <v>22</v>
      </c>
      <c r="AB29" s="18">
        <v>0.1102635</v>
      </c>
      <c r="AC29" s="18" t="s">
        <v>23</v>
      </c>
      <c r="AD29" s="18">
        <v>2.3063199999999999E-2</v>
      </c>
      <c r="AE29" s="31">
        <v>0.42857142857142855</v>
      </c>
      <c r="AF29" s="23" t="s">
        <v>390</v>
      </c>
      <c r="AG29" s="23" t="s">
        <v>392</v>
      </c>
      <c r="AH29" s="23" t="s">
        <v>394</v>
      </c>
      <c r="AI29" s="23" t="s">
        <v>405</v>
      </c>
      <c r="AJ29" s="34">
        <v>0.46153846153846156</v>
      </c>
      <c r="AL29" s="16"/>
      <c r="AN29" s="16"/>
      <c r="AP29" s="11" t="s">
        <v>3</v>
      </c>
      <c r="AQ29" s="12">
        <f>VLOOKUP(LOWER(AS26),experiments_specs!$A:$J,4,FALSE)</f>
        <v>2</v>
      </c>
      <c r="AR29" s="15" t="s">
        <v>96</v>
      </c>
      <c r="AS29" s="6" t="s">
        <v>12</v>
      </c>
      <c r="AT29" s="18" t="s">
        <v>22</v>
      </c>
      <c r="AU29" s="18">
        <v>0.1102635</v>
      </c>
      <c r="AV29" s="18" t="s">
        <v>23</v>
      </c>
      <c r="AW29" s="18">
        <v>3.0082500000000002E-2</v>
      </c>
      <c r="AX29" s="31">
        <v>0.42857142857142855</v>
      </c>
      <c r="AY29" s="23" t="s">
        <v>390</v>
      </c>
      <c r="AZ29" s="23" t="s">
        <v>392</v>
      </c>
      <c r="BA29" s="23" t="s">
        <v>394</v>
      </c>
      <c r="BB29" s="23" t="s">
        <v>415</v>
      </c>
      <c r="BC29" s="34">
        <v>0.46153846153846156</v>
      </c>
      <c r="BE29" s="16"/>
    </row>
    <row r="30" spans="2:57" x14ac:dyDescent="0.2">
      <c r="B30" s="16"/>
      <c r="D30" s="11" t="s">
        <v>4</v>
      </c>
      <c r="E30" s="12" t="str">
        <f>VLOOKUP(LOWER(G26),experiments_specs!$A:$J,5,FALSE)</f>
        <v>False</v>
      </c>
      <c r="F30" s="15" t="s">
        <v>84</v>
      </c>
      <c r="G30" s="6" t="s">
        <v>13</v>
      </c>
      <c r="H30" s="19" t="s">
        <v>199</v>
      </c>
      <c r="I30" s="19">
        <v>0.18057870000000001</v>
      </c>
      <c r="J30" s="19" t="s">
        <v>200</v>
      </c>
      <c r="K30" s="19">
        <v>6.9245000000000001E-3</v>
      </c>
      <c r="L30" s="31" t="s">
        <v>25</v>
      </c>
      <c r="M30" s="22" t="s">
        <v>201</v>
      </c>
      <c r="N30" s="22">
        <v>0</v>
      </c>
      <c r="O30" s="22" t="s">
        <v>200</v>
      </c>
      <c r="P30" s="22">
        <v>7.6854000000000002E-3</v>
      </c>
      <c r="Q30" s="34" t="s">
        <v>25</v>
      </c>
      <c r="S30" s="16"/>
      <c r="U30" s="16"/>
      <c r="W30" s="11" t="s">
        <v>4</v>
      </c>
      <c r="X30" s="12" t="str">
        <f>VLOOKUP(LOWER(Z26),experiments_specs!$A:$J,5,FALSE)</f>
        <v>True</v>
      </c>
      <c r="Y30" s="15" t="s">
        <v>90</v>
      </c>
      <c r="Z30" s="6" t="s">
        <v>13</v>
      </c>
      <c r="AA30" s="19" t="s">
        <v>32</v>
      </c>
      <c r="AB30" s="19">
        <v>0.10425719999999999</v>
      </c>
      <c r="AC30" s="19" t="s">
        <v>398</v>
      </c>
      <c r="AD30" s="19">
        <v>2.5795599999999998E-2</v>
      </c>
      <c r="AE30" s="31">
        <v>0.4</v>
      </c>
      <c r="AF30" s="22" t="s">
        <v>34</v>
      </c>
      <c r="AG30" s="22">
        <v>0</v>
      </c>
      <c r="AH30" s="22" t="s">
        <v>35</v>
      </c>
      <c r="AI30" s="22">
        <v>2.3151100000000001E-2</v>
      </c>
      <c r="AJ30" s="34" t="s">
        <v>25</v>
      </c>
      <c r="AL30" s="16"/>
      <c r="AN30" s="16"/>
      <c r="AP30" s="11" t="s">
        <v>4</v>
      </c>
      <c r="AQ30" s="12" t="str">
        <f>VLOOKUP(LOWER(AS26),experiments_specs!$A:$J,5,FALSE)</f>
        <v>True</v>
      </c>
      <c r="AR30" s="15" t="s">
        <v>96</v>
      </c>
      <c r="AS30" s="6" t="s">
        <v>13</v>
      </c>
      <c r="AT30" s="19" t="s">
        <v>326</v>
      </c>
      <c r="AU30" s="19">
        <v>0.10425719999999999</v>
      </c>
      <c r="AV30" s="19" t="s">
        <v>327</v>
      </c>
      <c r="AW30" s="19">
        <v>2.5420999999999999E-2</v>
      </c>
      <c r="AX30" s="31" t="s">
        <v>25</v>
      </c>
      <c r="AY30" s="22" t="s">
        <v>417</v>
      </c>
      <c r="AZ30" s="22">
        <v>0</v>
      </c>
      <c r="BA30" s="22" t="s">
        <v>327</v>
      </c>
      <c r="BB30" s="22">
        <v>2.5420999999999999E-2</v>
      </c>
      <c r="BC30" s="34" t="s">
        <v>25</v>
      </c>
      <c r="BE30" s="16"/>
    </row>
    <row r="31" spans="2:57" ht="34" x14ac:dyDescent="0.2">
      <c r="B31" s="16"/>
      <c r="D31" s="11" t="s">
        <v>5</v>
      </c>
      <c r="E31" s="12" t="str">
        <f>VLOOKUP(LOWER(G26),experiments_specs!$A:$J,6,FALSE)</f>
        <v>True</v>
      </c>
      <c r="F31" s="15" t="s">
        <v>84</v>
      </c>
      <c r="G31" s="6" t="s">
        <v>14</v>
      </c>
      <c r="H31" s="19" t="s">
        <v>202</v>
      </c>
      <c r="I31" s="19">
        <v>0.13201959999999999</v>
      </c>
      <c r="J31" s="19" t="s">
        <v>203</v>
      </c>
      <c r="K31" s="19">
        <v>3.6779E-3</v>
      </c>
      <c r="L31" s="31">
        <v>0.14285714285714285</v>
      </c>
      <c r="M31" s="22" t="s">
        <v>204</v>
      </c>
      <c r="N31" s="22">
        <v>0</v>
      </c>
      <c r="O31" s="22" t="s">
        <v>205</v>
      </c>
      <c r="P31" s="22">
        <v>5.7775999999999999E-3</v>
      </c>
      <c r="Q31" s="34">
        <v>0.625</v>
      </c>
      <c r="S31" s="16"/>
      <c r="U31" s="16"/>
      <c r="W31" s="11" t="s">
        <v>5</v>
      </c>
      <c r="X31" s="12" t="str">
        <f>VLOOKUP(LOWER(Z26),experiments_specs!$A:$J,6,FALSE)</f>
        <v>True</v>
      </c>
      <c r="Y31" s="15" t="s">
        <v>90</v>
      </c>
      <c r="Z31" s="6" t="s">
        <v>14</v>
      </c>
      <c r="AA31" s="18" t="s">
        <v>181</v>
      </c>
      <c r="AB31" s="18" t="s">
        <v>399</v>
      </c>
      <c r="AC31" s="18" t="s">
        <v>182</v>
      </c>
      <c r="AD31" s="18" t="s">
        <v>298</v>
      </c>
      <c r="AE31" s="31">
        <v>0.33333333333333331</v>
      </c>
      <c r="AF31" s="23" t="s">
        <v>183</v>
      </c>
      <c r="AG31" s="23" t="s">
        <v>272</v>
      </c>
      <c r="AH31" s="23" t="s">
        <v>182</v>
      </c>
      <c r="AI31" s="23" t="s">
        <v>300</v>
      </c>
      <c r="AJ31" s="34">
        <v>0.33333333333333331</v>
      </c>
      <c r="AL31" s="16"/>
      <c r="AN31" s="16"/>
      <c r="AP31" s="11" t="s">
        <v>5</v>
      </c>
      <c r="AQ31" s="12" t="str">
        <f>VLOOKUP(LOWER(AS26),experiments_specs!$A:$J,6,FALSE)</f>
        <v>True</v>
      </c>
      <c r="AR31" s="15" t="s">
        <v>96</v>
      </c>
      <c r="AS31" s="6" t="s">
        <v>14</v>
      </c>
      <c r="AT31" s="18" t="s">
        <v>181</v>
      </c>
      <c r="AU31" s="18" t="s">
        <v>399</v>
      </c>
      <c r="AV31" s="18" t="s">
        <v>182</v>
      </c>
      <c r="AW31" s="18" t="s">
        <v>298</v>
      </c>
      <c r="AX31" s="31">
        <v>0.33333333333333331</v>
      </c>
      <c r="AY31" s="23" t="s">
        <v>183</v>
      </c>
      <c r="AZ31" s="23" t="s">
        <v>272</v>
      </c>
      <c r="BA31" s="23" t="s">
        <v>182</v>
      </c>
      <c r="BB31" s="23" t="s">
        <v>270</v>
      </c>
      <c r="BC31" s="34">
        <v>0.33333333333333331</v>
      </c>
      <c r="BE31" s="16"/>
    </row>
    <row r="32" spans="2:57" ht="17" x14ac:dyDescent="0.2">
      <c r="B32" s="16"/>
      <c r="D32" s="11" t="s">
        <v>6</v>
      </c>
      <c r="E32" s="12" t="str">
        <f>VLOOKUP(LOWER(G26),experiments_specs!$A:$J,7,FALSE)</f>
        <v>True</v>
      </c>
      <c r="F32" s="15" t="s">
        <v>84</v>
      </c>
      <c r="G32" s="6" t="s">
        <v>15</v>
      </c>
      <c r="H32" s="19" t="s">
        <v>26</v>
      </c>
      <c r="I32" s="19">
        <v>0.18033389999999999</v>
      </c>
      <c r="J32" s="19" t="s">
        <v>27</v>
      </c>
      <c r="K32" s="19">
        <v>2.8655E-3</v>
      </c>
      <c r="L32" s="31">
        <v>0.16666666666666666</v>
      </c>
      <c r="M32" s="23" t="s">
        <v>376</v>
      </c>
      <c r="N32" s="23">
        <v>0</v>
      </c>
      <c r="O32" s="23" t="s">
        <v>377</v>
      </c>
      <c r="P32" s="23">
        <v>1.05349E-2</v>
      </c>
      <c r="Q32" s="34">
        <v>0.2</v>
      </c>
      <c r="S32" s="16"/>
      <c r="U32" s="16"/>
      <c r="W32" s="11" t="s">
        <v>6</v>
      </c>
      <c r="X32" s="12" t="str">
        <f>VLOOKUP(LOWER(Z26),experiments_specs!$A:$J,7,FALSE)</f>
        <v>True</v>
      </c>
      <c r="Y32" s="15" t="s">
        <v>90</v>
      </c>
      <c r="Z32" s="6" t="s">
        <v>15</v>
      </c>
      <c r="AA32" s="19" t="s">
        <v>26</v>
      </c>
      <c r="AB32" s="19">
        <v>0.18033389999999999</v>
      </c>
      <c r="AC32" s="19" t="s">
        <v>27</v>
      </c>
      <c r="AD32" s="19">
        <v>1.5617300000000001E-2</v>
      </c>
      <c r="AE32" s="31">
        <v>0.16666666666666666</v>
      </c>
      <c r="AF32" s="23" t="s">
        <v>365</v>
      </c>
      <c r="AG32" s="23">
        <v>0</v>
      </c>
      <c r="AH32" s="23" t="s">
        <v>26</v>
      </c>
      <c r="AI32" s="23">
        <v>3.7964999999999999E-2</v>
      </c>
      <c r="AJ32" s="34">
        <v>0.18181818181818182</v>
      </c>
      <c r="AL32" s="16"/>
      <c r="AN32" s="16"/>
      <c r="AP32" s="11" t="s">
        <v>6</v>
      </c>
      <c r="AQ32" s="12" t="str">
        <f>VLOOKUP(LOWER(AS26),experiments_specs!$A:$J,7,FALSE)</f>
        <v>True</v>
      </c>
      <c r="AR32" s="15" t="s">
        <v>96</v>
      </c>
      <c r="AS32" s="6" t="s">
        <v>15</v>
      </c>
      <c r="AT32" s="19" t="s">
        <v>26</v>
      </c>
      <c r="AU32" s="19">
        <v>0.18033389999999999</v>
      </c>
      <c r="AV32" s="19" t="s">
        <v>27</v>
      </c>
      <c r="AW32" s="19">
        <v>1.9521699999999999E-2</v>
      </c>
      <c r="AX32" s="31">
        <v>0.16666666666666666</v>
      </c>
      <c r="AY32" s="23" t="s">
        <v>365</v>
      </c>
      <c r="AZ32" s="23">
        <v>0</v>
      </c>
      <c r="BA32" s="23" t="s">
        <v>26</v>
      </c>
      <c r="BB32" s="23">
        <v>4.2431499999999997E-2</v>
      </c>
      <c r="BC32" s="34">
        <v>0.18181818181818182</v>
      </c>
      <c r="BE32" s="16"/>
    </row>
    <row r="33" spans="2:57" ht="34" x14ac:dyDescent="0.2">
      <c r="B33" s="16"/>
      <c r="D33" s="11" t="s">
        <v>7</v>
      </c>
      <c r="E33" s="12" t="str">
        <f>VLOOKUP(LOWER(G26),experiments_specs!$A:$J,8,FALSE)</f>
        <v>False</v>
      </c>
      <c r="F33" s="15" t="s">
        <v>84</v>
      </c>
      <c r="G33" s="6" t="s">
        <v>16</v>
      </c>
      <c r="H33" s="19" t="s">
        <v>208</v>
      </c>
      <c r="I33" s="19">
        <v>0.2041241</v>
      </c>
      <c r="J33" s="19" t="s">
        <v>209</v>
      </c>
      <c r="K33" s="19">
        <v>3.4708999999999999E-3</v>
      </c>
      <c r="L33" s="31">
        <v>0.55555555555555558</v>
      </c>
      <c r="M33" s="23" t="s">
        <v>210</v>
      </c>
      <c r="N33" s="23" t="s">
        <v>366</v>
      </c>
      <c r="O33" s="23" t="s">
        <v>368</v>
      </c>
      <c r="P33" s="23" t="s">
        <v>378</v>
      </c>
      <c r="Q33" s="34">
        <v>0.13333333333333333</v>
      </c>
      <c r="S33" s="16"/>
      <c r="U33" s="16"/>
      <c r="W33" s="11" t="s">
        <v>7</v>
      </c>
      <c r="X33" s="12" t="str">
        <f>VLOOKUP(LOWER(Z26),experiments_specs!$A:$J,8,FALSE)</f>
        <v>False</v>
      </c>
      <c r="Y33" s="15" t="s">
        <v>90</v>
      </c>
      <c r="Z33" s="6" t="s">
        <v>16</v>
      </c>
      <c r="AA33" s="19" t="s">
        <v>39</v>
      </c>
      <c r="AB33" s="19">
        <v>6.4549700000000002E-2</v>
      </c>
      <c r="AC33" s="19" t="s">
        <v>40</v>
      </c>
      <c r="AD33" s="19">
        <v>2.01438E-2</v>
      </c>
      <c r="AE33" s="31">
        <v>0.22222222222222221</v>
      </c>
      <c r="AF33" s="23" t="s">
        <v>41</v>
      </c>
      <c r="AG33" s="23">
        <v>3.60843E-2</v>
      </c>
      <c r="AH33" s="23" t="s">
        <v>40</v>
      </c>
      <c r="AI33" s="23">
        <v>2.01438E-2</v>
      </c>
      <c r="AJ33" s="34">
        <v>0.22222222222222221</v>
      </c>
      <c r="AL33" s="16"/>
      <c r="AN33" s="16"/>
      <c r="AP33" s="11" t="s">
        <v>7</v>
      </c>
      <c r="AQ33" s="12" t="str">
        <f>VLOOKUP(LOWER(AS26),experiments_specs!$A:$J,8,FALSE)</f>
        <v>False</v>
      </c>
      <c r="AR33" s="15" t="s">
        <v>96</v>
      </c>
      <c r="AS33" s="6" t="s">
        <v>16</v>
      </c>
      <c r="AT33" s="19" t="s">
        <v>39</v>
      </c>
      <c r="AU33" s="19">
        <v>6.4549700000000002E-2</v>
      </c>
      <c r="AV33" s="19" t="s">
        <v>40</v>
      </c>
      <c r="AW33" s="19">
        <v>2.1870400000000002E-2</v>
      </c>
      <c r="AX33" s="31">
        <v>0.22222222222222221</v>
      </c>
      <c r="AY33" s="23" t="s">
        <v>41</v>
      </c>
      <c r="AZ33" s="23">
        <v>3.60843E-2</v>
      </c>
      <c r="BA33" s="23" t="s">
        <v>40</v>
      </c>
      <c r="BB33" s="23">
        <v>2.06882E-2</v>
      </c>
      <c r="BC33" s="34">
        <v>0.22222222222222221</v>
      </c>
      <c r="BE33" s="16"/>
    </row>
    <row r="34" spans="2:57" ht="51" x14ac:dyDescent="0.2">
      <c r="B34" s="16"/>
      <c r="D34" s="11" t="s">
        <v>8</v>
      </c>
      <c r="E34" s="12" t="str">
        <f>VLOOKUP(LOWER(G26),experiments_specs!$A:$J,9,FALSE)</f>
        <v>wup_similarity</v>
      </c>
      <c r="F34" s="15" t="s">
        <v>84</v>
      </c>
      <c r="G34" s="6" t="s">
        <v>17</v>
      </c>
      <c r="H34" s="19" t="s">
        <v>218</v>
      </c>
      <c r="I34" s="19">
        <v>0.18898219999999999</v>
      </c>
      <c r="J34" s="19" t="s">
        <v>219</v>
      </c>
      <c r="K34" s="19">
        <v>3.7780000000000001E-3</v>
      </c>
      <c r="L34" s="31">
        <v>0.13333333333333333</v>
      </c>
      <c r="M34" s="22" t="s">
        <v>30</v>
      </c>
      <c r="N34" s="22">
        <v>0.1234426</v>
      </c>
      <c r="O34" s="22" t="s">
        <v>380</v>
      </c>
      <c r="P34" s="22">
        <v>6.2994000000000001E-3</v>
      </c>
      <c r="Q34" s="34">
        <v>0.2</v>
      </c>
      <c r="S34" s="16"/>
      <c r="U34" s="16"/>
      <c r="W34" s="11" t="s">
        <v>8</v>
      </c>
      <c r="X34" s="12" t="str">
        <f>VLOOKUP(LOWER(Z26),experiments_specs!$A:$J,9,FALSE)</f>
        <v>wup_similarity</v>
      </c>
      <c r="Y34" s="15" t="s">
        <v>90</v>
      </c>
      <c r="Z34" s="6" t="s">
        <v>17</v>
      </c>
      <c r="AA34" s="19" t="s">
        <v>30</v>
      </c>
      <c r="AB34" s="19">
        <v>0.1234426</v>
      </c>
      <c r="AC34" s="19" t="s">
        <v>31</v>
      </c>
      <c r="AD34" s="19">
        <v>1.9518000000000001E-2</v>
      </c>
      <c r="AE34" s="31">
        <v>0.22222222222222221</v>
      </c>
      <c r="AF34" s="23" t="s">
        <v>188</v>
      </c>
      <c r="AG34" s="23" t="s">
        <v>401</v>
      </c>
      <c r="AH34" s="23" t="s">
        <v>189</v>
      </c>
      <c r="AI34" s="23" t="s">
        <v>304</v>
      </c>
      <c r="AJ34" s="34">
        <v>0.30769230769230771</v>
      </c>
      <c r="AL34" s="16"/>
      <c r="AN34" s="16"/>
      <c r="AP34" s="11" t="s">
        <v>8</v>
      </c>
      <c r="AQ34" s="12" t="str">
        <f>VLOOKUP(LOWER(AS26),experiments_specs!$A:$J,9,FALSE)</f>
        <v>wup_similarity</v>
      </c>
      <c r="AR34" s="15" t="s">
        <v>96</v>
      </c>
      <c r="AS34" s="6" t="s">
        <v>17</v>
      </c>
      <c r="AT34" s="18" t="s">
        <v>278</v>
      </c>
      <c r="AU34" s="18" t="s">
        <v>280</v>
      </c>
      <c r="AV34" s="18" t="s">
        <v>189</v>
      </c>
      <c r="AW34" s="18" t="s">
        <v>342</v>
      </c>
      <c r="AX34" s="31">
        <v>0.30769230769230771</v>
      </c>
      <c r="AY34" s="23" t="s">
        <v>188</v>
      </c>
      <c r="AZ34" s="23" t="s">
        <v>401</v>
      </c>
      <c r="BA34" s="23" t="s">
        <v>189</v>
      </c>
      <c r="BB34" s="23" t="s">
        <v>342</v>
      </c>
      <c r="BC34" s="34">
        <v>0.30769230769230771</v>
      </c>
      <c r="BE34" s="16"/>
    </row>
    <row r="35" spans="2:57" x14ac:dyDescent="0.2">
      <c r="B35" s="16"/>
      <c r="D35" s="11" t="s">
        <v>9</v>
      </c>
      <c r="E35" s="12" t="str">
        <f>VLOOKUP(LOWER(G26),experiments_specs!$A:$J,10,FALSE)</f>
        <v>False</v>
      </c>
      <c r="F35" s="15" t="s">
        <v>84</v>
      </c>
      <c r="G35" s="7" t="s">
        <v>18</v>
      </c>
      <c r="H35" s="20" t="s">
        <v>222</v>
      </c>
      <c r="I35" s="20">
        <v>9.4631999999999994E-2</v>
      </c>
      <c r="J35" s="20" t="s">
        <v>223</v>
      </c>
      <c r="K35" s="20">
        <v>2.284E-3</v>
      </c>
      <c r="L35" s="32">
        <v>0.21052631578947367</v>
      </c>
      <c r="M35" s="24" t="s">
        <v>227</v>
      </c>
      <c r="N35" s="24">
        <v>0</v>
      </c>
      <c r="O35" s="24" t="s">
        <v>248</v>
      </c>
      <c r="P35" s="24">
        <v>3.2089000000000002E-3</v>
      </c>
      <c r="Q35" s="35">
        <v>0.11764705882352941</v>
      </c>
      <c r="S35" s="16"/>
      <c r="U35" s="16"/>
      <c r="W35" s="11" t="s">
        <v>9</v>
      </c>
      <c r="X35" s="12" t="str">
        <f>VLOOKUP(LOWER(Z26),experiments_specs!$A:$J,10,FALSE)</f>
        <v>False</v>
      </c>
      <c r="Y35" s="15" t="s">
        <v>90</v>
      </c>
      <c r="Z35" s="7" t="s">
        <v>18</v>
      </c>
      <c r="AA35" s="20" t="s">
        <v>44</v>
      </c>
      <c r="AB35" s="20">
        <v>3.5267199999999999E-2</v>
      </c>
      <c r="AC35" s="20" t="s">
        <v>45</v>
      </c>
      <c r="AD35" s="20">
        <v>1.4253099999999999E-2</v>
      </c>
      <c r="AE35" s="32">
        <v>0.21052631578947367</v>
      </c>
      <c r="AF35" s="24" t="s">
        <v>46</v>
      </c>
      <c r="AG35" s="24">
        <v>0</v>
      </c>
      <c r="AH35" s="24" t="s">
        <v>45</v>
      </c>
      <c r="AI35" s="24">
        <v>1.4253099999999999E-2</v>
      </c>
      <c r="AJ35" s="35">
        <v>0.21052631578947367</v>
      </c>
      <c r="AL35" s="16"/>
      <c r="AN35" s="16"/>
      <c r="AP35" s="11" t="s">
        <v>9</v>
      </c>
      <c r="AQ35" s="12" t="str">
        <f>VLOOKUP(LOWER(AS26),experiments_specs!$A:$J,10,FALSE)</f>
        <v>True</v>
      </c>
      <c r="AR35" s="15" t="s">
        <v>96</v>
      </c>
      <c r="AS35" s="7" t="s">
        <v>18</v>
      </c>
      <c r="AT35" s="20" t="s">
        <v>44</v>
      </c>
      <c r="AU35" s="20">
        <v>3.5267199999999999E-2</v>
      </c>
      <c r="AV35" s="20" t="s">
        <v>45</v>
      </c>
      <c r="AW35" s="20">
        <v>1.4577E-2</v>
      </c>
      <c r="AX35" s="32">
        <v>0.21052631578947367</v>
      </c>
      <c r="AY35" s="24" t="s">
        <v>46</v>
      </c>
      <c r="AZ35" s="24">
        <v>0</v>
      </c>
      <c r="BA35" s="24" t="s">
        <v>45</v>
      </c>
      <c r="BB35" s="24">
        <v>1.4577E-2</v>
      </c>
      <c r="BC35" s="35">
        <v>0.21052631578947367</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TEST_22</v>
      </c>
      <c r="H37" s="41" t="s">
        <v>124</v>
      </c>
      <c r="I37" s="41"/>
      <c r="J37" s="41"/>
      <c r="K37" s="41"/>
      <c r="L37" s="41"/>
      <c r="M37" s="42" t="s">
        <v>123</v>
      </c>
      <c r="N37" s="42"/>
      <c r="O37" s="42"/>
      <c r="P37" s="42"/>
      <c r="Q37" s="42"/>
      <c r="R37" s="2"/>
      <c r="S37" s="16"/>
      <c r="U37" s="16"/>
      <c r="W37" s="13" t="s">
        <v>126</v>
      </c>
      <c r="X37" s="14"/>
      <c r="Y37" s="9"/>
      <c r="Z37" s="10" t="str">
        <f>"TEST_"&amp;TEXT(RIGHT(Z26,2)+1, "00")</f>
        <v>TEST_28</v>
      </c>
      <c r="AA37" s="41" t="s">
        <v>124</v>
      </c>
      <c r="AB37" s="41"/>
      <c r="AC37" s="41"/>
      <c r="AD37" s="41"/>
      <c r="AE37" s="41"/>
      <c r="AF37" s="42" t="s">
        <v>123</v>
      </c>
      <c r="AG37" s="42"/>
      <c r="AH37" s="42"/>
      <c r="AI37" s="42"/>
      <c r="AJ37" s="42"/>
      <c r="AK37" s="2"/>
      <c r="AL37" s="16"/>
      <c r="AN37" s="16"/>
      <c r="AP37" s="13" t="s">
        <v>126</v>
      </c>
      <c r="AQ37" s="14"/>
      <c r="AR37" s="9"/>
      <c r="AS37" s="10" t="str">
        <f>"TEST_"&amp;TEXT(RIGHT(AS26,2)+1, "00")</f>
        <v>TEST_34</v>
      </c>
      <c r="AT37" s="41" t="s">
        <v>124</v>
      </c>
      <c r="AU37" s="41"/>
      <c r="AV37" s="41"/>
      <c r="AW37" s="41"/>
      <c r="AX37" s="41"/>
      <c r="AY37" s="42" t="s">
        <v>123</v>
      </c>
      <c r="AZ37" s="42"/>
      <c r="BA37" s="42"/>
      <c r="BB37" s="42"/>
      <c r="BC37" s="42"/>
      <c r="BD37" s="2"/>
      <c r="BE37" s="16"/>
    </row>
    <row r="38" spans="2:57" x14ac:dyDescent="0.2">
      <c r="B38" s="16"/>
      <c r="D38" s="11" t="s">
        <v>1</v>
      </c>
      <c r="E38" s="12" t="str">
        <f>VLOOKUP(LOWER(G37),experiments_specs!$A:$J,2,FALSE)</f>
        <v>NN,VB,VBD,VBG,VBN,VBP,VBZ</v>
      </c>
      <c r="F38" s="15" t="str">
        <f>"{"&amp;LOWER(G37)&amp;".csv}"</f>
        <v>{test_22.csv}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VLOOKUP(LOWER(Z37),experiments_specs!$A:$J,2,FALSE)</f>
        <v>NN,VB,VBD,VBG,VBN,VBP,VBZ</v>
      </c>
      <c r="Y38" s="15" t="str">
        <f>"{"&amp;LOWER(Z37)&amp;".csv}"</f>
        <v>{test_28.csv}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VLOOKUP(LOWER(AS37),experiments_specs!$A:$J,2,FALSE)</f>
        <v>NN,VB,VBD,VBG,VBN,VBP,VBZ</v>
      </c>
      <c r="AR38" s="15" t="str">
        <f>"{"&amp;LOWER(AS37)&amp;".csv}"</f>
        <v>{test_34.csv}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17" x14ac:dyDescent="0.2">
      <c r="B39" s="16"/>
      <c r="D39" s="11" t="s">
        <v>2</v>
      </c>
      <c r="E39" s="12">
        <f>VLOOKUP(LOWER(G37),experiments_specs!$A:$J,3,FALSE)</f>
        <v>1</v>
      </c>
      <c r="F39" s="15" t="s">
        <v>85</v>
      </c>
      <c r="G39" s="5" t="s">
        <v>19</v>
      </c>
      <c r="H39" s="17" t="s">
        <v>354</v>
      </c>
      <c r="I39" s="17">
        <v>0.1180562</v>
      </c>
      <c r="J39" s="17" t="s">
        <v>288</v>
      </c>
      <c r="K39" s="17">
        <v>2.2204E-3</v>
      </c>
      <c r="L39" s="30">
        <v>0.19047619047619047</v>
      </c>
      <c r="M39" s="21" t="s">
        <v>197</v>
      </c>
      <c r="N39" s="21">
        <v>4.5083400000000003E-2</v>
      </c>
      <c r="O39" s="21" t="s">
        <v>198</v>
      </c>
      <c r="P39" s="21">
        <v>4.0708999999999997E-3</v>
      </c>
      <c r="Q39" s="33">
        <v>9.5238095238095233E-2</v>
      </c>
      <c r="S39" s="16"/>
      <c r="U39" s="16"/>
      <c r="W39" s="11" t="s">
        <v>2</v>
      </c>
      <c r="X39" s="12">
        <f>VLOOKUP(LOWER(Z37),experiments_specs!$A:$J,3,FALSE)</f>
        <v>1</v>
      </c>
      <c r="Y39" s="15" t="s">
        <v>91</v>
      </c>
      <c r="Z39" s="5" t="s">
        <v>19</v>
      </c>
      <c r="AA39" s="17" t="s">
        <v>354</v>
      </c>
      <c r="AB39" s="17">
        <v>0.1180562</v>
      </c>
      <c r="AC39" s="17" t="s">
        <v>288</v>
      </c>
      <c r="AD39" s="17">
        <v>1.46412E-2</v>
      </c>
      <c r="AE39" s="30">
        <v>0.19047619047619047</v>
      </c>
      <c r="AF39" s="21" t="s">
        <v>47</v>
      </c>
      <c r="AG39" s="21">
        <v>4.7088100000000001E-2</v>
      </c>
      <c r="AH39" s="21" t="s">
        <v>288</v>
      </c>
      <c r="AI39" s="21">
        <v>1.8740799999999998E-2</v>
      </c>
      <c r="AJ39" s="33">
        <v>0.19047619047619047</v>
      </c>
      <c r="AL39" s="16"/>
      <c r="AN39" s="16"/>
      <c r="AP39" s="11" t="s">
        <v>2</v>
      </c>
      <c r="AQ39" s="12">
        <f>VLOOKUP(LOWER(AS37),experiments_specs!$A:$J,3,FALSE)</f>
        <v>1</v>
      </c>
      <c r="AR39" s="15" t="s">
        <v>97</v>
      </c>
      <c r="AS39" s="5" t="s">
        <v>19</v>
      </c>
      <c r="AT39" s="17" t="s">
        <v>354</v>
      </c>
      <c r="AU39" s="17">
        <v>0.1180562</v>
      </c>
      <c r="AV39" s="17" t="s">
        <v>288</v>
      </c>
      <c r="AW39" s="17">
        <v>2.03704E-2</v>
      </c>
      <c r="AX39" s="30">
        <v>0.19047619047619047</v>
      </c>
      <c r="AY39" s="21" t="s">
        <v>47</v>
      </c>
      <c r="AZ39" s="21">
        <v>4.7088100000000001E-2</v>
      </c>
      <c r="BA39" s="21" t="s">
        <v>288</v>
      </c>
      <c r="BB39" s="21">
        <v>2.12964E-2</v>
      </c>
      <c r="BC39" s="33">
        <v>0.19047619047619047</v>
      </c>
      <c r="BE39" s="16"/>
    </row>
    <row r="40" spans="2:57" ht="34" x14ac:dyDescent="0.2">
      <c r="B40" s="16"/>
      <c r="D40" s="11" t="s">
        <v>3</v>
      </c>
      <c r="E40" s="12">
        <f>VLOOKUP(LOWER(G37),experiments_specs!$A:$J,4,FALSE)</f>
        <v>2</v>
      </c>
      <c r="F40" s="15" t="s">
        <v>85</v>
      </c>
      <c r="G40" s="6" t="s">
        <v>12</v>
      </c>
      <c r="H40" s="18" t="s">
        <v>251</v>
      </c>
      <c r="I40" s="18">
        <v>0.1190982</v>
      </c>
      <c r="J40" s="18" t="s">
        <v>236</v>
      </c>
      <c r="K40" s="18">
        <v>3.212E-3</v>
      </c>
      <c r="L40" s="31">
        <v>0.125</v>
      </c>
      <c r="M40" s="22" t="s">
        <v>235</v>
      </c>
      <c r="N40" s="22">
        <v>0</v>
      </c>
      <c r="O40" s="22" t="s">
        <v>236</v>
      </c>
      <c r="P40" s="22">
        <v>5.8826E-3</v>
      </c>
      <c r="Q40" s="34">
        <v>0.125</v>
      </c>
      <c r="S40" s="16"/>
      <c r="U40" s="16"/>
      <c r="W40" s="11" t="s">
        <v>3</v>
      </c>
      <c r="X40" s="12">
        <f>VLOOKUP(LOWER(Z37),experiments_specs!$A:$J,4,FALSE)</f>
        <v>2</v>
      </c>
      <c r="Y40" s="15" t="s">
        <v>91</v>
      </c>
      <c r="Z40" s="6" t="s">
        <v>12</v>
      </c>
      <c r="AA40" s="18" t="s">
        <v>22</v>
      </c>
      <c r="AB40" s="18">
        <v>0.1102635</v>
      </c>
      <c r="AC40" s="18" t="s">
        <v>23</v>
      </c>
      <c r="AD40" s="18">
        <v>1.9219400000000001E-2</v>
      </c>
      <c r="AE40" s="31">
        <v>0.42857142857142855</v>
      </c>
      <c r="AF40" s="23" t="s">
        <v>390</v>
      </c>
      <c r="AG40" s="23" t="s">
        <v>392</v>
      </c>
      <c r="AH40" s="23" t="s">
        <v>394</v>
      </c>
      <c r="AI40" s="23" t="s">
        <v>407</v>
      </c>
      <c r="AJ40" s="34">
        <v>0.46153846153846156</v>
      </c>
      <c r="AL40" s="16"/>
      <c r="AN40" s="16"/>
      <c r="AP40" s="11" t="s">
        <v>3</v>
      </c>
      <c r="AQ40" s="12">
        <f>VLOOKUP(LOWER(AS37),experiments_specs!$A:$J,4,FALSE)</f>
        <v>2</v>
      </c>
      <c r="AR40" s="15" t="s">
        <v>97</v>
      </c>
      <c r="AS40" s="6" t="s">
        <v>12</v>
      </c>
      <c r="AT40" s="18" t="s">
        <v>22</v>
      </c>
      <c r="AU40" s="18">
        <v>0.1102635</v>
      </c>
      <c r="AV40" s="18" t="s">
        <v>23</v>
      </c>
      <c r="AW40" s="18">
        <v>2.76759E-2</v>
      </c>
      <c r="AX40" s="31">
        <v>0.42857142857142855</v>
      </c>
      <c r="AY40" s="23" t="s">
        <v>390</v>
      </c>
      <c r="AZ40" s="23" t="s">
        <v>392</v>
      </c>
      <c r="BA40" s="23" t="s">
        <v>394</v>
      </c>
      <c r="BB40" s="23" t="s">
        <v>418</v>
      </c>
      <c r="BC40" s="34">
        <v>0.46153846153846156</v>
      </c>
      <c r="BE40" s="16"/>
    </row>
    <row r="41" spans="2:57" x14ac:dyDescent="0.2">
      <c r="B41" s="16"/>
      <c r="D41" s="11" t="s">
        <v>4</v>
      </c>
      <c r="E41" s="12" t="str">
        <f>VLOOKUP(LOWER(G37),experiments_specs!$A:$J,5,FALSE)</f>
        <v>False</v>
      </c>
      <c r="F41" s="15" t="s">
        <v>85</v>
      </c>
      <c r="G41" s="6" t="s">
        <v>13</v>
      </c>
      <c r="H41" s="19" t="s">
        <v>199</v>
      </c>
      <c r="I41" s="19">
        <v>0.18057870000000001</v>
      </c>
      <c r="J41" s="19" t="s">
        <v>200</v>
      </c>
      <c r="K41" s="19">
        <v>6.0552000000000002E-3</v>
      </c>
      <c r="L41" s="31" t="s">
        <v>25</v>
      </c>
      <c r="M41" s="22" t="s">
        <v>201</v>
      </c>
      <c r="N41" s="22">
        <v>0</v>
      </c>
      <c r="O41" s="22" t="s">
        <v>200</v>
      </c>
      <c r="P41" s="22">
        <v>6.9588999999999996E-3</v>
      </c>
      <c r="Q41" s="34" t="s">
        <v>25</v>
      </c>
      <c r="S41" s="16"/>
      <c r="U41" s="16"/>
      <c r="W41" s="11" t="s">
        <v>4</v>
      </c>
      <c r="X41" s="12" t="str">
        <f>VLOOKUP(LOWER(Z37),experiments_specs!$A:$J,5,FALSE)</f>
        <v>True</v>
      </c>
      <c r="Y41" s="15" t="s">
        <v>91</v>
      </c>
      <c r="Z41" s="6" t="s">
        <v>13</v>
      </c>
      <c r="AA41" s="19" t="s">
        <v>32</v>
      </c>
      <c r="AB41" s="19">
        <v>0.10425719999999999</v>
      </c>
      <c r="AC41" s="19" t="s">
        <v>398</v>
      </c>
      <c r="AD41" s="19">
        <v>2.2401399999999998E-2</v>
      </c>
      <c r="AE41" s="31">
        <v>0.4</v>
      </c>
      <c r="AF41" s="22" t="s">
        <v>34</v>
      </c>
      <c r="AG41" s="22">
        <v>0</v>
      </c>
      <c r="AH41" s="22" t="s">
        <v>35</v>
      </c>
      <c r="AI41" s="22">
        <v>2.14974E-2</v>
      </c>
      <c r="AJ41" s="34" t="s">
        <v>25</v>
      </c>
      <c r="AL41" s="16"/>
      <c r="AN41" s="16"/>
      <c r="AP41" s="11" t="s">
        <v>4</v>
      </c>
      <c r="AQ41" s="12" t="str">
        <f>VLOOKUP(LOWER(AS37),experiments_specs!$A:$J,5,FALSE)</f>
        <v>True</v>
      </c>
      <c r="AR41" s="15" t="s">
        <v>97</v>
      </c>
      <c r="AS41" s="6" t="s">
        <v>13</v>
      </c>
      <c r="AT41" s="19" t="s">
        <v>326</v>
      </c>
      <c r="AU41" s="19">
        <v>0.10425719999999999</v>
      </c>
      <c r="AV41" s="19" t="s">
        <v>327</v>
      </c>
      <c r="AW41" s="19">
        <v>2.4573600000000001E-2</v>
      </c>
      <c r="AX41" s="31" t="s">
        <v>25</v>
      </c>
      <c r="AY41" s="22" t="s">
        <v>417</v>
      </c>
      <c r="AZ41" s="22">
        <v>0</v>
      </c>
      <c r="BA41" s="22" t="s">
        <v>327</v>
      </c>
      <c r="BB41" s="22">
        <v>2.4573600000000001E-2</v>
      </c>
      <c r="BC41" s="34" t="s">
        <v>25</v>
      </c>
      <c r="BE41" s="16"/>
    </row>
    <row r="42" spans="2:57" ht="34" x14ac:dyDescent="0.2">
      <c r="B42" s="16"/>
      <c r="D42" s="11" t="s">
        <v>5</v>
      </c>
      <c r="E42" s="12" t="str">
        <f>VLOOKUP(LOWER(G37),experiments_specs!$A:$J,6,FALSE)</f>
        <v>True</v>
      </c>
      <c r="F42" s="15" t="s">
        <v>85</v>
      </c>
      <c r="G42" s="6" t="s">
        <v>14</v>
      </c>
      <c r="H42" s="19" t="s">
        <v>381</v>
      </c>
      <c r="I42" s="19">
        <v>0.1290994</v>
      </c>
      <c r="J42" s="19" t="s">
        <v>382</v>
      </c>
      <c r="K42" s="19">
        <v>2.8861E-3</v>
      </c>
      <c r="L42" s="31">
        <v>0.625</v>
      </c>
      <c r="M42" s="22" t="s">
        <v>204</v>
      </c>
      <c r="N42" s="22">
        <v>0</v>
      </c>
      <c r="O42" s="22" t="s">
        <v>205</v>
      </c>
      <c r="P42" s="22">
        <v>5.2413E-3</v>
      </c>
      <c r="Q42" s="34">
        <v>0.625</v>
      </c>
      <c r="S42" s="16"/>
      <c r="U42" s="16"/>
      <c r="W42" s="11" t="s">
        <v>5</v>
      </c>
      <c r="X42" s="12" t="str">
        <f>VLOOKUP(LOWER(Z37),experiments_specs!$A:$J,6,FALSE)</f>
        <v>True</v>
      </c>
      <c r="Y42" s="15" t="s">
        <v>91</v>
      </c>
      <c r="Z42" s="6" t="s">
        <v>14</v>
      </c>
      <c r="AA42" s="18" t="s">
        <v>181</v>
      </c>
      <c r="AB42" s="18" t="s">
        <v>399</v>
      </c>
      <c r="AC42" s="18" t="s">
        <v>182</v>
      </c>
      <c r="AD42" s="18" t="s">
        <v>308</v>
      </c>
      <c r="AE42" s="31">
        <v>0.33333333333333331</v>
      </c>
      <c r="AF42" s="23" t="s">
        <v>183</v>
      </c>
      <c r="AG42" s="23" t="s">
        <v>272</v>
      </c>
      <c r="AH42" s="23" t="s">
        <v>182</v>
      </c>
      <c r="AI42" s="23" t="s">
        <v>310</v>
      </c>
      <c r="AJ42" s="34">
        <v>0.33333333333333331</v>
      </c>
      <c r="AL42" s="16"/>
      <c r="AN42" s="16"/>
      <c r="AP42" s="11" t="s">
        <v>5</v>
      </c>
      <c r="AQ42" s="12" t="str">
        <f>VLOOKUP(LOWER(AS37),experiments_specs!$A:$J,6,FALSE)</f>
        <v>True</v>
      </c>
      <c r="AR42" s="15" t="s">
        <v>97</v>
      </c>
      <c r="AS42" s="6" t="s">
        <v>14</v>
      </c>
      <c r="AT42" s="18" t="s">
        <v>181</v>
      </c>
      <c r="AU42" s="18" t="s">
        <v>399</v>
      </c>
      <c r="AV42" s="18" t="s">
        <v>182</v>
      </c>
      <c r="AW42" s="18" t="s">
        <v>310</v>
      </c>
      <c r="AX42" s="31">
        <v>0.33333333333333331</v>
      </c>
      <c r="AY42" s="23" t="s">
        <v>183</v>
      </c>
      <c r="AZ42" s="23" t="s">
        <v>272</v>
      </c>
      <c r="BA42" s="23" t="s">
        <v>182</v>
      </c>
      <c r="BB42" s="23" t="s">
        <v>346</v>
      </c>
      <c r="BC42" s="34">
        <v>0.33333333333333331</v>
      </c>
      <c r="BE42" s="16"/>
    </row>
    <row r="43" spans="2:57" ht="17" x14ac:dyDescent="0.2">
      <c r="B43" s="16"/>
      <c r="D43" s="11" t="s">
        <v>6</v>
      </c>
      <c r="E43" s="12" t="str">
        <f>VLOOKUP(LOWER(G37),experiments_specs!$A:$J,7,FALSE)</f>
        <v>True</v>
      </c>
      <c r="F43" s="15" t="s">
        <v>85</v>
      </c>
      <c r="G43" s="6" t="s">
        <v>15</v>
      </c>
      <c r="H43" s="19" t="s">
        <v>237</v>
      </c>
      <c r="I43" s="19">
        <v>7.3621000000000006E-2</v>
      </c>
      <c r="J43" s="19" t="s">
        <v>238</v>
      </c>
      <c r="K43" s="19">
        <v>2.758E-3</v>
      </c>
      <c r="L43" s="31">
        <v>0.2</v>
      </c>
      <c r="M43" s="23" t="s">
        <v>383</v>
      </c>
      <c r="N43" s="23">
        <v>0</v>
      </c>
      <c r="O43" s="23" t="s">
        <v>384</v>
      </c>
      <c r="P43" s="23">
        <v>1.1587699999999999E-2</v>
      </c>
      <c r="Q43" s="34">
        <v>0.22222222222222221</v>
      </c>
      <c r="S43" s="16"/>
      <c r="U43" s="16"/>
      <c r="W43" s="11" t="s">
        <v>6</v>
      </c>
      <c r="X43" s="12" t="str">
        <f>VLOOKUP(LOWER(Z37),experiments_specs!$A:$J,7,FALSE)</f>
        <v>True</v>
      </c>
      <c r="Y43" s="15" t="s">
        <v>91</v>
      </c>
      <c r="Z43" s="6" t="s">
        <v>15</v>
      </c>
      <c r="AA43" s="19" t="s">
        <v>409</v>
      </c>
      <c r="AB43" s="19">
        <v>3.9043399999999999E-2</v>
      </c>
      <c r="AC43" s="19" t="s">
        <v>410</v>
      </c>
      <c r="AD43" s="19">
        <v>1.23401E-2</v>
      </c>
      <c r="AE43" s="31">
        <v>0.22222222222222221</v>
      </c>
      <c r="AF43" s="23" t="s">
        <v>365</v>
      </c>
      <c r="AG43" s="23">
        <v>0</v>
      </c>
      <c r="AH43" s="23" t="s">
        <v>26</v>
      </c>
      <c r="AI43" s="23">
        <v>2.8853400000000001E-2</v>
      </c>
      <c r="AJ43" s="34">
        <v>0.18181818181818182</v>
      </c>
      <c r="AL43" s="16"/>
      <c r="AN43" s="16"/>
      <c r="AP43" s="11" t="s">
        <v>6</v>
      </c>
      <c r="AQ43" s="12" t="str">
        <f>VLOOKUP(LOWER(AS37),experiments_specs!$A:$J,7,FALSE)</f>
        <v>True</v>
      </c>
      <c r="AR43" s="15" t="s">
        <v>97</v>
      </c>
      <c r="AS43" s="6" t="s">
        <v>15</v>
      </c>
      <c r="AT43" s="19" t="s">
        <v>26</v>
      </c>
      <c r="AU43" s="19">
        <v>0.18033389999999999</v>
      </c>
      <c r="AV43" s="19" t="s">
        <v>27</v>
      </c>
      <c r="AW43" s="19">
        <v>1.7352599999999999E-2</v>
      </c>
      <c r="AX43" s="31">
        <v>0.16666666666666666</v>
      </c>
      <c r="AY43" s="23" t="s">
        <v>365</v>
      </c>
      <c r="AZ43" s="23">
        <v>0</v>
      </c>
      <c r="BA43" s="23" t="s">
        <v>26</v>
      </c>
      <c r="BB43" s="23">
        <v>3.7964999999999999E-2</v>
      </c>
      <c r="BC43" s="34">
        <v>0.18181818181818182</v>
      </c>
      <c r="BE43" s="16"/>
    </row>
    <row r="44" spans="2:57" ht="17" x14ac:dyDescent="0.2">
      <c r="B44" s="16"/>
      <c r="D44" s="11" t="s">
        <v>7</v>
      </c>
      <c r="E44" s="12" t="str">
        <f>VLOOKUP(LOWER(G37),experiments_specs!$A:$J,8,FALSE)</f>
        <v>False</v>
      </c>
      <c r="F44" s="15" t="s">
        <v>85</v>
      </c>
      <c r="G44" s="6" t="s">
        <v>16</v>
      </c>
      <c r="H44" s="19" t="s">
        <v>208</v>
      </c>
      <c r="I44" s="19">
        <v>0.2041241</v>
      </c>
      <c r="J44" s="19" t="s">
        <v>209</v>
      </c>
      <c r="K44" s="19">
        <v>3.2967000000000001E-3</v>
      </c>
      <c r="L44" s="31">
        <v>0.55555555555555558</v>
      </c>
      <c r="M44" s="23" t="s">
        <v>227</v>
      </c>
      <c r="N44" s="23">
        <v>3.5007000000000003E-2</v>
      </c>
      <c r="O44" s="23" t="s">
        <v>385</v>
      </c>
      <c r="P44" s="23">
        <v>4.2849999999999997E-3</v>
      </c>
      <c r="Q44" s="34">
        <v>0.15384615384615385</v>
      </c>
      <c r="S44" s="16"/>
      <c r="U44" s="16"/>
      <c r="W44" s="11" t="s">
        <v>7</v>
      </c>
      <c r="X44" s="12" t="str">
        <f>VLOOKUP(LOWER(Z37),experiments_specs!$A:$J,8,FALSE)</f>
        <v>False</v>
      </c>
      <c r="Y44" s="15" t="s">
        <v>91</v>
      </c>
      <c r="Z44" s="6" t="s">
        <v>16</v>
      </c>
      <c r="AA44" s="19" t="s">
        <v>39</v>
      </c>
      <c r="AB44" s="19">
        <v>6.4549700000000002E-2</v>
      </c>
      <c r="AC44" s="19" t="s">
        <v>40</v>
      </c>
      <c r="AD44" s="19">
        <v>1.91366E-2</v>
      </c>
      <c r="AE44" s="31">
        <v>0.22222222222222221</v>
      </c>
      <c r="AF44" s="23" t="s">
        <v>41</v>
      </c>
      <c r="AG44" s="23">
        <v>3.60843E-2</v>
      </c>
      <c r="AH44" s="23" t="s">
        <v>40</v>
      </c>
      <c r="AI44" s="23">
        <v>1.99686E-2</v>
      </c>
      <c r="AJ44" s="34">
        <v>0.22222222222222221</v>
      </c>
      <c r="AL44" s="16"/>
      <c r="AN44" s="16"/>
      <c r="AP44" s="11" t="s">
        <v>7</v>
      </c>
      <c r="AQ44" s="12" t="str">
        <f>VLOOKUP(LOWER(AS37),experiments_specs!$A:$J,8,FALSE)</f>
        <v>False</v>
      </c>
      <c r="AR44" s="15" t="s">
        <v>97</v>
      </c>
      <c r="AS44" s="6" t="s">
        <v>16</v>
      </c>
      <c r="AT44" s="19" t="s">
        <v>39</v>
      </c>
      <c r="AU44" s="19">
        <v>6.4549700000000002E-2</v>
      </c>
      <c r="AV44" s="19" t="s">
        <v>40</v>
      </c>
      <c r="AW44" s="19">
        <v>2.55155E-2</v>
      </c>
      <c r="AX44" s="31">
        <v>0.22222222222222221</v>
      </c>
      <c r="AY44" s="23" t="s">
        <v>41</v>
      </c>
      <c r="AZ44" s="23">
        <v>3.60843E-2</v>
      </c>
      <c r="BA44" s="23" t="s">
        <v>40</v>
      </c>
      <c r="BB44" s="23">
        <v>2.41725E-2</v>
      </c>
      <c r="BC44" s="34">
        <v>0.22222222222222221</v>
      </c>
      <c r="BE44" s="16"/>
    </row>
    <row r="45" spans="2:57" ht="51" x14ac:dyDescent="0.2">
      <c r="B45" s="16"/>
      <c r="D45" s="11" t="s">
        <v>8</v>
      </c>
      <c r="E45" s="12" t="str">
        <f>VLOOKUP(LOWER(G37),experiments_specs!$A:$J,9,FALSE)</f>
        <v>wup_similarity</v>
      </c>
      <c r="F45" s="15" t="s">
        <v>85</v>
      </c>
      <c r="G45" s="6" t="s">
        <v>17</v>
      </c>
      <c r="H45" s="19" t="s">
        <v>386</v>
      </c>
      <c r="I45" s="19">
        <v>4.6524200000000002E-2</v>
      </c>
      <c r="J45" s="19" t="s">
        <v>387</v>
      </c>
      <c r="K45" s="19">
        <v>2.6592E-3</v>
      </c>
      <c r="L45" s="31">
        <v>0.22222222222222221</v>
      </c>
      <c r="M45" s="22" t="s">
        <v>30</v>
      </c>
      <c r="N45" s="22">
        <v>0.1234426</v>
      </c>
      <c r="O45" s="22" t="s">
        <v>380</v>
      </c>
      <c r="P45" s="22">
        <v>1.25988E-2</v>
      </c>
      <c r="Q45" s="34">
        <v>0.2</v>
      </c>
      <c r="S45" s="16"/>
      <c r="U45" s="16"/>
      <c r="W45" s="11" t="s">
        <v>8</v>
      </c>
      <c r="X45" s="12" t="str">
        <f>VLOOKUP(LOWER(Z37),experiments_specs!$A:$J,9,FALSE)</f>
        <v>wup_similarity</v>
      </c>
      <c r="Y45" s="15" t="s">
        <v>91</v>
      </c>
      <c r="Z45" s="6" t="s">
        <v>17</v>
      </c>
      <c r="AA45" s="19" t="s">
        <v>30</v>
      </c>
      <c r="AB45" s="19">
        <v>0.1234426</v>
      </c>
      <c r="AC45" s="19" t="s">
        <v>31</v>
      </c>
      <c r="AD45" s="19">
        <v>2.2179500000000001E-2</v>
      </c>
      <c r="AE45" s="31">
        <v>0.22222222222222221</v>
      </c>
      <c r="AF45" s="22" t="s">
        <v>30</v>
      </c>
      <c r="AG45" s="22">
        <v>0.1234426</v>
      </c>
      <c r="AH45" s="22" t="s">
        <v>380</v>
      </c>
      <c r="AI45" s="22">
        <v>2.65238E-2</v>
      </c>
      <c r="AJ45" s="34">
        <v>0.2</v>
      </c>
      <c r="AL45" s="16"/>
      <c r="AN45" s="16"/>
      <c r="AP45" s="11" t="s">
        <v>8</v>
      </c>
      <c r="AQ45" s="12" t="str">
        <f>VLOOKUP(LOWER(AS37),experiments_specs!$A:$J,9,FALSE)</f>
        <v>wup_similarity</v>
      </c>
      <c r="AR45" s="15" t="s">
        <v>97</v>
      </c>
      <c r="AS45" s="6" t="s">
        <v>17</v>
      </c>
      <c r="AT45" s="18" t="s">
        <v>278</v>
      </c>
      <c r="AU45" s="18" t="s">
        <v>280</v>
      </c>
      <c r="AV45" s="18" t="s">
        <v>189</v>
      </c>
      <c r="AW45" s="18" t="s">
        <v>294</v>
      </c>
      <c r="AX45" s="31">
        <v>0.30769230769230771</v>
      </c>
      <c r="AY45" s="23" t="s">
        <v>188</v>
      </c>
      <c r="AZ45" s="23" t="s">
        <v>401</v>
      </c>
      <c r="BA45" s="23" t="s">
        <v>189</v>
      </c>
      <c r="BB45" s="23" t="s">
        <v>294</v>
      </c>
      <c r="BC45" s="34">
        <v>0.30769230769230771</v>
      </c>
      <c r="BE45" s="16"/>
    </row>
    <row r="46" spans="2:57" x14ac:dyDescent="0.2">
      <c r="B46" s="16"/>
      <c r="D46" s="11" t="s">
        <v>9</v>
      </c>
      <c r="E46" s="12" t="str">
        <f>VLOOKUP(LOWER(G37),experiments_specs!$A:$J,10,FALSE)</f>
        <v>False</v>
      </c>
      <c r="F46" s="15" t="s">
        <v>85</v>
      </c>
      <c r="G46" s="7" t="s">
        <v>18</v>
      </c>
      <c r="H46" s="20" t="s">
        <v>222</v>
      </c>
      <c r="I46" s="20">
        <v>9.4631999999999994E-2</v>
      </c>
      <c r="J46" s="20" t="s">
        <v>223</v>
      </c>
      <c r="K46" s="20">
        <v>1.5208999999999999E-3</v>
      </c>
      <c r="L46" s="32">
        <v>0.21052631578947367</v>
      </c>
      <c r="M46" s="24" t="s">
        <v>388</v>
      </c>
      <c r="N46" s="24">
        <v>3.6835399999999997E-2</v>
      </c>
      <c r="O46" s="24" t="s">
        <v>389</v>
      </c>
      <c r="P46" s="24">
        <v>2.9377000000000001E-3</v>
      </c>
      <c r="Q46" s="35">
        <v>0.125</v>
      </c>
      <c r="S46" s="16"/>
      <c r="U46" s="16"/>
      <c r="W46" s="11" t="s">
        <v>9</v>
      </c>
      <c r="X46" s="12" t="str">
        <f>VLOOKUP(LOWER(Z37),experiments_specs!$A:$J,10,FALSE)</f>
        <v>False</v>
      </c>
      <c r="Y46" s="15" t="s">
        <v>91</v>
      </c>
      <c r="Z46" s="7" t="s">
        <v>18</v>
      </c>
      <c r="AA46" s="20" t="s">
        <v>44</v>
      </c>
      <c r="AB46" s="20">
        <v>3.5267199999999999E-2</v>
      </c>
      <c r="AC46" s="20" t="s">
        <v>45</v>
      </c>
      <c r="AD46" s="20">
        <v>1.00217E-2</v>
      </c>
      <c r="AE46" s="32">
        <v>0.21052631578947367</v>
      </c>
      <c r="AF46" s="24" t="s">
        <v>46</v>
      </c>
      <c r="AG46" s="24">
        <v>0</v>
      </c>
      <c r="AH46" s="24" t="s">
        <v>45</v>
      </c>
      <c r="AI46" s="24">
        <v>1.1661599999999999E-2</v>
      </c>
      <c r="AJ46" s="35">
        <v>0.21052631578947367</v>
      </c>
      <c r="AL46" s="16"/>
      <c r="AN46" s="16"/>
      <c r="AP46" s="11" t="s">
        <v>9</v>
      </c>
      <c r="AQ46" s="12" t="str">
        <f>VLOOKUP(LOWER(AS37),experiments_specs!$A:$J,10,FALSE)</f>
        <v>True</v>
      </c>
      <c r="AR46" s="15" t="s">
        <v>97</v>
      </c>
      <c r="AS46" s="7" t="s">
        <v>18</v>
      </c>
      <c r="AT46" s="20" t="s">
        <v>44</v>
      </c>
      <c r="AU46" s="20">
        <v>3.5267199999999999E-2</v>
      </c>
      <c r="AV46" s="20" t="s">
        <v>45</v>
      </c>
      <c r="AW46" s="20">
        <v>1.3362199999999999E-2</v>
      </c>
      <c r="AX46" s="32">
        <v>0.21052631578947367</v>
      </c>
      <c r="AY46" s="24" t="s">
        <v>46</v>
      </c>
      <c r="AZ46" s="24">
        <v>0</v>
      </c>
      <c r="BA46" s="24" t="s">
        <v>45</v>
      </c>
      <c r="BB46" s="24">
        <v>1.3646500000000001E-2</v>
      </c>
      <c r="BC46" s="35">
        <v>0.21052631578947367</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TEST_23</v>
      </c>
      <c r="H48" s="41" t="s">
        <v>124</v>
      </c>
      <c r="I48" s="41"/>
      <c r="J48" s="41"/>
      <c r="K48" s="41"/>
      <c r="L48" s="41"/>
      <c r="M48" s="42" t="s">
        <v>123</v>
      </c>
      <c r="N48" s="42"/>
      <c r="O48" s="42"/>
      <c r="P48" s="42"/>
      <c r="Q48" s="42"/>
      <c r="R48" s="2"/>
      <c r="S48" s="16"/>
      <c r="U48" s="16"/>
      <c r="W48" s="13" t="s">
        <v>126</v>
      </c>
      <c r="X48" s="14"/>
      <c r="Y48" s="9"/>
      <c r="Z48" s="10" t="str">
        <f>"TEST_"&amp;TEXT(RIGHT(Z37,2)+1, "00")</f>
        <v>TEST_29</v>
      </c>
      <c r="AA48" s="41" t="s">
        <v>124</v>
      </c>
      <c r="AB48" s="41"/>
      <c r="AC48" s="41"/>
      <c r="AD48" s="41"/>
      <c r="AE48" s="41"/>
      <c r="AF48" s="42" t="s">
        <v>123</v>
      </c>
      <c r="AG48" s="42"/>
      <c r="AH48" s="42"/>
      <c r="AI48" s="42"/>
      <c r="AJ48" s="42"/>
      <c r="AK48" s="2"/>
      <c r="AL48" s="16"/>
      <c r="AN48" s="16"/>
      <c r="AP48" s="13" t="s">
        <v>126</v>
      </c>
      <c r="AQ48" s="14"/>
      <c r="AR48" s="9"/>
      <c r="AS48" s="10" t="str">
        <f>"TEST_"&amp;TEXT(RIGHT(AS37,2)+1, "00")</f>
        <v>TEST_35</v>
      </c>
      <c r="AT48" s="41" t="s">
        <v>124</v>
      </c>
      <c r="AU48" s="41"/>
      <c r="AV48" s="41"/>
      <c r="AW48" s="41"/>
      <c r="AX48" s="41"/>
      <c r="AY48" s="42" t="s">
        <v>123</v>
      </c>
      <c r="AZ48" s="42"/>
      <c r="BA48" s="42"/>
      <c r="BB48" s="42"/>
      <c r="BC48" s="42"/>
      <c r="BD48" s="2"/>
      <c r="BE48" s="16"/>
    </row>
    <row r="49" spans="2:57" x14ac:dyDescent="0.2">
      <c r="B49" s="16"/>
      <c r="D49" s="11" t="s">
        <v>1</v>
      </c>
      <c r="E49" s="12" t="str">
        <f>VLOOKUP(LOWER(G48),experiments_specs!$A:$J,2,FALSE)</f>
        <v>NN,RB</v>
      </c>
      <c r="F49" s="15" t="str">
        <f>"{"&amp;LOWER(G48)&amp;".csv}"</f>
        <v>{test_23.csv}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VLOOKUP(LOWER(Z48),experiments_specs!$A:$J,2,FALSE)</f>
        <v>NN,RB</v>
      </c>
      <c r="Y49" s="15" t="str">
        <f>"{"&amp;LOWER(Z48)&amp;".csv}"</f>
        <v>{test_29.csv}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VLOOKUP(LOWER(AS48),experiments_specs!$A:$J,2,FALSE)</f>
        <v>NN,RB</v>
      </c>
      <c r="AR49" s="15" t="str">
        <f>"{"&amp;LOWER(AS48)&amp;".csv}"</f>
        <v>{test_35.csv}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17" x14ac:dyDescent="0.2">
      <c r="B50" s="16"/>
      <c r="D50" s="11" t="s">
        <v>2</v>
      </c>
      <c r="E50" s="12">
        <f>VLOOKUP(LOWER(G48),experiments_specs!$A:$J,3,FALSE)</f>
        <v>1</v>
      </c>
      <c r="F50" s="15" t="s">
        <v>86</v>
      </c>
      <c r="G50" s="5" t="s">
        <v>19</v>
      </c>
      <c r="H50" s="17" t="s">
        <v>354</v>
      </c>
      <c r="I50" s="17">
        <v>0.1180562</v>
      </c>
      <c r="J50" s="17" t="s">
        <v>288</v>
      </c>
      <c r="K50" s="17">
        <v>3.4705000000000001E-3</v>
      </c>
      <c r="L50" s="30">
        <v>0.19047619047619047</v>
      </c>
      <c r="M50" s="21" t="s">
        <v>197</v>
      </c>
      <c r="N50" s="21">
        <v>4.5083400000000003E-2</v>
      </c>
      <c r="O50" s="21" t="s">
        <v>198</v>
      </c>
      <c r="P50" s="21">
        <v>4.3544999999999999E-3</v>
      </c>
      <c r="Q50" s="33">
        <v>9.5238095238095233E-2</v>
      </c>
      <c r="S50" s="16"/>
      <c r="U50" s="16"/>
      <c r="W50" s="11" t="s">
        <v>2</v>
      </c>
      <c r="X50" s="12">
        <f>VLOOKUP(LOWER(Z48),experiments_specs!$A:$J,3,FALSE)</f>
        <v>1</v>
      </c>
      <c r="Y50" s="15" t="s">
        <v>92</v>
      </c>
      <c r="Z50" s="5" t="s">
        <v>19</v>
      </c>
      <c r="AA50" s="17" t="s">
        <v>354</v>
      </c>
      <c r="AB50" s="17">
        <v>0.1180562</v>
      </c>
      <c r="AC50" s="17" t="s">
        <v>288</v>
      </c>
      <c r="AD50" s="17">
        <v>1.9521699999999999E-2</v>
      </c>
      <c r="AE50" s="30">
        <v>0.19047619047619047</v>
      </c>
      <c r="AF50" s="21" t="s">
        <v>47</v>
      </c>
      <c r="AG50" s="21">
        <v>4.7088100000000001E-2</v>
      </c>
      <c r="AH50" s="21" t="s">
        <v>288</v>
      </c>
      <c r="AI50" s="21">
        <v>2.4659E-2</v>
      </c>
      <c r="AJ50" s="33">
        <v>0.19047619047619047</v>
      </c>
      <c r="AL50" s="16"/>
      <c r="AN50" s="16"/>
      <c r="AP50" s="11" t="s">
        <v>2</v>
      </c>
      <c r="AQ50" s="12">
        <f>VLOOKUP(LOWER(AS48),experiments_specs!$A:$J,3,FALSE)</f>
        <v>1</v>
      </c>
      <c r="AR50" s="15" t="s">
        <v>98</v>
      </c>
      <c r="AS50" s="5" t="s">
        <v>19</v>
      </c>
      <c r="AT50" s="17" t="s">
        <v>354</v>
      </c>
      <c r="AU50" s="17">
        <v>0.1180562</v>
      </c>
      <c r="AV50" s="17" t="s">
        <v>288</v>
      </c>
      <c r="AW50" s="17">
        <v>2.12964E-2</v>
      </c>
      <c r="AX50" s="30">
        <v>0.19047619047619047</v>
      </c>
      <c r="AY50" s="21" t="s">
        <v>47</v>
      </c>
      <c r="AZ50" s="21">
        <v>4.7088100000000001E-2</v>
      </c>
      <c r="BA50" s="21" t="s">
        <v>288</v>
      </c>
      <c r="BB50" s="21">
        <v>2.23105E-2</v>
      </c>
      <c r="BC50" s="33">
        <v>0.19047619047619047</v>
      </c>
      <c r="BE50" s="16"/>
    </row>
    <row r="51" spans="2:57" ht="34" x14ac:dyDescent="0.2">
      <c r="B51" s="16"/>
      <c r="D51" s="11" t="s">
        <v>3</v>
      </c>
      <c r="E51" s="12">
        <f>VLOOKUP(LOWER(G48),experiments_specs!$A:$J,4,FALSE)</f>
        <v>2</v>
      </c>
      <c r="F51" s="15" t="s">
        <v>86</v>
      </c>
      <c r="G51" s="6" t="s">
        <v>12</v>
      </c>
      <c r="H51" s="18" t="s">
        <v>355</v>
      </c>
      <c r="I51" s="18" t="s">
        <v>357</v>
      </c>
      <c r="J51" s="18" t="s">
        <v>359</v>
      </c>
      <c r="K51" s="18" t="s">
        <v>361</v>
      </c>
      <c r="L51" s="31">
        <v>0.42857142857142855</v>
      </c>
      <c r="M51" s="22" t="s">
        <v>363</v>
      </c>
      <c r="N51" s="22">
        <v>9.2253100000000005E-2</v>
      </c>
      <c r="O51" s="22" t="s">
        <v>364</v>
      </c>
      <c r="P51" s="22">
        <v>8.6651999999999996E-3</v>
      </c>
      <c r="Q51" s="34">
        <v>0.2857142857142857</v>
      </c>
      <c r="S51" s="16"/>
      <c r="U51" s="16"/>
      <c r="W51" s="11" t="s">
        <v>3</v>
      </c>
      <c r="X51" s="12">
        <f>VLOOKUP(LOWER(Z48),experiments_specs!$A:$J,4,FALSE)</f>
        <v>2</v>
      </c>
      <c r="Y51" s="15" t="s">
        <v>92</v>
      </c>
      <c r="Z51" s="6" t="s">
        <v>12</v>
      </c>
      <c r="AA51" s="18" t="s">
        <v>22</v>
      </c>
      <c r="AB51" s="18">
        <v>0.1102635</v>
      </c>
      <c r="AC51" s="18" t="s">
        <v>23</v>
      </c>
      <c r="AD51" s="18">
        <v>3.8438800000000002E-2</v>
      </c>
      <c r="AE51" s="31">
        <v>0.42857142857142855</v>
      </c>
      <c r="AF51" s="23" t="s">
        <v>390</v>
      </c>
      <c r="AG51" s="23" t="s">
        <v>392</v>
      </c>
      <c r="AH51" s="23" t="s">
        <v>394</v>
      </c>
      <c r="AI51" s="23" t="s">
        <v>396</v>
      </c>
      <c r="AJ51" s="34">
        <v>0.46153846153846156</v>
      </c>
      <c r="AL51" s="16"/>
      <c r="AN51" s="16"/>
      <c r="AP51" s="11" t="s">
        <v>3</v>
      </c>
      <c r="AQ51" s="12">
        <f>VLOOKUP(LOWER(AS48),experiments_specs!$A:$J,4,FALSE)</f>
        <v>2</v>
      </c>
      <c r="AR51" s="15" t="s">
        <v>98</v>
      </c>
      <c r="AS51" s="6" t="s">
        <v>12</v>
      </c>
      <c r="AT51" s="18" t="s">
        <v>22</v>
      </c>
      <c r="AU51" s="18">
        <v>0.1102635</v>
      </c>
      <c r="AV51" s="18" t="s">
        <v>23</v>
      </c>
      <c r="AW51" s="18">
        <v>3.8438800000000002E-2</v>
      </c>
      <c r="AX51" s="31">
        <v>0.42857142857142855</v>
      </c>
      <c r="AY51" s="23" t="s">
        <v>390</v>
      </c>
      <c r="AZ51" s="23" t="s">
        <v>392</v>
      </c>
      <c r="BA51" s="23" t="s">
        <v>394</v>
      </c>
      <c r="BB51" s="23" t="s">
        <v>396</v>
      </c>
      <c r="BC51" s="34">
        <v>0.46153846153846156</v>
      </c>
      <c r="BE51" s="16"/>
    </row>
    <row r="52" spans="2:57" x14ac:dyDescent="0.2">
      <c r="B52" s="16"/>
      <c r="D52" s="11" t="s">
        <v>4</v>
      </c>
      <c r="E52" s="12" t="str">
        <f>VLOOKUP(LOWER(G48),experiments_specs!$A:$J,5,FALSE)</f>
        <v>False</v>
      </c>
      <c r="F52" s="15" t="s">
        <v>86</v>
      </c>
      <c r="G52" s="6" t="s">
        <v>13</v>
      </c>
      <c r="H52" s="19" t="s">
        <v>199</v>
      </c>
      <c r="I52" s="19">
        <v>0.18057870000000001</v>
      </c>
      <c r="J52" s="19" t="s">
        <v>200</v>
      </c>
      <c r="K52" s="19">
        <v>8.7422000000000003E-3</v>
      </c>
      <c r="L52" s="31" t="s">
        <v>25</v>
      </c>
      <c r="M52" s="22" t="s">
        <v>201</v>
      </c>
      <c r="N52" s="22">
        <v>0</v>
      </c>
      <c r="O52" s="22" t="s">
        <v>200</v>
      </c>
      <c r="P52" s="22">
        <v>9.2478999999999999E-3</v>
      </c>
      <c r="Q52" s="34" t="s">
        <v>25</v>
      </c>
      <c r="S52" s="16"/>
      <c r="U52" s="16"/>
      <c r="W52" s="11" t="s">
        <v>4</v>
      </c>
      <c r="X52" s="12" t="str">
        <f>VLOOKUP(LOWER(Z48),experiments_specs!$A:$J,5,FALSE)</f>
        <v>True</v>
      </c>
      <c r="Y52" s="15" t="s">
        <v>92</v>
      </c>
      <c r="Z52" s="6" t="s">
        <v>13</v>
      </c>
      <c r="AA52" s="19" t="s">
        <v>32</v>
      </c>
      <c r="AB52" s="19">
        <v>0.10425719999999999</v>
      </c>
      <c r="AC52" s="19" t="s">
        <v>398</v>
      </c>
      <c r="AD52" s="19">
        <v>2.83752E-2</v>
      </c>
      <c r="AE52" s="31">
        <v>0.4</v>
      </c>
      <c r="AF52" s="22" t="s">
        <v>34</v>
      </c>
      <c r="AG52" s="22">
        <v>0</v>
      </c>
      <c r="AH52" s="22" t="s">
        <v>35</v>
      </c>
      <c r="AI52" s="22">
        <v>3.0096399999999999E-2</v>
      </c>
      <c r="AJ52" s="34" t="s">
        <v>25</v>
      </c>
      <c r="AL52" s="16"/>
      <c r="AN52" s="16"/>
      <c r="AP52" s="11" t="s">
        <v>4</v>
      </c>
      <c r="AQ52" s="12" t="str">
        <f>VLOOKUP(LOWER(AS48),experiments_specs!$A:$J,5,FALSE)</f>
        <v>True</v>
      </c>
      <c r="AR52" s="15" t="s">
        <v>98</v>
      </c>
      <c r="AS52" s="6" t="s">
        <v>13</v>
      </c>
      <c r="AT52" s="19" t="s">
        <v>326</v>
      </c>
      <c r="AU52" s="19">
        <v>0.10425719999999999</v>
      </c>
      <c r="AV52" s="19" t="s">
        <v>327</v>
      </c>
      <c r="AW52" s="19">
        <v>2.4573600000000001E-2</v>
      </c>
      <c r="AX52" s="31" t="s">
        <v>25</v>
      </c>
      <c r="AY52" s="22" t="s">
        <v>34</v>
      </c>
      <c r="AZ52" s="22">
        <v>0</v>
      </c>
      <c r="BA52" s="22" t="s">
        <v>35</v>
      </c>
      <c r="BB52" s="22">
        <v>2.50803E-2</v>
      </c>
      <c r="BC52" s="34" t="s">
        <v>25</v>
      </c>
      <c r="BE52" s="16"/>
    </row>
    <row r="53" spans="2:57" ht="34" x14ac:dyDescent="0.2">
      <c r="B53" s="16"/>
      <c r="D53" s="11" t="s">
        <v>5</v>
      </c>
      <c r="E53" s="12" t="str">
        <f>VLOOKUP(LOWER(G48),experiments_specs!$A:$J,6,FALSE)</f>
        <v>True</v>
      </c>
      <c r="F53" s="15" t="s">
        <v>86</v>
      </c>
      <c r="G53" s="6" t="s">
        <v>14</v>
      </c>
      <c r="H53" s="19" t="s">
        <v>202</v>
      </c>
      <c r="I53" s="19">
        <v>0.13201959999999999</v>
      </c>
      <c r="J53" s="19" t="s">
        <v>203</v>
      </c>
      <c r="K53" s="19">
        <v>4.0987999999999997E-3</v>
      </c>
      <c r="L53" s="31">
        <v>0.14285714285714285</v>
      </c>
      <c r="M53" s="22" t="s">
        <v>204</v>
      </c>
      <c r="N53" s="22">
        <v>0</v>
      </c>
      <c r="O53" s="22" t="s">
        <v>205</v>
      </c>
      <c r="P53" s="22">
        <v>6.6150000000000002E-3</v>
      </c>
      <c r="Q53" s="34">
        <v>0.625</v>
      </c>
      <c r="S53" s="16"/>
      <c r="U53" s="16"/>
      <c r="W53" s="11" t="s">
        <v>5</v>
      </c>
      <c r="X53" s="12" t="str">
        <f>VLOOKUP(LOWER(Z48),experiments_specs!$A:$J,6,FALSE)</f>
        <v>True</v>
      </c>
      <c r="Y53" s="15" t="s">
        <v>92</v>
      </c>
      <c r="Z53" s="6" t="s">
        <v>14</v>
      </c>
      <c r="AA53" s="18" t="s">
        <v>181</v>
      </c>
      <c r="AB53" s="18" t="s">
        <v>399</v>
      </c>
      <c r="AC53" s="18" t="s">
        <v>182</v>
      </c>
      <c r="AD53" s="18" t="s">
        <v>316</v>
      </c>
      <c r="AE53" s="31">
        <v>0.33333333333333331</v>
      </c>
      <c r="AF53" s="23" t="s">
        <v>183</v>
      </c>
      <c r="AG53" s="23" t="s">
        <v>272</v>
      </c>
      <c r="AH53" s="23" t="s">
        <v>182</v>
      </c>
      <c r="AI53" s="23" t="s">
        <v>274</v>
      </c>
      <c r="AJ53" s="34">
        <v>0.33333333333333331</v>
      </c>
      <c r="AL53" s="16"/>
      <c r="AN53" s="16"/>
      <c r="AP53" s="11" t="s">
        <v>5</v>
      </c>
      <c r="AQ53" s="12" t="str">
        <f>VLOOKUP(LOWER(AS48),experiments_specs!$A:$J,6,FALSE)</f>
        <v>True</v>
      </c>
      <c r="AR53" s="15" t="s">
        <v>98</v>
      </c>
      <c r="AS53" s="6" t="s">
        <v>14</v>
      </c>
      <c r="AT53" s="18" t="s">
        <v>181</v>
      </c>
      <c r="AU53" s="18" t="s">
        <v>399</v>
      </c>
      <c r="AV53" s="18" t="s">
        <v>182</v>
      </c>
      <c r="AW53" s="18" t="s">
        <v>270</v>
      </c>
      <c r="AX53" s="31">
        <v>0.33333333333333331</v>
      </c>
      <c r="AY53" s="23" t="s">
        <v>183</v>
      </c>
      <c r="AZ53" s="23" t="s">
        <v>272</v>
      </c>
      <c r="BA53" s="23" t="s">
        <v>182</v>
      </c>
      <c r="BB53" s="23" t="s">
        <v>291</v>
      </c>
      <c r="BC53" s="34">
        <v>0.33333333333333331</v>
      </c>
      <c r="BE53" s="16"/>
    </row>
    <row r="54" spans="2:57" ht="17" x14ac:dyDescent="0.2">
      <c r="B54" s="16"/>
      <c r="D54" s="11" t="s">
        <v>6</v>
      </c>
      <c r="E54" s="12" t="str">
        <f>VLOOKUP(LOWER(G48),experiments_specs!$A:$J,7,FALSE)</f>
        <v>True</v>
      </c>
      <c r="F54" s="15" t="s">
        <v>86</v>
      </c>
      <c r="G54" s="6" t="s">
        <v>15</v>
      </c>
      <c r="H54" s="19" t="s">
        <v>26</v>
      </c>
      <c r="I54" s="19">
        <v>0.18033389999999999</v>
      </c>
      <c r="J54" s="19" t="s">
        <v>27</v>
      </c>
      <c r="K54" s="19">
        <v>3.8800000000000002E-3</v>
      </c>
      <c r="L54" s="31">
        <v>0.16666666666666666</v>
      </c>
      <c r="M54" s="23" t="s">
        <v>365</v>
      </c>
      <c r="N54" s="23">
        <v>0</v>
      </c>
      <c r="O54" s="23" t="s">
        <v>26</v>
      </c>
      <c r="P54" s="23">
        <v>1.10974E-2</v>
      </c>
      <c r="Q54" s="34">
        <v>0.18181818181818182</v>
      </c>
      <c r="S54" s="16"/>
      <c r="U54" s="16"/>
      <c r="W54" s="11" t="s">
        <v>6</v>
      </c>
      <c r="X54" s="12" t="str">
        <f>VLOOKUP(LOWER(Z48),experiments_specs!$A:$J,7,FALSE)</f>
        <v>True</v>
      </c>
      <c r="Y54" s="15" t="s">
        <v>92</v>
      </c>
      <c r="Z54" s="6" t="s">
        <v>15</v>
      </c>
      <c r="AA54" s="19" t="s">
        <v>26</v>
      </c>
      <c r="AB54" s="19">
        <v>0.18033389999999999</v>
      </c>
      <c r="AC54" s="19" t="s">
        <v>27</v>
      </c>
      <c r="AD54" s="19">
        <v>2.0823100000000001E-2</v>
      </c>
      <c r="AE54" s="31">
        <v>0.16666666666666666</v>
      </c>
      <c r="AF54" s="23" t="s">
        <v>365</v>
      </c>
      <c r="AG54" s="23">
        <v>0</v>
      </c>
      <c r="AH54" s="23" t="s">
        <v>26</v>
      </c>
      <c r="AI54" s="23">
        <v>4.5083400000000003E-2</v>
      </c>
      <c r="AJ54" s="34">
        <v>0.18181818181818182</v>
      </c>
      <c r="AL54" s="16"/>
      <c r="AN54" s="16"/>
      <c r="AP54" s="11" t="s">
        <v>6</v>
      </c>
      <c r="AQ54" s="12" t="str">
        <f>VLOOKUP(LOWER(AS48),experiments_specs!$A:$J,7,FALSE)</f>
        <v>True</v>
      </c>
      <c r="AR54" s="15" t="s">
        <v>98</v>
      </c>
      <c r="AS54" s="6" t="s">
        <v>15</v>
      </c>
      <c r="AT54" s="19" t="s">
        <v>26</v>
      </c>
      <c r="AU54" s="19">
        <v>0.18033389999999999</v>
      </c>
      <c r="AV54" s="19" t="s">
        <v>27</v>
      </c>
      <c r="AW54" s="19">
        <v>2.23105E-2</v>
      </c>
      <c r="AX54" s="31">
        <v>0.16666666666666666</v>
      </c>
      <c r="AY54" s="23" t="s">
        <v>365</v>
      </c>
      <c r="AZ54" s="23">
        <v>0</v>
      </c>
      <c r="BA54" s="23" t="s">
        <v>26</v>
      </c>
      <c r="BB54" s="23">
        <v>4.8089E-2</v>
      </c>
      <c r="BC54" s="34">
        <v>0.18181818181818182</v>
      </c>
      <c r="BE54" s="16"/>
    </row>
    <row r="55" spans="2:57" ht="34" x14ac:dyDescent="0.2">
      <c r="B55" s="16"/>
      <c r="D55" s="11" t="s">
        <v>7</v>
      </c>
      <c r="E55" s="12" t="str">
        <f>VLOOKUP(LOWER(G48),experiments_specs!$A:$J,8,FALSE)</f>
        <v>False</v>
      </c>
      <c r="F55" s="15" t="s">
        <v>86</v>
      </c>
      <c r="G55" s="6" t="s">
        <v>16</v>
      </c>
      <c r="H55" s="19" t="s">
        <v>208</v>
      </c>
      <c r="I55" s="19">
        <v>0.2041241</v>
      </c>
      <c r="J55" s="19" t="s">
        <v>209</v>
      </c>
      <c r="K55" s="19">
        <v>3.6392E-3</v>
      </c>
      <c r="L55" s="31">
        <v>0.55555555555555558</v>
      </c>
      <c r="M55" s="23" t="s">
        <v>210</v>
      </c>
      <c r="N55" s="23" t="s">
        <v>366</v>
      </c>
      <c r="O55" s="23" t="s">
        <v>368</v>
      </c>
      <c r="P55" s="23" t="s">
        <v>370</v>
      </c>
      <c r="Q55" s="34">
        <v>0.13333333333333333</v>
      </c>
      <c r="S55" s="16"/>
      <c r="U55" s="16"/>
      <c r="W55" s="11" t="s">
        <v>7</v>
      </c>
      <c r="X55" s="12" t="str">
        <f>VLOOKUP(LOWER(Z48),experiments_specs!$A:$J,8,FALSE)</f>
        <v>False</v>
      </c>
      <c r="Y55" s="15" t="s">
        <v>92</v>
      </c>
      <c r="Z55" s="6" t="s">
        <v>16</v>
      </c>
      <c r="AA55" s="19" t="s">
        <v>39</v>
      </c>
      <c r="AB55" s="19">
        <v>6.4549700000000002E-2</v>
      </c>
      <c r="AC55" s="19" t="s">
        <v>40</v>
      </c>
      <c r="AD55" s="19">
        <v>1.7496299999999999E-2</v>
      </c>
      <c r="AE55" s="31">
        <v>0.22222222222222221</v>
      </c>
      <c r="AF55" s="23" t="s">
        <v>41</v>
      </c>
      <c r="AG55" s="23">
        <v>3.60843E-2</v>
      </c>
      <c r="AH55" s="23" t="s">
        <v>40</v>
      </c>
      <c r="AI55" s="23">
        <v>1.8556699999999999E-2</v>
      </c>
      <c r="AJ55" s="34">
        <v>0.22222222222222221</v>
      </c>
      <c r="AL55" s="16"/>
      <c r="AN55" s="16"/>
      <c r="AP55" s="11" t="s">
        <v>7</v>
      </c>
      <c r="AQ55" s="12" t="str">
        <f>VLOOKUP(LOWER(AS48),experiments_specs!$A:$J,8,FALSE)</f>
        <v>False</v>
      </c>
      <c r="AR55" s="15" t="s">
        <v>98</v>
      </c>
      <c r="AS55" s="6" t="s">
        <v>16</v>
      </c>
      <c r="AT55" s="19" t="s">
        <v>39</v>
      </c>
      <c r="AU55" s="19">
        <v>6.4549700000000002E-2</v>
      </c>
      <c r="AV55" s="19" t="s">
        <v>40</v>
      </c>
      <c r="AW55" s="19">
        <v>1.9753900000000001E-2</v>
      </c>
      <c r="AX55" s="31">
        <v>0.22222222222222221</v>
      </c>
      <c r="AY55" s="23" t="s">
        <v>41</v>
      </c>
      <c r="AZ55" s="23">
        <v>3.60843E-2</v>
      </c>
      <c r="BA55" s="23" t="s">
        <v>40</v>
      </c>
      <c r="BB55" s="23">
        <v>1.8556699999999999E-2</v>
      </c>
      <c r="BC55" s="34">
        <v>0.22222222222222221</v>
      </c>
      <c r="BE55" s="16"/>
    </row>
    <row r="56" spans="2:57" ht="51" x14ac:dyDescent="0.2">
      <c r="B56" s="16"/>
      <c r="D56" s="11" t="s">
        <v>8</v>
      </c>
      <c r="E56" s="12" t="str">
        <f>VLOOKUP(LOWER(G48),experiments_specs!$A:$J,9,FALSE)</f>
        <v>wup_similarity</v>
      </c>
      <c r="F56" s="15" t="s">
        <v>86</v>
      </c>
      <c r="G56" s="6" t="s">
        <v>17</v>
      </c>
      <c r="H56" s="19" t="s">
        <v>218</v>
      </c>
      <c r="I56" s="19">
        <v>0.18898219999999999</v>
      </c>
      <c r="J56" s="19" t="s">
        <v>219</v>
      </c>
      <c r="K56" s="19">
        <v>2.9120999999999999E-3</v>
      </c>
      <c r="L56" s="31">
        <v>0.13333333333333333</v>
      </c>
      <c r="M56" s="22" t="s">
        <v>220</v>
      </c>
      <c r="N56" s="22">
        <v>7.7151600000000001E-2</v>
      </c>
      <c r="O56" s="22" t="s">
        <v>221</v>
      </c>
      <c r="P56" s="22">
        <v>5.6293999999999997E-3</v>
      </c>
      <c r="Q56" s="34">
        <v>0.33333333333333331</v>
      </c>
      <c r="S56" s="16"/>
      <c r="U56" s="16"/>
      <c r="W56" s="11" t="s">
        <v>8</v>
      </c>
      <c r="X56" s="12" t="str">
        <f>VLOOKUP(LOWER(Z48),experiments_specs!$A:$J,9,FALSE)</f>
        <v>wup_similarity</v>
      </c>
      <c r="Y56" s="15" t="s">
        <v>92</v>
      </c>
      <c r="Z56" s="6" t="s">
        <v>17</v>
      </c>
      <c r="AA56" s="18" t="s">
        <v>278</v>
      </c>
      <c r="AB56" s="18" t="s">
        <v>280</v>
      </c>
      <c r="AC56" s="18" t="s">
        <v>189</v>
      </c>
      <c r="AD56" s="18" t="s">
        <v>320</v>
      </c>
      <c r="AE56" s="31">
        <v>0.30769230769230771</v>
      </c>
      <c r="AF56" s="23" t="s">
        <v>188</v>
      </c>
      <c r="AG56" s="23" t="s">
        <v>401</v>
      </c>
      <c r="AH56" s="23" t="s">
        <v>189</v>
      </c>
      <c r="AI56" s="23" t="s">
        <v>286</v>
      </c>
      <c r="AJ56" s="34">
        <v>0.30769230769230771</v>
      </c>
      <c r="AL56" s="16"/>
      <c r="AN56" s="16"/>
      <c r="AP56" s="11" t="s">
        <v>8</v>
      </c>
      <c r="AQ56" s="12" t="str">
        <f>VLOOKUP(LOWER(AS48),experiments_specs!$A:$J,9,FALSE)</f>
        <v>wup_similarity</v>
      </c>
      <c r="AR56" s="15" t="s">
        <v>98</v>
      </c>
      <c r="AS56" s="6" t="s">
        <v>17</v>
      </c>
      <c r="AT56" s="18" t="s">
        <v>278</v>
      </c>
      <c r="AU56" s="18" t="s">
        <v>280</v>
      </c>
      <c r="AV56" s="18" t="s">
        <v>189</v>
      </c>
      <c r="AW56" s="18" t="s">
        <v>286</v>
      </c>
      <c r="AX56" s="31">
        <v>0.30769230769230771</v>
      </c>
      <c r="AY56" s="23" t="s">
        <v>188</v>
      </c>
      <c r="AZ56" s="23" t="s">
        <v>401</v>
      </c>
      <c r="BA56" s="23" t="s">
        <v>189</v>
      </c>
      <c r="BB56" s="23" t="s">
        <v>286</v>
      </c>
      <c r="BC56" s="34">
        <v>0.30769230769230771</v>
      </c>
      <c r="BE56" s="16"/>
    </row>
    <row r="57" spans="2:57" x14ac:dyDescent="0.2">
      <c r="B57" s="16"/>
      <c r="D57" s="11" t="s">
        <v>9</v>
      </c>
      <c r="E57" s="12" t="str">
        <f>VLOOKUP(LOWER(G48),experiments_specs!$A:$J,10,FALSE)</f>
        <v>False</v>
      </c>
      <c r="F57" s="15" t="s">
        <v>86</v>
      </c>
      <c r="G57" s="7" t="s">
        <v>18</v>
      </c>
      <c r="H57" s="20" t="s">
        <v>222</v>
      </c>
      <c r="I57" s="20">
        <v>9.4631999999999994E-2</v>
      </c>
      <c r="J57" s="20" t="s">
        <v>223</v>
      </c>
      <c r="K57" s="20">
        <v>2.8111E-3</v>
      </c>
      <c r="L57" s="32">
        <v>0.21052631578947367</v>
      </c>
      <c r="M57" s="24" t="s">
        <v>224</v>
      </c>
      <c r="N57" s="24">
        <v>7.7266699999999994E-2</v>
      </c>
      <c r="O57" s="24" t="s">
        <v>223</v>
      </c>
      <c r="P57" s="24">
        <v>3.4145E-3</v>
      </c>
      <c r="Q57" s="35">
        <v>0.21052631578947367</v>
      </c>
      <c r="S57" s="16"/>
      <c r="U57" s="16"/>
      <c r="W57" s="11" t="s">
        <v>9</v>
      </c>
      <c r="X57" s="12" t="str">
        <f>VLOOKUP(LOWER(Z48),experiments_specs!$A:$J,10,FALSE)</f>
        <v>False</v>
      </c>
      <c r="Y57" s="15" t="s">
        <v>92</v>
      </c>
      <c r="Z57" s="7" t="s">
        <v>18</v>
      </c>
      <c r="AA57" s="20" t="s">
        <v>44</v>
      </c>
      <c r="AB57" s="20">
        <v>3.5267199999999999E-2</v>
      </c>
      <c r="AC57" s="20" t="s">
        <v>45</v>
      </c>
      <c r="AD57" s="20">
        <v>1.5643600000000001E-2</v>
      </c>
      <c r="AE57" s="32">
        <v>0.21052631578947367</v>
      </c>
      <c r="AF57" s="24" t="s">
        <v>46</v>
      </c>
      <c r="AG57" s="24">
        <v>0</v>
      </c>
      <c r="AH57" s="24" t="s">
        <v>45</v>
      </c>
      <c r="AI57" s="24">
        <v>1.8864300000000001E-2</v>
      </c>
      <c r="AJ57" s="35">
        <v>0.21052631578947367</v>
      </c>
      <c r="AL57" s="16"/>
      <c r="AN57" s="16"/>
      <c r="AP57" s="11" t="s">
        <v>9</v>
      </c>
      <c r="AQ57" s="12" t="str">
        <f>VLOOKUP(LOWER(AS48),experiments_specs!$A:$J,10,FALSE)</f>
        <v>True</v>
      </c>
      <c r="AR57" s="15" t="s">
        <v>98</v>
      </c>
      <c r="AS57" s="7" t="s">
        <v>18</v>
      </c>
      <c r="AT57" s="20" t="s">
        <v>44</v>
      </c>
      <c r="AU57" s="20">
        <v>3.5267199999999999E-2</v>
      </c>
      <c r="AV57" s="20" t="s">
        <v>45</v>
      </c>
      <c r="AW57" s="20">
        <v>1.8864300000000001E-2</v>
      </c>
      <c r="AX57" s="32">
        <v>0.21052631578947367</v>
      </c>
      <c r="AY57" s="24" t="s">
        <v>46</v>
      </c>
      <c r="AZ57" s="24">
        <v>0</v>
      </c>
      <c r="BA57" s="24" t="s">
        <v>45</v>
      </c>
      <c r="BB57" s="24">
        <v>1.8864300000000001E-2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TEST_24</v>
      </c>
      <c r="H59" s="41" t="s">
        <v>124</v>
      </c>
      <c r="I59" s="41"/>
      <c r="J59" s="41"/>
      <c r="K59" s="41"/>
      <c r="L59" s="41"/>
      <c r="M59" s="42" t="s">
        <v>123</v>
      </c>
      <c r="N59" s="42"/>
      <c r="O59" s="42"/>
      <c r="P59" s="42"/>
      <c r="Q59" s="42"/>
      <c r="R59" s="2"/>
      <c r="S59" s="16"/>
      <c r="U59" s="16"/>
      <c r="W59" s="13" t="s">
        <v>126</v>
      </c>
      <c r="X59" s="14"/>
      <c r="Y59" s="9"/>
      <c r="Z59" s="10" t="str">
        <f>"TEST_"&amp;TEXT(RIGHT(Z48,2)+1, "00")</f>
        <v>TEST_30</v>
      </c>
      <c r="AA59" s="41" t="s">
        <v>124</v>
      </c>
      <c r="AB59" s="41"/>
      <c r="AC59" s="41"/>
      <c r="AD59" s="41"/>
      <c r="AE59" s="41"/>
      <c r="AF59" s="42" t="s">
        <v>123</v>
      </c>
      <c r="AG59" s="42"/>
      <c r="AH59" s="42"/>
      <c r="AI59" s="42"/>
      <c r="AJ59" s="42"/>
      <c r="AK59" s="2"/>
      <c r="AL59" s="16"/>
      <c r="AN59" s="16"/>
      <c r="AP59" s="13" t="s">
        <v>126</v>
      </c>
      <c r="AQ59" s="14"/>
      <c r="AR59" s="9"/>
      <c r="AS59" s="10" t="str">
        <f>"TEST_"&amp;TEXT(RIGHT(AS48,2)+1, "00")</f>
        <v>TEST_36</v>
      </c>
      <c r="AT59" s="41" t="s">
        <v>124</v>
      </c>
      <c r="AU59" s="41"/>
      <c r="AV59" s="41"/>
      <c r="AW59" s="41"/>
      <c r="AX59" s="41"/>
      <c r="AY59" s="42" t="s">
        <v>123</v>
      </c>
      <c r="AZ59" s="42"/>
      <c r="BA59" s="42"/>
      <c r="BB59" s="42"/>
      <c r="BC59" s="42"/>
      <c r="BD59" s="2"/>
      <c r="BE59" s="16"/>
    </row>
    <row r="60" spans="2:57" x14ac:dyDescent="0.2">
      <c r="B60" s="16"/>
      <c r="D60" s="11" t="s">
        <v>1</v>
      </c>
      <c r="E60" s="12" t="str">
        <f>VLOOKUP(LOWER(G59),experiments_specs!$A:$J,2,FALSE)</f>
        <v>NN,JJ,VB,VBD,VBG,VBN,VBP,VBZ</v>
      </c>
      <c r="F60" s="15" t="str">
        <f>"{"&amp;LOWER(G59)&amp;".csv}"</f>
        <v>{test_24.csv}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VLOOKUP(LOWER(Z59),experiments_specs!$A:$J,2,FALSE)</f>
        <v>NN,JJ,VB,VBD,VBG,VBN,VBP,VBZ</v>
      </c>
      <c r="Y60" s="15" t="str">
        <f>"{"&amp;LOWER(Z59)&amp;".csv}"</f>
        <v>{test_30.csv}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VLOOKUP(LOWER(AS59),experiments_specs!$A:$J,2,FALSE)</f>
        <v>NN,JJ,VB,VBD,VBG,VBN,VBP,VBZ</v>
      </c>
      <c r="AR60" s="15" t="str">
        <f>"{"&amp;LOWER(AS59)&amp;".csv}"</f>
        <v>{test_36.csv}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17" x14ac:dyDescent="0.2">
      <c r="B61" s="16"/>
      <c r="D61" s="11" t="s">
        <v>2</v>
      </c>
      <c r="E61" s="12">
        <f>VLOOKUP(LOWER(G59),experiments_specs!$A:$J,3,FALSE)</f>
        <v>1</v>
      </c>
      <c r="F61" s="15" t="s">
        <v>87</v>
      </c>
      <c r="G61" s="5" t="s">
        <v>19</v>
      </c>
      <c r="H61" s="17" t="s">
        <v>225</v>
      </c>
      <c r="I61" s="17">
        <v>0.14024809999999999</v>
      </c>
      <c r="J61" s="17" t="s">
        <v>226</v>
      </c>
      <c r="K61" s="17">
        <v>2.2051000000000002E-3</v>
      </c>
      <c r="L61" s="30">
        <v>0.17391304347826086</v>
      </c>
      <c r="M61" s="21" t="s">
        <v>227</v>
      </c>
      <c r="N61" s="21">
        <v>0</v>
      </c>
      <c r="O61" s="21" t="s">
        <v>228</v>
      </c>
      <c r="P61" s="21">
        <v>5.6026000000000001E-3</v>
      </c>
      <c r="Q61" s="33">
        <v>0.11764705882352941</v>
      </c>
      <c r="S61" s="16"/>
      <c r="U61" s="16"/>
      <c r="W61" s="11" t="s">
        <v>2</v>
      </c>
      <c r="X61" s="12">
        <f>VLOOKUP(LOWER(Z59),experiments_specs!$A:$J,3,FALSE)</f>
        <v>1</v>
      </c>
      <c r="Y61" s="15" t="s">
        <v>93</v>
      </c>
      <c r="Z61" s="5" t="s">
        <v>19</v>
      </c>
      <c r="AA61" s="17" t="s">
        <v>225</v>
      </c>
      <c r="AB61" s="17">
        <v>0.14024809999999999</v>
      </c>
      <c r="AC61" s="17" t="s">
        <v>226</v>
      </c>
      <c r="AD61" s="17">
        <v>1.97927E-2</v>
      </c>
      <c r="AE61" s="30">
        <v>0.17391304347826086</v>
      </c>
      <c r="AF61" s="21" t="s">
        <v>288</v>
      </c>
      <c r="AG61" s="21">
        <v>0.1561737</v>
      </c>
      <c r="AH61" s="21" t="s">
        <v>226</v>
      </c>
      <c r="AI61" s="21">
        <v>2.89822E-2</v>
      </c>
      <c r="AJ61" s="33">
        <v>0.17391304347826086</v>
      </c>
      <c r="AL61" s="16"/>
      <c r="AN61" s="16"/>
      <c r="AP61" s="11" t="s">
        <v>2</v>
      </c>
      <c r="AQ61" s="12">
        <f>VLOOKUP(LOWER(AS59),experiments_specs!$A:$J,3,FALSE)</f>
        <v>1</v>
      </c>
      <c r="AR61" s="15" t="s">
        <v>99</v>
      </c>
      <c r="AS61" s="5" t="s">
        <v>19</v>
      </c>
      <c r="AT61" s="17" t="s">
        <v>225</v>
      </c>
      <c r="AU61" s="17">
        <v>0.14024809999999999</v>
      </c>
      <c r="AV61" s="17" t="s">
        <v>226</v>
      </c>
      <c r="AW61" s="17">
        <v>2.7050000000000001E-2</v>
      </c>
      <c r="AX61" s="30">
        <v>0.17391304347826086</v>
      </c>
      <c r="AY61" s="21" t="s">
        <v>288</v>
      </c>
      <c r="AZ61" s="21">
        <v>0.1561737</v>
      </c>
      <c r="BA61" s="21" t="s">
        <v>226</v>
      </c>
      <c r="BB61" s="21">
        <v>2.7982799999999999E-2</v>
      </c>
      <c r="BC61" s="33">
        <v>0.17391304347826086</v>
      </c>
      <c r="BE61" s="16"/>
    </row>
    <row r="62" spans="2:57" ht="34" x14ac:dyDescent="0.2">
      <c r="B62" s="16"/>
      <c r="D62" s="11" t="s">
        <v>3</v>
      </c>
      <c r="E62" s="12">
        <f>VLOOKUP(LOWER(G59),experiments_specs!$A:$J,4,FALSE)</f>
        <v>2</v>
      </c>
      <c r="F62" s="15" t="s">
        <v>87</v>
      </c>
      <c r="G62" s="6" t="s">
        <v>12</v>
      </c>
      <c r="H62" s="18" t="s">
        <v>251</v>
      </c>
      <c r="I62" s="18">
        <v>0.1190982</v>
      </c>
      <c r="J62" s="18" t="s">
        <v>236</v>
      </c>
      <c r="K62" s="18">
        <v>2.362E-3</v>
      </c>
      <c r="L62" s="31">
        <v>0.125</v>
      </c>
      <c r="M62" s="22" t="s">
        <v>235</v>
      </c>
      <c r="N62" s="22">
        <v>0</v>
      </c>
      <c r="O62" s="22" t="s">
        <v>236</v>
      </c>
      <c r="P62" s="22">
        <v>5.4095000000000002E-3</v>
      </c>
      <c r="Q62" s="34">
        <v>0.125</v>
      </c>
      <c r="S62" s="16"/>
      <c r="U62" s="16"/>
      <c r="W62" s="11" t="s">
        <v>3</v>
      </c>
      <c r="X62" s="12">
        <f>VLOOKUP(LOWER(Z59),experiments_specs!$A:$J,4,FALSE)</f>
        <v>2</v>
      </c>
      <c r="Y62" s="15" t="s">
        <v>93</v>
      </c>
      <c r="Z62" s="6" t="s">
        <v>12</v>
      </c>
      <c r="AA62" s="18" t="s">
        <v>22</v>
      </c>
      <c r="AB62" s="18">
        <v>0.1102635</v>
      </c>
      <c r="AC62" s="18" t="s">
        <v>23</v>
      </c>
      <c r="AD62" s="18">
        <v>1.44145E-2</v>
      </c>
      <c r="AE62" s="31">
        <v>0.42857142857142855</v>
      </c>
      <c r="AF62" s="23" t="s">
        <v>390</v>
      </c>
      <c r="AG62" s="23" t="s">
        <v>392</v>
      </c>
      <c r="AH62" s="23" t="s">
        <v>394</v>
      </c>
      <c r="AI62" s="23" t="s">
        <v>411</v>
      </c>
      <c r="AJ62" s="34">
        <v>0.46153846153846156</v>
      </c>
      <c r="AL62" s="16"/>
      <c r="AN62" s="16"/>
      <c r="AP62" s="11" t="s">
        <v>3</v>
      </c>
      <c r="AQ62" s="12">
        <f>VLOOKUP(LOWER(AS59),experiments_specs!$A:$J,4,FALSE)</f>
        <v>2</v>
      </c>
      <c r="AR62" s="15" t="s">
        <v>99</v>
      </c>
      <c r="AS62" s="6" t="s">
        <v>12</v>
      </c>
      <c r="AT62" s="18" t="s">
        <v>22</v>
      </c>
      <c r="AU62" s="18">
        <v>0.1102635</v>
      </c>
      <c r="AV62" s="18" t="s">
        <v>23</v>
      </c>
      <c r="AW62" s="18">
        <v>2.3858500000000001E-2</v>
      </c>
      <c r="AX62" s="31">
        <v>0.42857142857142855</v>
      </c>
      <c r="AY62" s="23" t="s">
        <v>390</v>
      </c>
      <c r="AZ62" s="23" t="s">
        <v>392</v>
      </c>
      <c r="BA62" s="23" t="s">
        <v>394</v>
      </c>
      <c r="BB62" s="23" t="s">
        <v>420</v>
      </c>
      <c r="BC62" s="34">
        <v>0.46153846153846156</v>
      </c>
      <c r="BE62" s="16"/>
    </row>
    <row r="63" spans="2:57" x14ac:dyDescent="0.2">
      <c r="B63" s="16"/>
      <c r="D63" s="11" t="s">
        <v>4</v>
      </c>
      <c r="E63" s="12" t="str">
        <f>VLOOKUP(LOWER(G59),experiments_specs!$A:$J,5,FALSE)</f>
        <v>False</v>
      </c>
      <c r="F63" s="15" t="s">
        <v>87</v>
      </c>
      <c r="G63" s="6" t="s">
        <v>13</v>
      </c>
      <c r="H63" s="19" t="s">
        <v>199</v>
      </c>
      <c r="I63" s="19">
        <v>0.18057870000000001</v>
      </c>
      <c r="J63" s="19" t="s">
        <v>200</v>
      </c>
      <c r="K63" s="19">
        <v>5.1424000000000001E-3</v>
      </c>
      <c r="L63" s="31" t="s">
        <v>25</v>
      </c>
      <c r="M63" s="22" t="s">
        <v>201</v>
      </c>
      <c r="N63" s="22">
        <v>0</v>
      </c>
      <c r="O63" s="22" t="s">
        <v>200</v>
      </c>
      <c r="P63" s="22">
        <v>6.9588999999999996E-3</v>
      </c>
      <c r="Q63" s="34" t="s">
        <v>25</v>
      </c>
      <c r="S63" s="16"/>
      <c r="U63" s="16"/>
      <c r="W63" s="11" t="s">
        <v>4</v>
      </c>
      <c r="X63" s="12" t="str">
        <f>VLOOKUP(LOWER(Z59),experiments_specs!$A:$J,5,FALSE)</f>
        <v>True</v>
      </c>
      <c r="Y63" s="15" t="s">
        <v>93</v>
      </c>
      <c r="Z63" s="6" t="s">
        <v>13</v>
      </c>
      <c r="AA63" s="19" t="s">
        <v>32</v>
      </c>
      <c r="AB63" s="19">
        <v>0.10425719999999999</v>
      </c>
      <c r="AC63" s="19" t="s">
        <v>398</v>
      </c>
      <c r="AD63" s="19">
        <v>1.7025100000000001E-2</v>
      </c>
      <c r="AE63" s="31">
        <v>0.4</v>
      </c>
      <c r="AF63" s="22" t="s">
        <v>34</v>
      </c>
      <c r="AG63" s="22">
        <v>0</v>
      </c>
      <c r="AH63" s="22" t="s">
        <v>35</v>
      </c>
      <c r="AI63" s="22">
        <v>2.14974E-2</v>
      </c>
      <c r="AJ63" s="34" t="s">
        <v>25</v>
      </c>
      <c r="AL63" s="16"/>
      <c r="AN63" s="16"/>
      <c r="AP63" s="11" t="s">
        <v>4</v>
      </c>
      <c r="AQ63" s="12" t="str">
        <f>VLOOKUP(LOWER(AS59),experiments_specs!$A:$J,5,FALSE)</f>
        <v>True</v>
      </c>
      <c r="AR63" s="15" t="s">
        <v>99</v>
      </c>
      <c r="AS63" s="6" t="s">
        <v>13</v>
      </c>
      <c r="AT63" s="19" t="s">
        <v>326</v>
      </c>
      <c r="AU63" s="19">
        <v>0.10425719999999999</v>
      </c>
      <c r="AV63" s="19" t="s">
        <v>327</v>
      </c>
      <c r="AW63" s="19">
        <v>2.4573600000000001E-2</v>
      </c>
      <c r="AX63" s="31" t="s">
        <v>25</v>
      </c>
      <c r="AY63" s="22" t="s">
        <v>417</v>
      </c>
      <c r="AZ63" s="22">
        <v>0</v>
      </c>
      <c r="BA63" s="22" t="s">
        <v>327</v>
      </c>
      <c r="BB63" s="22">
        <v>2.4573600000000001E-2</v>
      </c>
      <c r="BC63" s="34" t="s">
        <v>25</v>
      </c>
      <c r="BE63" s="16"/>
    </row>
    <row r="64" spans="2:57" ht="34" x14ac:dyDescent="0.2">
      <c r="B64" s="16"/>
      <c r="D64" s="11" t="s">
        <v>5</v>
      </c>
      <c r="E64" s="12" t="str">
        <f>VLOOKUP(LOWER(G59),experiments_specs!$A:$J,6,FALSE)</f>
        <v>True</v>
      </c>
      <c r="F64" s="15" t="s">
        <v>87</v>
      </c>
      <c r="G64" s="6" t="s">
        <v>14</v>
      </c>
      <c r="H64" s="19" t="s">
        <v>381</v>
      </c>
      <c r="I64" s="19">
        <v>0.1290994</v>
      </c>
      <c r="J64" s="19" t="s">
        <v>382</v>
      </c>
      <c r="K64" s="19">
        <v>2.4215E-3</v>
      </c>
      <c r="L64" s="31">
        <v>0.625</v>
      </c>
      <c r="M64" s="22" t="s">
        <v>204</v>
      </c>
      <c r="N64" s="22">
        <v>0</v>
      </c>
      <c r="O64" s="22" t="s">
        <v>205</v>
      </c>
      <c r="P64" s="22">
        <v>4.9344000000000002E-3</v>
      </c>
      <c r="Q64" s="34">
        <v>0.625</v>
      </c>
      <c r="S64" s="16"/>
      <c r="U64" s="16"/>
      <c r="W64" s="11" t="s">
        <v>5</v>
      </c>
      <c r="X64" s="12" t="str">
        <f>VLOOKUP(LOWER(Z59),experiments_specs!$A:$J,6,FALSE)</f>
        <v>True</v>
      </c>
      <c r="Y64" s="15" t="s">
        <v>93</v>
      </c>
      <c r="Z64" s="6" t="s">
        <v>14</v>
      </c>
      <c r="AA64" s="18" t="s">
        <v>181</v>
      </c>
      <c r="AB64" s="18" t="s">
        <v>399</v>
      </c>
      <c r="AC64" s="18" t="s">
        <v>182</v>
      </c>
      <c r="AD64" s="18" t="s">
        <v>322</v>
      </c>
      <c r="AE64" s="31">
        <v>0.33333333333333331</v>
      </c>
      <c r="AF64" s="23" t="s">
        <v>183</v>
      </c>
      <c r="AG64" s="23" t="s">
        <v>272</v>
      </c>
      <c r="AH64" s="23" t="s">
        <v>182</v>
      </c>
      <c r="AI64" s="23" t="s">
        <v>324</v>
      </c>
      <c r="AJ64" s="34">
        <v>0.33333333333333331</v>
      </c>
      <c r="AL64" s="16"/>
      <c r="AN64" s="16"/>
      <c r="AP64" s="11" t="s">
        <v>5</v>
      </c>
      <c r="AQ64" s="12" t="str">
        <f>VLOOKUP(LOWER(AS59),experiments_specs!$A:$J,6,FALSE)</f>
        <v>True</v>
      </c>
      <c r="AR64" s="15" t="s">
        <v>99</v>
      </c>
      <c r="AS64" s="6" t="s">
        <v>14</v>
      </c>
      <c r="AT64" s="18" t="s">
        <v>181</v>
      </c>
      <c r="AU64" s="18" t="s">
        <v>399</v>
      </c>
      <c r="AV64" s="18" t="s">
        <v>182</v>
      </c>
      <c r="AW64" s="18" t="s">
        <v>348</v>
      </c>
      <c r="AX64" s="31">
        <v>0.33333333333333331</v>
      </c>
      <c r="AY64" s="23" t="s">
        <v>183</v>
      </c>
      <c r="AZ64" s="23" t="s">
        <v>272</v>
      </c>
      <c r="BA64" s="23" t="s">
        <v>182</v>
      </c>
      <c r="BB64" s="23" t="s">
        <v>350</v>
      </c>
      <c r="BC64" s="34">
        <v>0.33333333333333331</v>
      </c>
      <c r="BE64" s="16"/>
    </row>
    <row r="65" spans="2:57" ht="17" x14ac:dyDescent="0.2">
      <c r="B65" s="16"/>
      <c r="D65" s="11" t="s">
        <v>6</v>
      </c>
      <c r="E65" s="12" t="str">
        <f>VLOOKUP(LOWER(G59),experiments_specs!$A:$J,7,FALSE)</f>
        <v>True</v>
      </c>
      <c r="F65" s="15" t="s">
        <v>87</v>
      </c>
      <c r="G65" s="6" t="s">
        <v>15</v>
      </c>
      <c r="H65" s="19" t="s">
        <v>237</v>
      </c>
      <c r="I65" s="19">
        <v>7.3621000000000006E-2</v>
      </c>
      <c r="J65" s="19" t="s">
        <v>238</v>
      </c>
      <c r="K65" s="19">
        <v>2.4283E-3</v>
      </c>
      <c r="L65" s="31">
        <v>0.2</v>
      </c>
      <c r="M65" s="23" t="s">
        <v>383</v>
      </c>
      <c r="N65" s="23">
        <v>0</v>
      </c>
      <c r="O65" s="23" t="s">
        <v>384</v>
      </c>
      <c r="P65" s="23">
        <v>1.10974E-2</v>
      </c>
      <c r="Q65" s="34">
        <v>0.22222222222222221</v>
      </c>
      <c r="S65" s="16"/>
      <c r="U65" s="16"/>
      <c r="W65" s="11" t="s">
        <v>6</v>
      </c>
      <c r="X65" s="12" t="str">
        <f>VLOOKUP(LOWER(Z59),experiments_specs!$A:$J,7,FALSE)</f>
        <v>True</v>
      </c>
      <c r="Y65" s="15" t="s">
        <v>93</v>
      </c>
      <c r="Z65" s="6" t="s">
        <v>15</v>
      </c>
      <c r="AA65" s="19" t="s">
        <v>26</v>
      </c>
      <c r="AB65" s="19">
        <v>0.18033389999999999</v>
      </c>
      <c r="AC65" s="19" t="s">
        <v>27</v>
      </c>
      <c r="AD65" s="19">
        <v>1.1712999999999999E-2</v>
      </c>
      <c r="AE65" s="31">
        <v>0.16666666666666666</v>
      </c>
      <c r="AF65" s="23" t="s">
        <v>365</v>
      </c>
      <c r="AG65" s="23">
        <v>0</v>
      </c>
      <c r="AH65" s="23" t="s">
        <v>26</v>
      </c>
      <c r="AI65" s="23">
        <v>2.90861E-2</v>
      </c>
      <c r="AJ65" s="34">
        <v>0.18181818181818182</v>
      </c>
      <c r="AL65" s="16"/>
      <c r="AN65" s="16"/>
      <c r="AP65" s="11" t="s">
        <v>6</v>
      </c>
      <c r="AQ65" s="12" t="str">
        <f>VLOOKUP(LOWER(AS59),experiments_specs!$A:$J,7,FALSE)</f>
        <v>True</v>
      </c>
      <c r="AR65" s="15" t="s">
        <v>99</v>
      </c>
      <c r="AS65" s="6" t="s">
        <v>15</v>
      </c>
      <c r="AT65" s="19" t="s">
        <v>26</v>
      </c>
      <c r="AU65" s="19">
        <v>0.18033389999999999</v>
      </c>
      <c r="AV65" s="19" t="s">
        <v>27</v>
      </c>
      <c r="AW65" s="19">
        <v>1.9521699999999999E-2</v>
      </c>
      <c r="AX65" s="31">
        <v>0.16666666666666666</v>
      </c>
      <c r="AY65" s="23" t="s">
        <v>15</v>
      </c>
      <c r="AZ65" s="23">
        <v>0.1770844</v>
      </c>
      <c r="BA65" s="23" t="s">
        <v>293</v>
      </c>
      <c r="BB65" s="23">
        <v>4.4172599999999999E-2</v>
      </c>
      <c r="BC65" s="34">
        <v>0.90909090909090906</v>
      </c>
      <c r="BE65" s="16"/>
    </row>
    <row r="66" spans="2:57" ht="17" x14ac:dyDescent="0.2">
      <c r="B66" s="16"/>
      <c r="D66" s="11" t="s">
        <v>7</v>
      </c>
      <c r="E66" s="12" t="str">
        <f>VLOOKUP(LOWER(G59),experiments_specs!$A:$J,8,FALSE)</f>
        <v>False</v>
      </c>
      <c r="F66" s="15" t="s">
        <v>87</v>
      </c>
      <c r="G66" s="6" t="s">
        <v>16</v>
      </c>
      <c r="H66" s="19" t="s">
        <v>208</v>
      </c>
      <c r="I66" s="19">
        <v>0.2041241</v>
      </c>
      <c r="J66" s="19" t="s">
        <v>209</v>
      </c>
      <c r="K66" s="19">
        <v>2.8305000000000001E-3</v>
      </c>
      <c r="L66" s="31">
        <v>0.55555555555555558</v>
      </c>
      <c r="M66" s="23" t="s">
        <v>227</v>
      </c>
      <c r="N66" s="23">
        <v>3.5007000000000003E-2</v>
      </c>
      <c r="O66" s="23" t="s">
        <v>385</v>
      </c>
      <c r="P66" s="23">
        <v>4.2525000000000002E-3</v>
      </c>
      <c r="Q66" s="34">
        <v>0.15384615384615385</v>
      </c>
      <c r="S66" s="16"/>
      <c r="U66" s="16"/>
      <c r="W66" s="11" t="s">
        <v>7</v>
      </c>
      <c r="X66" s="12" t="str">
        <f>VLOOKUP(LOWER(Z59),experiments_specs!$A:$J,8,FALSE)</f>
        <v>False</v>
      </c>
      <c r="Y66" s="15" t="s">
        <v>93</v>
      </c>
      <c r="Z66" s="6" t="s">
        <v>16</v>
      </c>
      <c r="AA66" s="19" t="s">
        <v>39</v>
      </c>
      <c r="AB66" s="19">
        <v>6.4549700000000002E-2</v>
      </c>
      <c r="AC66" s="19" t="s">
        <v>40</v>
      </c>
      <c r="AD66" s="19">
        <v>1.76645E-2</v>
      </c>
      <c r="AE66" s="31">
        <v>0.22222222222222221</v>
      </c>
      <c r="AF66" s="23" t="s">
        <v>41</v>
      </c>
      <c r="AG66" s="23">
        <v>3.60843E-2</v>
      </c>
      <c r="AH66" s="23" t="s">
        <v>40</v>
      </c>
      <c r="AI66" s="23">
        <v>1.95438E-2</v>
      </c>
      <c r="AJ66" s="34">
        <v>0.22222222222222221</v>
      </c>
      <c r="AL66" s="16"/>
      <c r="AN66" s="16"/>
      <c r="AP66" s="11" t="s">
        <v>7</v>
      </c>
      <c r="AQ66" s="12" t="str">
        <f>VLOOKUP(LOWER(AS59),experiments_specs!$A:$J,8,FALSE)</f>
        <v>False</v>
      </c>
      <c r="AR66" s="15" t="s">
        <v>99</v>
      </c>
      <c r="AS66" s="6" t="s">
        <v>16</v>
      </c>
      <c r="AT66" s="19" t="s">
        <v>39</v>
      </c>
      <c r="AU66" s="19">
        <v>6.4549700000000002E-2</v>
      </c>
      <c r="AV66" s="19" t="s">
        <v>40</v>
      </c>
      <c r="AW66" s="19">
        <v>2.4825900000000001E-2</v>
      </c>
      <c r="AX66" s="31">
        <v>0.22222222222222221</v>
      </c>
      <c r="AY66" s="23" t="s">
        <v>41</v>
      </c>
      <c r="AZ66" s="23">
        <v>3.60843E-2</v>
      </c>
      <c r="BA66" s="23" t="s">
        <v>40</v>
      </c>
      <c r="BB66" s="23">
        <v>2.3552699999999999E-2</v>
      </c>
      <c r="BC66" s="34">
        <v>0.22222222222222221</v>
      </c>
      <c r="BE66" s="16"/>
    </row>
    <row r="67" spans="2:57" ht="51" x14ac:dyDescent="0.2">
      <c r="B67" s="16"/>
      <c r="D67" s="11" t="s">
        <v>8</v>
      </c>
      <c r="E67" s="12" t="str">
        <f>VLOOKUP(LOWER(G59),experiments_specs!$A:$J,9,FALSE)</f>
        <v>wup_similarity</v>
      </c>
      <c r="F67" s="15" t="s">
        <v>87</v>
      </c>
      <c r="G67" s="6" t="s">
        <v>17</v>
      </c>
      <c r="H67" s="19" t="s">
        <v>386</v>
      </c>
      <c r="I67" s="19">
        <v>4.6524200000000002E-2</v>
      </c>
      <c r="J67" s="19" t="s">
        <v>387</v>
      </c>
      <c r="K67" s="19">
        <v>2.5416000000000002E-3</v>
      </c>
      <c r="L67" s="31">
        <v>0.22222222222222221</v>
      </c>
      <c r="M67" s="22" t="s">
        <v>30</v>
      </c>
      <c r="N67" s="22">
        <v>0.1234426</v>
      </c>
      <c r="O67" s="22" t="s">
        <v>380</v>
      </c>
      <c r="P67" s="22">
        <v>1.25094E-2</v>
      </c>
      <c r="Q67" s="34">
        <v>0.2</v>
      </c>
      <c r="S67" s="16"/>
      <c r="U67" s="16"/>
      <c r="W67" s="11" t="s">
        <v>8</v>
      </c>
      <c r="X67" s="12" t="str">
        <f>VLOOKUP(LOWER(Z59),experiments_specs!$A:$J,9,FALSE)</f>
        <v>wup_similarity</v>
      </c>
      <c r="Y67" s="15" t="s">
        <v>93</v>
      </c>
      <c r="Z67" s="6" t="s">
        <v>17</v>
      </c>
      <c r="AA67" s="19" t="s">
        <v>30</v>
      </c>
      <c r="AB67" s="19">
        <v>0.1234426</v>
      </c>
      <c r="AC67" s="19" t="s">
        <v>31</v>
      </c>
      <c r="AD67" s="19">
        <v>1.9916300000000001E-2</v>
      </c>
      <c r="AE67" s="31">
        <v>0.22222222222222221</v>
      </c>
      <c r="AF67" s="22" t="s">
        <v>30</v>
      </c>
      <c r="AG67" s="22">
        <v>0.1234426</v>
      </c>
      <c r="AH67" s="22" t="s">
        <v>380</v>
      </c>
      <c r="AI67" s="22">
        <v>2.5843700000000001E-2</v>
      </c>
      <c r="AJ67" s="34">
        <v>0.2</v>
      </c>
      <c r="AL67" s="16"/>
      <c r="AN67" s="16"/>
      <c r="AP67" s="11" t="s">
        <v>8</v>
      </c>
      <c r="AQ67" s="12" t="str">
        <f>VLOOKUP(LOWER(AS59),experiments_specs!$A:$J,9,FALSE)</f>
        <v>wup_similarity</v>
      </c>
      <c r="AR67" s="15" t="s">
        <v>99</v>
      </c>
      <c r="AS67" s="6" t="s">
        <v>17</v>
      </c>
      <c r="AT67" s="18" t="s">
        <v>278</v>
      </c>
      <c r="AU67" s="18" t="s">
        <v>280</v>
      </c>
      <c r="AV67" s="18" t="s">
        <v>189</v>
      </c>
      <c r="AW67" s="18" t="s">
        <v>352</v>
      </c>
      <c r="AX67" s="31">
        <v>0.30769230769230771</v>
      </c>
      <c r="AY67" s="23" t="s">
        <v>188</v>
      </c>
      <c r="AZ67" s="23" t="s">
        <v>401</v>
      </c>
      <c r="BA67" s="23" t="s">
        <v>189</v>
      </c>
      <c r="BB67" s="23" t="s">
        <v>352</v>
      </c>
      <c r="BC67" s="34">
        <v>0.30769230769230771</v>
      </c>
      <c r="BE67" s="16"/>
    </row>
    <row r="68" spans="2:57" x14ac:dyDescent="0.2">
      <c r="B68" s="16"/>
      <c r="D68" s="11" t="s">
        <v>9</v>
      </c>
      <c r="E68" s="12" t="str">
        <f>VLOOKUP(LOWER(G59),experiments_specs!$A:$J,10,FALSE)</f>
        <v>False</v>
      </c>
      <c r="F68" s="15" t="s">
        <v>87</v>
      </c>
      <c r="G68" s="7" t="s">
        <v>18</v>
      </c>
      <c r="H68" s="20" t="s">
        <v>222</v>
      </c>
      <c r="I68" s="20">
        <v>9.4631999999999994E-2</v>
      </c>
      <c r="J68" s="20" t="s">
        <v>223</v>
      </c>
      <c r="K68" s="20">
        <v>1.2853000000000001E-3</v>
      </c>
      <c r="L68" s="32">
        <v>0.21052631578947367</v>
      </c>
      <c r="M68" s="24" t="s">
        <v>227</v>
      </c>
      <c r="N68" s="24">
        <v>0</v>
      </c>
      <c r="O68" s="24" t="s">
        <v>248</v>
      </c>
      <c r="P68" s="24">
        <v>2.9761000000000002E-3</v>
      </c>
      <c r="Q68" s="35">
        <v>0.11764705882352941</v>
      </c>
      <c r="S68" s="16"/>
      <c r="U68" s="16"/>
      <c r="W68" s="11" t="s">
        <v>9</v>
      </c>
      <c r="X68" s="12" t="str">
        <f>VLOOKUP(LOWER(Z59),experiments_specs!$A:$J,10,FALSE)</f>
        <v>False</v>
      </c>
      <c r="Y68" s="15" t="s">
        <v>93</v>
      </c>
      <c r="Z68" s="7" t="s">
        <v>18</v>
      </c>
      <c r="AA68" s="20" t="s">
        <v>44</v>
      </c>
      <c r="AB68" s="20">
        <v>3.5267199999999999E-2</v>
      </c>
      <c r="AC68" s="20" t="s">
        <v>45</v>
      </c>
      <c r="AD68" s="20">
        <v>8.1188000000000007E-3</v>
      </c>
      <c r="AE68" s="32">
        <v>0.21052631578947367</v>
      </c>
      <c r="AF68" s="24" t="s">
        <v>46</v>
      </c>
      <c r="AG68" s="24">
        <v>0</v>
      </c>
      <c r="AH68" s="24" t="s">
        <v>45</v>
      </c>
      <c r="AI68" s="24">
        <v>1.0871E-2</v>
      </c>
      <c r="AJ68" s="35">
        <v>0.21052631578947367</v>
      </c>
      <c r="AL68" s="16"/>
      <c r="AN68" s="16"/>
      <c r="AP68" s="11" t="s">
        <v>9</v>
      </c>
      <c r="AQ68" s="12" t="str">
        <f>VLOOKUP(LOWER(AS59),experiments_specs!$A:$J,10,FALSE)</f>
        <v>True</v>
      </c>
      <c r="AR68" s="15" t="s">
        <v>99</v>
      </c>
      <c r="AS68" s="7" t="s">
        <v>18</v>
      </c>
      <c r="AT68" s="20" t="s">
        <v>44</v>
      </c>
      <c r="AU68" s="20">
        <v>3.5267199999999999E-2</v>
      </c>
      <c r="AV68" s="20" t="s">
        <v>45</v>
      </c>
      <c r="AW68" s="20">
        <v>1.2576199999999999E-2</v>
      </c>
      <c r="AX68" s="32">
        <v>0.21052631578947367</v>
      </c>
      <c r="AY68" s="24" t="s">
        <v>46</v>
      </c>
      <c r="AZ68" s="24">
        <v>0</v>
      </c>
      <c r="BA68" s="24" t="s">
        <v>45</v>
      </c>
      <c r="BB68" s="24">
        <v>1.2827699999999999E-2</v>
      </c>
      <c r="BC68" s="35">
        <v>0.21052631578947367</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 ref="AY37:BC37"/>
    <mergeCell ref="H26:L26"/>
    <mergeCell ref="M26:Q26"/>
    <mergeCell ref="AA26:AE26"/>
    <mergeCell ref="AF26:AJ26"/>
    <mergeCell ref="AT26:AX26"/>
    <mergeCell ref="AY26:BC26"/>
    <mergeCell ref="H37:L37"/>
    <mergeCell ref="M37:Q37"/>
    <mergeCell ref="AA37:AE37"/>
    <mergeCell ref="AF37:AJ37"/>
    <mergeCell ref="AT37:AX37"/>
    <mergeCell ref="AY59:BC59"/>
    <mergeCell ref="H48:L48"/>
    <mergeCell ref="M48:Q48"/>
    <mergeCell ref="AA48:AE48"/>
    <mergeCell ref="AF48:AJ48"/>
    <mergeCell ref="AT48:AX48"/>
    <mergeCell ref="AY48:BC48"/>
    <mergeCell ref="H59:L59"/>
    <mergeCell ref="M59:Q59"/>
    <mergeCell ref="AA59:AE59"/>
    <mergeCell ref="AF59:AJ59"/>
    <mergeCell ref="AT59:AX5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41A31-62F5-C84D-9E6C-945C40E77586}">
  <sheetPr codeName="Foglio5"/>
  <dimension ref="B2:BE70"/>
  <sheetViews>
    <sheetView topLeftCell="AP48" workbookViewId="0">
      <selection activeCell="AJ60" sqref="AJ60:AJ69"/>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3" t="s">
        <v>127</v>
      </c>
      <c r="E2" s="43"/>
      <c r="F2" s="43"/>
      <c r="G2" s="43"/>
      <c r="H2" s="43"/>
      <c r="I2" s="43"/>
      <c r="J2" s="43"/>
      <c r="K2" s="43"/>
      <c r="L2" s="43"/>
      <c r="M2" s="43"/>
      <c r="N2" s="43"/>
      <c r="O2" s="43"/>
      <c r="P2" s="43"/>
      <c r="Q2" s="43"/>
      <c r="R2" s="16"/>
      <c r="S2" s="16"/>
      <c r="U2" s="16"/>
      <c r="V2" s="16"/>
      <c r="W2" s="43" t="s">
        <v>128</v>
      </c>
      <c r="X2" s="43"/>
      <c r="Y2" s="43"/>
      <c r="Z2" s="43"/>
      <c r="AA2" s="43"/>
      <c r="AB2" s="43"/>
      <c r="AC2" s="43"/>
      <c r="AD2" s="43"/>
      <c r="AE2" s="43"/>
      <c r="AF2" s="43"/>
      <c r="AG2" s="43"/>
      <c r="AH2" s="43"/>
      <c r="AI2" s="43"/>
      <c r="AJ2" s="43"/>
      <c r="AK2" s="16"/>
      <c r="AL2" s="16"/>
      <c r="AN2" s="16"/>
      <c r="AO2" s="16"/>
      <c r="AP2" s="43" t="s">
        <v>129</v>
      </c>
      <c r="AQ2" s="43"/>
      <c r="AR2" s="43"/>
      <c r="AS2" s="43"/>
      <c r="AT2" s="43"/>
      <c r="AU2" s="43"/>
      <c r="AV2" s="43"/>
      <c r="AW2" s="43"/>
      <c r="AX2" s="43"/>
      <c r="AY2" s="43"/>
      <c r="AZ2" s="43"/>
      <c r="BA2" s="43"/>
      <c r="BB2" s="43"/>
      <c r="BC2" s="43"/>
      <c r="BD2" s="16"/>
      <c r="BE2" s="16"/>
    </row>
    <row r="3" spans="2:57" ht="17" thickBot="1" x14ac:dyDescent="0.25">
      <c r="B3" s="16"/>
      <c r="S3" s="16"/>
      <c r="U3" s="16"/>
      <c r="AL3" s="16"/>
      <c r="AN3" s="16"/>
      <c r="BE3" s="16"/>
    </row>
    <row r="4" spans="2:57" ht="20" thickBot="1" x14ac:dyDescent="0.3">
      <c r="B4" s="16"/>
      <c r="D4" s="13" t="s">
        <v>126</v>
      </c>
      <c r="E4" s="14"/>
      <c r="F4" s="9"/>
      <c r="G4" s="10" t="s">
        <v>131</v>
      </c>
      <c r="H4" s="41" t="s">
        <v>124</v>
      </c>
      <c r="I4" s="41"/>
      <c r="J4" s="41"/>
      <c r="K4" s="41"/>
      <c r="L4" s="41"/>
      <c r="M4" s="42" t="s">
        <v>123</v>
      </c>
      <c r="N4" s="42"/>
      <c r="O4" s="42"/>
      <c r="P4" s="42"/>
      <c r="Q4" s="42"/>
      <c r="R4" s="2"/>
      <c r="S4" s="16"/>
      <c r="U4" s="16"/>
      <c r="W4" s="13" t="s">
        <v>126</v>
      </c>
      <c r="X4" s="14"/>
      <c r="Y4" s="9"/>
      <c r="Z4" s="10" t="str">
        <f>"TEST_"&amp;TEXT(RIGHT(G59,2)+1, "00")</f>
        <v>TEST_43</v>
      </c>
      <c r="AA4" s="41" t="s">
        <v>124</v>
      </c>
      <c r="AB4" s="41"/>
      <c r="AC4" s="41"/>
      <c r="AD4" s="41"/>
      <c r="AE4" s="41"/>
      <c r="AF4" s="42" t="s">
        <v>123</v>
      </c>
      <c r="AG4" s="42"/>
      <c r="AH4" s="42"/>
      <c r="AI4" s="42"/>
      <c r="AJ4" s="42"/>
      <c r="AK4" s="2"/>
      <c r="AL4" s="16"/>
      <c r="AN4" s="16"/>
      <c r="AP4" s="13" t="s">
        <v>126</v>
      </c>
      <c r="AQ4" s="14"/>
      <c r="AR4" s="9"/>
      <c r="AS4" s="10" t="str">
        <f>"TEST_"&amp;TEXT(RIGHT(Z59,2)+1, "00")</f>
        <v>TEST_49</v>
      </c>
      <c r="AT4" s="41" t="s">
        <v>124</v>
      </c>
      <c r="AU4" s="41"/>
      <c r="AV4" s="41"/>
      <c r="AW4" s="41"/>
      <c r="AX4" s="41"/>
      <c r="AY4" s="42" t="s">
        <v>123</v>
      </c>
      <c r="AZ4" s="42"/>
      <c r="BA4" s="42"/>
      <c r="BB4" s="42"/>
      <c r="BC4" s="42"/>
      <c r="BD4" s="2"/>
      <c r="BE4" s="16"/>
    </row>
    <row r="5" spans="2:57" x14ac:dyDescent="0.2">
      <c r="B5" s="16"/>
      <c r="D5" s="11" t="s">
        <v>1</v>
      </c>
      <c r="E5" s="12" t="str">
        <f>VLOOKUP(LOWER(G4),experiments_specs!$A:$J,2,FALSE)</f>
        <v>NN</v>
      </c>
      <c r="F5" s="15" t="str">
        <f>"{"&amp;LOWER(G4)&amp;".csv}"</f>
        <v>{test_37.csv}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VLOOKUP(LOWER(Z4),experiments_specs!$A:$J,2,FALSE)</f>
        <v>NN</v>
      </c>
      <c r="Y5" s="15" t="str">
        <f>"{"&amp;LOWER(Z4)&amp;".csv}"</f>
        <v>{test_43.csv}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VLOOKUP(LOWER(AS4),experiments_specs!$A:$J,2,FALSE)</f>
        <v>NN</v>
      </c>
      <c r="AR5" s="15" t="str">
        <f>"{"&amp;LOWER(AS4)&amp;".csv}"</f>
        <v>{test_49.csv}</v>
      </c>
      <c r="AS5" s="8" t="s">
        <v>118</v>
      </c>
      <c r="AT5" s="3" t="s">
        <v>119</v>
      </c>
      <c r="AU5" s="3" t="s">
        <v>178</v>
      </c>
      <c r="AV5" s="3" t="s">
        <v>120</v>
      </c>
      <c r="AW5" s="3" t="s">
        <v>178</v>
      </c>
      <c r="AX5" s="3" t="s">
        <v>121</v>
      </c>
      <c r="AY5" s="4" t="s">
        <v>122</v>
      </c>
      <c r="AZ5" s="4" t="s">
        <v>178</v>
      </c>
      <c r="BA5" s="4" t="s">
        <v>120</v>
      </c>
      <c r="BB5" s="4" t="s">
        <v>178</v>
      </c>
      <c r="BC5" s="4" t="s">
        <v>121</v>
      </c>
      <c r="BE5" s="16"/>
    </row>
    <row r="6" spans="2:57" ht="17" x14ac:dyDescent="0.2">
      <c r="B6" s="16"/>
      <c r="D6" s="11" t="s">
        <v>2</v>
      </c>
      <c r="E6" s="12">
        <f>VLOOKUP(LOWER(G4),experiments_specs!$A:$J,3,FALSE)</f>
        <v>1</v>
      </c>
      <c r="F6" s="15" t="s">
        <v>100</v>
      </c>
      <c r="G6" s="5" t="s">
        <v>19</v>
      </c>
      <c r="H6" s="17" t="s">
        <v>354</v>
      </c>
      <c r="I6" s="17">
        <v>0.13693060000000001</v>
      </c>
      <c r="J6" s="17" t="s">
        <v>288</v>
      </c>
      <c r="K6" s="17">
        <v>3.7112999999999998E-3</v>
      </c>
      <c r="L6" s="30">
        <v>0.19047619047619047</v>
      </c>
      <c r="M6" s="21" t="s">
        <v>197</v>
      </c>
      <c r="N6" s="21">
        <v>0.1613743</v>
      </c>
      <c r="O6" s="21" t="s">
        <v>198</v>
      </c>
      <c r="P6" s="21">
        <v>5.2909000000000003E-3</v>
      </c>
      <c r="Q6" s="33">
        <v>9.5238095238095233E-2</v>
      </c>
      <c r="S6" s="16"/>
      <c r="U6" s="16"/>
      <c r="W6" s="11" t="s">
        <v>2</v>
      </c>
      <c r="X6" s="12">
        <f>VLOOKUP(LOWER(Z4),experiments_specs!$A:$J,3,FALSE)</f>
        <v>1</v>
      </c>
      <c r="Y6" s="15" t="s">
        <v>106</v>
      </c>
      <c r="Z6" s="5" t="s">
        <v>19</v>
      </c>
      <c r="AA6" s="17" t="s">
        <v>354</v>
      </c>
      <c r="AB6" s="17">
        <v>0.1404878</v>
      </c>
      <c r="AC6" s="17" t="s">
        <v>288</v>
      </c>
      <c r="AD6" s="17">
        <v>2.2846499999999999E-2</v>
      </c>
      <c r="AE6" s="30">
        <v>0.19047619047619047</v>
      </c>
      <c r="AF6" s="21" t="s">
        <v>47</v>
      </c>
      <c r="AG6" s="21">
        <v>0.11020770000000001</v>
      </c>
      <c r="AH6" s="21" t="s">
        <v>447</v>
      </c>
      <c r="AI6" s="21">
        <v>2.95763E-2</v>
      </c>
      <c r="AJ6" s="33">
        <v>0.19047619047619047</v>
      </c>
      <c r="AL6" s="16"/>
      <c r="AN6" s="16"/>
      <c r="AP6" s="11" t="s">
        <v>2</v>
      </c>
      <c r="AQ6" s="12">
        <f>VLOOKUP(LOWER(AS4),experiments_specs!$A:$J,3,FALSE)</f>
        <v>1</v>
      </c>
      <c r="AR6" s="15" t="s">
        <v>112</v>
      </c>
      <c r="AS6" s="5" t="s">
        <v>19</v>
      </c>
      <c r="AT6" s="17" t="s">
        <v>354</v>
      </c>
      <c r="AU6" s="17">
        <v>0.1404878</v>
      </c>
      <c r="AV6" s="17" t="s">
        <v>288</v>
      </c>
      <c r="AW6" s="17">
        <v>2.2846499999999999E-2</v>
      </c>
      <c r="AX6" s="30">
        <v>0.19047619047619047</v>
      </c>
      <c r="AY6" s="21" t="s">
        <v>47</v>
      </c>
      <c r="AZ6" s="21">
        <v>0.11020770000000001</v>
      </c>
      <c r="BA6" s="21" t="s">
        <v>447</v>
      </c>
      <c r="BB6" s="21">
        <v>2.6759499999999999E-2</v>
      </c>
      <c r="BC6" s="33">
        <v>0.19047619047619047</v>
      </c>
      <c r="BE6" s="16"/>
    </row>
    <row r="7" spans="2:57" ht="17" x14ac:dyDescent="0.2">
      <c r="B7" s="16"/>
      <c r="D7" s="11" t="s">
        <v>3</v>
      </c>
      <c r="E7" s="12">
        <f>VLOOKUP(LOWER(G4),experiments_specs!$A:$J,4,FALSE)</f>
        <v>2</v>
      </c>
      <c r="F7" s="15" t="s">
        <v>100</v>
      </c>
      <c r="G7" s="6" t="s">
        <v>12</v>
      </c>
      <c r="H7" s="18" t="s">
        <v>422</v>
      </c>
      <c r="I7" s="18">
        <v>0.134687</v>
      </c>
      <c r="J7" s="18" t="s">
        <v>423</v>
      </c>
      <c r="K7" s="18">
        <v>8.8275000000000003E-3</v>
      </c>
      <c r="L7" s="31">
        <v>0.2857142857142857</v>
      </c>
      <c r="M7" s="22" t="s">
        <v>24</v>
      </c>
      <c r="N7" s="22">
        <v>0.11396050000000001</v>
      </c>
      <c r="O7" s="22" t="s">
        <v>424</v>
      </c>
      <c r="P7" s="22">
        <v>1.31637E-2</v>
      </c>
      <c r="Q7" s="34">
        <v>0.42857142857142855</v>
      </c>
      <c r="S7" s="16"/>
      <c r="U7" s="16"/>
      <c r="W7" s="11" t="s">
        <v>3</v>
      </c>
      <c r="X7" s="12">
        <f>VLOOKUP(LOWER(Z4),experiments_specs!$A:$J,4,FALSE)</f>
        <v>2</v>
      </c>
      <c r="Y7" s="15" t="s">
        <v>106</v>
      </c>
      <c r="Z7" s="6" t="s">
        <v>12</v>
      </c>
      <c r="AA7" s="18" t="s">
        <v>22</v>
      </c>
      <c r="AB7" s="18">
        <v>0.13693060000000001</v>
      </c>
      <c r="AC7" s="18" t="s">
        <v>23</v>
      </c>
      <c r="AD7" s="18">
        <v>4.3249900000000001E-2</v>
      </c>
      <c r="AE7" s="31">
        <v>0.42857142857142855</v>
      </c>
      <c r="AF7" s="22" t="s">
        <v>24</v>
      </c>
      <c r="AG7" s="22">
        <v>0.1167748</v>
      </c>
      <c r="AH7" s="22" t="s">
        <v>448</v>
      </c>
      <c r="AI7" s="22">
        <v>6.7770800000000006E-2</v>
      </c>
      <c r="AJ7" s="34">
        <v>0.42857142857142855</v>
      </c>
      <c r="AL7" s="16"/>
      <c r="AN7" s="16"/>
      <c r="AP7" s="11" t="s">
        <v>3</v>
      </c>
      <c r="AQ7" s="12">
        <f>VLOOKUP(LOWER(AS4),experiments_specs!$A:$J,4,FALSE)</f>
        <v>2</v>
      </c>
      <c r="AR7" s="15" t="s">
        <v>112</v>
      </c>
      <c r="AS7" s="6" t="s">
        <v>12</v>
      </c>
      <c r="AT7" s="18" t="s">
        <v>22</v>
      </c>
      <c r="AU7" s="18">
        <v>0.13693060000000001</v>
      </c>
      <c r="AV7" s="18" t="s">
        <v>23</v>
      </c>
      <c r="AW7" s="18">
        <v>4.3249900000000001E-2</v>
      </c>
      <c r="AX7" s="31">
        <v>0.42857142857142855</v>
      </c>
      <c r="AY7" s="22" t="s">
        <v>24</v>
      </c>
      <c r="AZ7" s="22">
        <v>0.1167748</v>
      </c>
      <c r="BA7" s="22" t="s">
        <v>448</v>
      </c>
      <c r="BB7" s="22">
        <v>6.7770800000000006E-2</v>
      </c>
      <c r="BC7" s="34">
        <v>0.42857142857142855</v>
      </c>
      <c r="BE7" s="16"/>
    </row>
    <row r="8" spans="2:57" x14ac:dyDescent="0.2">
      <c r="B8" s="16"/>
      <c r="D8" s="11" t="s">
        <v>4</v>
      </c>
      <c r="E8" s="12" t="str">
        <f>VLOOKUP(LOWER(G4),experiments_specs!$A:$J,5,FALSE)</f>
        <v>False</v>
      </c>
      <c r="F8" s="15" t="s">
        <v>100</v>
      </c>
      <c r="G8" s="6" t="s">
        <v>13</v>
      </c>
      <c r="H8" s="19" t="s">
        <v>425</v>
      </c>
      <c r="I8" s="19">
        <v>0.1074172</v>
      </c>
      <c r="J8" s="19" t="s">
        <v>426</v>
      </c>
      <c r="K8" s="19">
        <v>1.3437899999999999E-2</v>
      </c>
      <c r="L8" s="31" t="s">
        <v>25</v>
      </c>
      <c r="M8" s="22" t="s">
        <v>427</v>
      </c>
      <c r="N8" s="22">
        <v>0.1121936</v>
      </c>
      <c r="O8" s="22" t="s">
        <v>426</v>
      </c>
      <c r="P8" s="22">
        <v>1.42153E-2</v>
      </c>
      <c r="Q8" s="34" t="s">
        <v>25</v>
      </c>
      <c r="S8" s="16"/>
      <c r="U8" s="16"/>
      <c r="W8" s="11" t="s">
        <v>4</v>
      </c>
      <c r="X8" s="12" t="str">
        <f>VLOOKUP(LOWER(Z4),experiments_specs!$A:$J,5,FALSE)</f>
        <v>True</v>
      </c>
      <c r="Y8" s="15" t="s">
        <v>106</v>
      </c>
      <c r="Z8" s="6" t="s">
        <v>13</v>
      </c>
      <c r="AA8" s="19" t="s">
        <v>32</v>
      </c>
      <c r="AB8" s="19">
        <v>0.16329930000000001</v>
      </c>
      <c r="AC8" s="19" t="s">
        <v>398</v>
      </c>
      <c r="AD8" s="19">
        <v>3.2274799999999999E-2</v>
      </c>
      <c r="AE8" s="31">
        <v>0.4</v>
      </c>
      <c r="AF8" s="22" t="s">
        <v>34</v>
      </c>
      <c r="AG8" s="22">
        <v>4.8794999999999998E-2</v>
      </c>
      <c r="AH8" s="22" t="s">
        <v>35</v>
      </c>
      <c r="AI8" s="22">
        <v>3.6596200000000002E-2</v>
      </c>
      <c r="AJ8" s="34" t="s">
        <v>25</v>
      </c>
      <c r="AL8" s="16"/>
      <c r="AN8" s="16"/>
      <c r="AP8" s="11" t="s">
        <v>4</v>
      </c>
      <c r="AQ8" s="12" t="str">
        <f>VLOOKUP(LOWER(AS4),experiments_specs!$A:$J,5,FALSE)</f>
        <v>True</v>
      </c>
      <c r="AR8" s="15" t="s">
        <v>112</v>
      </c>
      <c r="AS8" s="6" t="s">
        <v>13</v>
      </c>
      <c r="AT8" s="19" t="s">
        <v>326</v>
      </c>
      <c r="AU8" s="19">
        <v>0.14784420000000001</v>
      </c>
      <c r="AV8" s="19" t="s">
        <v>327</v>
      </c>
      <c r="AW8" s="19">
        <v>3.2170400000000002E-2</v>
      </c>
      <c r="AX8" s="31" t="s">
        <v>25</v>
      </c>
      <c r="AY8" s="22" t="s">
        <v>417</v>
      </c>
      <c r="AZ8" s="22">
        <v>5.72598E-2</v>
      </c>
      <c r="BA8" s="22" t="s">
        <v>327</v>
      </c>
      <c r="BB8" s="22">
        <v>3.2170400000000002E-2</v>
      </c>
      <c r="BC8" s="34" t="s">
        <v>25</v>
      </c>
      <c r="BE8" s="16"/>
    </row>
    <row r="9" spans="2:57" x14ac:dyDescent="0.2">
      <c r="B9" s="16"/>
      <c r="D9" s="11" t="s">
        <v>5</v>
      </c>
      <c r="E9" s="12" t="str">
        <f>VLOOKUP(LOWER(G4),experiments_specs!$A:$J,6,FALSE)</f>
        <v>True</v>
      </c>
      <c r="F9" s="15" t="s">
        <v>100</v>
      </c>
      <c r="G9" s="6" t="s">
        <v>14</v>
      </c>
      <c r="H9" s="19" t="s">
        <v>428</v>
      </c>
      <c r="I9" s="19">
        <v>0.1256148</v>
      </c>
      <c r="J9" s="19" t="s">
        <v>429</v>
      </c>
      <c r="K9" s="19">
        <v>6.2627999999999998E-3</v>
      </c>
      <c r="L9" s="31">
        <v>0.125</v>
      </c>
      <c r="M9" s="22" t="s">
        <v>430</v>
      </c>
      <c r="N9" s="22">
        <v>9.2450000000000004E-2</v>
      </c>
      <c r="O9" s="22" t="s">
        <v>429</v>
      </c>
      <c r="P9" s="22">
        <v>1.11641E-2</v>
      </c>
      <c r="Q9" s="34">
        <v>0.125</v>
      </c>
      <c r="S9" s="16"/>
      <c r="U9" s="16"/>
      <c r="W9" s="11" t="s">
        <v>5</v>
      </c>
      <c r="X9" s="12" t="str">
        <f>VLOOKUP(LOWER(Z4),experiments_specs!$A:$J,6,FALSE)</f>
        <v>True</v>
      </c>
      <c r="Y9" s="15" t="s">
        <v>106</v>
      </c>
      <c r="Z9" s="6" t="s">
        <v>14</v>
      </c>
      <c r="AA9" s="19" t="s">
        <v>449</v>
      </c>
      <c r="AB9" s="19">
        <v>0.14165759999999999</v>
      </c>
      <c r="AC9" s="19" t="s">
        <v>450</v>
      </c>
      <c r="AD9" s="19">
        <v>1.95006E-2</v>
      </c>
      <c r="AE9" s="31">
        <v>0.2857142857142857</v>
      </c>
      <c r="AF9" s="22" t="s">
        <v>451</v>
      </c>
      <c r="AG9" s="22">
        <v>0.1243339</v>
      </c>
      <c r="AH9" s="22" t="s">
        <v>450</v>
      </c>
      <c r="AI9" s="22">
        <v>2.2750699999999999E-2</v>
      </c>
      <c r="AJ9" s="34">
        <v>0.2857142857142857</v>
      </c>
      <c r="AL9" s="16"/>
      <c r="AN9" s="16"/>
      <c r="AP9" s="11" t="s">
        <v>5</v>
      </c>
      <c r="AQ9" s="12" t="str">
        <f>VLOOKUP(LOWER(AS4),experiments_specs!$A:$J,6,FALSE)</f>
        <v>True</v>
      </c>
      <c r="AR9" s="15" t="s">
        <v>112</v>
      </c>
      <c r="AS9" s="6" t="s">
        <v>14</v>
      </c>
      <c r="AT9" s="19" t="s">
        <v>449</v>
      </c>
      <c r="AU9" s="19">
        <v>0.1426954</v>
      </c>
      <c r="AV9" s="19" t="s">
        <v>450</v>
      </c>
      <c r="AW9" s="19">
        <v>1.9643500000000001E-2</v>
      </c>
      <c r="AX9" s="31">
        <v>0.2857142857142857</v>
      </c>
      <c r="AY9" s="22" t="s">
        <v>451</v>
      </c>
      <c r="AZ9" s="22">
        <v>0.12524479999999999</v>
      </c>
      <c r="BA9" s="22" t="s">
        <v>450</v>
      </c>
      <c r="BB9" s="22">
        <v>2.11545E-2</v>
      </c>
      <c r="BC9" s="34">
        <v>0.2857142857142857</v>
      </c>
      <c r="BE9" s="16"/>
    </row>
    <row r="10" spans="2:57" ht="17" x14ac:dyDescent="0.2">
      <c r="B10" s="16"/>
      <c r="D10" s="11" t="s">
        <v>6</v>
      </c>
      <c r="E10" s="12" t="str">
        <f>VLOOKUP(LOWER(G4),experiments_specs!$A:$J,7,FALSE)</f>
        <v>True</v>
      </c>
      <c r="F10" s="15" t="s">
        <v>100</v>
      </c>
      <c r="G10" s="6" t="s">
        <v>15</v>
      </c>
      <c r="H10" s="19" t="s">
        <v>26</v>
      </c>
      <c r="I10" s="19">
        <v>0.19889799999999999</v>
      </c>
      <c r="J10" s="19" t="s">
        <v>27</v>
      </c>
      <c r="K10" s="19">
        <v>5.3302000000000002E-3</v>
      </c>
      <c r="L10" s="31">
        <v>0.16666666666666666</v>
      </c>
      <c r="M10" s="23" t="s">
        <v>365</v>
      </c>
      <c r="N10" s="23">
        <v>7.1611400000000006E-2</v>
      </c>
      <c r="O10" s="23" t="s">
        <v>27</v>
      </c>
      <c r="P10" s="23">
        <v>1.3173799999999999E-2</v>
      </c>
      <c r="Q10" s="34">
        <v>0.16666666666666666</v>
      </c>
      <c r="S10" s="16"/>
      <c r="U10" s="16"/>
      <c r="W10" s="11" t="s">
        <v>6</v>
      </c>
      <c r="X10" s="12" t="str">
        <f>VLOOKUP(LOWER(Z4),experiments_specs!$A:$J,7,FALSE)</f>
        <v>True</v>
      </c>
      <c r="Y10" s="15" t="s">
        <v>106</v>
      </c>
      <c r="Z10" s="6" t="s">
        <v>15</v>
      </c>
      <c r="AA10" s="19" t="s">
        <v>26</v>
      </c>
      <c r="AB10" s="19">
        <v>0.2142857</v>
      </c>
      <c r="AC10" s="19" t="s">
        <v>27</v>
      </c>
      <c r="AD10" s="19">
        <v>2.3380399999999999E-2</v>
      </c>
      <c r="AE10" s="31">
        <v>0.16666666666666666</v>
      </c>
      <c r="AF10" s="23" t="s">
        <v>365</v>
      </c>
      <c r="AG10" s="23">
        <v>3.85758E-2</v>
      </c>
      <c r="AH10" s="23" t="s">
        <v>26</v>
      </c>
      <c r="AI10" s="23">
        <v>5.7142800000000001E-2</v>
      </c>
      <c r="AJ10" s="34">
        <v>0.18181818181818182</v>
      </c>
      <c r="AL10" s="16"/>
      <c r="AN10" s="16"/>
      <c r="AP10" s="11" t="s">
        <v>6</v>
      </c>
      <c r="AQ10" s="12" t="str">
        <f>VLOOKUP(LOWER(AS4),experiments_specs!$A:$J,7,FALSE)</f>
        <v>True</v>
      </c>
      <c r="AR10" s="15" t="s">
        <v>112</v>
      </c>
      <c r="AS10" s="6" t="s">
        <v>15</v>
      </c>
      <c r="AT10" s="19" t="s">
        <v>26</v>
      </c>
      <c r="AU10" s="19">
        <v>0.2142857</v>
      </c>
      <c r="AV10" s="19" t="s">
        <v>27</v>
      </c>
      <c r="AW10" s="19">
        <v>2.3380399999999999E-2</v>
      </c>
      <c r="AX10" s="31">
        <v>0.16666666666666666</v>
      </c>
      <c r="AY10" s="23" t="s">
        <v>365</v>
      </c>
      <c r="AZ10" s="23">
        <v>3.85758E-2</v>
      </c>
      <c r="BA10" s="23" t="s">
        <v>26</v>
      </c>
      <c r="BB10" s="23">
        <v>5.7142800000000001E-2</v>
      </c>
      <c r="BC10" s="34">
        <v>0.18181818181818182</v>
      </c>
      <c r="BE10" s="16"/>
    </row>
    <row r="11" spans="2:57" ht="34" x14ac:dyDescent="0.2">
      <c r="B11" s="16"/>
      <c r="D11" s="11" t="s">
        <v>7</v>
      </c>
      <c r="E11" s="12" t="str">
        <f>VLOOKUP(LOWER(G4),experiments_specs!$A:$J,8,FALSE)</f>
        <v>True</v>
      </c>
      <c r="F11" s="15" t="s">
        <v>100</v>
      </c>
      <c r="G11" s="6" t="s">
        <v>16</v>
      </c>
      <c r="H11" s="19" t="s">
        <v>208</v>
      </c>
      <c r="I11" s="19">
        <v>0.1977969</v>
      </c>
      <c r="J11" s="19" t="s">
        <v>431</v>
      </c>
      <c r="K11" s="19">
        <v>3.6021999999999998E-3</v>
      </c>
      <c r="L11" s="31">
        <v>0.55555555555555558</v>
      </c>
      <c r="M11" s="23" t="s">
        <v>432</v>
      </c>
      <c r="N11" s="23">
        <v>0.19749240000000001</v>
      </c>
      <c r="O11" s="23" t="s">
        <v>433</v>
      </c>
      <c r="P11" s="23">
        <v>5.3680000000000004E-3</v>
      </c>
      <c r="Q11" s="34">
        <v>0.13333333333333333</v>
      </c>
      <c r="S11" s="16"/>
      <c r="U11" s="16"/>
      <c r="W11" s="11" t="s">
        <v>7</v>
      </c>
      <c r="X11" s="12" t="str">
        <f>VLOOKUP(LOWER(Z4),experiments_specs!$A:$J,8,FALSE)</f>
        <v>True</v>
      </c>
      <c r="Y11" s="15" t="s">
        <v>106</v>
      </c>
      <c r="Z11" s="6" t="s">
        <v>16</v>
      </c>
      <c r="AA11" s="18" t="s">
        <v>452</v>
      </c>
      <c r="AB11" s="18" t="s">
        <v>454</v>
      </c>
      <c r="AC11" s="18" t="s">
        <v>456</v>
      </c>
      <c r="AD11" s="18" t="s">
        <v>458</v>
      </c>
      <c r="AE11" s="31">
        <v>0.22222222222222221</v>
      </c>
      <c r="AF11" s="23" t="s">
        <v>460</v>
      </c>
      <c r="AG11" s="23" t="s">
        <v>462</v>
      </c>
      <c r="AH11" s="23" t="s">
        <v>456</v>
      </c>
      <c r="AI11" s="23" t="s">
        <v>464</v>
      </c>
      <c r="AJ11" s="34">
        <v>0.22222222222222221</v>
      </c>
      <c r="AL11" s="16"/>
      <c r="AN11" s="16"/>
      <c r="AP11" s="11" t="s">
        <v>7</v>
      </c>
      <c r="AQ11" s="12" t="str">
        <f>VLOOKUP(LOWER(AS4),experiments_specs!$A:$J,8,FALSE)</f>
        <v>True</v>
      </c>
      <c r="AR11" s="15" t="s">
        <v>112</v>
      </c>
      <c r="AS11" s="6" t="s">
        <v>16</v>
      </c>
      <c r="AT11" s="18" t="s">
        <v>452</v>
      </c>
      <c r="AU11" s="18" t="s">
        <v>454</v>
      </c>
      <c r="AV11" s="18" t="s">
        <v>456</v>
      </c>
      <c r="AW11" s="18" t="s">
        <v>523</v>
      </c>
      <c r="AX11" s="31">
        <v>0.22222222222222221</v>
      </c>
      <c r="AY11" s="23" t="s">
        <v>460</v>
      </c>
      <c r="AZ11" s="23" t="s">
        <v>462</v>
      </c>
      <c r="BA11" s="23" t="s">
        <v>456</v>
      </c>
      <c r="BB11" s="23" t="s">
        <v>464</v>
      </c>
      <c r="BC11" s="34">
        <v>0.22222222222222221</v>
      </c>
      <c r="BE11" s="16"/>
    </row>
    <row r="12" spans="2:57" ht="51" x14ac:dyDescent="0.2">
      <c r="B12" s="16"/>
      <c r="D12" s="11" t="s">
        <v>8</v>
      </c>
      <c r="E12" s="12" t="str">
        <f>VLOOKUP(LOWER(G4),experiments_specs!$A:$J,9,FALSE)</f>
        <v>wup_similarity</v>
      </c>
      <c r="F12" s="15" t="s">
        <v>100</v>
      </c>
      <c r="G12" s="6" t="s">
        <v>17</v>
      </c>
      <c r="H12" s="19" t="s">
        <v>218</v>
      </c>
      <c r="I12" s="19">
        <v>0.21759700000000001</v>
      </c>
      <c r="J12" s="19" t="s">
        <v>219</v>
      </c>
      <c r="K12" s="19">
        <v>2.9616E-3</v>
      </c>
      <c r="L12" s="31">
        <v>0.13333333333333333</v>
      </c>
      <c r="M12" s="22" t="s">
        <v>434</v>
      </c>
      <c r="N12" s="22">
        <v>6.1545700000000002E-2</v>
      </c>
      <c r="O12" s="22" t="s">
        <v>435</v>
      </c>
      <c r="P12" s="22">
        <v>7.0571999999999996E-3</v>
      </c>
      <c r="Q12" s="34">
        <v>0.44444444444444442</v>
      </c>
      <c r="S12" s="16"/>
      <c r="U12" s="16"/>
      <c r="W12" s="11" t="s">
        <v>8</v>
      </c>
      <c r="X12" s="12" t="str">
        <f>VLOOKUP(LOWER(Z4),experiments_specs!$A:$J,9,FALSE)</f>
        <v>wup_similarity</v>
      </c>
      <c r="Y12" s="15" t="s">
        <v>106</v>
      </c>
      <c r="Z12" s="6" t="s">
        <v>17</v>
      </c>
      <c r="AA12" s="18" t="s">
        <v>278</v>
      </c>
      <c r="AB12" s="18" t="s">
        <v>466</v>
      </c>
      <c r="AC12" s="18" t="s">
        <v>189</v>
      </c>
      <c r="AD12" s="18" t="s">
        <v>468</v>
      </c>
      <c r="AE12" s="31">
        <v>0.30769230769230771</v>
      </c>
      <c r="AF12" s="22" t="s">
        <v>470</v>
      </c>
      <c r="AG12" s="22">
        <v>3.3709900000000001E-2</v>
      </c>
      <c r="AH12" s="22" t="s">
        <v>471</v>
      </c>
      <c r="AI12" s="22">
        <v>2.7524E-2</v>
      </c>
      <c r="AJ12" s="34">
        <v>0.16666666666666666</v>
      </c>
      <c r="AL12" s="16"/>
      <c r="AN12" s="16"/>
      <c r="AP12" s="11" t="s">
        <v>8</v>
      </c>
      <c r="AQ12" s="12" t="str">
        <f>VLOOKUP(LOWER(AS4),experiments_specs!$A:$J,9,FALSE)</f>
        <v>wup_similarity</v>
      </c>
      <c r="AR12" s="15" t="s">
        <v>112</v>
      </c>
      <c r="AS12" s="6" t="s">
        <v>17</v>
      </c>
      <c r="AT12" s="18" t="s">
        <v>278</v>
      </c>
      <c r="AU12" s="18" t="s">
        <v>466</v>
      </c>
      <c r="AV12" s="18" t="s">
        <v>189</v>
      </c>
      <c r="AW12" s="18" t="s">
        <v>525</v>
      </c>
      <c r="AX12" s="31">
        <v>0.30769230769230771</v>
      </c>
      <c r="AY12" s="22" t="s">
        <v>470</v>
      </c>
      <c r="AZ12" s="22">
        <v>3.3709900000000001E-2</v>
      </c>
      <c r="BA12" s="22" t="s">
        <v>471</v>
      </c>
      <c r="BB12" s="22">
        <v>2.7524E-2</v>
      </c>
      <c r="BC12" s="34">
        <v>0.16666666666666666</v>
      </c>
      <c r="BE12" s="16"/>
    </row>
    <row r="13" spans="2:57" x14ac:dyDescent="0.2">
      <c r="B13" s="16"/>
      <c r="D13" s="11" t="s">
        <v>9</v>
      </c>
      <c r="E13" s="12" t="str">
        <f>VLOOKUP(LOWER(G4),experiments_specs!$A:$J,10,FALSE)</f>
        <v>False</v>
      </c>
      <c r="F13" s="15" t="s">
        <v>100</v>
      </c>
      <c r="G13" s="7" t="s">
        <v>18</v>
      </c>
      <c r="H13" s="20" t="s">
        <v>222</v>
      </c>
      <c r="I13" s="20">
        <v>0.1231288</v>
      </c>
      <c r="J13" s="20" t="s">
        <v>223</v>
      </c>
      <c r="K13" s="20">
        <v>2.9762999999999999E-3</v>
      </c>
      <c r="L13" s="32">
        <v>0.21052631578947367</v>
      </c>
      <c r="M13" s="24" t="s">
        <v>46</v>
      </c>
      <c r="N13" s="24">
        <v>5.4272500000000001E-2</v>
      </c>
      <c r="O13" s="24" t="s">
        <v>436</v>
      </c>
      <c r="P13" s="24">
        <v>3.6729000000000002E-3</v>
      </c>
      <c r="Q13" s="35">
        <v>0.22222222222222221</v>
      </c>
      <c r="S13" s="16"/>
      <c r="U13" s="16"/>
      <c r="W13" s="11" t="s">
        <v>9</v>
      </c>
      <c r="X13" s="12" t="str">
        <f>VLOOKUP(LOWER(Z4),experiments_specs!$A:$J,10,FALSE)</f>
        <v>False</v>
      </c>
      <c r="Y13" s="15" t="s">
        <v>106</v>
      </c>
      <c r="Z13" s="7" t="s">
        <v>18</v>
      </c>
      <c r="AA13" s="20" t="s">
        <v>44</v>
      </c>
      <c r="AB13" s="20">
        <v>6.12563E-2</v>
      </c>
      <c r="AC13" s="20" t="s">
        <v>472</v>
      </c>
      <c r="AD13" s="20">
        <v>2.48069E-2</v>
      </c>
      <c r="AE13" s="32">
        <v>0.21052631578947367</v>
      </c>
      <c r="AF13" s="24" t="s">
        <v>46</v>
      </c>
      <c r="AG13" s="24">
        <v>5.90281E-2</v>
      </c>
      <c r="AH13" s="24" t="s">
        <v>436</v>
      </c>
      <c r="AI13" s="24">
        <v>3.7127500000000001E-2</v>
      </c>
      <c r="AJ13" s="35">
        <v>0.22222222222222221</v>
      </c>
      <c r="AL13" s="16"/>
      <c r="AN13" s="16"/>
      <c r="AP13" s="11" t="s">
        <v>9</v>
      </c>
      <c r="AQ13" s="12" t="str">
        <f>VLOOKUP(LOWER(AS4),experiments_specs!$A:$J,10,FALSE)</f>
        <v>True</v>
      </c>
      <c r="AR13" s="15" t="s">
        <v>112</v>
      </c>
      <c r="AS13" s="7" t="s">
        <v>18</v>
      </c>
      <c r="AT13" s="20" t="s">
        <v>44</v>
      </c>
      <c r="AU13" s="20">
        <v>6.12563E-2</v>
      </c>
      <c r="AV13" s="20" t="s">
        <v>472</v>
      </c>
      <c r="AW13" s="20">
        <v>2.48069E-2</v>
      </c>
      <c r="AX13" s="32">
        <v>0.21052631578947367</v>
      </c>
      <c r="AY13" s="24" t="s">
        <v>46</v>
      </c>
      <c r="AZ13" s="24">
        <v>5.90281E-2</v>
      </c>
      <c r="BA13" s="24" t="s">
        <v>436</v>
      </c>
      <c r="BB13" s="24">
        <v>3.7127500000000001E-2</v>
      </c>
      <c r="BC13" s="35">
        <v>0.22222222222222221</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TEST_38</v>
      </c>
      <c r="H15" s="41" t="s">
        <v>124</v>
      </c>
      <c r="I15" s="41"/>
      <c r="J15" s="41"/>
      <c r="K15" s="41"/>
      <c r="L15" s="41"/>
      <c r="M15" s="42" t="s">
        <v>123</v>
      </c>
      <c r="N15" s="42"/>
      <c r="O15" s="42"/>
      <c r="P15" s="42"/>
      <c r="Q15" s="42"/>
      <c r="R15" s="2"/>
      <c r="S15" s="16"/>
      <c r="U15" s="16"/>
      <c r="W15" s="13" t="s">
        <v>126</v>
      </c>
      <c r="X15" s="14"/>
      <c r="Y15" s="9"/>
      <c r="Z15" s="10" t="str">
        <f>"TEST_"&amp;TEXT(RIGHT(Z4,2)+1, "00")</f>
        <v>TEST_44</v>
      </c>
      <c r="AA15" s="41" t="s">
        <v>124</v>
      </c>
      <c r="AB15" s="41"/>
      <c r="AC15" s="41"/>
      <c r="AD15" s="41"/>
      <c r="AE15" s="41"/>
      <c r="AF15" s="42" t="s">
        <v>123</v>
      </c>
      <c r="AG15" s="42"/>
      <c r="AH15" s="42"/>
      <c r="AI15" s="42"/>
      <c r="AJ15" s="42"/>
      <c r="AK15" s="2"/>
      <c r="AL15" s="16"/>
      <c r="AN15" s="16"/>
      <c r="AP15" s="13" t="s">
        <v>126</v>
      </c>
      <c r="AQ15" s="14"/>
      <c r="AR15" s="9"/>
      <c r="AS15" s="10" t="str">
        <f>"TEST_"&amp;TEXT(RIGHT(AS4,2)+1, "00")</f>
        <v>TEST_50</v>
      </c>
      <c r="AT15" s="41" t="s">
        <v>124</v>
      </c>
      <c r="AU15" s="41"/>
      <c r="AV15" s="41"/>
      <c r="AW15" s="41"/>
      <c r="AX15" s="41"/>
      <c r="AY15" s="42" t="s">
        <v>123</v>
      </c>
      <c r="AZ15" s="42"/>
      <c r="BA15" s="42"/>
      <c r="BB15" s="42"/>
      <c r="BC15" s="42"/>
      <c r="BD15" s="2"/>
      <c r="BE15" s="16"/>
    </row>
    <row r="16" spans="2:57" x14ac:dyDescent="0.2">
      <c r="B16" s="16"/>
      <c r="D16" s="11" t="s">
        <v>1</v>
      </c>
      <c r="E16" s="12" t="str">
        <f>VLOOKUP(LOWER(G15),experiments_specs!$A:$J,2,FALSE)</f>
        <v>NN,JJ</v>
      </c>
      <c r="F16" s="15" t="str">
        <f>"{"&amp;LOWER(G15)&amp;".csv}"</f>
        <v>{test_38.csv}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VLOOKUP(LOWER(Z15),experiments_specs!$A:$J,2,FALSE)</f>
        <v>NN,JJ</v>
      </c>
      <c r="Y16" s="15" t="str">
        <f>"{"&amp;LOWER(Z15)&amp;".csv}"</f>
        <v>{test_44.csv}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VLOOKUP(LOWER(AS15),experiments_specs!$A:$J,2,FALSE)</f>
        <v>NN,JJ</v>
      </c>
      <c r="AR16" s="15" t="str">
        <f>"{"&amp;LOWER(AS15)&amp;".csv}"</f>
        <v>{test_50.csv}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17" x14ac:dyDescent="0.2">
      <c r="B17" s="16"/>
      <c r="D17" s="11" t="s">
        <v>2</v>
      </c>
      <c r="E17" s="12">
        <f>VLOOKUP(LOWER(G15),experiments_specs!$A:$J,3,FALSE)</f>
        <v>1</v>
      </c>
      <c r="F17" s="15" t="s">
        <v>101</v>
      </c>
      <c r="G17" s="5" t="s">
        <v>19</v>
      </c>
      <c r="H17" s="17" t="s">
        <v>225</v>
      </c>
      <c r="I17" s="17">
        <v>0.13470389999999999</v>
      </c>
      <c r="J17" s="17" t="s">
        <v>226</v>
      </c>
      <c r="K17" s="17">
        <v>2.6365999999999998E-3</v>
      </c>
      <c r="L17" s="30">
        <v>0.17391304347826086</v>
      </c>
      <c r="M17" s="21" t="s">
        <v>227</v>
      </c>
      <c r="N17" s="21">
        <v>8.5194199999999998E-2</v>
      </c>
      <c r="O17" s="21" t="s">
        <v>437</v>
      </c>
      <c r="P17" s="21">
        <v>8.0210000000000004E-3</v>
      </c>
      <c r="Q17" s="33">
        <v>0.11764705882352941</v>
      </c>
      <c r="S17" s="16"/>
      <c r="U17" s="16"/>
      <c r="W17" s="11" t="s">
        <v>2</v>
      </c>
      <c r="X17" s="12">
        <f>VLOOKUP(LOWER(Z15),experiments_specs!$A:$J,3,FALSE)</f>
        <v>1</v>
      </c>
      <c r="Y17" s="15" t="s">
        <v>107</v>
      </c>
      <c r="Z17" s="5" t="s">
        <v>19</v>
      </c>
      <c r="AA17" s="17" t="s">
        <v>225</v>
      </c>
      <c r="AB17" s="17">
        <v>0.1404878</v>
      </c>
      <c r="AC17" s="17" t="s">
        <v>226</v>
      </c>
      <c r="AD17" s="17">
        <v>2.5636099999999998E-2</v>
      </c>
      <c r="AE17" s="30">
        <v>0.17391304347826086</v>
      </c>
      <c r="AF17" s="21" t="s">
        <v>288</v>
      </c>
      <c r="AG17" s="21">
        <v>0.16754150000000001</v>
      </c>
      <c r="AH17" s="21" t="s">
        <v>226</v>
      </c>
      <c r="AI17" s="21">
        <v>3.6123599999999999E-2</v>
      </c>
      <c r="AJ17" s="33">
        <v>0.17391304347826086</v>
      </c>
      <c r="AL17" s="16"/>
      <c r="AN17" s="16"/>
      <c r="AP17" s="11" t="s">
        <v>2</v>
      </c>
      <c r="AQ17" s="12">
        <f>VLOOKUP(LOWER(AS15),experiments_specs!$A:$J,3,FALSE)</f>
        <v>1</v>
      </c>
      <c r="AR17" s="15" t="s">
        <v>113</v>
      </c>
      <c r="AS17" s="5" t="s">
        <v>19</v>
      </c>
      <c r="AT17" s="17" t="s">
        <v>225</v>
      </c>
      <c r="AU17" s="17">
        <v>0.1404878</v>
      </c>
      <c r="AV17" s="17" t="s">
        <v>226</v>
      </c>
      <c r="AW17" s="17">
        <v>2.7404100000000001E-2</v>
      </c>
      <c r="AX17" s="30">
        <v>0.17391304347826086</v>
      </c>
      <c r="AY17" s="21" t="s">
        <v>288</v>
      </c>
      <c r="AZ17" s="21">
        <v>0.16754150000000001</v>
      </c>
      <c r="BA17" s="21" t="s">
        <v>226</v>
      </c>
      <c r="BB17" s="21">
        <v>2.83828E-2</v>
      </c>
      <c r="BC17" s="33">
        <v>0.17391304347826086</v>
      </c>
      <c r="BE17" s="16"/>
    </row>
    <row r="18" spans="2:57" ht="17" x14ac:dyDescent="0.2">
      <c r="B18" s="16"/>
      <c r="D18" s="11" t="s">
        <v>3</v>
      </c>
      <c r="E18" s="12">
        <f>VLOOKUP(LOWER(G15),experiments_specs!$A:$J,4,FALSE)</f>
        <v>2</v>
      </c>
      <c r="F18" s="15" t="s">
        <v>101</v>
      </c>
      <c r="G18" s="6" t="s">
        <v>12</v>
      </c>
      <c r="H18" s="18" t="s">
        <v>422</v>
      </c>
      <c r="I18" s="18">
        <v>0.12512219999999999</v>
      </c>
      <c r="J18" s="18" t="s">
        <v>423</v>
      </c>
      <c r="K18" s="18">
        <v>4.0804999999999999E-3</v>
      </c>
      <c r="L18" s="31">
        <v>0.2857142857142857</v>
      </c>
      <c r="M18" s="22" t="s">
        <v>24</v>
      </c>
      <c r="N18" s="22">
        <v>0.1058677</v>
      </c>
      <c r="O18" s="22" t="s">
        <v>424</v>
      </c>
      <c r="P18" s="22">
        <v>9.9606E-3</v>
      </c>
      <c r="Q18" s="34">
        <v>0.42857142857142855</v>
      </c>
      <c r="S18" s="16"/>
      <c r="U18" s="16"/>
      <c r="W18" s="11" t="s">
        <v>3</v>
      </c>
      <c r="X18" s="12">
        <f>VLOOKUP(LOWER(Z15),experiments_specs!$A:$J,4,FALSE)</f>
        <v>2</v>
      </c>
      <c r="Y18" s="15" t="s">
        <v>107</v>
      </c>
      <c r="Z18" s="6" t="s">
        <v>12</v>
      </c>
      <c r="AA18" s="18" t="s">
        <v>22</v>
      </c>
      <c r="AB18" s="18">
        <v>0.13363059999999999</v>
      </c>
      <c r="AC18" s="18" t="s">
        <v>23</v>
      </c>
      <c r="AD18" s="18">
        <v>2.53245E-2</v>
      </c>
      <c r="AE18" s="31">
        <v>0.42857142857142855</v>
      </c>
      <c r="AF18" s="23" t="s">
        <v>24</v>
      </c>
      <c r="AG18" s="23">
        <v>0.11396050000000001</v>
      </c>
      <c r="AH18" s="23" t="s">
        <v>448</v>
      </c>
      <c r="AI18" s="23">
        <v>6.2656600000000007E-2</v>
      </c>
      <c r="AJ18" s="34">
        <v>0.42857142857142855</v>
      </c>
      <c r="AL18" s="16"/>
      <c r="AN18" s="16"/>
      <c r="AP18" s="11" t="s">
        <v>3</v>
      </c>
      <c r="AQ18" s="12">
        <f>VLOOKUP(LOWER(AS15),experiments_specs!$A:$J,4,FALSE)</f>
        <v>2</v>
      </c>
      <c r="AR18" s="15" t="s">
        <v>113</v>
      </c>
      <c r="AS18" s="6" t="s">
        <v>12</v>
      </c>
      <c r="AT18" s="18" t="s">
        <v>22</v>
      </c>
      <c r="AU18" s="18">
        <v>0.1358036</v>
      </c>
      <c r="AV18" s="18" t="s">
        <v>23</v>
      </c>
      <c r="AW18" s="18">
        <v>3.5095000000000001E-2</v>
      </c>
      <c r="AX18" s="31">
        <v>0.42857142857142855</v>
      </c>
      <c r="AY18" s="23" t="s">
        <v>24</v>
      </c>
      <c r="AZ18" s="23">
        <v>0.11581370000000001</v>
      </c>
      <c r="BA18" s="23" t="s">
        <v>448</v>
      </c>
      <c r="BB18" s="23">
        <v>5.4992399999999997E-2</v>
      </c>
      <c r="BC18" s="34">
        <v>0.42857142857142855</v>
      </c>
      <c r="BE18" s="16"/>
    </row>
    <row r="19" spans="2:57" x14ac:dyDescent="0.2">
      <c r="B19" s="16"/>
      <c r="D19" s="11" t="s">
        <v>4</v>
      </c>
      <c r="E19" s="12" t="str">
        <f>VLOOKUP(LOWER(G15),experiments_specs!$A:$J,5,FALSE)</f>
        <v>False</v>
      </c>
      <c r="F19" s="15" t="s">
        <v>101</v>
      </c>
      <c r="G19" s="6" t="s">
        <v>13</v>
      </c>
      <c r="H19" s="19" t="s">
        <v>425</v>
      </c>
      <c r="I19" s="19">
        <v>0.1058018</v>
      </c>
      <c r="J19" s="19" t="s">
        <v>426</v>
      </c>
      <c r="K19" s="19">
        <v>1.0024699999999999E-2</v>
      </c>
      <c r="L19" s="31" t="s">
        <v>25</v>
      </c>
      <c r="M19" s="22" t="s">
        <v>427</v>
      </c>
      <c r="N19" s="22">
        <v>0.1105064</v>
      </c>
      <c r="O19" s="22" t="s">
        <v>426</v>
      </c>
      <c r="P19" s="22">
        <v>1.40015E-2</v>
      </c>
      <c r="Q19" s="34" t="s">
        <v>25</v>
      </c>
      <c r="S19" s="16"/>
      <c r="U19" s="16"/>
      <c r="W19" s="11" t="s">
        <v>4</v>
      </c>
      <c r="X19" s="12" t="str">
        <f>VLOOKUP(LOWER(Z15),experiments_specs!$A:$J,5,FALSE)</f>
        <v>True</v>
      </c>
      <c r="Y19" s="15" t="s">
        <v>107</v>
      </c>
      <c r="Z19" s="6" t="s">
        <v>13</v>
      </c>
      <c r="AA19" s="19" t="s">
        <v>32</v>
      </c>
      <c r="AB19" s="19">
        <v>0.1581138</v>
      </c>
      <c r="AC19" s="19" t="s">
        <v>473</v>
      </c>
      <c r="AD19" s="19">
        <v>2.3148100000000001E-2</v>
      </c>
      <c r="AE19" s="31">
        <v>0.4</v>
      </c>
      <c r="AF19" s="22" t="s">
        <v>34</v>
      </c>
      <c r="AG19" s="22">
        <v>4.7245500000000003E-2</v>
      </c>
      <c r="AH19" s="22" t="s">
        <v>35</v>
      </c>
      <c r="AI19" s="22">
        <v>3.5434100000000003E-2</v>
      </c>
      <c r="AJ19" s="34" t="s">
        <v>25</v>
      </c>
      <c r="AL19" s="16"/>
      <c r="AN19" s="16"/>
      <c r="AP19" s="11" t="s">
        <v>4</v>
      </c>
      <c r="AQ19" s="12" t="str">
        <f>VLOOKUP(LOWER(AS15),experiments_specs!$A:$J,5,FALSE)</f>
        <v>True</v>
      </c>
      <c r="AR19" s="15" t="s">
        <v>113</v>
      </c>
      <c r="AS19" s="6" t="s">
        <v>13</v>
      </c>
      <c r="AT19" s="19" t="s">
        <v>326</v>
      </c>
      <c r="AU19" s="19">
        <v>0.14784420000000001</v>
      </c>
      <c r="AV19" s="19" t="s">
        <v>327</v>
      </c>
      <c r="AW19" s="19">
        <v>3.2170400000000002E-2</v>
      </c>
      <c r="AX19" s="31" t="s">
        <v>25</v>
      </c>
      <c r="AY19" s="22" t="s">
        <v>417</v>
      </c>
      <c r="AZ19" s="22">
        <v>5.72598E-2</v>
      </c>
      <c r="BA19" s="22" t="s">
        <v>327</v>
      </c>
      <c r="BB19" s="22">
        <v>3.2170400000000002E-2</v>
      </c>
      <c r="BC19" s="34" t="s">
        <v>25</v>
      </c>
      <c r="BE19" s="16"/>
    </row>
    <row r="20" spans="2:57" ht="17" x14ac:dyDescent="0.2">
      <c r="B20" s="16"/>
      <c r="D20" s="11" t="s">
        <v>5</v>
      </c>
      <c r="E20" s="12" t="str">
        <f>VLOOKUP(LOWER(G15),experiments_specs!$A:$J,6,FALSE)</f>
        <v>True</v>
      </c>
      <c r="F20" s="15" t="s">
        <v>101</v>
      </c>
      <c r="G20" s="6" t="s">
        <v>14</v>
      </c>
      <c r="H20" s="19" t="s">
        <v>428</v>
      </c>
      <c r="I20" s="19">
        <v>0.1248172</v>
      </c>
      <c r="J20" s="19" t="s">
        <v>429</v>
      </c>
      <c r="K20" s="19">
        <v>4.8367999999999996E-3</v>
      </c>
      <c r="L20" s="31">
        <v>0.125</v>
      </c>
      <c r="M20" s="22" t="s">
        <v>430</v>
      </c>
      <c r="N20" s="22">
        <v>9.1863E-2</v>
      </c>
      <c r="O20" s="22" t="s">
        <v>429</v>
      </c>
      <c r="P20" s="22">
        <v>1.01382E-2</v>
      </c>
      <c r="Q20" s="34">
        <v>0.125</v>
      </c>
      <c r="S20" s="16"/>
      <c r="U20" s="16"/>
      <c r="W20" s="11" t="s">
        <v>5</v>
      </c>
      <c r="X20" s="12" t="str">
        <f>VLOOKUP(LOWER(Z15),experiments_specs!$A:$J,6,FALSE)</f>
        <v>True</v>
      </c>
      <c r="Y20" s="15" t="s">
        <v>107</v>
      </c>
      <c r="Z20" s="6" t="s">
        <v>14</v>
      </c>
      <c r="AA20" s="18" t="s">
        <v>449</v>
      </c>
      <c r="AB20" s="18">
        <v>0.1396482</v>
      </c>
      <c r="AC20" s="18" t="s">
        <v>450</v>
      </c>
      <c r="AD20" s="18">
        <v>1.5379200000000001E-2</v>
      </c>
      <c r="AE20" s="31">
        <v>0.2857142857142857</v>
      </c>
      <c r="AF20" s="23" t="s">
        <v>451</v>
      </c>
      <c r="AG20" s="23">
        <v>0.1225702</v>
      </c>
      <c r="AH20" s="23" t="s">
        <v>450</v>
      </c>
      <c r="AI20" s="23">
        <v>2.07028E-2</v>
      </c>
      <c r="AJ20" s="34">
        <v>0.2857142857142857</v>
      </c>
      <c r="AL20" s="16"/>
      <c r="AN20" s="16"/>
      <c r="AP20" s="11" t="s">
        <v>5</v>
      </c>
      <c r="AQ20" s="12" t="str">
        <f>VLOOKUP(LOWER(AS15),experiments_specs!$A:$J,6,FALSE)</f>
        <v>True</v>
      </c>
      <c r="AR20" s="15" t="s">
        <v>113</v>
      </c>
      <c r="AS20" s="6" t="s">
        <v>14</v>
      </c>
      <c r="AT20" s="18" t="s">
        <v>449</v>
      </c>
      <c r="AU20" s="18">
        <v>0.14064209999999999</v>
      </c>
      <c r="AV20" s="18" t="s">
        <v>450</v>
      </c>
      <c r="AW20" s="18">
        <v>1.6427400000000002E-2</v>
      </c>
      <c r="AX20" s="31">
        <v>0.2857142857142857</v>
      </c>
      <c r="AY20" s="23" t="s">
        <v>451</v>
      </c>
      <c r="AZ20" s="23">
        <v>0.1234426</v>
      </c>
      <c r="BA20" s="23" t="s">
        <v>450</v>
      </c>
      <c r="BB20" s="23">
        <v>1.7487200000000001E-2</v>
      </c>
      <c r="BC20" s="34">
        <v>0.2857142857142857</v>
      </c>
      <c r="BE20" s="16"/>
    </row>
    <row r="21" spans="2:57" ht="17" x14ac:dyDescent="0.2">
      <c r="B21" s="16"/>
      <c r="D21" s="11" t="s">
        <v>6</v>
      </c>
      <c r="E21" s="12" t="str">
        <f>VLOOKUP(LOWER(G15),experiments_specs!$A:$J,7,FALSE)</f>
        <v>True</v>
      </c>
      <c r="F21" s="15" t="s">
        <v>101</v>
      </c>
      <c r="G21" s="6" t="s">
        <v>15</v>
      </c>
      <c r="H21" s="19" t="s">
        <v>26</v>
      </c>
      <c r="I21" s="19">
        <v>0.19889799999999999</v>
      </c>
      <c r="J21" s="19" t="s">
        <v>27</v>
      </c>
      <c r="K21" s="19">
        <v>5.2472999999999999E-3</v>
      </c>
      <c r="L21" s="31">
        <v>0.16666666666666666</v>
      </c>
      <c r="M21" s="23" t="s">
        <v>365</v>
      </c>
      <c r="N21" s="23">
        <v>7.1611400000000006E-2</v>
      </c>
      <c r="O21" s="23" t="s">
        <v>27</v>
      </c>
      <c r="P21" s="23">
        <v>1.36039E-2</v>
      </c>
      <c r="Q21" s="34">
        <v>0.16666666666666666</v>
      </c>
      <c r="S21" s="16"/>
      <c r="U21" s="16"/>
      <c r="W21" s="11" t="s">
        <v>6</v>
      </c>
      <c r="X21" s="12" t="str">
        <f>VLOOKUP(LOWER(Z15),experiments_specs!$A:$J,7,FALSE)</f>
        <v>True</v>
      </c>
      <c r="Y21" s="15" t="s">
        <v>107</v>
      </c>
      <c r="Z21" s="6" t="s">
        <v>15</v>
      </c>
      <c r="AA21" s="19" t="s">
        <v>26</v>
      </c>
      <c r="AB21" s="19">
        <v>0.2070196</v>
      </c>
      <c r="AC21" s="19" t="s">
        <v>27</v>
      </c>
      <c r="AD21" s="19">
        <v>2.7498000000000002E-2</v>
      </c>
      <c r="AE21" s="31">
        <v>0.16666666666666666</v>
      </c>
      <c r="AF21" s="23" t="s">
        <v>15</v>
      </c>
      <c r="AG21" s="23">
        <v>0.21516569999999999</v>
      </c>
      <c r="AH21" s="23" t="s">
        <v>474</v>
      </c>
      <c r="AI21" s="23">
        <v>5.5765700000000001E-2</v>
      </c>
      <c r="AJ21" s="34">
        <v>0.90909090909090906</v>
      </c>
      <c r="AL21" s="16"/>
      <c r="AN21" s="16"/>
      <c r="AP21" s="11" t="s">
        <v>6</v>
      </c>
      <c r="AQ21" s="12" t="str">
        <f>VLOOKUP(LOWER(AS15),experiments_specs!$A:$J,7,FALSE)</f>
        <v>True</v>
      </c>
      <c r="AR21" s="15" t="s">
        <v>113</v>
      </c>
      <c r="AS21" s="6" t="s">
        <v>15</v>
      </c>
      <c r="AT21" s="19" t="s">
        <v>26</v>
      </c>
      <c r="AU21" s="19">
        <v>0.2087667</v>
      </c>
      <c r="AV21" s="19" t="s">
        <v>27</v>
      </c>
      <c r="AW21" s="19">
        <v>3.1889599999999997E-2</v>
      </c>
      <c r="AX21" s="31">
        <v>0.16666666666666666</v>
      </c>
      <c r="AY21" s="23" t="s">
        <v>15</v>
      </c>
      <c r="AZ21" s="23">
        <v>0.1735852</v>
      </c>
      <c r="BA21" s="23" t="s">
        <v>474</v>
      </c>
      <c r="BB21" s="23">
        <v>5.6236300000000003E-2</v>
      </c>
      <c r="BC21" s="34">
        <v>0.90909090909090906</v>
      </c>
      <c r="BE21" s="16"/>
    </row>
    <row r="22" spans="2:57" ht="34" x14ac:dyDescent="0.2">
      <c r="B22" s="16"/>
      <c r="D22" s="11" t="s">
        <v>7</v>
      </c>
      <c r="E22" s="12" t="str">
        <f>VLOOKUP(LOWER(G15),experiments_specs!$A:$J,8,FALSE)</f>
        <v>True</v>
      </c>
      <c r="F22" s="15" t="s">
        <v>101</v>
      </c>
      <c r="G22" s="6" t="s">
        <v>16</v>
      </c>
      <c r="H22" s="19" t="s">
        <v>208</v>
      </c>
      <c r="I22" s="19">
        <v>0.1977969</v>
      </c>
      <c r="J22" s="19" t="s">
        <v>431</v>
      </c>
      <c r="K22" s="19">
        <v>2.8584000000000001E-3</v>
      </c>
      <c r="L22" s="31">
        <v>0.55555555555555558</v>
      </c>
      <c r="M22" s="23" t="s">
        <v>432</v>
      </c>
      <c r="N22" s="23">
        <v>0.19749240000000001</v>
      </c>
      <c r="O22" s="23" t="s">
        <v>433</v>
      </c>
      <c r="P22" s="23">
        <v>5.3099000000000002E-3</v>
      </c>
      <c r="Q22" s="34">
        <v>0.13333333333333333</v>
      </c>
      <c r="S22" s="16"/>
      <c r="U22" s="16"/>
      <c r="W22" s="11" t="s">
        <v>7</v>
      </c>
      <c r="X22" s="12" t="str">
        <f>VLOOKUP(LOWER(Z15),experiments_specs!$A:$J,8,FALSE)</f>
        <v>True</v>
      </c>
      <c r="Y22" s="15" t="s">
        <v>107</v>
      </c>
      <c r="Z22" s="6" t="s">
        <v>16</v>
      </c>
      <c r="AA22" s="18" t="s">
        <v>452</v>
      </c>
      <c r="AB22" s="18" t="s">
        <v>454</v>
      </c>
      <c r="AC22" s="18" t="s">
        <v>456</v>
      </c>
      <c r="AD22" s="18" t="s">
        <v>475</v>
      </c>
      <c r="AE22" s="31">
        <v>0.22222222222222221</v>
      </c>
      <c r="AF22" s="23" t="s">
        <v>460</v>
      </c>
      <c r="AG22" s="23" t="s">
        <v>462</v>
      </c>
      <c r="AH22" s="23" t="s">
        <v>456</v>
      </c>
      <c r="AI22" s="23" t="s">
        <v>477</v>
      </c>
      <c r="AJ22" s="34">
        <v>0.22222222222222221</v>
      </c>
      <c r="AL22" s="16"/>
      <c r="AN22" s="16"/>
      <c r="AP22" s="11" t="s">
        <v>7</v>
      </c>
      <c r="AQ22" s="12" t="str">
        <f>VLOOKUP(LOWER(AS15),experiments_specs!$A:$J,8,FALSE)</f>
        <v>True</v>
      </c>
      <c r="AR22" s="15" t="s">
        <v>113</v>
      </c>
      <c r="AS22" s="6" t="s">
        <v>16</v>
      </c>
      <c r="AT22" s="18" t="s">
        <v>452</v>
      </c>
      <c r="AU22" s="18" t="s">
        <v>454</v>
      </c>
      <c r="AV22" s="18" t="s">
        <v>456</v>
      </c>
      <c r="AW22" s="18" t="s">
        <v>458</v>
      </c>
      <c r="AX22" s="31">
        <v>0.22222222222222221</v>
      </c>
      <c r="AY22" s="23" t="s">
        <v>460</v>
      </c>
      <c r="AZ22" s="23" t="s">
        <v>462</v>
      </c>
      <c r="BA22" s="23" t="s">
        <v>456</v>
      </c>
      <c r="BB22" s="23" t="s">
        <v>477</v>
      </c>
      <c r="BC22" s="34">
        <v>0.22222222222222221</v>
      </c>
      <c r="BE22" s="16"/>
    </row>
    <row r="23" spans="2:57" ht="51" x14ac:dyDescent="0.2">
      <c r="B23" s="16"/>
      <c r="D23" s="11" t="s">
        <v>8</v>
      </c>
      <c r="E23" s="12" t="str">
        <f>VLOOKUP(LOWER(G15),experiments_specs!$A:$J,9,FALSE)</f>
        <v>wup_similarity</v>
      </c>
      <c r="F23" s="15" t="s">
        <v>101</v>
      </c>
      <c r="G23" s="6" t="s">
        <v>17</v>
      </c>
      <c r="H23" s="19" t="s">
        <v>218</v>
      </c>
      <c r="I23" s="19">
        <v>0.21437320000000001</v>
      </c>
      <c r="J23" s="19" t="s">
        <v>219</v>
      </c>
      <c r="K23" s="19">
        <v>2.6843000000000001E-3</v>
      </c>
      <c r="L23" s="31">
        <v>0.13333333333333333</v>
      </c>
      <c r="M23" s="22" t="s">
        <v>434</v>
      </c>
      <c r="N23" s="22">
        <v>6.0633899999999998E-2</v>
      </c>
      <c r="O23" s="22" t="s">
        <v>435</v>
      </c>
      <c r="P23" s="22">
        <v>6.8729999999999998E-3</v>
      </c>
      <c r="Q23" s="34">
        <v>0.44444444444444442</v>
      </c>
      <c r="S23" s="16"/>
      <c r="U23" s="16"/>
      <c r="W23" s="11" t="s">
        <v>8</v>
      </c>
      <c r="X23" s="12" t="str">
        <f>VLOOKUP(LOWER(Z15),experiments_specs!$A:$J,9,FALSE)</f>
        <v>wup_similarity</v>
      </c>
      <c r="Y23" s="15" t="s">
        <v>107</v>
      </c>
      <c r="Z23" s="6" t="s">
        <v>17</v>
      </c>
      <c r="AA23" s="18" t="s">
        <v>278</v>
      </c>
      <c r="AB23" s="18" t="s">
        <v>466</v>
      </c>
      <c r="AC23" s="18" t="s">
        <v>189</v>
      </c>
      <c r="AD23" s="18" t="s">
        <v>479</v>
      </c>
      <c r="AE23" s="31">
        <v>0.30769230769230771</v>
      </c>
      <c r="AF23" s="23" t="s">
        <v>470</v>
      </c>
      <c r="AG23" s="23">
        <v>3.3709900000000001E-2</v>
      </c>
      <c r="AH23" s="23" t="s">
        <v>471</v>
      </c>
      <c r="AI23" s="23">
        <v>2.6423100000000001E-2</v>
      </c>
      <c r="AJ23" s="34">
        <v>0.16666666666666666</v>
      </c>
      <c r="AL23" s="16"/>
      <c r="AN23" s="16"/>
      <c r="AP23" s="11" t="s">
        <v>8</v>
      </c>
      <c r="AQ23" s="12" t="str">
        <f>VLOOKUP(LOWER(AS15),experiments_specs!$A:$J,9,FALSE)</f>
        <v>wup_similarity</v>
      </c>
      <c r="AR23" s="15" t="s">
        <v>113</v>
      </c>
      <c r="AS23" s="6" t="s">
        <v>17</v>
      </c>
      <c r="AT23" s="18" t="s">
        <v>278</v>
      </c>
      <c r="AU23" s="18" t="s">
        <v>466</v>
      </c>
      <c r="AV23" s="18" t="s">
        <v>189</v>
      </c>
      <c r="AW23" s="18" t="s">
        <v>511</v>
      </c>
      <c r="AX23" s="31">
        <v>0.30769230769230771</v>
      </c>
      <c r="AY23" s="23" t="s">
        <v>470</v>
      </c>
      <c r="AZ23" s="23">
        <v>3.3709900000000001E-2</v>
      </c>
      <c r="BA23" s="23" t="s">
        <v>471</v>
      </c>
      <c r="BB23" s="23">
        <v>2.4465799999999999E-2</v>
      </c>
      <c r="BC23" s="34">
        <v>0.16666666666666666</v>
      </c>
      <c r="BE23" s="16"/>
    </row>
    <row r="24" spans="2:57" x14ac:dyDescent="0.2">
      <c r="B24" s="16"/>
      <c r="D24" s="11" t="s">
        <v>9</v>
      </c>
      <c r="E24" s="12" t="str">
        <f>VLOOKUP(LOWER(G15),experiments_specs!$A:$J,10,FALSE)</f>
        <v>False</v>
      </c>
      <c r="F24" s="15" t="s">
        <v>101</v>
      </c>
      <c r="G24" s="7" t="s">
        <v>18</v>
      </c>
      <c r="H24" s="20" t="s">
        <v>222</v>
      </c>
      <c r="I24" s="20">
        <v>0.12249889999999999</v>
      </c>
      <c r="J24" s="20" t="s">
        <v>223</v>
      </c>
      <c r="K24" s="20">
        <v>2.1499000000000002E-3</v>
      </c>
      <c r="L24" s="32">
        <v>0.21052631578947367</v>
      </c>
      <c r="M24" s="24" t="s">
        <v>438</v>
      </c>
      <c r="N24" s="24">
        <v>6.09144E-2</v>
      </c>
      <c r="O24" s="24" t="s">
        <v>439</v>
      </c>
      <c r="P24" s="24">
        <v>3.5171999999999998E-3</v>
      </c>
      <c r="Q24" s="35">
        <v>0.125</v>
      </c>
      <c r="S24" s="16"/>
      <c r="U24" s="16"/>
      <c r="W24" s="11" t="s">
        <v>9</v>
      </c>
      <c r="X24" s="12" t="str">
        <f>VLOOKUP(LOWER(Z15),experiments_specs!$A:$J,10,FALSE)</f>
        <v>False</v>
      </c>
      <c r="Y24" s="15" t="s">
        <v>107</v>
      </c>
      <c r="Z24" s="7" t="s">
        <v>18</v>
      </c>
      <c r="AA24" s="20" t="s">
        <v>44</v>
      </c>
      <c r="AB24" s="20">
        <v>5.9814800000000001E-2</v>
      </c>
      <c r="AC24" s="20" t="s">
        <v>472</v>
      </c>
      <c r="AD24" s="20">
        <v>2.0169400000000001E-2</v>
      </c>
      <c r="AE24" s="32">
        <v>0.21052631578947367</v>
      </c>
      <c r="AF24" s="24" t="s">
        <v>46</v>
      </c>
      <c r="AG24" s="24">
        <v>5.7639000000000003E-2</v>
      </c>
      <c r="AH24" s="24" t="s">
        <v>436</v>
      </c>
      <c r="AI24" s="24">
        <v>4.0547E-2</v>
      </c>
      <c r="AJ24" s="35">
        <v>0.22222222222222221</v>
      </c>
      <c r="AL24" s="16"/>
      <c r="AN24" s="16"/>
      <c r="AP24" s="11" t="s">
        <v>9</v>
      </c>
      <c r="AQ24" s="12" t="str">
        <f>VLOOKUP(LOWER(AS15),experiments_specs!$A:$J,10,FALSE)</f>
        <v>True</v>
      </c>
      <c r="AR24" s="15" t="s">
        <v>113</v>
      </c>
      <c r="AS24" s="7" t="s">
        <v>18</v>
      </c>
      <c r="AT24" s="20" t="s">
        <v>44</v>
      </c>
      <c r="AU24" s="20">
        <v>6.0886200000000001E-2</v>
      </c>
      <c r="AV24" s="20" t="s">
        <v>472</v>
      </c>
      <c r="AW24" s="20">
        <v>2.2657699999999999E-2</v>
      </c>
      <c r="AX24" s="32">
        <v>0.21052631578947367</v>
      </c>
      <c r="AY24" s="24" t="s">
        <v>46</v>
      </c>
      <c r="AZ24" s="24">
        <v>5.8671399999999999E-2</v>
      </c>
      <c r="BA24" s="24" t="s">
        <v>436</v>
      </c>
      <c r="BB24" s="24">
        <v>3.3910999999999997E-2</v>
      </c>
      <c r="BC24" s="35">
        <v>0.22222222222222221</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TEST_39</v>
      </c>
      <c r="H26" s="41" t="s">
        <v>124</v>
      </c>
      <c r="I26" s="41"/>
      <c r="J26" s="41"/>
      <c r="K26" s="41"/>
      <c r="L26" s="41"/>
      <c r="M26" s="42" t="s">
        <v>123</v>
      </c>
      <c r="N26" s="42"/>
      <c r="O26" s="42"/>
      <c r="P26" s="42"/>
      <c r="Q26" s="42"/>
      <c r="R26" s="2"/>
      <c r="S26" s="16"/>
      <c r="U26" s="16"/>
      <c r="W26" s="13" t="s">
        <v>126</v>
      </c>
      <c r="X26" s="14"/>
      <c r="Y26" s="9"/>
      <c r="Z26" s="10" t="str">
        <f>"TEST_"&amp;TEXT(RIGHT(Z15,2)+1, "00")</f>
        <v>TEST_45</v>
      </c>
      <c r="AA26" s="41" t="s">
        <v>124</v>
      </c>
      <c r="AB26" s="41"/>
      <c r="AC26" s="41"/>
      <c r="AD26" s="41"/>
      <c r="AE26" s="41"/>
      <c r="AF26" s="42" t="s">
        <v>123</v>
      </c>
      <c r="AG26" s="42"/>
      <c r="AH26" s="42"/>
      <c r="AI26" s="42"/>
      <c r="AJ26" s="42"/>
      <c r="AK26" s="2"/>
      <c r="AL26" s="16"/>
      <c r="AN26" s="16"/>
      <c r="AP26" s="13" t="s">
        <v>126</v>
      </c>
      <c r="AQ26" s="14"/>
      <c r="AR26" s="9"/>
      <c r="AS26" s="10" t="str">
        <f>"TEST_"&amp;TEXT(RIGHT(AS15,2)+1, "00")</f>
        <v>TEST_51</v>
      </c>
      <c r="AT26" s="41" t="s">
        <v>124</v>
      </c>
      <c r="AU26" s="41"/>
      <c r="AV26" s="41"/>
      <c r="AW26" s="41"/>
      <c r="AX26" s="41"/>
      <c r="AY26" s="42" t="s">
        <v>123</v>
      </c>
      <c r="AZ26" s="42"/>
      <c r="BA26" s="42"/>
      <c r="BB26" s="42"/>
      <c r="BC26" s="42"/>
      <c r="BD26" s="2"/>
      <c r="BE26" s="16"/>
    </row>
    <row r="27" spans="2:57" x14ac:dyDescent="0.2">
      <c r="B27" s="16"/>
      <c r="D27" s="11" t="s">
        <v>1</v>
      </c>
      <c r="E27" s="12" t="str">
        <f>VLOOKUP(LOWER(G26),experiments_specs!$A:$J,2,FALSE)</f>
        <v>NN,VB</v>
      </c>
      <c r="F27" s="15" t="str">
        <f>"{"&amp;LOWER(G26)&amp;".csv}"</f>
        <v>{test_39.csv}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VLOOKUP(LOWER(Z26),experiments_specs!$A:$J,2,FALSE)</f>
        <v>NN,VB</v>
      </c>
      <c r="Y27" s="15" t="str">
        <f>"{"&amp;LOWER(Z26)&amp;".csv}"</f>
        <v>{test_45.csv}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VLOOKUP(LOWER(AS26),experiments_specs!$A:$J,2,FALSE)</f>
        <v>NN,VB</v>
      </c>
      <c r="AR27" s="15" t="str">
        <f>"{"&amp;LOWER(AS26)&amp;".csv}"</f>
        <v>{test_51.csv}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17" x14ac:dyDescent="0.2">
      <c r="B28" s="16"/>
      <c r="D28" s="11" t="s">
        <v>2</v>
      </c>
      <c r="E28" s="12">
        <f>VLOOKUP(LOWER(G26),experiments_specs!$A:$J,3,FALSE)</f>
        <v>1</v>
      </c>
      <c r="F28" s="15" t="s">
        <v>102</v>
      </c>
      <c r="G28" s="5" t="s">
        <v>19</v>
      </c>
      <c r="H28" s="17" t="s">
        <v>354</v>
      </c>
      <c r="I28" s="17">
        <v>0.13693060000000001</v>
      </c>
      <c r="J28" s="17" t="s">
        <v>288</v>
      </c>
      <c r="K28" s="17">
        <v>3.4743999999999999E-3</v>
      </c>
      <c r="L28" s="30">
        <v>0.19047619047619047</v>
      </c>
      <c r="M28" s="21" t="s">
        <v>197</v>
      </c>
      <c r="N28" s="21">
        <v>0.1613743</v>
      </c>
      <c r="O28" s="21" t="s">
        <v>198</v>
      </c>
      <c r="P28" s="21">
        <v>6.5699E-3</v>
      </c>
      <c r="Q28" s="33">
        <v>9.5238095238095233E-2</v>
      </c>
      <c r="S28" s="16"/>
      <c r="U28" s="16"/>
      <c r="W28" s="11" t="s">
        <v>2</v>
      </c>
      <c r="X28" s="12">
        <f>VLOOKUP(LOWER(Z26),experiments_specs!$A:$J,3,FALSE)</f>
        <v>1</v>
      </c>
      <c r="Y28" s="15" t="s">
        <v>108</v>
      </c>
      <c r="Z28" s="5" t="s">
        <v>19</v>
      </c>
      <c r="AA28" s="17" t="s">
        <v>354</v>
      </c>
      <c r="AB28" s="17">
        <v>0.1404878</v>
      </c>
      <c r="AC28" s="17" t="s">
        <v>288</v>
      </c>
      <c r="AD28" s="17">
        <v>2.18532E-2</v>
      </c>
      <c r="AE28" s="30">
        <v>0.19047619047619047</v>
      </c>
      <c r="AF28" s="21" t="s">
        <v>47</v>
      </c>
      <c r="AG28" s="21">
        <v>0.11020770000000001</v>
      </c>
      <c r="AH28" s="21" t="s">
        <v>447</v>
      </c>
      <c r="AI28" s="21">
        <v>2.8097500000000001E-2</v>
      </c>
      <c r="AJ28" s="33">
        <v>0.19047619047619047</v>
      </c>
      <c r="AL28" s="16"/>
      <c r="AN28" s="16"/>
      <c r="AP28" s="11" t="s">
        <v>2</v>
      </c>
      <c r="AQ28" s="12">
        <f>VLOOKUP(LOWER(AS26),experiments_specs!$A:$J,3,FALSE)</f>
        <v>1</v>
      </c>
      <c r="AR28" s="15" t="s">
        <v>114</v>
      </c>
      <c r="AS28" s="5" t="s">
        <v>19</v>
      </c>
      <c r="AT28" s="17" t="s">
        <v>354</v>
      </c>
      <c r="AU28" s="17">
        <v>0.1404878</v>
      </c>
      <c r="AV28" s="17" t="s">
        <v>288</v>
      </c>
      <c r="AW28" s="17">
        <v>2.18532E-2</v>
      </c>
      <c r="AX28" s="30">
        <v>0.19047619047619047</v>
      </c>
      <c r="AY28" s="21" t="s">
        <v>47</v>
      </c>
      <c r="AZ28" s="21">
        <v>0.11020770000000001</v>
      </c>
      <c r="BA28" s="21" t="s">
        <v>447</v>
      </c>
      <c r="BB28" s="21">
        <v>2.5543199999999999E-2</v>
      </c>
      <c r="BC28" s="33">
        <v>0.19047619047619047</v>
      </c>
      <c r="BE28" s="16"/>
    </row>
    <row r="29" spans="2:57" ht="17" x14ac:dyDescent="0.2">
      <c r="B29" s="16"/>
      <c r="D29" s="11" t="s">
        <v>3</v>
      </c>
      <c r="E29" s="12">
        <f>VLOOKUP(LOWER(G26),experiments_specs!$A:$J,4,FALSE)</f>
        <v>2</v>
      </c>
      <c r="F29" s="15" t="s">
        <v>102</v>
      </c>
      <c r="G29" s="6" t="s">
        <v>12</v>
      </c>
      <c r="H29" s="18" t="s">
        <v>251</v>
      </c>
      <c r="I29" s="18">
        <v>0.23784130000000001</v>
      </c>
      <c r="J29" s="18" t="s">
        <v>236</v>
      </c>
      <c r="K29" s="18">
        <v>4.1742000000000003E-3</v>
      </c>
      <c r="L29" s="31">
        <v>0.125</v>
      </c>
      <c r="M29" s="22" t="s">
        <v>235</v>
      </c>
      <c r="N29" s="22">
        <v>0.1004087</v>
      </c>
      <c r="O29" s="22" t="s">
        <v>251</v>
      </c>
      <c r="P29" s="22">
        <v>9.9561000000000007E-3</v>
      </c>
      <c r="Q29" s="34">
        <v>0.13333333333333333</v>
      </c>
      <c r="S29" s="16"/>
      <c r="U29" s="16"/>
      <c r="W29" s="11" t="s">
        <v>3</v>
      </c>
      <c r="X29" s="12">
        <f>VLOOKUP(LOWER(Z26),experiments_specs!$A:$J,4,FALSE)</f>
        <v>2</v>
      </c>
      <c r="Y29" s="15" t="s">
        <v>108</v>
      </c>
      <c r="Z29" s="6" t="s">
        <v>12</v>
      </c>
      <c r="AA29" s="18" t="s">
        <v>22</v>
      </c>
      <c r="AB29" s="18">
        <v>0.13470389999999999</v>
      </c>
      <c r="AC29" s="18" t="s">
        <v>23</v>
      </c>
      <c r="AD29" s="18">
        <v>2.5527899999999999E-2</v>
      </c>
      <c r="AE29" s="31">
        <v>0.42857142857142855</v>
      </c>
      <c r="AF29" s="23" t="s">
        <v>24</v>
      </c>
      <c r="AG29" s="23">
        <v>0.1148759</v>
      </c>
      <c r="AH29" s="23" t="s">
        <v>481</v>
      </c>
      <c r="AI29" s="23">
        <v>4.7037000000000002E-2</v>
      </c>
      <c r="AJ29" s="34">
        <v>0.42857142857142855</v>
      </c>
      <c r="AL29" s="16"/>
      <c r="AN29" s="16"/>
      <c r="AP29" s="11" t="s">
        <v>3</v>
      </c>
      <c r="AQ29" s="12">
        <f>VLOOKUP(LOWER(AS26),experiments_specs!$A:$J,4,FALSE)</f>
        <v>2</v>
      </c>
      <c r="AR29" s="15" t="s">
        <v>114</v>
      </c>
      <c r="AS29" s="6" t="s">
        <v>12</v>
      </c>
      <c r="AT29" s="18" t="s">
        <v>22</v>
      </c>
      <c r="AU29" s="18">
        <v>0.13470389999999999</v>
      </c>
      <c r="AV29" s="18" t="s">
        <v>23</v>
      </c>
      <c r="AW29" s="18">
        <v>3.3297300000000002E-2</v>
      </c>
      <c r="AX29" s="31">
        <v>0.42857142857142855</v>
      </c>
      <c r="AY29" s="23" t="s">
        <v>24</v>
      </c>
      <c r="AZ29" s="23">
        <v>0.1148759</v>
      </c>
      <c r="BA29" s="23" t="s">
        <v>481</v>
      </c>
      <c r="BB29" s="23">
        <v>5.52174E-2</v>
      </c>
      <c r="BC29" s="34">
        <v>0.42857142857142855</v>
      </c>
      <c r="BE29" s="16"/>
    </row>
    <row r="30" spans="2:57" x14ac:dyDescent="0.2">
      <c r="B30" s="16"/>
      <c r="D30" s="11" t="s">
        <v>4</v>
      </c>
      <c r="E30" s="12" t="str">
        <f>VLOOKUP(LOWER(G26),experiments_specs!$A:$J,5,FALSE)</f>
        <v>False</v>
      </c>
      <c r="F30" s="15" t="s">
        <v>102</v>
      </c>
      <c r="G30" s="6" t="s">
        <v>13</v>
      </c>
      <c r="H30" s="19" t="s">
        <v>425</v>
      </c>
      <c r="I30" s="19">
        <v>0.1058018</v>
      </c>
      <c r="J30" s="19" t="s">
        <v>426</v>
      </c>
      <c r="K30" s="19">
        <v>8.3870000000000004E-3</v>
      </c>
      <c r="L30" s="31" t="s">
        <v>25</v>
      </c>
      <c r="M30" s="22" t="s">
        <v>427</v>
      </c>
      <c r="N30" s="22">
        <v>0.1105064</v>
      </c>
      <c r="O30" s="22" t="s">
        <v>426</v>
      </c>
      <c r="P30" s="22">
        <v>9.3086999999999996E-3</v>
      </c>
      <c r="Q30" s="34" t="s">
        <v>25</v>
      </c>
      <c r="S30" s="16"/>
      <c r="U30" s="16"/>
      <c r="W30" s="11" t="s">
        <v>4</v>
      </c>
      <c r="X30" s="12" t="str">
        <f>VLOOKUP(LOWER(Z26),experiments_specs!$A:$J,5,FALSE)</f>
        <v>True</v>
      </c>
      <c r="Y30" s="15" t="s">
        <v>108</v>
      </c>
      <c r="Z30" s="6" t="s">
        <v>13</v>
      </c>
      <c r="AA30" s="19" t="s">
        <v>32</v>
      </c>
      <c r="AB30" s="19">
        <v>0.1581138</v>
      </c>
      <c r="AC30" s="19" t="s">
        <v>473</v>
      </c>
      <c r="AD30" s="19">
        <v>3.1565599999999999E-2</v>
      </c>
      <c r="AE30" s="31">
        <v>0.4</v>
      </c>
      <c r="AF30" s="22" t="s">
        <v>34</v>
      </c>
      <c r="AG30" s="22">
        <v>4.7245500000000003E-2</v>
      </c>
      <c r="AH30" s="22" t="s">
        <v>35</v>
      </c>
      <c r="AI30" s="22">
        <v>2.7257E-2</v>
      </c>
      <c r="AJ30" s="34" t="s">
        <v>25</v>
      </c>
      <c r="AL30" s="16"/>
      <c r="AN30" s="16"/>
      <c r="AP30" s="11" t="s">
        <v>4</v>
      </c>
      <c r="AQ30" s="12" t="str">
        <f>VLOOKUP(LOWER(AS26),experiments_specs!$A:$J,5,FALSE)</f>
        <v>True</v>
      </c>
      <c r="AR30" s="15" t="s">
        <v>114</v>
      </c>
      <c r="AS30" s="6" t="s">
        <v>13</v>
      </c>
      <c r="AT30" s="19" t="s">
        <v>326</v>
      </c>
      <c r="AU30" s="19">
        <v>0.14784420000000001</v>
      </c>
      <c r="AV30" s="19" t="s">
        <v>327</v>
      </c>
      <c r="AW30" s="19">
        <v>3.3279799999999998E-2</v>
      </c>
      <c r="AX30" s="31" t="s">
        <v>25</v>
      </c>
      <c r="AY30" s="22" t="s">
        <v>417</v>
      </c>
      <c r="AZ30" s="22">
        <v>5.72598E-2</v>
      </c>
      <c r="BA30" s="22" t="s">
        <v>327</v>
      </c>
      <c r="BB30" s="22">
        <v>3.3279799999999998E-2</v>
      </c>
      <c r="BC30" s="34" t="s">
        <v>25</v>
      </c>
      <c r="BE30" s="16"/>
    </row>
    <row r="31" spans="2:57" ht="17" x14ac:dyDescent="0.2">
      <c r="B31" s="16"/>
      <c r="D31" s="11" t="s">
        <v>5</v>
      </c>
      <c r="E31" s="12" t="str">
        <f>VLOOKUP(LOWER(G26),experiments_specs!$A:$J,6,FALSE)</f>
        <v>True</v>
      </c>
      <c r="F31" s="15" t="s">
        <v>102</v>
      </c>
      <c r="G31" s="6" t="s">
        <v>14</v>
      </c>
      <c r="H31" s="19" t="s">
        <v>428</v>
      </c>
      <c r="I31" s="19">
        <v>0.1256148</v>
      </c>
      <c r="J31" s="19" t="s">
        <v>429</v>
      </c>
      <c r="K31" s="19">
        <v>5.5519000000000002E-3</v>
      </c>
      <c r="L31" s="31">
        <v>0.125</v>
      </c>
      <c r="M31" s="22" t="s">
        <v>430</v>
      </c>
      <c r="N31" s="22">
        <v>9.2450000000000004E-2</v>
      </c>
      <c r="O31" s="22" t="s">
        <v>429</v>
      </c>
      <c r="P31" s="22">
        <v>9.7508999999999998E-3</v>
      </c>
      <c r="Q31" s="34">
        <v>0.125</v>
      </c>
      <c r="S31" s="16"/>
      <c r="U31" s="16"/>
      <c r="W31" s="11" t="s">
        <v>5</v>
      </c>
      <c r="X31" s="12" t="str">
        <f>VLOOKUP(LOWER(Z26),experiments_specs!$A:$J,6,FALSE)</f>
        <v>True</v>
      </c>
      <c r="Y31" s="15" t="s">
        <v>108</v>
      </c>
      <c r="Z31" s="6" t="s">
        <v>14</v>
      </c>
      <c r="AA31" s="18" t="s">
        <v>449</v>
      </c>
      <c r="AB31" s="18">
        <v>0.1396482</v>
      </c>
      <c r="AC31" s="18" t="s">
        <v>450</v>
      </c>
      <c r="AD31" s="18">
        <v>1.7942400000000001E-2</v>
      </c>
      <c r="AE31" s="31">
        <v>0.2857142857142857</v>
      </c>
      <c r="AF31" s="23" t="s">
        <v>451</v>
      </c>
      <c r="AG31" s="23">
        <v>0.1225702</v>
      </c>
      <c r="AH31" s="23" t="s">
        <v>450</v>
      </c>
      <c r="AI31" s="23">
        <v>2.1530899999999999E-2</v>
      </c>
      <c r="AJ31" s="34">
        <v>0.2857142857142857</v>
      </c>
      <c r="AL31" s="16"/>
      <c r="AN31" s="16"/>
      <c r="AP31" s="11" t="s">
        <v>5</v>
      </c>
      <c r="AQ31" s="12" t="str">
        <f>VLOOKUP(LOWER(AS26),experiments_specs!$A:$J,6,FALSE)</f>
        <v>True</v>
      </c>
      <c r="AR31" s="15" t="s">
        <v>114</v>
      </c>
      <c r="AS31" s="6" t="s">
        <v>14</v>
      </c>
      <c r="AT31" s="18" t="s">
        <v>449</v>
      </c>
      <c r="AU31" s="18">
        <v>0.14165759999999999</v>
      </c>
      <c r="AV31" s="18" t="s">
        <v>450</v>
      </c>
      <c r="AW31" s="18">
        <v>1.8200600000000001E-2</v>
      </c>
      <c r="AX31" s="31">
        <v>0.2857142857142857</v>
      </c>
      <c r="AY31" s="23" t="s">
        <v>451</v>
      </c>
      <c r="AZ31" s="23">
        <v>0.1243339</v>
      </c>
      <c r="BA31" s="23" t="s">
        <v>450</v>
      </c>
      <c r="BB31" s="23">
        <v>1.95006E-2</v>
      </c>
      <c r="BC31" s="34">
        <v>0.2857142857142857</v>
      </c>
      <c r="BE31" s="16"/>
    </row>
    <row r="32" spans="2:57" ht="17" x14ac:dyDescent="0.2">
      <c r="B32" s="16"/>
      <c r="D32" s="11" t="s">
        <v>6</v>
      </c>
      <c r="E32" s="12" t="str">
        <f>VLOOKUP(LOWER(G26),experiments_specs!$A:$J,7,FALSE)</f>
        <v>True</v>
      </c>
      <c r="F32" s="15" t="s">
        <v>102</v>
      </c>
      <c r="G32" s="6" t="s">
        <v>15</v>
      </c>
      <c r="H32" s="19" t="s">
        <v>26</v>
      </c>
      <c r="I32" s="19">
        <v>0.19590689999999999</v>
      </c>
      <c r="J32" s="19" t="s">
        <v>27</v>
      </c>
      <c r="K32" s="19">
        <v>3.6605000000000001E-3</v>
      </c>
      <c r="L32" s="31">
        <v>0.16666666666666666</v>
      </c>
      <c r="M32" s="23" t="s">
        <v>376</v>
      </c>
      <c r="N32" s="23">
        <v>2.80275E-2</v>
      </c>
      <c r="O32" s="23" t="s">
        <v>377</v>
      </c>
      <c r="P32" s="23">
        <v>1.0030799999999999E-2</v>
      </c>
      <c r="Q32" s="34">
        <v>0.2</v>
      </c>
      <c r="S32" s="16"/>
      <c r="U32" s="16"/>
      <c r="W32" s="11" t="s">
        <v>6</v>
      </c>
      <c r="X32" s="12" t="str">
        <f>VLOOKUP(LOWER(Z26),experiments_specs!$A:$J,7,FALSE)</f>
        <v>True</v>
      </c>
      <c r="Y32" s="15" t="s">
        <v>108</v>
      </c>
      <c r="Z32" s="6" t="s">
        <v>15</v>
      </c>
      <c r="AA32" s="19" t="s">
        <v>26</v>
      </c>
      <c r="AB32" s="19">
        <v>0.2070196</v>
      </c>
      <c r="AC32" s="19" t="s">
        <v>27</v>
      </c>
      <c r="AD32" s="19">
        <v>2.1081800000000001E-2</v>
      </c>
      <c r="AE32" s="31">
        <v>0.16666666666666666</v>
      </c>
      <c r="AF32" s="23" t="s">
        <v>365</v>
      </c>
      <c r="AG32" s="23">
        <v>7.4535500000000005E-2</v>
      </c>
      <c r="AH32" s="23" t="s">
        <v>27</v>
      </c>
      <c r="AI32" s="23">
        <v>4.43828E-2</v>
      </c>
      <c r="AJ32" s="34">
        <v>0.16666666666666666</v>
      </c>
      <c r="AL32" s="16"/>
      <c r="AN32" s="16"/>
      <c r="AP32" s="11" t="s">
        <v>6</v>
      </c>
      <c r="AQ32" s="12" t="str">
        <f>VLOOKUP(LOWER(AS26),experiments_specs!$A:$J,7,FALSE)</f>
        <v>True</v>
      </c>
      <c r="AR32" s="15" t="s">
        <v>114</v>
      </c>
      <c r="AS32" s="6" t="s">
        <v>15</v>
      </c>
      <c r="AT32" s="19" t="s">
        <v>26</v>
      </c>
      <c r="AU32" s="19">
        <v>0.21239759999999999</v>
      </c>
      <c r="AV32" s="19" t="s">
        <v>27</v>
      </c>
      <c r="AW32" s="19">
        <v>2.02776E-2</v>
      </c>
      <c r="AX32" s="31">
        <v>0.16666666666666666</v>
      </c>
      <c r="AY32" s="23" t="s">
        <v>365</v>
      </c>
      <c r="AZ32" s="23">
        <v>3.8235900000000003E-2</v>
      </c>
      <c r="BA32" s="23" t="s">
        <v>26</v>
      </c>
      <c r="BB32" s="23">
        <v>4.9975899999999997E-2</v>
      </c>
      <c r="BC32" s="34">
        <v>0.18181818181818182</v>
      </c>
      <c r="BE32" s="16"/>
    </row>
    <row r="33" spans="2:57" ht="34" x14ac:dyDescent="0.2">
      <c r="B33" s="16"/>
      <c r="D33" s="11" t="s">
        <v>7</v>
      </c>
      <c r="E33" s="12" t="str">
        <f>VLOOKUP(LOWER(G26),experiments_specs!$A:$J,8,FALSE)</f>
        <v>True</v>
      </c>
      <c r="F33" s="15" t="s">
        <v>102</v>
      </c>
      <c r="G33" s="6" t="s">
        <v>16</v>
      </c>
      <c r="H33" s="19" t="s">
        <v>208</v>
      </c>
      <c r="I33" s="19">
        <v>0.1964185</v>
      </c>
      <c r="J33" s="19" t="s">
        <v>431</v>
      </c>
      <c r="K33" s="19">
        <v>3.3371999999999998E-3</v>
      </c>
      <c r="L33" s="31">
        <v>0.55555555555555558</v>
      </c>
      <c r="M33" s="23" t="s">
        <v>438</v>
      </c>
      <c r="N33" s="23">
        <v>7.1066900000000002E-2</v>
      </c>
      <c r="O33" s="23" t="s">
        <v>439</v>
      </c>
      <c r="P33" s="23">
        <v>5.4964999999999996E-3</v>
      </c>
      <c r="Q33" s="34">
        <v>0.15384615384615385</v>
      </c>
      <c r="S33" s="16"/>
      <c r="U33" s="16"/>
      <c r="W33" s="11" t="s">
        <v>7</v>
      </c>
      <c r="X33" s="12" t="str">
        <f>VLOOKUP(LOWER(Z26),experiments_specs!$A:$J,8,FALSE)</f>
        <v>True</v>
      </c>
      <c r="Y33" s="15" t="s">
        <v>108</v>
      </c>
      <c r="Z33" s="6" t="s">
        <v>16</v>
      </c>
      <c r="AA33" s="18" t="s">
        <v>452</v>
      </c>
      <c r="AB33" s="18" t="s">
        <v>454</v>
      </c>
      <c r="AC33" s="18" t="s">
        <v>456</v>
      </c>
      <c r="AD33" s="18" t="s">
        <v>482</v>
      </c>
      <c r="AE33" s="31">
        <v>0.22222222222222221</v>
      </c>
      <c r="AF33" s="23" t="s">
        <v>460</v>
      </c>
      <c r="AG33" s="23" t="s">
        <v>462</v>
      </c>
      <c r="AH33" s="23" t="s">
        <v>456</v>
      </c>
      <c r="AI33" s="23" t="s">
        <v>482</v>
      </c>
      <c r="AJ33" s="34">
        <v>0.22222222222222221</v>
      </c>
      <c r="AL33" s="16"/>
      <c r="AN33" s="16"/>
      <c r="AP33" s="11" t="s">
        <v>7</v>
      </c>
      <c r="AQ33" s="12" t="str">
        <f>VLOOKUP(LOWER(AS26),experiments_specs!$A:$J,8,FALSE)</f>
        <v>True</v>
      </c>
      <c r="AR33" s="15" t="s">
        <v>114</v>
      </c>
      <c r="AS33" s="6" t="s">
        <v>16</v>
      </c>
      <c r="AT33" s="18" t="s">
        <v>452</v>
      </c>
      <c r="AU33" s="18" t="s">
        <v>454</v>
      </c>
      <c r="AV33" s="18" t="s">
        <v>456</v>
      </c>
      <c r="AW33" s="18" t="s">
        <v>513</v>
      </c>
      <c r="AX33" s="31">
        <v>0.22222222222222221</v>
      </c>
      <c r="AY33" s="23" t="s">
        <v>460</v>
      </c>
      <c r="AZ33" s="23" t="s">
        <v>462</v>
      </c>
      <c r="BA33" s="23" t="s">
        <v>456</v>
      </c>
      <c r="BB33" s="23" t="s">
        <v>515</v>
      </c>
      <c r="BC33" s="34">
        <v>0.22222222222222221</v>
      </c>
      <c r="BE33" s="16"/>
    </row>
    <row r="34" spans="2:57" ht="51" x14ac:dyDescent="0.2">
      <c r="B34" s="16"/>
      <c r="D34" s="11" t="s">
        <v>8</v>
      </c>
      <c r="E34" s="12" t="str">
        <f>VLOOKUP(LOWER(G26),experiments_specs!$A:$J,9,FALSE)</f>
        <v>wup_similarity</v>
      </c>
      <c r="F34" s="15" t="s">
        <v>102</v>
      </c>
      <c r="G34" s="6" t="s">
        <v>17</v>
      </c>
      <c r="H34" s="19" t="s">
        <v>218</v>
      </c>
      <c r="I34" s="19">
        <v>0.21759700000000001</v>
      </c>
      <c r="J34" s="19" t="s">
        <v>219</v>
      </c>
      <c r="K34" s="19">
        <v>3.7737999999999999E-3</v>
      </c>
      <c r="L34" s="31">
        <v>0.13333333333333333</v>
      </c>
      <c r="M34" s="22" t="s">
        <v>246</v>
      </c>
      <c r="N34" s="22">
        <v>3.7113399999999998E-2</v>
      </c>
      <c r="O34" s="22" t="s">
        <v>218</v>
      </c>
      <c r="P34" s="22">
        <v>6.1199000000000002E-3</v>
      </c>
      <c r="Q34" s="34">
        <v>0.14285714285714285</v>
      </c>
      <c r="S34" s="16"/>
      <c r="U34" s="16"/>
      <c r="W34" s="11" t="s">
        <v>8</v>
      </c>
      <c r="X34" s="12" t="str">
        <f>VLOOKUP(LOWER(Z26),experiments_specs!$A:$J,9,FALSE)</f>
        <v>wup_similarity</v>
      </c>
      <c r="Y34" s="15" t="s">
        <v>108</v>
      </c>
      <c r="Z34" s="6" t="s">
        <v>17</v>
      </c>
      <c r="AA34" s="19" t="s">
        <v>30</v>
      </c>
      <c r="AB34" s="19">
        <v>0.1543033</v>
      </c>
      <c r="AC34" s="19" t="s">
        <v>484</v>
      </c>
      <c r="AD34" s="19">
        <v>2.2271699999999998E-2</v>
      </c>
      <c r="AE34" s="31">
        <v>0.22222222222222221</v>
      </c>
      <c r="AF34" s="23" t="s">
        <v>470</v>
      </c>
      <c r="AG34" s="23">
        <v>3.3407600000000003E-2</v>
      </c>
      <c r="AH34" s="23" t="s">
        <v>471</v>
      </c>
      <c r="AI34" s="23">
        <v>2.5178900000000001E-2</v>
      </c>
      <c r="AJ34" s="34">
        <v>0.16666666666666666</v>
      </c>
      <c r="AL34" s="16"/>
      <c r="AN34" s="16"/>
      <c r="AP34" s="11" t="s">
        <v>8</v>
      </c>
      <c r="AQ34" s="12" t="str">
        <f>VLOOKUP(LOWER(AS26),experiments_specs!$A:$J,9,FALSE)</f>
        <v>wup_similarity</v>
      </c>
      <c r="AR34" s="15" t="s">
        <v>114</v>
      </c>
      <c r="AS34" s="6" t="s">
        <v>17</v>
      </c>
      <c r="AT34" s="18" t="s">
        <v>278</v>
      </c>
      <c r="AU34" s="18" t="s">
        <v>466</v>
      </c>
      <c r="AV34" s="18" t="s">
        <v>189</v>
      </c>
      <c r="AW34" s="18" t="s">
        <v>517</v>
      </c>
      <c r="AX34" s="31">
        <v>0.30769230769230771</v>
      </c>
      <c r="AY34" s="23" t="s">
        <v>470</v>
      </c>
      <c r="AZ34" s="23">
        <v>3.3709900000000001E-2</v>
      </c>
      <c r="BA34" s="23" t="s">
        <v>471</v>
      </c>
      <c r="BB34" s="23">
        <v>2.27785E-2</v>
      </c>
      <c r="BC34" s="34">
        <v>0.16666666666666666</v>
      </c>
      <c r="BE34" s="16"/>
    </row>
    <row r="35" spans="2:57" x14ac:dyDescent="0.2">
      <c r="B35" s="16"/>
      <c r="D35" s="11" t="s">
        <v>9</v>
      </c>
      <c r="E35" s="12" t="str">
        <f>VLOOKUP(LOWER(G26),experiments_specs!$A:$J,10,FALSE)</f>
        <v>False</v>
      </c>
      <c r="F35" s="15" t="s">
        <v>102</v>
      </c>
      <c r="G35" s="7" t="s">
        <v>18</v>
      </c>
      <c r="H35" s="20" t="s">
        <v>222</v>
      </c>
      <c r="I35" s="20">
        <v>0.12249889999999999</v>
      </c>
      <c r="J35" s="20" t="s">
        <v>223</v>
      </c>
      <c r="K35" s="20">
        <v>2.1608E-3</v>
      </c>
      <c r="L35" s="32">
        <v>0.21052631578947367</v>
      </c>
      <c r="M35" s="24" t="s">
        <v>388</v>
      </c>
      <c r="N35" s="24">
        <v>5.8321100000000001E-2</v>
      </c>
      <c r="O35" s="24" t="s">
        <v>440</v>
      </c>
      <c r="P35" s="24">
        <v>4.1694000000000002E-3</v>
      </c>
      <c r="Q35" s="35">
        <v>0.11764705882352941</v>
      </c>
      <c r="S35" s="16"/>
      <c r="U35" s="16"/>
      <c r="W35" s="11" t="s">
        <v>9</v>
      </c>
      <c r="X35" s="12" t="str">
        <f>VLOOKUP(LOWER(Z26),experiments_specs!$A:$J,10,FALSE)</f>
        <v>False</v>
      </c>
      <c r="Y35" s="15" t="s">
        <v>108</v>
      </c>
      <c r="Z35" s="7" t="s">
        <v>18</v>
      </c>
      <c r="AA35" s="20" t="s">
        <v>44</v>
      </c>
      <c r="AB35" s="20">
        <v>5.9470099999999998E-2</v>
      </c>
      <c r="AC35" s="20" t="s">
        <v>472</v>
      </c>
      <c r="AD35" s="20">
        <v>2.18357E-2</v>
      </c>
      <c r="AE35" s="32">
        <v>0.21052631578947367</v>
      </c>
      <c r="AF35" s="24" t="s">
        <v>46</v>
      </c>
      <c r="AG35" s="24">
        <v>5.7306799999999998E-2</v>
      </c>
      <c r="AH35" s="24" t="s">
        <v>436</v>
      </c>
      <c r="AI35" s="24">
        <v>3.40424E-2</v>
      </c>
      <c r="AJ35" s="35">
        <v>0.22222222222222221</v>
      </c>
      <c r="AL35" s="16"/>
      <c r="AN35" s="16"/>
      <c r="AP35" s="11" t="s">
        <v>9</v>
      </c>
      <c r="AQ35" s="12" t="str">
        <f>VLOOKUP(LOWER(AS26),experiments_specs!$A:$J,10,FALSE)</f>
        <v>True</v>
      </c>
      <c r="AR35" s="15" t="s">
        <v>114</v>
      </c>
      <c r="AS35" s="7" t="s">
        <v>18</v>
      </c>
      <c r="AT35" s="20" t="s">
        <v>44</v>
      </c>
      <c r="AU35" s="20">
        <v>5.9814800000000001E-2</v>
      </c>
      <c r="AV35" s="20" t="s">
        <v>472</v>
      </c>
      <c r="AW35" s="20">
        <v>2.2461399999999999E-2</v>
      </c>
      <c r="AX35" s="32">
        <v>0.21052631578947367</v>
      </c>
      <c r="AY35" s="24" t="s">
        <v>46</v>
      </c>
      <c r="AZ35" s="24">
        <v>5.7639000000000003E-2</v>
      </c>
      <c r="BA35" s="24" t="s">
        <v>436</v>
      </c>
      <c r="BB35" s="24">
        <v>3.5017899999999998E-2</v>
      </c>
      <c r="BC35" s="35">
        <v>0.22222222222222221</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TEST_40</v>
      </c>
      <c r="H37" s="41" t="s">
        <v>124</v>
      </c>
      <c r="I37" s="41"/>
      <c r="J37" s="41"/>
      <c r="K37" s="41"/>
      <c r="L37" s="41"/>
      <c r="M37" s="42" t="s">
        <v>123</v>
      </c>
      <c r="N37" s="42"/>
      <c r="O37" s="42"/>
      <c r="P37" s="42"/>
      <c r="Q37" s="42"/>
      <c r="R37" s="2"/>
      <c r="S37" s="16"/>
      <c r="U37" s="16"/>
      <c r="W37" s="13" t="s">
        <v>126</v>
      </c>
      <c r="X37" s="14"/>
      <c r="Y37" s="9"/>
      <c r="Z37" s="10" t="str">
        <f>"TEST_"&amp;TEXT(RIGHT(Z26,2)+1, "00")</f>
        <v>TEST_46</v>
      </c>
      <c r="AA37" s="41" t="s">
        <v>124</v>
      </c>
      <c r="AB37" s="41"/>
      <c r="AC37" s="41"/>
      <c r="AD37" s="41"/>
      <c r="AE37" s="41"/>
      <c r="AF37" s="42" t="s">
        <v>123</v>
      </c>
      <c r="AG37" s="42"/>
      <c r="AH37" s="42"/>
      <c r="AI37" s="42"/>
      <c r="AJ37" s="42"/>
      <c r="AK37" s="2"/>
      <c r="AL37" s="16"/>
      <c r="AN37" s="16"/>
      <c r="AP37" s="13" t="s">
        <v>126</v>
      </c>
      <c r="AQ37" s="14"/>
      <c r="AR37" s="9"/>
      <c r="AS37" s="10" t="str">
        <f>"TEST_"&amp;TEXT(RIGHT(AS26,2)+1, "00")</f>
        <v>TEST_52</v>
      </c>
      <c r="AT37" s="41" t="s">
        <v>124</v>
      </c>
      <c r="AU37" s="41"/>
      <c r="AV37" s="41"/>
      <c r="AW37" s="41"/>
      <c r="AX37" s="41"/>
      <c r="AY37" s="42" t="s">
        <v>123</v>
      </c>
      <c r="AZ37" s="42"/>
      <c r="BA37" s="42"/>
      <c r="BB37" s="42"/>
      <c r="BC37" s="42"/>
      <c r="BD37" s="2"/>
      <c r="BE37" s="16"/>
    </row>
    <row r="38" spans="2:57" x14ac:dyDescent="0.2">
      <c r="B38" s="16"/>
      <c r="D38" s="11" t="s">
        <v>1</v>
      </c>
      <c r="E38" s="12" t="str">
        <f>VLOOKUP(LOWER(G37),experiments_specs!$A:$J,2,FALSE)</f>
        <v>NN,VB,VBD,VBG,VBN,VBP,VBZ</v>
      </c>
      <c r="F38" s="15" t="str">
        <f>"{"&amp;LOWER(G37)&amp;".csv}"</f>
        <v>{test_40.csv}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VLOOKUP(LOWER(Z37),experiments_specs!$A:$J,2,FALSE)</f>
        <v>NN,VB,VBD,VBG,VBN,VBP,VBZ</v>
      </c>
      <c r="Y38" s="15" t="str">
        <f>"{"&amp;LOWER(Z37)&amp;".csv}"</f>
        <v>{test_46.csv}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VLOOKUP(LOWER(AS37),experiments_specs!$A:$J,2,FALSE)</f>
        <v>NN,VB,VBD,VBG,VBN,VBP,VBZ</v>
      </c>
      <c r="AR38" s="15" t="str">
        <f>"{"&amp;LOWER(AS37)&amp;".csv}"</f>
        <v>{test_52.csv}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17" x14ac:dyDescent="0.2">
      <c r="B39" s="16"/>
      <c r="D39" s="11" t="s">
        <v>2</v>
      </c>
      <c r="E39" s="12">
        <f>VLOOKUP(LOWER(G37),experiments_specs!$A:$J,3,FALSE)</f>
        <v>1</v>
      </c>
      <c r="F39" s="15" t="s">
        <v>103</v>
      </c>
      <c r="G39" s="5" t="s">
        <v>19</v>
      </c>
      <c r="H39" s="17" t="s">
        <v>354</v>
      </c>
      <c r="I39" s="17">
        <v>0.13258249999999999</v>
      </c>
      <c r="J39" s="17" t="s">
        <v>288</v>
      </c>
      <c r="K39" s="17">
        <v>2.248E-3</v>
      </c>
      <c r="L39" s="30">
        <v>0.19047619047619047</v>
      </c>
      <c r="M39" s="21" t="s">
        <v>197</v>
      </c>
      <c r="N39" s="21">
        <v>0.15625</v>
      </c>
      <c r="O39" s="21" t="s">
        <v>198</v>
      </c>
      <c r="P39" s="21">
        <v>4.7892000000000004E-3</v>
      </c>
      <c r="Q39" s="33">
        <v>9.5238095238095233E-2</v>
      </c>
      <c r="S39" s="16"/>
      <c r="U39" s="16"/>
      <c r="W39" s="11" t="s">
        <v>2</v>
      </c>
      <c r="X39" s="12">
        <f>VLOOKUP(LOWER(Z37),experiments_specs!$A:$J,3,FALSE)</f>
        <v>1</v>
      </c>
      <c r="Y39" s="15" t="s">
        <v>109</v>
      </c>
      <c r="Z39" s="5" t="s">
        <v>19</v>
      </c>
      <c r="AA39" s="17" t="s">
        <v>354</v>
      </c>
      <c r="AB39" s="17">
        <v>0.13927149999999999</v>
      </c>
      <c r="AC39" s="17" t="s">
        <v>288</v>
      </c>
      <c r="AD39" s="17">
        <v>1.5571E-2</v>
      </c>
      <c r="AE39" s="30">
        <v>0.19047619047619047</v>
      </c>
      <c r="AF39" s="21" t="s">
        <v>47</v>
      </c>
      <c r="AG39" s="21">
        <v>0.1092535</v>
      </c>
      <c r="AH39" s="21" t="s">
        <v>447</v>
      </c>
      <c r="AI39" s="21">
        <v>2.2283399999999998E-2</v>
      </c>
      <c r="AJ39" s="33">
        <v>0.19047619047619047</v>
      </c>
      <c r="AL39" s="16"/>
      <c r="AN39" s="16"/>
      <c r="AP39" s="11" t="s">
        <v>2</v>
      </c>
      <c r="AQ39" s="12">
        <f>VLOOKUP(LOWER(AS37),experiments_specs!$A:$J,3,FALSE)</f>
        <v>1</v>
      </c>
      <c r="AR39" s="15" t="s">
        <v>115</v>
      </c>
      <c r="AS39" s="5" t="s">
        <v>19</v>
      </c>
      <c r="AT39" s="17" t="s">
        <v>354</v>
      </c>
      <c r="AU39" s="17">
        <v>0.1404878</v>
      </c>
      <c r="AV39" s="17" t="s">
        <v>288</v>
      </c>
      <c r="AW39" s="17">
        <v>2.18532E-2</v>
      </c>
      <c r="AX39" s="30">
        <v>0.19047619047619047</v>
      </c>
      <c r="AY39" s="21" t="s">
        <v>47</v>
      </c>
      <c r="AZ39" s="21">
        <v>0.11020770000000001</v>
      </c>
      <c r="BA39" s="21" t="s">
        <v>447</v>
      </c>
      <c r="BB39" s="21">
        <v>2.5543199999999999E-2</v>
      </c>
      <c r="BC39" s="33">
        <v>0.19047619047619047</v>
      </c>
      <c r="BE39" s="16"/>
    </row>
    <row r="40" spans="2:57" ht="17" x14ac:dyDescent="0.2">
      <c r="B40" s="16"/>
      <c r="D40" s="11" t="s">
        <v>3</v>
      </c>
      <c r="E40" s="12">
        <f>VLOOKUP(LOWER(G37),experiments_specs!$A:$J,4,FALSE)</f>
        <v>2</v>
      </c>
      <c r="F40" s="15" t="s">
        <v>103</v>
      </c>
      <c r="G40" s="6" t="s">
        <v>12</v>
      </c>
      <c r="H40" s="18" t="s">
        <v>251</v>
      </c>
      <c r="I40" s="18">
        <v>0.23613629999999999</v>
      </c>
      <c r="J40" s="18" t="s">
        <v>236</v>
      </c>
      <c r="K40" s="18">
        <v>3.9234999999999999E-3</v>
      </c>
      <c r="L40" s="31">
        <v>0.125</v>
      </c>
      <c r="M40" s="22" t="s">
        <v>235</v>
      </c>
      <c r="N40" s="22">
        <v>9.9688899999999997E-2</v>
      </c>
      <c r="O40" s="22" t="s">
        <v>251</v>
      </c>
      <c r="P40" s="22">
        <v>8.9785000000000004E-3</v>
      </c>
      <c r="Q40" s="34">
        <v>0.13333333333333333</v>
      </c>
      <c r="S40" s="16"/>
      <c r="U40" s="16"/>
      <c r="W40" s="11" t="s">
        <v>3</v>
      </c>
      <c r="X40" s="12">
        <f>VLOOKUP(LOWER(Z37),experiments_specs!$A:$J,4,FALSE)</f>
        <v>2</v>
      </c>
      <c r="Y40" s="15" t="s">
        <v>109</v>
      </c>
      <c r="Z40" s="6" t="s">
        <v>12</v>
      </c>
      <c r="AA40" s="18" t="s">
        <v>22</v>
      </c>
      <c r="AB40" s="18">
        <v>0.1315587</v>
      </c>
      <c r="AC40" s="18" t="s">
        <v>23</v>
      </c>
      <c r="AD40" s="18">
        <v>2.07765E-2</v>
      </c>
      <c r="AE40" s="31">
        <v>0.42857142857142855</v>
      </c>
      <c r="AF40" s="23" t="s">
        <v>24</v>
      </c>
      <c r="AG40" s="23">
        <v>0.1121936</v>
      </c>
      <c r="AH40" s="23" t="s">
        <v>481</v>
      </c>
      <c r="AI40" s="23">
        <v>4.0011199999999997E-2</v>
      </c>
      <c r="AJ40" s="34">
        <v>0.42857142857142855</v>
      </c>
      <c r="AL40" s="16"/>
      <c r="AN40" s="16"/>
      <c r="AP40" s="11" t="s">
        <v>3</v>
      </c>
      <c r="AQ40" s="12">
        <f>VLOOKUP(LOWER(AS37),experiments_specs!$A:$J,4,FALSE)</f>
        <v>2</v>
      </c>
      <c r="AR40" s="15" t="s">
        <v>115</v>
      </c>
      <c r="AS40" s="6" t="s">
        <v>12</v>
      </c>
      <c r="AT40" s="18" t="s">
        <v>22</v>
      </c>
      <c r="AU40" s="18">
        <v>0.13363059999999999</v>
      </c>
      <c r="AV40" s="18" t="s">
        <v>23</v>
      </c>
      <c r="AW40" s="18">
        <v>3.03894E-2</v>
      </c>
      <c r="AX40" s="31">
        <v>0.42857142857142855</v>
      </c>
      <c r="AY40" s="23" t="s">
        <v>24</v>
      </c>
      <c r="AZ40" s="23">
        <v>0.11396050000000001</v>
      </c>
      <c r="BA40" s="23" t="s">
        <v>481</v>
      </c>
      <c r="BB40" s="23">
        <v>5.0395200000000001E-2</v>
      </c>
      <c r="BC40" s="34">
        <v>0.42857142857142855</v>
      </c>
      <c r="BE40" s="16"/>
    </row>
    <row r="41" spans="2:57" x14ac:dyDescent="0.2">
      <c r="B41" s="16"/>
      <c r="D41" s="11" t="s">
        <v>4</v>
      </c>
      <c r="E41" s="12" t="str">
        <f>VLOOKUP(LOWER(G37),experiments_specs!$A:$J,5,FALSE)</f>
        <v>False</v>
      </c>
      <c r="F41" s="15" t="s">
        <v>103</v>
      </c>
      <c r="G41" s="6" t="s">
        <v>13</v>
      </c>
      <c r="H41" s="19" t="s">
        <v>425</v>
      </c>
      <c r="I41" s="19">
        <v>0.1058018</v>
      </c>
      <c r="J41" s="19" t="s">
        <v>426</v>
      </c>
      <c r="K41" s="19">
        <v>7.3340999999999996E-3</v>
      </c>
      <c r="L41" s="31" t="s">
        <v>25</v>
      </c>
      <c r="M41" s="22" t="s">
        <v>252</v>
      </c>
      <c r="N41" s="22">
        <v>0.1018963</v>
      </c>
      <c r="O41" s="22" t="s">
        <v>441</v>
      </c>
      <c r="P41" s="22">
        <v>8.5092999999999992E-3</v>
      </c>
      <c r="Q41" s="34">
        <v>0.33333333333333331</v>
      </c>
      <c r="S41" s="16"/>
      <c r="U41" s="16"/>
      <c r="W41" s="11" t="s">
        <v>4</v>
      </c>
      <c r="X41" s="12" t="str">
        <f>VLOOKUP(LOWER(Z37),experiments_specs!$A:$J,5,FALSE)</f>
        <v>True</v>
      </c>
      <c r="Y41" s="15" t="s">
        <v>109</v>
      </c>
      <c r="Z41" s="6" t="s">
        <v>13</v>
      </c>
      <c r="AA41" s="19" t="s">
        <v>32</v>
      </c>
      <c r="AB41" s="19">
        <v>0.1556997</v>
      </c>
      <c r="AC41" s="19" t="s">
        <v>473</v>
      </c>
      <c r="AD41" s="19">
        <v>3.2392400000000002E-2</v>
      </c>
      <c r="AE41" s="31">
        <v>0.4</v>
      </c>
      <c r="AF41" s="22" t="s">
        <v>34</v>
      </c>
      <c r="AG41" s="22">
        <v>4.6524200000000002E-2</v>
      </c>
      <c r="AH41" s="22" t="s">
        <v>35</v>
      </c>
      <c r="AI41" s="22">
        <v>2.4923600000000001E-2</v>
      </c>
      <c r="AJ41" s="34" t="s">
        <v>25</v>
      </c>
      <c r="AL41" s="16"/>
      <c r="AN41" s="16"/>
      <c r="AP41" s="11" t="s">
        <v>4</v>
      </c>
      <c r="AQ41" s="12" t="str">
        <f>VLOOKUP(LOWER(AS37),experiments_specs!$A:$J,5,FALSE)</f>
        <v>True</v>
      </c>
      <c r="AR41" s="15" t="s">
        <v>115</v>
      </c>
      <c r="AS41" s="6" t="s">
        <v>13</v>
      </c>
      <c r="AT41" s="19" t="s">
        <v>326</v>
      </c>
      <c r="AU41" s="19">
        <v>0.14784420000000001</v>
      </c>
      <c r="AV41" s="19" t="s">
        <v>327</v>
      </c>
      <c r="AW41" s="19">
        <v>3.2170400000000002E-2</v>
      </c>
      <c r="AX41" s="31" t="s">
        <v>25</v>
      </c>
      <c r="AY41" s="22" t="s">
        <v>417</v>
      </c>
      <c r="AZ41" s="22">
        <v>5.72598E-2</v>
      </c>
      <c r="BA41" s="22" t="s">
        <v>327</v>
      </c>
      <c r="BB41" s="22">
        <v>3.2170400000000002E-2</v>
      </c>
      <c r="BC41" s="34" t="s">
        <v>25</v>
      </c>
      <c r="BE41" s="16"/>
    </row>
    <row r="42" spans="2:57" ht="17" x14ac:dyDescent="0.2">
      <c r="B42" s="16"/>
      <c r="D42" s="11" t="s">
        <v>5</v>
      </c>
      <c r="E42" s="12" t="str">
        <f>VLOOKUP(LOWER(G37),experiments_specs!$A:$J,6,FALSE)</f>
        <v>True</v>
      </c>
      <c r="F42" s="15" t="s">
        <v>103</v>
      </c>
      <c r="G42" s="6" t="s">
        <v>14</v>
      </c>
      <c r="H42" s="19" t="s">
        <v>428</v>
      </c>
      <c r="I42" s="19">
        <v>0.1256148</v>
      </c>
      <c r="J42" s="19" t="s">
        <v>429</v>
      </c>
      <c r="K42" s="19">
        <v>4.1922000000000001E-3</v>
      </c>
      <c r="L42" s="31">
        <v>0.125</v>
      </c>
      <c r="M42" s="22" t="s">
        <v>430</v>
      </c>
      <c r="N42" s="22">
        <v>9.2450000000000004E-2</v>
      </c>
      <c r="O42" s="22" t="s">
        <v>429</v>
      </c>
      <c r="P42" s="22">
        <v>7.3714999999999996E-3</v>
      </c>
      <c r="Q42" s="34">
        <v>0.125</v>
      </c>
      <c r="S42" s="16"/>
      <c r="U42" s="16"/>
      <c r="W42" s="11" t="s">
        <v>5</v>
      </c>
      <c r="X42" s="12" t="str">
        <f>VLOOKUP(LOWER(Z37),experiments_specs!$A:$J,6,FALSE)</f>
        <v>True</v>
      </c>
      <c r="Y42" s="15" t="s">
        <v>109</v>
      </c>
      <c r="Z42" s="6" t="s">
        <v>14</v>
      </c>
      <c r="AA42" s="18" t="s">
        <v>449</v>
      </c>
      <c r="AB42" s="18">
        <v>0.13867499999999999</v>
      </c>
      <c r="AC42" s="18" t="s">
        <v>450</v>
      </c>
      <c r="AD42" s="18">
        <v>1.3037099999999999E-2</v>
      </c>
      <c r="AE42" s="31">
        <v>0.2857142857142857</v>
      </c>
      <c r="AF42" s="23" t="s">
        <v>451</v>
      </c>
      <c r="AG42" s="23">
        <v>0.12171609999999999</v>
      </c>
      <c r="AH42" s="23" t="s">
        <v>450</v>
      </c>
      <c r="AI42" s="23">
        <v>1.5721200000000001E-2</v>
      </c>
      <c r="AJ42" s="34">
        <v>0.2857142857142857</v>
      </c>
      <c r="AL42" s="16"/>
      <c r="AN42" s="16"/>
      <c r="AP42" s="11" t="s">
        <v>5</v>
      </c>
      <c r="AQ42" s="12" t="str">
        <f>VLOOKUP(LOWER(AS37),experiments_specs!$A:$J,6,FALSE)</f>
        <v>True</v>
      </c>
      <c r="AR42" s="15" t="s">
        <v>115</v>
      </c>
      <c r="AS42" s="6" t="s">
        <v>14</v>
      </c>
      <c r="AT42" s="18" t="s">
        <v>449</v>
      </c>
      <c r="AU42" s="18">
        <v>0.14064209999999999</v>
      </c>
      <c r="AV42" s="18" t="s">
        <v>450</v>
      </c>
      <c r="AW42" s="18">
        <v>1.5944199999999999E-2</v>
      </c>
      <c r="AX42" s="31">
        <v>0.2857142857142857</v>
      </c>
      <c r="AY42" s="23" t="s">
        <v>451</v>
      </c>
      <c r="AZ42" s="23">
        <v>0.1234426</v>
      </c>
      <c r="BA42" s="23" t="s">
        <v>450</v>
      </c>
      <c r="BB42" s="23">
        <v>1.69407E-2</v>
      </c>
      <c r="BC42" s="34">
        <v>0.2857142857142857</v>
      </c>
      <c r="BE42" s="16"/>
    </row>
    <row r="43" spans="2:57" ht="17" x14ac:dyDescent="0.2">
      <c r="B43" s="16"/>
      <c r="D43" s="11" t="s">
        <v>6</v>
      </c>
      <c r="E43" s="12" t="str">
        <f>VLOOKUP(LOWER(G37),experiments_specs!$A:$J,7,FALSE)</f>
        <v>True</v>
      </c>
      <c r="F43" s="15" t="s">
        <v>103</v>
      </c>
      <c r="G43" s="6" t="s">
        <v>15</v>
      </c>
      <c r="H43" s="19" t="s">
        <v>442</v>
      </c>
      <c r="I43" s="19">
        <v>0.18926399999999999</v>
      </c>
      <c r="J43" s="19" t="s">
        <v>443</v>
      </c>
      <c r="K43" s="19">
        <v>3.8376999999999999E-3</v>
      </c>
      <c r="L43" s="31">
        <v>0.2</v>
      </c>
      <c r="M43" s="23" t="s">
        <v>383</v>
      </c>
      <c r="N43" s="23">
        <v>0.1151824</v>
      </c>
      <c r="O43" s="23" t="s">
        <v>443</v>
      </c>
      <c r="P43" s="23">
        <v>1.48947E-2</v>
      </c>
      <c r="Q43" s="34">
        <v>0.2</v>
      </c>
      <c r="S43" s="16"/>
      <c r="U43" s="16"/>
      <c r="W43" s="11" t="s">
        <v>6</v>
      </c>
      <c r="X43" s="12" t="str">
        <f>VLOOKUP(LOWER(Z37),experiments_specs!$A:$J,7,FALSE)</f>
        <v>True</v>
      </c>
      <c r="Y43" s="15" t="s">
        <v>109</v>
      </c>
      <c r="Z43" s="6" t="s">
        <v>15</v>
      </c>
      <c r="AA43" s="19" t="s">
        <v>26</v>
      </c>
      <c r="AB43" s="19">
        <v>0.20365320000000001</v>
      </c>
      <c r="AC43" s="19" t="s">
        <v>27</v>
      </c>
      <c r="AD43" s="19">
        <v>1.338E-2</v>
      </c>
      <c r="AE43" s="31">
        <v>0.16666666666666666</v>
      </c>
      <c r="AF43" s="23" t="s">
        <v>365</v>
      </c>
      <c r="AG43" s="23">
        <v>7.33235E-2</v>
      </c>
      <c r="AH43" s="23" t="s">
        <v>27</v>
      </c>
      <c r="AI43" s="23">
        <v>3.3182400000000001E-2</v>
      </c>
      <c r="AJ43" s="34">
        <v>0.16666666666666666</v>
      </c>
      <c r="AL43" s="16"/>
      <c r="AN43" s="16"/>
      <c r="AP43" s="11" t="s">
        <v>6</v>
      </c>
      <c r="AQ43" s="12" t="str">
        <f>VLOOKUP(LOWER(AS37),experiments_specs!$A:$J,7,FALSE)</f>
        <v>True</v>
      </c>
      <c r="AR43" s="15" t="s">
        <v>115</v>
      </c>
      <c r="AS43" s="6" t="s">
        <v>15</v>
      </c>
      <c r="AT43" s="19" t="s">
        <v>26</v>
      </c>
      <c r="AU43" s="19">
        <v>0.21239759999999999</v>
      </c>
      <c r="AV43" s="19" t="s">
        <v>27</v>
      </c>
      <c r="AW43" s="19">
        <v>1.8024600000000002E-2</v>
      </c>
      <c r="AX43" s="31">
        <v>0.16666666666666666</v>
      </c>
      <c r="AY43" s="23" t="s">
        <v>365</v>
      </c>
      <c r="AZ43" s="23">
        <v>3.8235900000000003E-2</v>
      </c>
      <c r="BA43" s="23" t="s">
        <v>26</v>
      </c>
      <c r="BB43" s="23">
        <v>4.4715299999999999E-2</v>
      </c>
      <c r="BC43" s="34">
        <v>0.18181818181818182</v>
      </c>
      <c r="BE43" s="16"/>
    </row>
    <row r="44" spans="2:57" ht="34" x14ac:dyDescent="0.2">
      <c r="B44" s="16"/>
      <c r="D44" s="11" t="s">
        <v>7</v>
      </c>
      <c r="E44" s="12" t="str">
        <f>VLOOKUP(LOWER(G37),experiments_specs!$A:$J,8,FALSE)</f>
        <v>True</v>
      </c>
      <c r="F44" s="15" t="s">
        <v>103</v>
      </c>
      <c r="G44" s="6" t="s">
        <v>16</v>
      </c>
      <c r="H44" s="19" t="s">
        <v>208</v>
      </c>
      <c r="I44" s="19">
        <v>0.1964185</v>
      </c>
      <c r="J44" s="19" t="s">
        <v>431</v>
      </c>
      <c r="K44" s="19">
        <v>3.1697000000000001E-3</v>
      </c>
      <c r="L44" s="31">
        <v>0.55555555555555558</v>
      </c>
      <c r="M44" s="23" t="s">
        <v>444</v>
      </c>
      <c r="N44" s="23">
        <v>5.8925499999999999E-2</v>
      </c>
      <c r="O44" s="23" t="s">
        <v>445</v>
      </c>
      <c r="P44" s="23">
        <v>5.8183999999999996E-3</v>
      </c>
      <c r="Q44" s="34">
        <v>0.14285714285714285</v>
      </c>
      <c r="S44" s="16"/>
      <c r="U44" s="16"/>
      <c r="W44" s="11" t="s">
        <v>7</v>
      </c>
      <c r="X44" s="12" t="str">
        <f>VLOOKUP(LOWER(Z37),experiments_specs!$A:$J,8,FALSE)</f>
        <v>True</v>
      </c>
      <c r="Y44" s="15" t="s">
        <v>109</v>
      </c>
      <c r="Z44" s="6" t="s">
        <v>16</v>
      </c>
      <c r="AA44" s="18" t="s">
        <v>452</v>
      </c>
      <c r="AB44" s="18" t="s">
        <v>485</v>
      </c>
      <c r="AC44" s="18" t="s">
        <v>456</v>
      </c>
      <c r="AD44" s="18" t="s">
        <v>487</v>
      </c>
      <c r="AE44" s="31">
        <v>0.22222222222222221</v>
      </c>
      <c r="AF44" s="23" t="s">
        <v>460</v>
      </c>
      <c r="AG44" s="23" t="s">
        <v>489</v>
      </c>
      <c r="AH44" s="23" t="s">
        <v>456</v>
      </c>
      <c r="AI44" s="23" t="s">
        <v>491</v>
      </c>
      <c r="AJ44" s="34">
        <v>0.22222222222222221</v>
      </c>
      <c r="AL44" s="16"/>
      <c r="AN44" s="16"/>
      <c r="AP44" s="11" t="s">
        <v>7</v>
      </c>
      <c r="AQ44" s="12" t="str">
        <f>VLOOKUP(LOWER(AS37),experiments_specs!$A:$J,8,FALSE)</f>
        <v>True</v>
      </c>
      <c r="AR44" s="15" t="s">
        <v>115</v>
      </c>
      <c r="AS44" s="6" t="s">
        <v>16</v>
      </c>
      <c r="AT44" s="18" t="s">
        <v>452</v>
      </c>
      <c r="AU44" s="18" t="s">
        <v>454</v>
      </c>
      <c r="AV44" s="18" t="s">
        <v>456</v>
      </c>
      <c r="AW44" s="18" t="s">
        <v>519</v>
      </c>
      <c r="AX44" s="31">
        <v>0.22222222222222221</v>
      </c>
      <c r="AY44" s="23" t="s">
        <v>460</v>
      </c>
      <c r="AZ44" s="23" t="s">
        <v>462</v>
      </c>
      <c r="BA44" s="23" t="s">
        <v>456</v>
      </c>
      <c r="BB44" s="23" t="s">
        <v>521</v>
      </c>
      <c r="BC44" s="34">
        <v>0.22222222222222221</v>
      </c>
      <c r="BE44" s="16"/>
    </row>
    <row r="45" spans="2:57" ht="51" x14ac:dyDescent="0.2">
      <c r="B45" s="16"/>
      <c r="D45" s="11" t="s">
        <v>8</v>
      </c>
      <c r="E45" s="12" t="str">
        <f>VLOOKUP(LOWER(G37),experiments_specs!$A:$J,9,FALSE)</f>
        <v>wup_similarity</v>
      </c>
      <c r="F45" s="15" t="s">
        <v>103</v>
      </c>
      <c r="G45" s="6" t="s">
        <v>17</v>
      </c>
      <c r="H45" s="19" t="s">
        <v>218</v>
      </c>
      <c r="I45" s="19">
        <v>0.21437320000000001</v>
      </c>
      <c r="J45" s="19" t="s">
        <v>219</v>
      </c>
      <c r="K45" s="19">
        <v>2.5861E-3</v>
      </c>
      <c r="L45" s="31">
        <v>0.13333333333333333</v>
      </c>
      <c r="M45" s="22" t="s">
        <v>30</v>
      </c>
      <c r="N45" s="22">
        <v>0.14002800000000001</v>
      </c>
      <c r="O45" s="22" t="s">
        <v>446</v>
      </c>
      <c r="P45" s="22">
        <v>1.2126700000000001E-2</v>
      </c>
      <c r="Q45" s="34">
        <v>0.22222222222222221</v>
      </c>
      <c r="S45" s="16"/>
      <c r="U45" s="16"/>
      <c r="W45" s="11" t="s">
        <v>8</v>
      </c>
      <c r="X45" s="12" t="str">
        <f>VLOOKUP(LOWER(Z37),experiments_specs!$A:$J,9,FALSE)</f>
        <v>wup_similarity</v>
      </c>
      <c r="Y45" s="15" t="s">
        <v>109</v>
      </c>
      <c r="Z45" s="6" t="s">
        <v>17</v>
      </c>
      <c r="AA45" s="19" t="s">
        <v>30</v>
      </c>
      <c r="AB45" s="19">
        <v>0.15161959999999999</v>
      </c>
      <c r="AC45" s="19" t="s">
        <v>484</v>
      </c>
      <c r="AD45" s="19">
        <v>2.4868600000000001E-2</v>
      </c>
      <c r="AE45" s="31">
        <v>0.22222222222222221</v>
      </c>
      <c r="AF45" s="22" t="s">
        <v>30</v>
      </c>
      <c r="AG45" s="22">
        <v>0.15161959999999999</v>
      </c>
      <c r="AH45" s="22" t="s">
        <v>380</v>
      </c>
      <c r="AI45" s="22">
        <v>2.6120600000000001E-2</v>
      </c>
      <c r="AJ45" s="34">
        <v>0.2</v>
      </c>
      <c r="AL45" s="16"/>
      <c r="AN45" s="16"/>
      <c r="AP45" s="11" t="s">
        <v>8</v>
      </c>
      <c r="AQ45" s="12" t="str">
        <f>VLOOKUP(LOWER(AS37),experiments_specs!$A:$J,9,FALSE)</f>
        <v>wup_similarity</v>
      </c>
      <c r="AR45" s="15" t="s">
        <v>115</v>
      </c>
      <c r="AS45" s="6" t="s">
        <v>17</v>
      </c>
      <c r="AT45" s="18" t="s">
        <v>278</v>
      </c>
      <c r="AU45" s="18" t="s">
        <v>466</v>
      </c>
      <c r="AV45" s="18" t="s">
        <v>189</v>
      </c>
      <c r="AW45" s="18" t="s">
        <v>479</v>
      </c>
      <c r="AX45" s="31">
        <v>0.30769230769230771</v>
      </c>
      <c r="AY45" s="23" t="s">
        <v>470</v>
      </c>
      <c r="AZ45" s="23">
        <v>3.3709900000000001E-2</v>
      </c>
      <c r="BA45" s="23" t="s">
        <v>471</v>
      </c>
      <c r="BB45" s="23">
        <v>2.2019199999999999E-2</v>
      </c>
      <c r="BC45" s="34">
        <v>0.16666666666666666</v>
      </c>
      <c r="BE45" s="16"/>
    </row>
    <row r="46" spans="2:57" x14ac:dyDescent="0.2">
      <c r="B46" s="16"/>
      <c r="D46" s="11" t="s">
        <v>9</v>
      </c>
      <c r="E46" s="12" t="str">
        <f>VLOOKUP(LOWER(G37),experiments_specs!$A:$J,10,FALSE)</f>
        <v>False</v>
      </c>
      <c r="F46" s="15" t="s">
        <v>103</v>
      </c>
      <c r="G46" s="7" t="s">
        <v>18</v>
      </c>
      <c r="H46" s="20" t="s">
        <v>222</v>
      </c>
      <c r="I46" s="20">
        <v>0.12187870000000001</v>
      </c>
      <c r="J46" s="20" t="s">
        <v>223</v>
      </c>
      <c r="K46" s="20">
        <v>1.4316000000000001E-3</v>
      </c>
      <c r="L46" s="32">
        <v>0.21052631578947367</v>
      </c>
      <c r="M46" s="24" t="s">
        <v>388</v>
      </c>
      <c r="N46" s="24">
        <v>5.8025800000000002E-2</v>
      </c>
      <c r="O46" s="24" t="s">
        <v>440</v>
      </c>
      <c r="P46" s="24">
        <v>5.9198999999999996E-3</v>
      </c>
      <c r="Q46" s="35">
        <v>0.11764705882352941</v>
      </c>
      <c r="S46" s="16"/>
      <c r="U46" s="16"/>
      <c r="W46" s="11" t="s">
        <v>9</v>
      </c>
      <c r="X46" s="12" t="str">
        <f>VLOOKUP(LOWER(Z37),experiments_specs!$A:$J,10,FALSE)</f>
        <v>False</v>
      </c>
      <c r="Y46" s="15" t="s">
        <v>109</v>
      </c>
      <c r="Z46" s="7" t="s">
        <v>18</v>
      </c>
      <c r="AA46" s="20" t="s">
        <v>44</v>
      </c>
      <c r="AB46" s="20">
        <v>5.9131200000000002E-2</v>
      </c>
      <c r="AC46" s="20" t="s">
        <v>472</v>
      </c>
      <c r="AD46" s="20">
        <v>1.52657E-2</v>
      </c>
      <c r="AE46" s="32">
        <v>0.21052631578947367</v>
      </c>
      <c r="AF46" s="24" t="s">
        <v>46</v>
      </c>
      <c r="AG46" s="24">
        <v>5.6980200000000002E-2</v>
      </c>
      <c r="AH46" s="24" t="s">
        <v>436</v>
      </c>
      <c r="AI46" s="24">
        <v>2.7694099999999999E-2</v>
      </c>
      <c r="AJ46" s="35">
        <v>0.22222222222222221</v>
      </c>
      <c r="AL46" s="16"/>
      <c r="AN46" s="16"/>
      <c r="AP46" s="11" t="s">
        <v>9</v>
      </c>
      <c r="AQ46" s="12" t="str">
        <f>VLOOKUP(LOWER(AS37),experiments_specs!$A:$J,10,FALSE)</f>
        <v>True</v>
      </c>
      <c r="AR46" s="15" t="s">
        <v>115</v>
      </c>
      <c r="AS46" s="7" t="s">
        <v>18</v>
      </c>
      <c r="AT46" s="20" t="s">
        <v>44</v>
      </c>
      <c r="AU46" s="20">
        <v>5.8798099999999999E-2</v>
      </c>
      <c r="AV46" s="20" t="s">
        <v>472</v>
      </c>
      <c r="AW46" s="20">
        <v>2.02396E-2</v>
      </c>
      <c r="AX46" s="32">
        <v>0.21052631578947367</v>
      </c>
      <c r="AY46" s="24" t="s">
        <v>46</v>
      </c>
      <c r="AZ46" s="24">
        <v>5.66592E-2</v>
      </c>
      <c r="BA46" s="24" t="s">
        <v>436</v>
      </c>
      <c r="BB46" s="24">
        <v>3.2225400000000001E-2</v>
      </c>
      <c r="BC46" s="35">
        <v>0.22222222222222221</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TEST_41</v>
      </c>
      <c r="H48" s="41" t="s">
        <v>124</v>
      </c>
      <c r="I48" s="41"/>
      <c r="J48" s="41"/>
      <c r="K48" s="41"/>
      <c r="L48" s="41"/>
      <c r="M48" s="42" t="s">
        <v>123</v>
      </c>
      <c r="N48" s="42"/>
      <c r="O48" s="42"/>
      <c r="P48" s="42"/>
      <c r="Q48" s="42"/>
      <c r="R48" s="2"/>
      <c r="S48" s="16"/>
      <c r="U48" s="16"/>
      <c r="W48" s="13" t="s">
        <v>126</v>
      </c>
      <c r="X48" s="14"/>
      <c r="Y48" s="9"/>
      <c r="Z48" s="10" t="str">
        <f>"TEST_"&amp;TEXT(RIGHT(Z37,2)+1, "00")</f>
        <v>TEST_47</v>
      </c>
      <c r="AA48" s="41" t="s">
        <v>124</v>
      </c>
      <c r="AB48" s="41"/>
      <c r="AC48" s="41"/>
      <c r="AD48" s="41"/>
      <c r="AE48" s="41"/>
      <c r="AF48" s="42" t="s">
        <v>123</v>
      </c>
      <c r="AG48" s="42"/>
      <c r="AH48" s="42"/>
      <c r="AI48" s="42"/>
      <c r="AJ48" s="42"/>
      <c r="AK48" s="2"/>
      <c r="AL48" s="16"/>
      <c r="AN48" s="16"/>
      <c r="AP48" s="13" t="s">
        <v>126</v>
      </c>
      <c r="AQ48" s="14"/>
      <c r="AR48" s="9"/>
      <c r="AS48" s="10" t="str">
        <f>"TEST_"&amp;TEXT(RIGHT(AS37,2)+1, "00")</f>
        <v>TEST_53</v>
      </c>
      <c r="AT48" s="41" t="s">
        <v>124</v>
      </c>
      <c r="AU48" s="41"/>
      <c r="AV48" s="41"/>
      <c r="AW48" s="41"/>
      <c r="AX48" s="41"/>
      <c r="AY48" s="42" t="s">
        <v>123</v>
      </c>
      <c r="AZ48" s="42"/>
      <c r="BA48" s="42"/>
      <c r="BB48" s="42"/>
      <c r="BC48" s="42"/>
      <c r="BD48" s="2"/>
      <c r="BE48" s="16"/>
    </row>
    <row r="49" spans="2:57" x14ac:dyDescent="0.2">
      <c r="B49" s="16"/>
      <c r="D49" s="11" t="s">
        <v>1</v>
      </c>
      <c r="E49" s="12" t="str">
        <f>VLOOKUP(LOWER(G48),experiments_specs!$A:$J,2,FALSE)</f>
        <v>NN,RB</v>
      </c>
      <c r="F49" s="15" t="str">
        <f>"{"&amp;LOWER(G48)&amp;".csv}"</f>
        <v>{test_41.csv}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VLOOKUP(LOWER(Z48),experiments_specs!$A:$J,2,FALSE)</f>
        <v>NN,RB</v>
      </c>
      <c r="Y49" s="15" t="str">
        <f>"{"&amp;LOWER(Z48)&amp;".csv}"</f>
        <v>{test_47.csv}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VLOOKUP(LOWER(AS48),experiments_specs!$A:$J,2,FALSE)</f>
        <v>NN,RB</v>
      </c>
      <c r="AR49" s="15" t="str">
        <f>"{"&amp;LOWER(AS48)&amp;".csv}"</f>
        <v>{test_53.csv}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17" x14ac:dyDescent="0.2">
      <c r="B50" s="16"/>
      <c r="D50" s="11" t="s">
        <v>2</v>
      </c>
      <c r="E50" s="12">
        <f>VLOOKUP(LOWER(G48),experiments_specs!$A:$J,3,FALSE)</f>
        <v>1</v>
      </c>
      <c r="F50" s="15" t="s">
        <v>104</v>
      </c>
      <c r="G50" s="5" t="s">
        <v>19</v>
      </c>
      <c r="H50" s="17" t="s">
        <v>354</v>
      </c>
      <c r="I50" s="17">
        <v>0.1358036</v>
      </c>
      <c r="J50" s="17" t="s">
        <v>288</v>
      </c>
      <c r="K50" s="17">
        <v>3.5990000000000002E-3</v>
      </c>
      <c r="L50" s="30">
        <v>0.19047619047619047</v>
      </c>
      <c r="M50" s="21" t="s">
        <v>197</v>
      </c>
      <c r="N50" s="21">
        <v>0.16004599999999999</v>
      </c>
      <c r="O50" s="21" t="s">
        <v>198</v>
      </c>
      <c r="P50" s="21">
        <v>5.2474000000000002E-3</v>
      </c>
      <c r="Q50" s="33">
        <v>9.5238095238095233E-2</v>
      </c>
      <c r="S50" s="16"/>
      <c r="U50" s="16"/>
      <c r="W50" s="11" t="s">
        <v>2</v>
      </c>
      <c r="X50" s="12">
        <f>VLOOKUP(LOWER(Z48),experiments_specs!$A:$J,3,FALSE)</f>
        <v>1</v>
      </c>
      <c r="Y50" s="15" t="s">
        <v>110</v>
      </c>
      <c r="Z50" s="5" t="s">
        <v>19</v>
      </c>
      <c r="AA50" s="17" t="s">
        <v>354</v>
      </c>
      <c r="AB50" s="17">
        <v>0.13808609999999999</v>
      </c>
      <c r="AC50" s="17" t="s">
        <v>288</v>
      </c>
      <c r="AD50" s="17">
        <v>2.0584600000000002E-2</v>
      </c>
      <c r="AE50" s="30">
        <v>0.19047619047619047</v>
      </c>
      <c r="AF50" s="21" t="s">
        <v>47</v>
      </c>
      <c r="AG50" s="21">
        <v>0.10832369999999999</v>
      </c>
      <c r="AH50" s="21" t="s">
        <v>447</v>
      </c>
      <c r="AI50" s="21">
        <v>2.9070700000000001E-2</v>
      </c>
      <c r="AJ50" s="33">
        <v>0.19047619047619047</v>
      </c>
      <c r="AL50" s="16"/>
      <c r="AN50" s="16"/>
      <c r="AP50" s="11" t="s">
        <v>2</v>
      </c>
      <c r="AQ50" s="12">
        <f>VLOOKUP(LOWER(AS48),experiments_specs!$A:$J,3,FALSE)</f>
        <v>1</v>
      </c>
      <c r="AR50" s="15" t="s">
        <v>116</v>
      </c>
      <c r="AS50" s="5" t="s">
        <v>19</v>
      </c>
      <c r="AT50" s="17" t="s">
        <v>354</v>
      </c>
      <c r="AU50" s="17">
        <v>0.1404878</v>
      </c>
      <c r="AV50" s="17" t="s">
        <v>288</v>
      </c>
      <c r="AW50" s="17">
        <v>2.2846499999999999E-2</v>
      </c>
      <c r="AX50" s="30">
        <v>0.19047619047619047</v>
      </c>
      <c r="AY50" s="21" t="s">
        <v>47</v>
      </c>
      <c r="AZ50" s="21">
        <v>0.11020770000000001</v>
      </c>
      <c r="BA50" s="21" t="s">
        <v>447</v>
      </c>
      <c r="BB50" s="21">
        <v>2.6759499999999999E-2</v>
      </c>
      <c r="BC50" s="33">
        <v>0.19047619047619047</v>
      </c>
      <c r="BE50" s="16"/>
    </row>
    <row r="51" spans="2:57" ht="17" x14ac:dyDescent="0.2">
      <c r="B51" s="16"/>
      <c r="D51" s="11" t="s">
        <v>3</v>
      </c>
      <c r="E51" s="12">
        <f>VLOOKUP(LOWER(G48),experiments_specs!$A:$J,4,FALSE)</f>
        <v>2</v>
      </c>
      <c r="F51" s="15" t="s">
        <v>104</v>
      </c>
      <c r="G51" s="6" t="s">
        <v>12</v>
      </c>
      <c r="H51" s="18" t="s">
        <v>422</v>
      </c>
      <c r="I51" s="18">
        <v>0.134687</v>
      </c>
      <c r="J51" s="18" t="s">
        <v>423</v>
      </c>
      <c r="K51" s="18">
        <v>8.8275000000000003E-3</v>
      </c>
      <c r="L51" s="31">
        <v>0.2857142857142857</v>
      </c>
      <c r="M51" s="22" t="s">
        <v>24</v>
      </c>
      <c r="N51" s="22">
        <v>0.11396050000000001</v>
      </c>
      <c r="O51" s="22" t="s">
        <v>424</v>
      </c>
      <c r="P51" s="22">
        <v>1.31637E-2</v>
      </c>
      <c r="Q51" s="34">
        <v>0.42857142857142855</v>
      </c>
      <c r="S51" s="16"/>
      <c r="U51" s="16"/>
      <c r="W51" s="11" t="s">
        <v>3</v>
      </c>
      <c r="X51" s="12">
        <f>VLOOKUP(LOWER(Z48),experiments_specs!$A:$J,4,FALSE)</f>
        <v>2</v>
      </c>
      <c r="Y51" s="15" t="s">
        <v>110</v>
      </c>
      <c r="Z51" s="6" t="s">
        <v>12</v>
      </c>
      <c r="AA51" s="18" t="s">
        <v>22</v>
      </c>
      <c r="AB51" s="18">
        <v>0.13693060000000001</v>
      </c>
      <c r="AC51" s="18" t="s">
        <v>23</v>
      </c>
      <c r="AD51" s="18">
        <v>4.3249900000000001E-2</v>
      </c>
      <c r="AE51" s="31">
        <v>0.42857142857142855</v>
      </c>
      <c r="AF51" s="23" t="s">
        <v>24</v>
      </c>
      <c r="AG51" s="23">
        <v>0.1167748</v>
      </c>
      <c r="AH51" s="23" t="s">
        <v>448</v>
      </c>
      <c r="AI51" s="23">
        <v>6.7770800000000006E-2</v>
      </c>
      <c r="AJ51" s="34">
        <v>0.42857142857142855</v>
      </c>
      <c r="AL51" s="16"/>
      <c r="AN51" s="16"/>
      <c r="AP51" s="11" t="s">
        <v>3</v>
      </c>
      <c r="AQ51" s="12">
        <f>VLOOKUP(LOWER(AS48),experiments_specs!$A:$J,4,FALSE)</f>
        <v>2</v>
      </c>
      <c r="AR51" s="15" t="s">
        <v>116</v>
      </c>
      <c r="AS51" s="6" t="s">
        <v>12</v>
      </c>
      <c r="AT51" s="18" t="s">
        <v>22</v>
      </c>
      <c r="AU51" s="18">
        <v>0.13693060000000001</v>
      </c>
      <c r="AV51" s="18" t="s">
        <v>23</v>
      </c>
      <c r="AW51" s="18">
        <v>4.3249900000000001E-2</v>
      </c>
      <c r="AX51" s="31">
        <v>0.42857142857142855</v>
      </c>
      <c r="AY51" s="23" t="s">
        <v>24</v>
      </c>
      <c r="AZ51" s="23">
        <v>0.1167748</v>
      </c>
      <c r="BA51" s="23" t="s">
        <v>448</v>
      </c>
      <c r="BB51" s="23">
        <v>6.7770800000000006E-2</v>
      </c>
      <c r="BC51" s="34">
        <v>0.42857142857142855</v>
      </c>
      <c r="BE51" s="16"/>
    </row>
    <row r="52" spans="2:57" x14ac:dyDescent="0.2">
      <c r="B52" s="16"/>
      <c r="D52" s="11" t="s">
        <v>4</v>
      </c>
      <c r="E52" s="12" t="str">
        <f>VLOOKUP(LOWER(G48),experiments_specs!$A:$J,5,FALSE)</f>
        <v>False</v>
      </c>
      <c r="F52" s="15" t="s">
        <v>104</v>
      </c>
      <c r="G52" s="6" t="s">
        <v>13</v>
      </c>
      <c r="H52" s="19" t="s">
        <v>425</v>
      </c>
      <c r="I52" s="19">
        <v>0.1074172</v>
      </c>
      <c r="J52" s="19" t="s">
        <v>426</v>
      </c>
      <c r="K52" s="19">
        <v>1.3437899999999999E-2</v>
      </c>
      <c r="L52" s="31" t="s">
        <v>25</v>
      </c>
      <c r="M52" s="22" t="s">
        <v>427</v>
      </c>
      <c r="N52" s="22">
        <v>0.1121936</v>
      </c>
      <c r="O52" s="22" t="s">
        <v>426</v>
      </c>
      <c r="P52" s="22">
        <v>1.42153E-2</v>
      </c>
      <c r="Q52" s="34" t="s">
        <v>25</v>
      </c>
      <c r="S52" s="16"/>
      <c r="U52" s="16"/>
      <c r="W52" s="11" t="s">
        <v>4</v>
      </c>
      <c r="X52" s="12" t="str">
        <f>VLOOKUP(LOWER(Z48),experiments_specs!$A:$J,5,FALSE)</f>
        <v>True</v>
      </c>
      <c r="Y52" s="15" t="s">
        <v>110</v>
      </c>
      <c r="Z52" s="6" t="s">
        <v>13</v>
      </c>
      <c r="AA52" s="19" t="s">
        <v>32</v>
      </c>
      <c r="AB52" s="19">
        <v>0.16329930000000001</v>
      </c>
      <c r="AC52" s="19" t="s">
        <v>398</v>
      </c>
      <c r="AD52" s="19">
        <v>3.2274799999999999E-2</v>
      </c>
      <c r="AE52" s="31">
        <v>0.4</v>
      </c>
      <c r="AF52" s="22" t="s">
        <v>34</v>
      </c>
      <c r="AG52" s="22">
        <v>4.8794999999999998E-2</v>
      </c>
      <c r="AH52" s="22" t="s">
        <v>35</v>
      </c>
      <c r="AI52" s="22">
        <v>3.6596200000000002E-2</v>
      </c>
      <c r="AJ52" s="34" t="s">
        <v>25</v>
      </c>
      <c r="AL52" s="16"/>
      <c r="AN52" s="16"/>
      <c r="AP52" s="11" t="s">
        <v>4</v>
      </c>
      <c r="AQ52" s="12" t="str">
        <f>VLOOKUP(LOWER(AS48),experiments_specs!$A:$J,5,FALSE)</f>
        <v>True</v>
      </c>
      <c r="AR52" s="15" t="s">
        <v>116</v>
      </c>
      <c r="AS52" s="6" t="s">
        <v>13</v>
      </c>
      <c r="AT52" s="19" t="s">
        <v>326</v>
      </c>
      <c r="AU52" s="19">
        <v>0.14784420000000001</v>
      </c>
      <c r="AV52" s="19" t="s">
        <v>327</v>
      </c>
      <c r="AW52" s="19">
        <v>3.2170400000000002E-2</v>
      </c>
      <c r="AX52" s="31" t="s">
        <v>25</v>
      </c>
      <c r="AY52" s="22" t="s">
        <v>417</v>
      </c>
      <c r="AZ52" s="22">
        <v>5.72598E-2</v>
      </c>
      <c r="BA52" s="22" t="s">
        <v>327</v>
      </c>
      <c r="BB52" s="22">
        <v>3.2170400000000002E-2</v>
      </c>
      <c r="BC52" s="34" t="s">
        <v>25</v>
      </c>
      <c r="BE52" s="16"/>
    </row>
    <row r="53" spans="2:57" ht="17" x14ac:dyDescent="0.2">
      <c r="B53" s="16"/>
      <c r="D53" s="11" t="s">
        <v>5</v>
      </c>
      <c r="E53" s="12" t="str">
        <f>VLOOKUP(LOWER(G48),experiments_specs!$A:$J,6,FALSE)</f>
        <v>True</v>
      </c>
      <c r="F53" s="15" t="s">
        <v>104</v>
      </c>
      <c r="G53" s="6" t="s">
        <v>14</v>
      </c>
      <c r="H53" s="19" t="s">
        <v>428</v>
      </c>
      <c r="I53" s="19">
        <v>0.1256148</v>
      </c>
      <c r="J53" s="19" t="s">
        <v>429</v>
      </c>
      <c r="K53" s="19">
        <v>6.1872999999999997E-3</v>
      </c>
      <c r="L53" s="31">
        <v>0.125</v>
      </c>
      <c r="M53" s="22" t="s">
        <v>430</v>
      </c>
      <c r="N53" s="22">
        <v>9.2450000000000004E-2</v>
      </c>
      <c r="O53" s="22" t="s">
        <v>429</v>
      </c>
      <c r="P53" s="22">
        <v>1.11641E-2</v>
      </c>
      <c r="Q53" s="34">
        <v>0.125</v>
      </c>
      <c r="S53" s="16"/>
      <c r="U53" s="16"/>
      <c r="W53" s="11" t="s">
        <v>5</v>
      </c>
      <c r="X53" s="12" t="str">
        <f>VLOOKUP(LOWER(Z48),experiments_specs!$A:$J,6,FALSE)</f>
        <v>True</v>
      </c>
      <c r="Y53" s="15" t="s">
        <v>110</v>
      </c>
      <c r="Z53" s="6" t="s">
        <v>14</v>
      </c>
      <c r="AA53" s="18" t="s">
        <v>449</v>
      </c>
      <c r="AB53" s="18">
        <v>0.14165759999999999</v>
      </c>
      <c r="AC53" s="18" t="s">
        <v>450</v>
      </c>
      <c r="AD53" s="18">
        <v>1.88282E-2</v>
      </c>
      <c r="AE53" s="31">
        <v>0.2857142857142857</v>
      </c>
      <c r="AF53" s="23" t="s">
        <v>451</v>
      </c>
      <c r="AG53" s="23">
        <v>0.1243339</v>
      </c>
      <c r="AH53" s="23" t="s">
        <v>450</v>
      </c>
      <c r="AI53" s="23">
        <v>2.2750699999999999E-2</v>
      </c>
      <c r="AJ53" s="34">
        <v>0.2857142857142857</v>
      </c>
      <c r="AL53" s="16"/>
      <c r="AN53" s="16"/>
      <c r="AP53" s="11" t="s">
        <v>5</v>
      </c>
      <c r="AQ53" s="12" t="str">
        <f>VLOOKUP(LOWER(AS48),experiments_specs!$A:$J,6,FALSE)</f>
        <v>True</v>
      </c>
      <c r="AR53" s="15" t="s">
        <v>116</v>
      </c>
      <c r="AS53" s="6" t="s">
        <v>14</v>
      </c>
      <c r="AT53" s="18" t="s">
        <v>449</v>
      </c>
      <c r="AU53" s="18">
        <v>0.1426954</v>
      </c>
      <c r="AV53" s="18" t="s">
        <v>450</v>
      </c>
      <c r="AW53" s="18">
        <v>1.9643500000000001E-2</v>
      </c>
      <c r="AX53" s="31">
        <v>0.2857142857142857</v>
      </c>
      <c r="AY53" s="23" t="s">
        <v>451</v>
      </c>
      <c r="AZ53" s="23">
        <v>0.12524479999999999</v>
      </c>
      <c r="BA53" s="23" t="s">
        <v>450</v>
      </c>
      <c r="BB53" s="23">
        <v>2.11545E-2</v>
      </c>
      <c r="BC53" s="34">
        <v>0.2857142857142857</v>
      </c>
      <c r="BE53" s="16"/>
    </row>
    <row r="54" spans="2:57" ht="17" x14ac:dyDescent="0.2">
      <c r="B54" s="16"/>
      <c r="D54" s="11" t="s">
        <v>6</v>
      </c>
      <c r="E54" s="12" t="str">
        <f>VLOOKUP(LOWER(G48),experiments_specs!$A:$J,7,FALSE)</f>
        <v>True</v>
      </c>
      <c r="F54" s="15" t="s">
        <v>104</v>
      </c>
      <c r="G54" s="6" t="s">
        <v>15</v>
      </c>
      <c r="H54" s="19" t="s">
        <v>26</v>
      </c>
      <c r="I54" s="19">
        <v>0.19889799999999999</v>
      </c>
      <c r="J54" s="19" t="s">
        <v>27</v>
      </c>
      <c r="K54" s="19">
        <v>5.0321999999999997E-3</v>
      </c>
      <c r="L54" s="31">
        <v>0.16666666666666666</v>
      </c>
      <c r="M54" s="23" t="s">
        <v>365</v>
      </c>
      <c r="N54" s="23">
        <v>7.1611400000000006E-2</v>
      </c>
      <c r="O54" s="23" t="s">
        <v>27</v>
      </c>
      <c r="P54" s="23">
        <v>1.24644E-2</v>
      </c>
      <c r="Q54" s="34">
        <v>0.16666666666666666</v>
      </c>
      <c r="S54" s="16"/>
      <c r="U54" s="16"/>
      <c r="W54" s="11" t="s">
        <v>6</v>
      </c>
      <c r="X54" s="12" t="str">
        <f>VLOOKUP(LOWER(Z48),experiments_specs!$A:$J,7,FALSE)</f>
        <v>True</v>
      </c>
      <c r="Y54" s="15" t="s">
        <v>110</v>
      </c>
      <c r="Z54" s="6" t="s">
        <v>15</v>
      </c>
      <c r="AA54" s="19" t="s">
        <v>26</v>
      </c>
      <c r="AB54" s="19">
        <v>0.2142857</v>
      </c>
      <c r="AC54" s="19" t="s">
        <v>27</v>
      </c>
      <c r="AD54" s="19">
        <v>2.1821699999999999E-2</v>
      </c>
      <c r="AE54" s="31">
        <v>0.16666666666666666</v>
      </c>
      <c r="AF54" s="23" t="s">
        <v>365</v>
      </c>
      <c r="AG54" s="23">
        <v>3.85758E-2</v>
      </c>
      <c r="AH54" s="23" t="s">
        <v>26</v>
      </c>
      <c r="AI54" s="23">
        <v>5.3571399999999998E-2</v>
      </c>
      <c r="AJ54" s="34">
        <v>0.18181818181818182</v>
      </c>
      <c r="AL54" s="16"/>
      <c r="AN54" s="16"/>
      <c r="AP54" s="11" t="s">
        <v>6</v>
      </c>
      <c r="AQ54" s="12" t="str">
        <f>VLOOKUP(LOWER(AS48),experiments_specs!$A:$J,7,FALSE)</f>
        <v>True</v>
      </c>
      <c r="AR54" s="15" t="s">
        <v>116</v>
      </c>
      <c r="AS54" s="6" t="s">
        <v>15</v>
      </c>
      <c r="AT54" s="19" t="s">
        <v>26</v>
      </c>
      <c r="AU54" s="19">
        <v>0.2142857</v>
      </c>
      <c r="AV54" s="19" t="s">
        <v>27</v>
      </c>
      <c r="AW54" s="19">
        <v>2.3380399999999999E-2</v>
      </c>
      <c r="AX54" s="31">
        <v>0.16666666666666666</v>
      </c>
      <c r="AY54" s="23" t="s">
        <v>365</v>
      </c>
      <c r="AZ54" s="23">
        <v>3.85758E-2</v>
      </c>
      <c r="BA54" s="23" t="s">
        <v>26</v>
      </c>
      <c r="BB54" s="23">
        <v>5.7142800000000001E-2</v>
      </c>
      <c r="BC54" s="34">
        <v>0.18181818181818182</v>
      </c>
      <c r="BE54" s="16"/>
    </row>
    <row r="55" spans="2:57" ht="34" x14ac:dyDescent="0.2">
      <c r="B55" s="16"/>
      <c r="D55" s="11" t="s">
        <v>7</v>
      </c>
      <c r="E55" s="12" t="str">
        <f>VLOOKUP(LOWER(G48),experiments_specs!$A:$J,8,FALSE)</f>
        <v>True</v>
      </c>
      <c r="F55" s="15" t="s">
        <v>104</v>
      </c>
      <c r="G55" s="6" t="s">
        <v>16</v>
      </c>
      <c r="H55" s="19" t="s">
        <v>208</v>
      </c>
      <c r="I55" s="19">
        <v>0.1977969</v>
      </c>
      <c r="J55" s="19" t="s">
        <v>431</v>
      </c>
      <c r="K55" s="19">
        <v>3.5236E-3</v>
      </c>
      <c r="L55" s="31">
        <v>0.55555555555555558</v>
      </c>
      <c r="M55" s="23" t="s">
        <v>432</v>
      </c>
      <c r="N55" s="23">
        <v>0.19749240000000001</v>
      </c>
      <c r="O55" s="23" t="s">
        <v>433</v>
      </c>
      <c r="P55" s="23">
        <v>5.3680000000000004E-3</v>
      </c>
      <c r="Q55" s="34">
        <v>0.13333333333333333</v>
      </c>
      <c r="S55" s="16"/>
      <c r="U55" s="16"/>
      <c r="W55" s="11" t="s">
        <v>7</v>
      </c>
      <c r="X55" s="12" t="str">
        <f>VLOOKUP(LOWER(Z48),experiments_specs!$A:$J,8,FALSE)</f>
        <v>True</v>
      </c>
      <c r="Y55" s="15" t="s">
        <v>110</v>
      </c>
      <c r="Z55" s="6" t="s">
        <v>16</v>
      </c>
      <c r="AA55" s="18" t="s">
        <v>452</v>
      </c>
      <c r="AB55" s="18" t="s">
        <v>485</v>
      </c>
      <c r="AC55" s="18" t="s">
        <v>456</v>
      </c>
      <c r="AD55" s="18" t="s">
        <v>493</v>
      </c>
      <c r="AE55" s="31">
        <v>0.22222222222222221</v>
      </c>
      <c r="AF55" s="23" t="s">
        <v>460</v>
      </c>
      <c r="AG55" s="23" t="s">
        <v>489</v>
      </c>
      <c r="AH55" s="23" t="s">
        <v>456</v>
      </c>
      <c r="AI55" s="23" t="s">
        <v>495</v>
      </c>
      <c r="AJ55" s="34">
        <v>0.22222222222222221</v>
      </c>
      <c r="AL55" s="16"/>
      <c r="AN55" s="16"/>
      <c r="AP55" s="11" t="s">
        <v>7</v>
      </c>
      <c r="AQ55" s="12" t="str">
        <f>VLOOKUP(LOWER(AS48),experiments_specs!$A:$J,8,FALSE)</f>
        <v>True</v>
      </c>
      <c r="AR55" s="15" t="s">
        <v>116</v>
      </c>
      <c r="AS55" s="6" t="s">
        <v>16</v>
      </c>
      <c r="AT55" s="18" t="s">
        <v>452</v>
      </c>
      <c r="AU55" s="18" t="s">
        <v>454</v>
      </c>
      <c r="AV55" s="18" t="s">
        <v>456</v>
      </c>
      <c r="AW55" s="18" t="s">
        <v>523</v>
      </c>
      <c r="AX55" s="31">
        <v>0.22222222222222221</v>
      </c>
      <c r="AY55" s="23" t="s">
        <v>460</v>
      </c>
      <c r="AZ55" s="23" t="s">
        <v>462</v>
      </c>
      <c r="BA55" s="23" t="s">
        <v>456</v>
      </c>
      <c r="BB55" s="23" t="s">
        <v>464</v>
      </c>
      <c r="BC55" s="34">
        <v>0.22222222222222221</v>
      </c>
      <c r="BE55" s="16"/>
    </row>
    <row r="56" spans="2:57" ht="51" x14ac:dyDescent="0.2">
      <c r="B56" s="16"/>
      <c r="D56" s="11" t="s">
        <v>8</v>
      </c>
      <c r="E56" s="12" t="str">
        <f>VLOOKUP(LOWER(G48),experiments_specs!$A:$J,9,FALSE)</f>
        <v>wup_similarity</v>
      </c>
      <c r="F56" s="15" t="s">
        <v>104</v>
      </c>
      <c r="G56" s="6" t="s">
        <v>17</v>
      </c>
      <c r="H56" s="19" t="s">
        <v>218</v>
      </c>
      <c r="I56" s="19">
        <v>0.2159671</v>
      </c>
      <c r="J56" s="19" t="s">
        <v>219</v>
      </c>
      <c r="K56" s="19">
        <v>2.8871000000000001E-3</v>
      </c>
      <c r="L56" s="31">
        <v>0.13333333333333333</v>
      </c>
      <c r="M56" s="22" t="s">
        <v>434</v>
      </c>
      <c r="N56" s="22">
        <v>6.1084699999999999E-2</v>
      </c>
      <c r="O56" s="22" t="s">
        <v>435</v>
      </c>
      <c r="P56" s="22">
        <v>7.0042999999999998E-3</v>
      </c>
      <c r="Q56" s="34">
        <v>0.44444444444444442</v>
      </c>
      <c r="S56" s="16"/>
      <c r="U56" s="16"/>
      <c r="W56" s="11" t="s">
        <v>8</v>
      </c>
      <c r="X56" s="12" t="str">
        <f>VLOOKUP(LOWER(Z48),experiments_specs!$A:$J,9,FALSE)</f>
        <v>wup_similarity</v>
      </c>
      <c r="Y56" s="15" t="s">
        <v>110</v>
      </c>
      <c r="Z56" s="6" t="s">
        <v>17</v>
      </c>
      <c r="AA56" s="18" t="s">
        <v>278</v>
      </c>
      <c r="AB56" s="18" t="s">
        <v>497</v>
      </c>
      <c r="AC56" s="18" t="s">
        <v>189</v>
      </c>
      <c r="AD56" s="18" t="s">
        <v>499</v>
      </c>
      <c r="AE56" s="31">
        <v>0.30769230769230771</v>
      </c>
      <c r="AF56" s="23" t="s">
        <v>470</v>
      </c>
      <c r="AG56" s="23">
        <v>3.3113299999999998E-2</v>
      </c>
      <c r="AH56" s="23" t="s">
        <v>471</v>
      </c>
      <c r="AI56" s="23">
        <v>2.7036899999999999E-2</v>
      </c>
      <c r="AJ56" s="34">
        <v>0.16666666666666666</v>
      </c>
      <c r="AL56" s="16"/>
      <c r="AN56" s="16"/>
      <c r="AP56" s="11" t="s">
        <v>8</v>
      </c>
      <c r="AQ56" s="12" t="str">
        <f>VLOOKUP(LOWER(AS48),experiments_specs!$A:$J,9,FALSE)</f>
        <v>wup_similarity</v>
      </c>
      <c r="AR56" s="15" t="s">
        <v>116</v>
      </c>
      <c r="AS56" s="6" t="s">
        <v>17</v>
      </c>
      <c r="AT56" s="18" t="s">
        <v>278</v>
      </c>
      <c r="AU56" s="18" t="s">
        <v>466</v>
      </c>
      <c r="AV56" s="18" t="s">
        <v>189</v>
      </c>
      <c r="AW56" s="18" t="s">
        <v>525</v>
      </c>
      <c r="AX56" s="31">
        <v>0.30769230769230771</v>
      </c>
      <c r="AY56" s="23" t="s">
        <v>470</v>
      </c>
      <c r="AZ56" s="23">
        <v>3.3709900000000001E-2</v>
      </c>
      <c r="BA56" s="23" t="s">
        <v>471</v>
      </c>
      <c r="BB56" s="23">
        <v>2.7524E-2</v>
      </c>
      <c r="BC56" s="34">
        <v>0.16666666666666666</v>
      </c>
      <c r="BE56" s="16"/>
    </row>
    <row r="57" spans="2:57" x14ac:dyDescent="0.2">
      <c r="B57" s="16"/>
      <c r="D57" s="11" t="s">
        <v>9</v>
      </c>
      <c r="E57" s="12" t="str">
        <f>VLOOKUP(LOWER(G48),experiments_specs!$A:$J,10,FALSE)</f>
        <v>False</v>
      </c>
      <c r="F57" s="15" t="s">
        <v>104</v>
      </c>
      <c r="G57" s="7" t="s">
        <v>18</v>
      </c>
      <c r="H57" s="20" t="s">
        <v>222</v>
      </c>
      <c r="I57" s="20">
        <v>0.1231288</v>
      </c>
      <c r="J57" s="20" t="s">
        <v>223</v>
      </c>
      <c r="K57" s="20">
        <v>2.6730999999999999E-3</v>
      </c>
      <c r="L57" s="32">
        <v>0.21052631578947367</v>
      </c>
      <c r="M57" s="24" t="s">
        <v>46</v>
      </c>
      <c r="N57" s="24">
        <v>5.4272500000000001E-2</v>
      </c>
      <c r="O57" s="24" t="s">
        <v>436</v>
      </c>
      <c r="P57" s="24">
        <v>3.6635999999999999E-3</v>
      </c>
      <c r="Q57" s="35">
        <v>0.22222222222222221</v>
      </c>
      <c r="S57" s="16"/>
      <c r="U57" s="16"/>
      <c r="W57" s="11" t="s">
        <v>9</v>
      </c>
      <c r="X57" s="12" t="str">
        <f>VLOOKUP(LOWER(Z48),experiments_specs!$A:$J,10,FALSE)</f>
        <v>False</v>
      </c>
      <c r="Y57" s="15" t="s">
        <v>110</v>
      </c>
      <c r="Z57" s="7" t="s">
        <v>18</v>
      </c>
      <c r="AA57" s="20" t="s">
        <v>44</v>
      </c>
      <c r="AB57" s="20">
        <v>6.12563E-2</v>
      </c>
      <c r="AC57" s="20" t="s">
        <v>472</v>
      </c>
      <c r="AD57" s="20">
        <v>2.05715E-2</v>
      </c>
      <c r="AE57" s="32">
        <v>0.21052631578947367</v>
      </c>
      <c r="AF57" s="24" t="s">
        <v>46</v>
      </c>
      <c r="AG57" s="24">
        <v>5.90281E-2</v>
      </c>
      <c r="AH57" s="24" t="s">
        <v>436</v>
      </c>
      <c r="AI57" s="24">
        <v>3.7127500000000001E-2</v>
      </c>
      <c r="AJ57" s="35">
        <v>0.22222222222222221</v>
      </c>
      <c r="AL57" s="16"/>
      <c r="AN57" s="16"/>
      <c r="AP57" s="11" t="s">
        <v>9</v>
      </c>
      <c r="AQ57" s="12" t="str">
        <f>VLOOKUP(LOWER(AS48),experiments_specs!$A:$J,10,FALSE)</f>
        <v>True</v>
      </c>
      <c r="AR57" s="15" t="s">
        <v>116</v>
      </c>
      <c r="AS57" s="7" t="s">
        <v>18</v>
      </c>
      <c r="AT57" s="20" t="s">
        <v>44</v>
      </c>
      <c r="AU57" s="20">
        <v>6.12563E-2</v>
      </c>
      <c r="AV57" s="20" t="s">
        <v>472</v>
      </c>
      <c r="AW57" s="20">
        <v>2.48069E-2</v>
      </c>
      <c r="AX57" s="32">
        <v>0.21052631578947367</v>
      </c>
      <c r="AY57" s="24" t="s">
        <v>46</v>
      </c>
      <c r="AZ57" s="24">
        <v>5.90281E-2</v>
      </c>
      <c r="BA57" s="24" t="s">
        <v>436</v>
      </c>
      <c r="BB57" s="24">
        <v>3.7127500000000001E-2</v>
      </c>
      <c r="BC57" s="35">
        <v>0.22222222222222221</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TEST_42</v>
      </c>
      <c r="H59" s="41" t="s">
        <v>124</v>
      </c>
      <c r="I59" s="41"/>
      <c r="J59" s="41"/>
      <c r="K59" s="41"/>
      <c r="L59" s="41"/>
      <c r="M59" s="42" t="s">
        <v>123</v>
      </c>
      <c r="N59" s="42"/>
      <c r="O59" s="42"/>
      <c r="P59" s="42"/>
      <c r="Q59" s="42"/>
      <c r="R59" s="2"/>
      <c r="S59" s="16"/>
      <c r="U59" s="16"/>
      <c r="W59" s="13" t="s">
        <v>126</v>
      </c>
      <c r="X59" s="14"/>
      <c r="Y59" s="9"/>
      <c r="Z59" s="10" t="str">
        <f>"TEST_"&amp;TEXT(RIGHT(Z48,2)+1, "00")</f>
        <v>TEST_48</v>
      </c>
      <c r="AA59" s="41" t="s">
        <v>124</v>
      </c>
      <c r="AB59" s="41"/>
      <c r="AC59" s="41"/>
      <c r="AD59" s="41"/>
      <c r="AE59" s="41"/>
      <c r="AF59" s="42" t="s">
        <v>123</v>
      </c>
      <c r="AG59" s="42"/>
      <c r="AH59" s="42"/>
      <c r="AI59" s="42"/>
      <c r="AJ59" s="42"/>
      <c r="AK59" s="2"/>
      <c r="AL59" s="16"/>
      <c r="AN59" s="16"/>
      <c r="AP59" s="13" t="s">
        <v>126</v>
      </c>
      <c r="AQ59" s="14"/>
      <c r="AR59" s="9"/>
      <c r="AS59" s="10" t="str">
        <f>"TEST_"&amp;TEXT(RIGHT(AS48,2)+1, "00")</f>
        <v>TEST_54</v>
      </c>
      <c r="AT59" s="41" t="s">
        <v>124</v>
      </c>
      <c r="AU59" s="41"/>
      <c r="AV59" s="41"/>
      <c r="AW59" s="41"/>
      <c r="AX59" s="41"/>
      <c r="AY59" s="42" t="s">
        <v>123</v>
      </c>
      <c r="AZ59" s="42"/>
      <c r="BA59" s="42"/>
      <c r="BB59" s="42"/>
      <c r="BC59" s="42"/>
      <c r="BD59" s="2"/>
      <c r="BE59" s="16"/>
    </row>
    <row r="60" spans="2:57" x14ac:dyDescent="0.2">
      <c r="B60" s="16"/>
      <c r="D60" s="11" t="s">
        <v>1</v>
      </c>
      <c r="E60" s="12" t="str">
        <f>VLOOKUP(LOWER(G59),experiments_specs!$A:$J,2,FALSE)</f>
        <v>NN,JJ,VB,VBD,VBG,VBN,VBP,VBZ</v>
      </c>
      <c r="F60" s="15" t="str">
        <f>"{"&amp;LOWER(G59)&amp;".csv}"</f>
        <v>{test_42.csv}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VLOOKUP(LOWER(Z59),experiments_specs!$A:$J,2,FALSE)</f>
        <v>NN,JJ,VB,VBD,VBG,VBN,VBP,VBZ</v>
      </c>
      <c r="Y60" s="15" t="str">
        <f>"{"&amp;LOWER(Z59)&amp;".csv}"</f>
        <v>{test_48.csv}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VLOOKUP(LOWER(AS59),experiments_specs!$A:$J,2,FALSE)</f>
        <v>NN,JJ,VB,VBD,VBG,VBN,VBP,VBZ</v>
      </c>
      <c r="AR60" s="15" t="str">
        <f>"{"&amp;LOWER(AS59)&amp;".csv}"</f>
        <v>{test_54.csv}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17" x14ac:dyDescent="0.2">
      <c r="B61" s="16"/>
      <c r="D61" s="11" t="s">
        <v>2</v>
      </c>
      <c r="E61" s="12">
        <f>VLOOKUP(LOWER(G59),experiments_specs!$A:$J,3,FALSE)</f>
        <v>1</v>
      </c>
      <c r="F61" s="15" t="s">
        <v>105</v>
      </c>
      <c r="G61" s="5" t="s">
        <v>19</v>
      </c>
      <c r="H61" s="17" t="s">
        <v>225</v>
      </c>
      <c r="I61" s="17">
        <v>0.13258249999999999</v>
      </c>
      <c r="J61" s="17" t="s">
        <v>226</v>
      </c>
      <c r="K61" s="17">
        <v>2.0379999999999999E-3</v>
      </c>
      <c r="L61" s="30">
        <v>0.17391304347826086</v>
      </c>
      <c r="M61" s="21" t="s">
        <v>227</v>
      </c>
      <c r="N61" s="21">
        <v>8.3852499999999996E-2</v>
      </c>
      <c r="O61" s="21" t="s">
        <v>437</v>
      </c>
      <c r="P61" s="21">
        <v>8.0716999999999994E-3</v>
      </c>
      <c r="Q61" s="33">
        <v>0.11764705882352941</v>
      </c>
      <c r="S61" s="16"/>
      <c r="U61" s="16"/>
      <c r="W61" s="11" t="s">
        <v>2</v>
      </c>
      <c r="X61" s="12">
        <f>VLOOKUP(LOWER(Z59),experiments_specs!$A:$J,3,FALSE)</f>
        <v>1</v>
      </c>
      <c r="Y61" s="15" t="s">
        <v>111</v>
      </c>
      <c r="Z61" s="5" t="s">
        <v>19</v>
      </c>
      <c r="AA61" s="17" t="s">
        <v>225</v>
      </c>
      <c r="AB61" s="17">
        <v>0.13927149999999999</v>
      </c>
      <c r="AC61" s="17" t="s">
        <v>226</v>
      </c>
      <c r="AD61" s="17">
        <v>1.92155E-2</v>
      </c>
      <c r="AE61" s="30">
        <v>0.17391304347826086</v>
      </c>
      <c r="AF61" s="21" t="s">
        <v>288</v>
      </c>
      <c r="AG61" s="21">
        <v>0.16609090000000001</v>
      </c>
      <c r="AH61" s="21" t="s">
        <v>226</v>
      </c>
      <c r="AI61" s="21">
        <v>2.8136999999999999E-2</v>
      </c>
      <c r="AJ61" s="33">
        <v>0.17391304347826086</v>
      </c>
      <c r="AL61" s="16"/>
      <c r="AN61" s="16"/>
      <c r="AP61" s="11" t="s">
        <v>2</v>
      </c>
      <c r="AQ61" s="12">
        <f>VLOOKUP(LOWER(AS59),experiments_specs!$A:$J,3,FALSE)</f>
        <v>1</v>
      </c>
      <c r="AR61" s="15" t="s">
        <v>117</v>
      </c>
      <c r="AS61" s="5" t="s">
        <v>19</v>
      </c>
      <c r="AT61" s="17" t="s">
        <v>225</v>
      </c>
      <c r="AU61" s="17">
        <v>0.1404878</v>
      </c>
      <c r="AV61" s="17" t="s">
        <v>226</v>
      </c>
      <c r="AW61" s="17">
        <v>2.64906E-2</v>
      </c>
      <c r="AX61" s="30">
        <v>0.17391304347826086</v>
      </c>
      <c r="AY61" s="21" t="s">
        <v>288</v>
      </c>
      <c r="AZ61" s="21">
        <v>0.16754150000000001</v>
      </c>
      <c r="BA61" s="21" t="s">
        <v>226</v>
      </c>
      <c r="BB61" s="21">
        <v>2.7404100000000001E-2</v>
      </c>
      <c r="BC61" s="33">
        <v>0.17391304347826086</v>
      </c>
      <c r="BE61" s="16"/>
    </row>
    <row r="62" spans="2:57" ht="34" x14ac:dyDescent="0.2">
      <c r="B62" s="16"/>
      <c r="D62" s="11" t="s">
        <v>3</v>
      </c>
      <c r="E62" s="12">
        <f>VLOOKUP(LOWER(G59),experiments_specs!$A:$J,4,FALSE)</f>
        <v>2</v>
      </c>
      <c r="F62" s="15" t="s">
        <v>105</v>
      </c>
      <c r="G62" s="6" t="s">
        <v>12</v>
      </c>
      <c r="H62" s="18" t="s">
        <v>251</v>
      </c>
      <c r="I62" s="18">
        <v>0.2312333</v>
      </c>
      <c r="J62" s="18" t="s">
        <v>236</v>
      </c>
      <c r="K62" s="18">
        <v>2.8253000000000002E-3</v>
      </c>
      <c r="L62" s="31">
        <v>0.125</v>
      </c>
      <c r="M62" s="22" t="s">
        <v>235</v>
      </c>
      <c r="N62" s="22">
        <v>9.7618999999999997E-2</v>
      </c>
      <c r="O62" s="22" t="s">
        <v>251</v>
      </c>
      <c r="P62" s="22">
        <v>8.0850000000000002E-3</v>
      </c>
      <c r="Q62" s="34">
        <v>0.13333333333333333</v>
      </c>
      <c r="S62" s="16"/>
      <c r="U62" s="16"/>
      <c r="W62" s="11" t="s">
        <v>3</v>
      </c>
      <c r="X62" s="12">
        <f>VLOOKUP(LOWER(Z59),experiments_specs!$A:$J,4,FALSE)</f>
        <v>2</v>
      </c>
      <c r="Y62" s="15" t="s">
        <v>111</v>
      </c>
      <c r="Z62" s="6" t="s">
        <v>12</v>
      </c>
      <c r="AA62" s="18" t="s">
        <v>22</v>
      </c>
      <c r="AB62" s="18">
        <v>0.13055820000000001</v>
      </c>
      <c r="AC62" s="18" t="s">
        <v>23</v>
      </c>
      <c r="AD62" s="18">
        <v>1.5463899999999999E-2</v>
      </c>
      <c r="AE62" s="31">
        <v>0.42857142857142855</v>
      </c>
      <c r="AF62" s="23" t="s">
        <v>390</v>
      </c>
      <c r="AG62" s="23" t="s">
        <v>501</v>
      </c>
      <c r="AH62" s="23" t="s">
        <v>503</v>
      </c>
      <c r="AI62" s="23" t="s">
        <v>505</v>
      </c>
      <c r="AJ62" s="34">
        <v>0.46153846153846156</v>
      </c>
      <c r="AL62" s="16"/>
      <c r="AN62" s="16"/>
      <c r="AP62" s="11" t="s">
        <v>3</v>
      </c>
      <c r="AQ62" s="12">
        <f>VLOOKUP(LOWER(AS59),experiments_specs!$A:$J,4,FALSE)</f>
        <v>2</v>
      </c>
      <c r="AR62" s="15" t="s">
        <v>117</v>
      </c>
      <c r="AS62" s="6" t="s">
        <v>12</v>
      </c>
      <c r="AT62" s="18" t="s">
        <v>22</v>
      </c>
      <c r="AU62" s="18">
        <v>0.13363059999999999</v>
      </c>
      <c r="AV62" s="18" t="s">
        <v>23</v>
      </c>
      <c r="AW62" s="18">
        <v>2.61978E-2</v>
      </c>
      <c r="AX62" s="31">
        <v>0.42857142857142855</v>
      </c>
      <c r="AY62" s="23" t="s">
        <v>24</v>
      </c>
      <c r="AZ62" s="23">
        <v>0.11396050000000001</v>
      </c>
      <c r="BA62" s="23" t="s">
        <v>481</v>
      </c>
      <c r="BB62" s="23">
        <v>4.3444099999999999E-2</v>
      </c>
      <c r="BC62" s="34">
        <v>0.42857142857142855</v>
      </c>
      <c r="BE62" s="16"/>
    </row>
    <row r="63" spans="2:57" x14ac:dyDescent="0.2">
      <c r="B63" s="16"/>
      <c r="D63" s="11" t="s">
        <v>4</v>
      </c>
      <c r="E63" s="12" t="str">
        <f>VLOOKUP(LOWER(G59),experiments_specs!$A:$J,5,FALSE)</f>
        <v>False</v>
      </c>
      <c r="F63" s="15" t="s">
        <v>105</v>
      </c>
      <c r="G63" s="6" t="s">
        <v>13</v>
      </c>
      <c r="H63" s="19" t="s">
        <v>425</v>
      </c>
      <c r="I63" s="19">
        <v>0.1058018</v>
      </c>
      <c r="J63" s="19" t="s">
        <v>426</v>
      </c>
      <c r="K63" s="19">
        <v>6.2285999999999999E-3</v>
      </c>
      <c r="L63" s="31" t="s">
        <v>25</v>
      </c>
      <c r="M63" s="22" t="s">
        <v>252</v>
      </c>
      <c r="N63" s="22">
        <v>0.1018963</v>
      </c>
      <c r="O63" s="22" t="s">
        <v>441</v>
      </c>
      <c r="P63" s="22">
        <v>8.5092999999999992E-3</v>
      </c>
      <c r="Q63" s="34">
        <v>0.33333333333333331</v>
      </c>
      <c r="S63" s="16"/>
      <c r="U63" s="16"/>
      <c r="W63" s="11" t="s">
        <v>4</v>
      </c>
      <c r="X63" s="12" t="str">
        <f>VLOOKUP(LOWER(Z59),experiments_specs!$A:$J,5,FALSE)</f>
        <v>True</v>
      </c>
      <c r="Y63" s="15" t="s">
        <v>111</v>
      </c>
      <c r="Z63" s="6" t="s">
        <v>13</v>
      </c>
      <c r="AA63" s="19" t="s">
        <v>32</v>
      </c>
      <c r="AB63" s="19">
        <v>0.1556997</v>
      </c>
      <c r="AC63" s="19" t="s">
        <v>473</v>
      </c>
      <c r="AD63" s="19">
        <v>2.46182E-2</v>
      </c>
      <c r="AE63" s="31">
        <v>0.4</v>
      </c>
      <c r="AF63" s="22" t="s">
        <v>34</v>
      </c>
      <c r="AG63" s="22">
        <v>4.6524200000000002E-2</v>
      </c>
      <c r="AH63" s="22" t="s">
        <v>35</v>
      </c>
      <c r="AI63" s="22">
        <v>2.4923600000000001E-2</v>
      </c>
      <c r="AJ63" s="34" t="s">
        <v>25</v>
      </c>
      <c r="AL63" s="16"/>
      <c r="AN63" s="16"/>
      <c r="AP63" s="11" t="s">
        <v>4</v>
      </c>
      <c r="AQ63" s="12" t="str">
        <f>VLOOKUP(LOWER(AS59),experiments_specs!$A:$J,5,FALSE)</f>
        <v>True</v>
      </c>
      <c r="AR63" s="15" t="s">
        <v>117</v>
      </c>
      <c r="AS63" s="6" t="s">
        <v>13</v>
      </c>
      <c r="AT63" s="19" t="s">
        <v>326</v>
      </c>
      <c r="AU63" s="19">
        <v>0.14784420000000001</v>
      </c>
      <c r="AV63" s="19" t="s">
        <v>327</v>
      </c>
      <c r="AW63" s="19">
        <v>3.2170400000000002E-2</v>
      </c>
      <c r="AX63" s="31" t="s">
        <v>25</v>
      </c>
      <c r="AY63" s="22" t="s">
        <v>417</v>
      </c>
      <c r="AZ63" s="22">
        <v>5.72598E-2</v>
      </c>
      <c r="BA63" s="22" t="s">
        <v>327</v>
      </c>
      <c r="BB63" s="22">
        <v>3.2170400000000002E-2</v>
      </c>
      <c r="BC63" s="34" t="s">
        <v>25</v>
      </c>
      <c r="BE63" s="16"/>
    </row>
    <row r="64" spans="2:57" ht="17" x14ac:dyDescent="0.2">
      <c r="B64" s="16"/>
      <c r="D64" s="11" t="s">
        <v>5</v>
      </c>
      <c r="E64" s="12" t="str">
        <f>VLOOKUP(LOWER(G59),experiments_specs!$A:$J,6,FALSE)</f>
        <v>True</v>
      </c>
      <c r="F64" s="15" t="s">
        <v>105</v>
      </c>
      <c r="G64" s="6" t="s">
        <v>14</v>
      </c>
      <c r="H64" s="19" t="s">
        <v>428</v>
      </c>
      <c r="I64" s="19">
        <v>0.1248172</v>
      </c>
      <c r="J64" s="19" t="s">
        <v>429</v>
      </c>
      <c r="K64" s="19">
        <v>3.4951000000000001E-3</v>
      </c>
      <c r="L64" s="31">
        <v>0.125</v>
      </c>
      <c r="M64" s="22" t="s">
        <v>430</v>
      </c>
      <c r="N64" s="22">
        <v>9.1863E-2</v>
      </c>
      <c r="O64" s="22" t="s">
        <v>429</v>
      </c>
      <c r="P64" s="22">
        <v>6.8957999999999997E-3</v>
      </c>
      <c r="Q64" s="34">
        <v>0.125</v>
      </c>
      <c r="S64" s="16"/>
      <c r="U64" s="16"/>
      <c r="W64" s="11" t="s">
        <v>5</v>
      </c>
      <c r="X64" s="12" t="str">
        <f>VLOOKUP(LOWER(Z59),experiments_specs!$A:$J,6,FALSE)</f>
        <v>True</v>
      </c>
      <c r="Y64" s="15" t="s">
        <v>111</v>
      </c>
      <c r="Z64" s="6" t="s">
        <v>14</v>
      </c>
      <c r="AA64" s="18" t="s">
        <v>449</v>
      </c>
      <c r="AB64" s="18">
        <v>0.1367882</v>
      </c>
      <c r="AC64" s="18" t="s">
        <v>450</v>
      </c>
      <c r="AD64" s="18">
        <v>1.0984300000000001E-2</v>
      </c>
      <c r="AE64" s="31">
        <v>0.2857142857142857</v>
      </c>
      <c r="AF64" s="23" t="s">
        <v>451</v>
      </c>
      <c r="AG64" s="23">
        <v>0.12006</v>
      </c>
      <c r="AH64" s="23" t="s">
        <v>450</v>
      </c>
      <c r="AI64" s="23">
        <v>1.46458E-2</v>
      </c>
      <c r="AJ64" s="34">
        <v>0.2857142857142857</v>
      </c>
      <c r="AL64" s="16"/>
      <c r="AN64" s="16"/>
      <c r="AP64" s="11" t="s">
        <v>5</v>
      </c>
      <c r="AQ64" s="12" t="str">
        <f>VLOOKUP(LOWER(AS59),experiments_specs!$A:$J,6,FALSE)</f>
        <v>True</v>
      </c>
      <c r="AR64" s="15" t="s">
        <v>117</v>
      </c>
      <c r="AS64" s="6" t="s">
        <v>14</v>
      </c>
      <c r="AT64" s="18" t="s">
        <v>449</v>
      </c>
      <c r="AU64" s="18">
        <v>0.14064209999999999</v>
      </c>
      <c r="AV64" s="18" t="s">
        <v>450</v>
      </c>
      <c r="AW64" s="18">
        <v>1.39001E-2</v>
      </c>
      <c r="AX64" s="31">
        <v>0.2857142857142857</v>
      </c>
      <c r="AY64" s="23" t="s">
        <v>451</v>
      </c>
      <c r="AZ64" s="23">
        <v>0.1234426</v>
      </c>
      <c r="BA64" s="23" t="s">
        <v>450</v>
      </c>
      <c r="BB64" s="23">
        <v>1.46514E-2</v>
      </c>
      <c r="BC64" s="34">
        <v>0.2857142857142857</v>
      </c>
      <c r="BE64" s="16"/>
    </row>
    <row r="65" spans="2:57" ht="17" x14ac:dyDescent="0.2">
      <c r="B65" s="16"/>
      <c r="D65" s="11" t="s">
        <v>6</v>
      </c>
      <c r="E65" s="12" t="str">
        <f>VLOOKUP(LOWER(G59),experiments_specs!$A:$J,7,FALSE)</f>
        <v>True</v>
      </c>
      <c r="F65" s="15" t="s">
        <v>105</v>
      </c>
      <c r="G65" s="6" t="s">
        <v>15</v>
      </c>
      <c r="H65" s="19" t="s">
        <v>442</v>
      </c>
      <c r="I65" s="19">
        <v>0.18926399999999999</v>
      </c>
      <c r="J65" s="19" t="s">
        <v>443</v>
      </c>
      <c r="K65" s="19">
        <v>3.3790000000000001E-3</v>
      </c>
      <c r="L65" s="31">
        <v>0.2</v>
      </c>
      <c r="M65" s="23" t="s">
        <v>383</v>
      </c>
      <c r="N65" s="23">
        <v>0.1151824</v>
      </c>
      <c r="O65" s="23" t="s">
        <v>443</v>
      </c>
      <c r="P65" s="23">
        <v>1.4264600000000001E-2</v>
      </c>
      <c r="Q65" s="34">
        <v>0.2</v>
      </c>
      <c r="S65" s="16"/>
      <c r="U65" s="16"/>
      <c r="W65" s="11" t="s">
        <v>6</v>
      </c>
      <c r="X65" s="12" t="str">
        <f>VLOOKUP(LOWER(Z59),experiments_specs!$A:$J,7,FALSE)</f>
        <v>True</v>
      </c>
      <c r="Y65" s="15" t="s">
        <v>111</v>
      </c>
      <c r="Z65" s="6" t="s">
        <v>15</v>
      </c>
      <c r="AA65" s="19" t="s">
        <v>26</v>
      </c>
      <c r="AB65" s="19">
        <v>0.2020305</v>
      </c>
      <c r="AC65" s="19" t="s">
        <v>27</v>
      </c>
      <c r="AD65" s="19">
        <v>1.5430299999999999E-2</v>
      </c>
      <c r="AE65" s="31">
        <v>0.16666666666666666</v>
      </c>
      <c r="AF65" s="23" t="s">
        <v>15</v>
      </c>
      <c r="AG65" s="23">
        <v>0.20998020000000001</v>
      </c>
      <c r="AH65" s="23" t="s">
        <v>474</v>
      </c>
      <c r="AI65" s="23">
        <v>3.6866299999999998E-2</v>
      </c>
      <c r="AJ65" s="34">
        <v>0.90909090909090906</v>
      </c>
      <c r="AL65" s="16"/>
      <c r="AN65" s="16"/>
      <c r="AP65" s="11" t="s">
        <v>6</v>
      </c>
      <c r="AQ65" s="12" t="str">
        <f>VLOOKUP(LOWER(AS59),experiments_specs!$A:$J,7,FALSE)</f>
        <v>True</v>
      </c>
      <c r="AR65" s="15" t="s">
        <v>117</v>
      </c>
      <c r="AS65" s="6" t="s">
        <v>15</v>
      </c>
      <c r="AT65" s="19" t="s">
        <v>26</v>
      </c>
      <c r="AU65" s="19">
        <v>0.2070196</v>
      </c>
      <c r="AV65" s="19" t="s">
        <v>27</v>
      </c>
      <c r="AW65" s="19">
        <v>2.6352299999999999E-2</v>
      </c>
      <c r="AX65" s="31">
        <v>0.16666666666666666</v>
      </c>
      <c r="AY65" s="23" t="s">
        <v>15</v>
      </c>
      <c r="AZ65" s="23">
        <v>0.17213249999999999</v>
      </c>
      <c r="BA65" s="23" t="s">
        <v>474</v>
      </c>
      <c r="BB65" s="23">
        <v>5.8554000000000002E-2</v>
      </c>
      <c r="BC65" s="34">
        <v>0.90909090909090906</v>
      </c>
      <c r="BE65" s="16"/>
    </row>
    <row r="66" spans="2:57" ht="34" x14ac:dyDescent="0.2">
      <c r="B66" s="16"/>
      <c r="D66" s="11" t="s">
        <v>7</v>
      </c>
      <c r="E66" s="12" t="str">
        <f>VLOOKUP(LOWER(G59),experiments_specs!$A:$J,8,FALSE)</f>
        <v>True</v>
      </c>
      <c r="F66" s="15" t="s">
        <v>105</v>
      </c>
      <c r="G66" s="6" t="s">
        <v>16</v>
      </c>
      <c r="H66" s="19" t="s">
        <v>208</v>
      </c>
      <c r="I66" s="19">
        <v>0.1964185</v>
      </c>
      <c r="J66" s="19" t="s">
        <v>431</v>
      </c>
      <c r="K66" s="19">
        <v>2.7215E-3</v>
      </c>
      <c r="L66" s="31">
        <v>0.55555555555555558</v>
      </c>
      <c r="M66" s="23" t="s">
        <v>444</v>
      </c>
      <c r="N66" s="23">
        <v>5.8925499999999999E-2</v>
      </c>
      <c r="O66" s="23" t="s">
        <v>445</v>
      </c>
      <c r="P66" s="23">
        <v>5.7742999999999996E-3</v>
      </c>
      <c r="Q66" s="34">
        <v>0.14285714285714285</v>
      </c>
      <c r="S66" s="16"/>
      <c r="U66" s="16"/>
      <c r="W66" s="11" t="s">
        <v>7</v>
      </c>
      <c r="X66" s="12" t="str">
        <f>VLOOKUP(LOWER(Z59),experiments_specs!$A:$J,8,FALSE)</f>
        <v>True</v>
      </c>
      <c r="Y66" s="15" t="s">
        <v>111</v>
      </c>
      <c r="Z66" s="6" t="s">
        <v>16</v>
      </c>
      <c r="AA66" s="18" t="s">
        <v>452</v>
      </c>
      <c r="AB66" s="18" t="s">
        <v>485</v>
      </c>
      <c r="AC66" s="18" t="s">
        <v>456</v>
      </c>
      <c r="AD66" s="18" t="s">
        <v>507</v>
      </c>
      <c r="AE66" s="31">
        <v>0.22222222222222221</v>
      </c>
      <c r="AF66" s="23" t="s">
        <v>460</v>
      </c>
      <c r="AG66" s="23" t="s">
        <v>489</v>
      </c>
      <c r="AH66" s="23" t="s">
        <v>456</v>
      </c>
      <c r="AI66" s="23" t="s">
        <v>509</v>
      </c>
      <c r="AJ66" s="34">
        <v>0.22222222222222221</v>
      </c>
      <c r="AL66" s="16"/>
      <c r="AN66" s="16"/>
      <c r="AP66" s="11" t="s">
        <v>7</v>
      </c>
      <c r="AQ66" s="12" t="str">
        <f>VLOOKUP(LOWER(AS59),experiments_specs!$A:$J,8,FALSE)</f>
        <v>True</v>
      </c>
      <c r="AR66" s="15" t="s">
        <v>117</v>
      </c>
      <c r="AS66" s="6" t="s">
        <v>16</v>
      </c>
      <c r="AT66" s="18" t="s">
        <v>452</v>
      </c>
      <c r="AU66" s="18" t="s">
        <v>454</v>
      </c>
      <c r="AV66" s="18" t="s">
        <v>456</v>
      </c>
      <c r="AW66" s="18" t="s">
        <v>527</v>
      </c>
      <c r="AX66" s="31">
        <v>0.22222222222222221</v>
      </c>
      <c r="AY66" s="23" t="s">
        <v>460</v>
      </c>
      <c r="AZ66" s="23" t="s">
        <v>462</v>
      </c>
      <c r="BA66" s="23" t="s">
        <v>456</v>
      </c>
      <c r="BB66" s="23" t="s">
        <v>529</v>
      </c>
      <c r="BC66" s="34">
        <v>0.22222222222222221</v>
      </c>
      <c r="BE66" s="16"/>
    </row>
    <row r="67" spans="2:57" ht="51" x14ac:dyDescent="0.2">
      <c r="B67" s="16"/>
      <c r="D67" s="11" t="s">
        <v>8</v>
      </c>
      <c r="E67" s="12" t="str">
        <f>VLOOKUP(LOWER(G59),experiments_specs!$A:$J,9,FALSE)</f>
        <v>wup_similarity</v>
      </c>
      <c r="F67" s="15" t="s">
        <v>105</v>
      </c>
      <c r="G67" s="6" t="s">
        <v>17</v>
      </c>
      <c r="H67" s="19" t="s">
        <v>218</v>
      </c>
      <c r="I67" s="19">
        <v>0.21437320000000001</v>
      </c>
      <c r="J67" s="19" t="s">
        <v>219</v>
      </c>
      <c r="K67" s="19">
        <v>2.4718000000000001E-3</v>
      </c>
      <c r="L67" s="31">
        <v>0.13333333333333333</v>
      </c>
      <c r="M67" s="22" t="s">
        <v>30</v>
      </c>
      <c r="N67" s="22">
        <v>0.14002800000000001</v>
      </c>
      <c r="O67" s="22" t="s">
        <v>446</v>
      </c>
      <c r="P67" s="22">
        <v>1.20407E-2</v>
      </c>
      <c r="Q67" s="34">
        <v>0.22222222222222221</v>
      </c>
      <c r="S67" s="16"/>
      <c r="U67" s="16"/>
      <c r="W67" s="11" t="s">
        <v>8</v>
      </c>
      <c r="X67" s="12" t="str">
        <f>VLOOKUP(LOWER(Z59),experiments_specs!$A:$J,9,FALSE)</f>
        <v>wup_similarity</v>
      </c>
      <c r="Y67" s="15" t="s">
        <v>111</v>
      </c>
      <c r="Z67" s="6" t="s">
        <v>17</v>
      </c>
      <c r="AA67" s="19" t="s">
        <v>30</v>
      </c>
      <c r="AB67" s="19">
        <v>0.15161959999999999</v>
      </c>
      <c r="AC67" s="19" t="s">
        <v>484</v>
      </c>
      <c r="AD67" s="19">
        <v>2.2331E-2</v>
      </c>
      <c r="AE67" s="31">
        <v>0.22222222222222221</v>
      </c>
      <c r="AF67" s="22" t="s">
        <v>30</v>
      </c>
      <c r="AG67" s="22">
        <v>0.15161959999999999</v>
      </c>
      <c r="AH67" s="22" t="s">
        <v>380</v>
      </c>
      <c r="AI67" s="22">
        <v>2.5450799999999999E-2</v>
      </c>
      <c r="AJ67" s="34">
        <v>0.2</v>
      </c>
      <c r="AL67" s="16"/>
      <c r="AN67" s="16"/>
      <c r="AP67" s="11" t="s">
        <v>8</v>
      </c>
      <c r="AQ67" s="12" t="str">
        <f>VLOOKUP(LOWER(AS59),experiments_specs!$A:$J,9,FALSE)</f>
        <v>wup_similarity</v>
      </c>
      <c r="AR67" s="15" t="s">
        <v>117</v>
      </c>
      <c r="AS67" s="6" t="s">
        <v>17</v>
      </c>
      <c r="AT67" s="18" t="s">
        <v>278</v>
      </c>
      <c r="AU67" s="18" t="s">
        <v>466</v>
      </c>
      <c r="AV67" s="18" t="s">
        <v>189</v>
      </c>
      <c r="AW67" s="18" t="s">
        <v>531</v>
      </c>
      <c r="AX67" s="31">
        <v>0.30769230769230771</v>
      </c>
      <c r="AY67" s="23" t="s">
        <v>470</v>
      </c>
      <c r="AZ67" s="23">
        <v>3.3709900000000001E-2</v>
      </c>
      <c r="BA67" s="23" t="s">
        <v>471</v>
      </c>
      <c r="BB67" s="23">
        <v>2.0017500000000001E-2</v>
      </c>
      <c r="BC67" s="34">
        <v>0.16666666666666666</v>
      </c>
      <c r="BE67" s="16"/>
    </row>
    <row r="68" spans="2:57" x14ac:dyDescent="0.2">
      <c r="B68" s="16"/>
      <c r="D68" s="11" t="s">
        <v>9</v>
      </c>
      <c r="E68" s="12" t="str">
        <f>VLOOKUP(LOWER(G59),experiments_specs!$A:$J,10,FALSE)</f>
        <v>False</v>
      </c>
      <c r="F68" s="15" t="s">
        <v>105</v>
      </c>
      <c r="G68" s="7" t="s">
        <v>18</v>
      </c>
      <c r="H68" s="20" t="s">
        <v>222</v>
      </c>
      <c r="I68" s="20">
        <v>0.1212678</v>
      </c>
      <c r="J68" s="20" t="s">
        <v>223</v>
      </c>
      <c r="K68" s="20">
        <v>1.2037E-3</v>
      </c>
      <c r="L68" s="32">
        <v>0.21052631578947367</v>
      </c>
      <c r="M68" s="24" t="s">
        <v>388</v>
      </c>
      <c r="N68" s="24">
        <v>5.7735000000000002E-2</v>
      </c>
      <c r="O68" s="24" t="s">
        <v>440</v>
      </c>
      <c r="P68" s="24">
        <v>5.3593E-3</v>
      </c>
      <c r="Q68" s="35">
        <v>0.11764705882352941</v>
      </c>
      <c r="S68" s="16"/>
      <c r="U68" s="16"/>
      <c r="W68" s="11" t="s">
        <v>9</v>
      </c>
      <c r="X68" s="12" t="str">
        <f>VLOOKUP(LOWER(Z59),experiments_specs!$A:$J,10,FALSE)</f>
        <v>False</v>
      </c>
      <c r="Y68" s="15" t="s">
        <v>111</v>
      </c>
      <c r="Z68" s="7" t="s">
        <v>18</v>
      </c>
      <c r="AA68" s="20" t="s">
        <v>44</v>
      </c>
      <c r="AB68" s="20">
        <v>5.8798099999999999E-2</v>
      </c>
      <c r="AC68" s="20" t="s">
        <v>472</v>
      </c>
      <c r="AD68" s="20">
        <v>1.2297499999999999E-2</v>
      </c>
      <c r="AE68" s="32">
        <v>0.21052631578947367</v>
      </c>
      <c r="AF68" s="24" t="s">
        <v>46</v>
      </c>
      <c r="AG68" s="24">
        <v>5.66592E-2</v>
      </c>
      <c r="AH68" s="24" t="s">
        <v>436</v>
      </c>
      <c r="AI68" s="24">
        <v>2.5671099999999999E-2</v>
      </c>
      <c r="AJ68" s="35">
        <v>0.22222222222222221</v>
      </c>
      <c r="AL68" s="16"/>
      <c r="AN68" s="16"/>
      <c r="AP68" s="11" t="s">
        <v>9</v>
      </c>
      <c r="AQ68" s="12" t="str">
        <f>VLOOKUP(LOWER(AS59),experiments_specs!$A:$J,10,FALSE)</f>
        <v>True</v>
      </c>
      <c r="AR68" s="15" t="s">
        <v>117</v>
      </c>
      <c r="AS68" s="7" t="s">
        <v>18</v>
      </c>
      <c r="AT68" s="20" t="s">
        <v>44</v>
      </c>
      <c r="AU68" s="20">
        <v>5.8798099999999999E-2</v>
      </c>
      <c r="AV68" s="20" t="s">
        <v>472</v>
      </c>
      <c r="AW68" s="20">
        <v>1.9049099999999999E-2</v>
      </c>
      <c r="AX68" s="32">
        <v>0.21052631578947367</v>
      </c>
      <c r="AY68" s="24" t="s">
        <v>46</v>
      </c>
      <c r="AZ68" s="24">
        <v>5.66592E-2</v>
      </c>
      <c r="BA68" s="24" t="s">
        <v>436</v>
      </c>
      <c r="BB68" s="24">
        <v>3.02919E-2</v>
      </c>
      <c r="BC68" s="35">
        <v>0.22222222222222221</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 ref="AY37:BC37"/>
    <mergeCell ref="H26:L26"/>
    <mergeCell ref="M26:Q26"/>
    <mergeCell ref="AA26:AE26"/>
    <mergeCell ref="AF26:AJ26"/>
    <mergeCell ref="AT26:AX26"/>
    <mergeCell ref="AY26:BC26"/>
    <mergeCell ref="H37:L37"/>
    <mergeCell ref="M37:Q37"/>
    <mergeCell ref="AA37:AE37"/>
    <mergeCell ref="AF37:AJ37"/>
    <mergeCell ref="AT37:AX37"/>
    <mergeCell ref="AY59:BC59"/>
    <mergeCell ref="H48:L48"/>
    <mergeCell ref="M48:Q48"/>
    <mergeCell ref="AA48:AE48"/>
    <mergeCell ref="AF48:AJ48"/>
    <mergeCell ref="AT48:AX48"/>
    <mergeCell ref="AY48:BC48"/>
    <mergeCell ref="H59:L59"/>
    <mergeCell ref="M59:Q59"/>
    <mergeCell ref="AA59:AE59"/>
    <mergeCell ref="AF59:AJ59"/>
    <mergeCell ref="AT59:AX5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588EB-6F51-9041-9798-AB1AC82264E5}">
  <sheetPr codeName="Foglio6"/>
  <dimension ref="B2:BE70"/>
  <sheetViews>
    <sheetView workbookViewId="0">
      <selection activeCell="G5" sqref="G5"/>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3" t="s">
        <v>127</v>
      </c>
      <c r="E2" s="43"/>
      <c r="F2" s="43"/>
      <c r="G2" s="43"/>
      <c r="H2" s="43"/>
      <c r="I2" s="43"/>
      <c r="J2" s="43"/>
      <c r="K2" s="43"/>
      <c r="L2" s="43"/>
      <c r="M2" s="43"/>
      <c r="N2" s="43"/>
      <c r="O2" s="43"/>
      <c r="P2" s="43"/>
      <c r="Q2" s="43"/>
      <c r="R2" s="16"/>
      <c r="S2" s="16"/>
      <c r="U2" s="16"/>
      <c r="V2" s="16"/>
      <c r="W2" s="43" t="s">
        <v>128</v>
      </c>
      <c r="X2" s="43"/>
      <c r="Y2" s="43"/>
      <c r="Z2" s="43"/>
      <c r="AA2" s="43"/>
      <c r="AB2" s="43"/>
      <c r="AC2" s="43"/>
      <c r="AD2" s="43"/>
      <c r="AE2" s="43"/>
      <c r="AF2" s="43"/>
      <c r="AG2" s="43"/>
      <c r="AH2" s="43"/>
      <c r="AI2" s="43"/>
      <c r="AJ2" s="43"/>
      <c r="AK2" s="16"/>
      <c r="AL2" s="16"/>
      <c r="AN2" s="16"/>
      <c r="AO2" s="16"/>
      <c r="AP2" s="43" t="s">
        <v>129</v>
      </c>
      <c r="AQ2" s="43"/>
      <c r="AR2" s="43"/>
      <c r="AS2" s="43"/>
      <c r="AT2" s="43"/>
      <c r="AU2" s="43"/>
      <c r="AV2" s="43"/>
      <c r="AW2" s="43"/>
      <c r="AX2" s="43"/>
      <c r="AY2" s="43"/>
      <c r="AZ2" s="43"/>
      <c r="BA2" s="43"/>
      <c r="BB2" s="43"/>
      <c r="BC2" s="43"/>
      <c r="BD2" s="16"/>
      <c r="BE2" s="16"/>
    </row>
    <row r="3" spans="2:57" ht="17" thickBot="1" x14ac:dyDescent="0.25">
      <c r="B3" s="16"/>
      <c r="S3" s="16"/>
      <c r="U3" s="16"/>
      <c r="AL3" s="16"/>
      <c r="AN3" s="16"/>
      <c r="BE3" s="16"/>
    </row>
    <row r="4" spans="2:57" ht="20" thickBot="1" x14ac:dyDescent="0.3">
      <c r="B4" s="16"/>
      <c r="D4" s="13" t="s">
        <v>126</v>
      </c>
      <c r="E4" s="14"/>
      <c r="F4" s="9"/>
      <c r="G4" s="10" t="s">
        <v>133</v>
      </c>
      <c r="H4" s="41" t="s">
        <v>124</v>
      </c>
      <c r="I4" s="41"/>
      <c r="J4" s="41"/>
      <c r="K4" s="41"/>
      <c r="L4" s="41"/>
      <c r="M4" s="42" t="s">
        <v>123</v>
      </c>
      <c r="N4" s="42"/>
      <c r="O4" s="42"/>
      <c r="P4" s="42"/>
      <c r="Q4" s="42"/>
      <c r="R4" s="2"/>
      <c r="S4" s="16"/>
      <c r="U4" s="16"/>
      <c r="W4" s="13" t="s">
        <v>126</v>
      </c>
      <c r="X4" s="14"/>
      <c r="Y4" s="9"/>
      <c r="Z4" s="10" t="str">
        <f>"TEST_"&amp;TEXT(RIGHT(G59,2)+1, "00")</f>
        <v>TEST_61</v>
      </c>
      <c r="AA4" s="41" t="s">
        <v>124</v>
      </c>
      <c r="AB4" s="41"/>
      <c r="AC4" s="41"/>
      <c r="AD4" s="41"/>
      <c r="AE4" s="41"/>
      <c r="AF4" s="42" t="s">
        <v>123</v>
      </c>
      <c r="AG4" s="42"/>
      <c r="AH4" s="42"/>
      <c r="AI4" s="42"/>
      <c r="AJ4" s="42"/>
      <c r="AK4" s="2"/>
      <c r="AL4" s="16"/>
      <c r="AN4" s="16"/>
      <c r="AP4" s="13" t="s">
        <v>126</v>
      </c>
      <c r="AQ4" s="14"/>
      <c r="AR4" s="9"/>
      <c r="AS4" s="10" t="str">
        <f>"TEST_"&amp;TEXT(RIGHT(Z59,2)+1, "00")</f>
        <v>TEST_67</v>
      </c>
      <c r="AT4" s="41" t="s">
        <v>124</v>
      </c>
      <c r="AU4" s="41"/>
      <c r="AV4" s="41"/>
      <c r="AW4" s="41"/>
      <c r="AX4" s="41"/>
      <c r="AY4" s="42" t="s">
        <v>123</v>
      </c>
      <c r="AZ4" s="42"/>
      <c r="BA4" s="42"/>
      <c r="BB4" s="42"/>
      <c r="BC4" s="42"/>
      <c r="BD4" s="2"/>
      <c r="BE4" s="16"/>
    </row>
    <row r="5" spans="2:57" x14ac:dyDescent="0.2">
      <c r="B5" s="16"/>
      <c r="D5" s="11" t="s">
        <v>1</v>
      </c>
      <c r="E5" s="12" t="str">
        <f>VLOOKUP(LOWER(G4),experiments_specs!$A:$J,2,FALSE)</f>
        <v>NN</v>
      </c>
      <c r="F5" s="15" t="str">
        <f>"{"&amp;LOWER(G4)&amp;".csv}"</f>
        <v>{test_55.csv}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VLOOKUP(LOWER(Z4),experiments_specs!$A:$J,2,FALSE)</f>
        <v>NN</v>
      </c>
      <c r="Y5" s="15" t="str">
        <f>"{"&amp;LOWER(Z4)&amp;".csv}"</f>
        <v>{test_61.csv}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VLOOKUP(LOWER(AS4),experiments_specs!$A:$J,2,FALSE)</f>
        <v>NN</v>
      </c>
      <c r="AR5" s="15" t="str">
        <f>"{"&amp;LOWER(AS4)&amp;".csv}"</f>
        <v>{test_67.csv}</v>
      </c>
      <c r="AS5" s="8" t="s">
        <v>118</v>
      </c>
      <c r="AT5" s="3" t="s">
        <v>119</v>
      </c>
      <c r="AU5" s="3" t="s">
        <v>178</v>
      </c>
      <c r="AV5" s="3" t="s">
        <v>120</v>
      </c>
      <c r="AW5" s="3" t="s">
        <v>178</v>
      </c>
      <c r="AX5" s="3" t="s">
        <v>121</v>
      </c>
      <c r="AY5" s="4" t="s">
        <v>122</v>
      </c>
      <c r="AZ5" s="4" t="s">
        <v>178</v>
      </c>
      <c r="BA5" s="4" t="s">
        <v>120</v>
      </c>
      <c r="BB5" s="4" t="s">
        <v>178</v>
      </c>
      <c r="BC5" s="4" t="s">
        <v>121</v>
      </c>
      <c r="BE5" s="16"/>
    </row>
    <row r="6" spans="2:57" ht="17" x14ac:dyDescent="0.2">
      <c r="B6" s="16"/>
      <c r="D6" s="11" t="s">
        <v>2</v>
      </c>
      <c r="E6" s="12">
        <f>VLOOKUP(LOWER(G4),experiments_specs!$A:$J,3,FALSE)</f>
        <v>1</v>
      </c>
      <c r="F6" s="15" t="s">
        <v>134</v>
      </c>
      <c r="G6" s="5" t="s">
        <v>19</v>
      </c>
      <c r="H6" s="17" t="s">
        <v>354</v>
      </c>
      <c r="I6" s="17">
        <v>0</v>
      </c>
      <c r="J6" s="17" t="s">
        <v>533</v>
      </c>
      <c r="K6" s="17">
        <v>2.5098E-3</v>
      </c>
      <c r="L6" s="30">
        <v>0.19047619047619047</v>
      </c>
      <c r="M6" s="21" t="s">
        <v>534</v>
      </c>
      <c r="N6" s="21">
        <v>0</v>
      </c>
      <c r="O6" s="21" t="s">
        <v>365</v>
      </c>
      <c r="P6" s="21">
        <v>2.9030000000000002E-3</v>
      </c>
      <c r="Q6" s="33">
        <v>0.22222222222222221</v>
      </c>
      <c r="S6" s="16"/>
      <c r="U6" s="16"/>
      <c r="W6" s="11" t="s">
        <v>2</v>
      </c>
      <c r="X6" s="12">
        <f>VLOOKUP(LOWER(Z4),experiments_specs!$A:$J,3,FALSE)</f>
        <v>1</v>
      </c>
      <c r="Y6" s="15" t="s">
        <v>140</v>
      </c>
      <c r="Z6" s="5" t="s">
        <v>19</v>
      </c>
      <c r="AA6" s="17" t="s">
        <v>354</v>
      </c>
      <c r="AB6" s="17">
        <v>0</v>
      </c>
      <c r="AC6" s="17" t="s">
        <v>533</v>
      </c>
      <c r="AD6" s="17">
        <v>1.5058800000000001E-2</v>
      </c>
      <c r="AE6" s="30">
        <v>0.19047619047619047</v>
      </c>
      <c r="AF6" s="21" t="s">
        <v>47</v>
      </c>
      <c r="AG6" s="21">
        <v>6.3757599999999998E-2</v>
      </c>
      <c r="AH6" s="21" t="s">
        <v>533</v>
      </c>
      <c r="AI6" s="21">
        <v>1.7436500000000001E-2</v>
      </c>
      <c r="AJ6" s="33">
        <v>0.19047619047619047</v>
      </c>
      <c r="AL6" s="16"/>
      <c r="AN6" s="16"/>
      <c r="AP6" s="11" t="s">
        <v>2</v>
      </c>
      <c r="AQ6" s="12">
        <f>VLOOKUP(LOWER(AS4),experiments_specs!$A:$J,3,FALSE)</f>
        <v>1</v>
      </c>
      <c r="AR6" s="15" t="s">
        <v>146</v>
      </c>
      <c r="AS6" s="5" t="s">
        <v>19</v>
      </c>
      <c r="AT6" s="17" t="s">
        <v>354</v>
      </c>
      <c r="AU6" s="17">
        <v>0</v>
      </c>
      <c r="AV6" s="17" t="s">
        <v>533</v>
      </c>
      <c r="AW6" s="17">
        <v>1.5058800000000001E-2</v>
      </c>
      <c r="AX6" s="30">
        <v>0.19047619047619047</v>
      </c>
      <c r="AY6" s="21" t="s">
        <v>47</v>
      </c>
      <c r="AZ6" s="21">
        <v>6.3757599999999998E-2</v>
      </c>
      <c r="BA6" s="21" t="s">
        <v>533</v>
      </c>
      <c r="BB6" s="21">
        <v>1.5775899999999999E-2</v>
      </c>
      <c r="BC6" s="33">
        <v>0.19047619047619047</v>
      </c>
      <c r="BE6" s="16"/>
    </row>
    <row r="7" spans="2:57" ht="34" x14ac:dyDescent="0.2">
      <c r="B7" s="16"/>
      <c r="D7" s="11" t="s">
        <v>3</v>
      </c>
      <c r="E7" s="12">
        <f>VLOOKUP(LOWER(G4),experiments_specs!$A:$J,4,FALSE)</f>
        <v>2</v>
      </c>
      <c r="F7" s="15" t="s">
        <v>134</v>
      </c>
      <c r="G7" s="6" t="s">
        <v>12</v>
      </c>
      <c r="H7" s="18" t="s">
        <v>363</v>
      </c>
      <c r="I7" s="18">
        <v>9.7243300000000005E-2</v>
      </c>
      <c r="J7" s="18" t="s">
        <v>535</v>
      </c>
      <c r="K7" s="18">
        <v>2.1410000000000001E-3</v>
      </c>
      <c r="L7" s="31">
        <v>0.2857142857142857</v>
      </c>
      <c r="M7" s="22" t="s">
        <v>363</v>
      </c>
      <c r="N7" s="22">
        <v>9.7243300000000005E-2</v>
      </c>
      <c r="O7" s="22" t="s">
        <v>535</v>
      </c>
      <c r="P7" s="22">
        <v>4.3667999999999997E-3</v>
      </c>
      <c r="Q7" s="34">
        <v>0.2857142857142857</v>
      </c>
      <c r="S7" s="16"/>
      <c r="U7" s="16"/>
      <c r="W7" s="11" t="s">
        <v>3</v>
      </c>
      <c r="X7" s="12">
        <f>VLOOKUP(LOWER(Z4),experiments_specs!$A:$J,4,FALSE)</f>
        <v>2</v>
      </c>
      <c r="Y7" s="15" t="s">
        <v>140</v>
      </c>
      <c r="Z7" s="6" t="s">
        <v>12</v>
      </c>
      <c r="AA7" s="18" t="s">
        <v>623</v>
      </c>
      <c r="AB7" s="18">
        <v>0</v>
      </c>
      <c r="AC7" s="18" t="s">
        <v>624</v>
      </c>
      <c r="AD7" s="18">
        <v>3.3081999999999999E-3</v>
      </c>
      <c r="AE7" s="31">
        <v>0.25</v>
      </c>
      <c r="AF7" s="23" t="s">
        <v>390</v>
      </c>
      <c r="AG7" s="23" t="s">
        <v>625</v>
      </c>
      <c r="AH7" s="23" t="s">
        <v>627</v>
      </c>
      <c r="AI7" s="23" t="s">
        <v>629</v>
      </c>
      <c r="AJ7" s="34">
        <v>0.46153846153846156</v>
      </c>
      <c r="AL7" s="16"/>
      <c r="AN7" s="16"/>
      <c r="AP7" s="11" t="s">
        <v>3</v>
      </c>
      <c r="AQ7" s="12">
        <f>VLOOKUP(LOWER(AS4),experiments_specs!$A:$J,4,FALSE)</f>
        <v>2</v>
      </c>
      <c r="AR7" s="15" t="s">
        <v>146</v>
      </c>
      <c r="AS7" s="6" t="s">
        <v>12</v>
      </c>
      <c r="AT7" s="18" t="s">
        <v>623</v>
      </c>
      <c r="AU7" s="18">
        <v>0</v>
      </c>
      <c r="AV7" s="18" t="s">
        <v>624</v>
      </c>
      <c r="AW7" s="18">
        <v>3.3081999999999999E-3</v>
      </c>
      <c r="AX7" s="31">
        <v>0.25</v>
      </c>
      <c r="AY7" s="23" t="s">
        <v>390</v>
      </c>
      <c r="AZ7" s="23" t="s">
        <v>625</v>
      </c>
      <c r="BA7" s="23" t="s">
        <v>627</v>
      </c>
      <c r="BB7" s="23" t="s">
        <v>629</v>
      </c>
      <c r="BC7" s="34">
        <v>0.46153846153846156</v>
      </c>
      <c r="BE7" s="16"/>
    </row>
    <row r="8" spans="2:57" ht="34" x14ac:dyDescent="0.2">
      <c r="B8" s="16"/>
      <c r="D8" s="11" t="s">
        <v>4</v>
      </c>
      <c r="E8" s="12" t="str">
        <f>VLOOKUP(LOWER(G4),experiments_specs!$A:$J,5,FALSE)</f>
        <v>False</v>
      </c>
      <c r="F8" s="15" t="s">
        <v>134</v>
      </c>
      <c r="G8" s="6" t="s">
        <v>13</v>
      </c>
      <c r="H8" s="19" t="s">
        <v>536</v>
      </c>
      <c r="I8" s="19">
        <v>0</v>
      </c>
      <c r="J8" s="19" t="s">
        <v>537</v>
      </c>
      <c r="K8" s="19">
        <v>4.6074999999999996E-3</v>
      </c>
      <c r="L8" s="31" t="s">
        <v>25</v>
      </c>
      <c r="M8" s="23" t="s">
        <v>538</v>
      </c>
      <c r="N8" s="23" t="s">
        <v>185</v>
      </c>
      <c r="O8" s="23" t="s">
        <v>540</v>
      </c>
      <c r="P8" s="23" t="s">
        <v>542</v>
      </c>
      <c r="Q8" s="34" t="s">
        <v>25</v>
      </c>
      <c r="S8" s="16"/>
      <c r="U8" s="16"/>
      <c r="W8" s="11" t="s">
        <v>4</v>
      </c>
      <c r="X8" s="12" t="str">
        <f>VLOOKUP(LOWER(Z4),experiments_specs!$A:$J,5,FALSE)</f>
        <v>True</v>
      </c>
      <c r="Y8" s="15" t="s">
        <v>140</v>
      </c>
      <c r="Z8" s="6" t="s">
        <v>13</v>
      </c>
      <c r="AA8" s="19" t="s">
        <v>32</v>
      </c>
      <c r="AB8" s="19">
        <v>6.5937999999999997E-2</v>
      </c>
      <c r="AC8" s="19" t="s">
        <v>631</v>
      </c>
      <c r="AD8" s="19">
        <v>1.09896E-2</v>
      </c>
      <c r="AE8" s="31">
        <v>0.4</v>
      </c>
      <c r="AF8" s="22" t="s">
        <v>34</v>
      </c>
      <c r="AG8" s="22">
        <v>0</v>
      </c>
      <c r="AH8" s="22" t="s">
        <v>35</v>
      </c>
      <c r="AI8" s="22">
        <v>2.1281399999999999E-2</v>
      </c>
      <c r="AJ8" s="34" t="s">
        <v>25</v>
      </c>
      <c r="AL8" s="16"/>
      <c r="AN8" s="16"/>
      <c r="AP8" s="11" t="s">
        <v>4</v>
      </c>
      <c r="AQ8" s="12" t="str">
        <f>VLOOKUP(LOWER(AS4),experiments_specs!$A:$J,5,FALSE)</f>
        <v>True</v>
      </c>
      <c r="AR8" s="15" t="s">
        <v>146</v>
      </c>
      <c r="AS8" s="6" t="s">
        <v>13</v>
      </c>
      <c r="AT8" s="19" t="s">
        <v>688</v>
      </c>
      <c r="AU8" s="19">
        <v>7.3720900000000006E-2</v>
      </c>
      <c r="AV8" s="19" t="s">
        <v>689</v>
      </c>
      <c r="AW8" s="19">
        <v>2.5079999999999998E-3</v>
      </c>
      <c r="AX8" s="31" t="s">
        <v>25</v>
      </c>
      <c r="AY8" s="23" t="s">
        <v>34</v>
      </c>
      <c r="AZ8" s="23">
        <v>0</v>
      </c>
      <c r="BA8" s="23" t="s">
        <v>35</v>
      </c>
      <c r="BB8" s="23">
        <v>1.77345E-2</v>
      </c>
      <c r="BC8" s="34" t="s">
        <v>25</v>
      </c>
      <c r="BE8" s="16"/>
    </row>
    <row r="9" spans="2:57" ht="34" x14ac:dyDescent="0.2">
      <c r="B9" s="16"/>
      <c r="D9" s="11" t="s">
        <v>5</v>
      </c>
      <c r="E9" s="12" t="str">
        <f>VLOOKUP(LOWER(G4),experiments_specs!$A:$J,6,FALSE)</f>
        <v>False</v>
      </c>
      <c r="F9" s="15" t="s">
        <v>134</v>
      </c>
      <c r="G9" s="6" t="s">
        <v>14</v>
      </c>
      <c r="H9" s="18" t="s">
        <v>544</v>
      </c>
      <c r="I9" s="18" t="s">
        <v>546</v>
      </c>
      <c r="J9" s="18" t="s">
        <v>548</v>
      </c>
      <c r="K9" s="18" t="s">
        <v>550</v>
      </c>
      <c r="L9" s="31">
        <v>0.33333333333333331</v>
      </c>
      <c r="M9" s="22" t="s">
        <v>204</v>
      </c>
      <c r="N9" s="22">
        <v>0</v>
      </c>
      <c r="O9" s="22" t="s">
        <v>381</v>
      </c>
      <c r="P9" s="22">
        <v>5.5906999999999997E-3</v>
      </c>
      <c r="Q9" s="34">
        <v>0.66666666666666663</v>
      </c>
      <c r="S9" s="16"/>
      <c r="U9" s="16"/>
      <c r="W9" s="11" t="s">
        <v>5</v>
      </c>
      <c r="X9" s="12" t="str">
        <f>VLOOKUP(LOWER(Z4),experiments_specs!$A:$J,6,FALSE)</f>
        <v>False</v>
      </c>
      <c r="Y9" s="15" t="s">
        <v>140</v>
      </c>
      <c r="Z9" s="6" t="s">
        <v>14</v>
      </c>
      <c r="AA9" s="19" t="s">
        <v>534</v>
      </c>
      <c r="AB9" s="19">
        <v>5.5555500000000001E-2</v>
      </c>
      <c r="AC9" s="19" t="s">
        <v>632</v>
      </c>
      <c r="AD9" s="19">
        <v>7.9365000000000008E-3</v>
      </c>
      <c r="AE9" s="31">
        <v>0.33333333333333331</v>
      </c>
      <c r="AF9" s="23" t="s">
        <v>633</v>
      </c>
      <c r="AG9" s="23" t="s">
        <v>185</v>
      </c>
      <c r="AH9" s="23" t="s">
        <v>635</v>
      </c>
      <c r="AI9" s="23" t="s">
        <v>637</v>
      </c>
      <c r="AJ9" s="34">
        <v>0.33333333333333331</v>
      </c>
      <c r="AL9" s="16"/>
      <c r="AN9" s="16"/>
      <c r="AP9" s="11" t="s">
        <v>5</v>
      </c>
      <c r="AQ9" s="12" t="str">
        <f>VLOOKUP(LOWER(AS4),experiments_specs!$A:$J,6,FALSE)</f>
        <v>False</v>
      </c>
      <c r="AR9" s="15" t="s">
        <v>146</v>
      </c>
      <c r="AS9" s="6" t="s">
        <v>14</v>
      </c>
      <c r="AT9" s="18" t="s">
        <v>534</v>
      </c>
      <c r="AU9" s="18">
        <v>5.5555500000000001E-2</v>
      </c>
      <c r="AV9" s="18" t="s">
        <v>632</v>
      </c>
      <c r="AW9" s="18">
        <v>7.9365000000000008E-3</v>
      </c>
      <c r="AX9" s="31">
        <v>0.33333333333333331</v>
      </c>
      <c r="AY9" s="23" t="s">
        <v>633</v>
      </c>
      <c r="AZ9" s="23" t="s">
        <v>185</v>
      </c>
      <c r="BA9" s="23" t="s">
        <v>635</v>
      </c>
      <c r="BB9" s="23" t="s">
        <v>655</v>
      </c>
      <c r="BC9" s="34">
        <v>0.33333333333333331</v>
      </c>
      <c r="BE9" s="16"/>
    </row>
    <row r="10" spans="2:57" ht="17" x14ac:dyDescent="0.2">
      <c r="B10" s="16"/>
      <c r="D10" s="11" t="s">
        <v>6</v>
      </c>
      <c r="E10" s="12" t="str">
        <f>VLOOKUP(LOWER(G4),experiments_specs!$A:$J,7,FALSE)</f>
        <v>True</v>
      </c>
      <c r="F10" s="15" t="s">
        <v>134</v>
      </c>
      <c r="G10" s="6" t="s">
        <v>15</v>
      </c>
      <c r="H10" s="19" t="s">
        <v>552</v>
      </c>
      <c r="I10" s="19">
        <v>0</v>
      </c>
      <c r="J10" s="19" t="s">
        <v>553</v>
      </c>
      <c r="K10" s="19">
        <v>1.0273999999999999E-3</v>
      </c>
      <c r="L10" s="31">
        <v>0.44444444444444442</v>
      </c>
      <c r="M10" s="23" t="s">
        <v>365</v>
      </c>
      <c r="N10" s="23">
        <v>0</v>
      </c>
      <c r="O10" s="23" t="s">
        <v>26</v>
      </c>
      <c r="P10" s="23">
        <v>7.1824999999999996E-3</v>
      </c>
      <c r="Q10" s="34">
        <v>0.18181818181818182</v>
      </c>
      <c r="S10" s="16"/>
      <c r="U10" s="16"/>
      <c r="W10" s="11" t="s">
        <v>6</v>
      </c>
      <c r="X10" s="12" t="str">
        <f>VLOOKUP(LOWER(Z4),experiments_specs!$A:$J,7,FALSE)</f>
        <v>True</v>
      </c>
      <c r="Y10" s="15" t="s">
        <v>140</v>
      </c>
      <c r="Z10" s="6" t="s">
        <v>15</v>
      </c>
      <c r="AA10" s="19" t="s">
        <v>639</v>
      </c>
      <c r="AB10" s="19">
        <v>0</v>
      </c>
      <c r="AC10" s="19" t="s">
        <v>435</v>
      </c>
      <c r="AD10" s="19">
        <v>6.4403999999999998E-3</v>
      </c>
      <c r="AE10" s="31">
        <v>0.44444444444444442</v>
      </c>
      <c r="AF10" s="23" t="s">
        <v>365</v>
      </c>
      <c r="AG10" s="23">
        <v>0</v>
      </c>
      <c r="AH10" s="23" t="s">
        <v>26</v>
      </c>
      <c r="AI10" s="23">
        <v>2.94484E-2</v>
      </c>
      <c r="AJ10" s="34">
        <v>0.18181818181818182</v>
      </c>
      <c r="AL10" s="16"/>
      <c r="AN10" s="16"/>
      <c r="AP10" s="11" t="s">
        <v>6</v>
      </c>
      <c r="AQ10" s="12" t="str">
        <f>VLOOKUP(LOWER(AS4),experiments_specs!$A:$J,7,FALSE)</f>
        <v>True</v>
      </c>
      <c r="AR10" s="15" t="s">
        <v>146</v>
      </c>
      <c r="AS10" s="6" t="s">
        <v>15</v>
      </c>
      <c r="AT10" s="19" t="s">
        <v>639</v>
      </c>
      <c r="AU10" s="19">
        <v>0</v>
      </c>
      <c r="AV10" s="19" t="s">
        <v>435</v>
      </c>
      <c r="AW10" s="19">
        <v>6.4403999999999998E-3</v>
      </c>
      <c r="AX10" s="31">
        <v>0.44444444444444442</v>
      </c>
      <c r="AY10" s="23" t="s">
        <v>365</v>
      </c>
      <c r="AZ10" s="23">
        <v>0</v>
      </c>
      <c r="BA10" s="23" t="s">
        <v>26</v>
      </c>
      <c r="BB10" s="23">
        <v>2.94484E-2</v>
      </c>
      <c r="BC10" s="34">
        <v>0.18181818181818182</v>
      </c>
      <c r="BE10" s="16"/>
    </row>
    <row r="11" spans="2:57" ht="17" x14ac:dyDescent="0.2">
      <c r="B11" s="16"/>
      <c r="D11" s="11" t="s">
        <v>7</v>
      </c>
      <c r="E11" s="12" t="str">
        <f>VLOOKUP(LOWER(G4),experiments_specs!$A:$J,8,FALSE)</f>
        <v>False</v>
      </c>
      <c r="F11" s="15" t="s">
        <v>134</v>
      </c>
      <c r="G11" s="6" t="s">
        <v>16</v>
      </c>
      <c r="H11" s="19" t="s">
        <v>385</v>
      </c>
      <c r="I11" s="19">
        <v>0.1290994</v>
      </c>
      <c r="J11" s="19" t="s">
        <v>554</v>
      </c>
      <c r="K11" s="19">
        <v>1.5489E-3</v>
      </c>
      <c r="L11" s="31">
        <v>0.14285714285714285</v>
      </c>
      <c r="M11" s="23" t="s">
        <v>432</v>
      </c>
      <c r="N11" s="23">
        <v>6.4549700000000002E-2</v>
      </c>
      <c r="O11" s="23" t="s">
        <v>555</v>
      </c>
      <c r="P11" s="23">
        <v>2.9799000000000002E-3</v>
      </c>
      <c r="Q11" s="34">
        <v>0.13333333333333333</v>
      </c>
      <c r="S11" s="16"/>
      <c r="U11" s="16"/>
      <c r="W11" s="11" t="s">
        <v>7</v>
      </c>
      <c r="X11" s="12" t="str">
        <f>VLOOKUP(LOWER(Z4),experiments_specs!$A:$J,8,FALSE)</f>
        <v>False</v>
      </c>
      <c r="Y11" s="15" t="s">
        <v>140</v>
      </c>
      <c r="Z11" s="6" t="s">
        <v>16</v>
      </c>
      <c r="AA11" s="19" t="s">
        <v>640</v>
      </c>
      <c r="AB11" s="19">
        <v>0</v>
      </c>
      <c r="AC11" s="19" t="s">
        <v>641</v>
      </c>
      <c r="AD11" s="19">
        <v>5.2082999999999999E-3</v>
      </c>
      <c r="AE11" s="31">
        <v>0.13333333333333333</v>
      </c>
      <c r="AF11" s="23" t="s">
        <v>642</v>
      </c>
      <c r="AG11" s="23">
        <v>0</v>
      </c>
      <c r="AH11" s="23" t="s">
        <v>643</v>
      </c>
      <c r="AI11" s="23">
        <v>6.6125999999999997E-3</v>
      </c>
      <c r="AJ11" s="34">
        <v>0.70588235294117652</v>
      </c>
      <c r="AL11" s="16"/>
      <c r="AN11" s="16"/>
      <c r="AP11" s="11" t="s">
        <v>7</v>
      </c>
      <c r="AQ11" s="12" t="str">
        <f>VLOOKUP(LOWER(AS4),experiments_specs!$A:$J,8,FALSE)</f>
        <v>False</v>
      </c>
      <c r="AR11" s="15" t="s">
        <v>146</v>
      </c>
      <c r="AS11" s="6" t="s">
        <v>16</v>
      </c>
      <c r="AT11" s="19" t="s">
        <v>640</v>
      </c>
      <c r="AU11" s="19">
        <v>0</v>
      </c>
      <c r="AV11" s="19" t="s">
        <v>641</v>
      </c>
      <c r="AW11" s="19">
        <v>5.3762999999999997E-3</v>
      </c>
      <c r="AX11" s="31">
        <v>0.13333333333333333</v>
      </c>
      <c r="AY11" s="23" t="s">
        <v>642</v>
      </c>
      <c r="AZ11" s="23">
        <v>0</v>
      </c>
      <c r="BA11" s="23" t="s">
        <v>643</v>
      </c>
      <c r="BB11" s="23">
        <v>6.6125999999999997E-3</v>
      </c>
      <c r="BC11" s="34">
        <v>0.70588235294117652</v>
      </c>
      <c r="BE11" s="16"/>
    </row>
    <row r="12" spans="2:57" ht="409.6" x14ac:dyDescent="0.2">
      <c r="B12" s="16"/>
      <c r="D12" s="11" t="s">
        <v>8</v>
      </c>
      <c r="E12" s="12" t="str">
        <f>VLOOKUP(LOWER(G4),experiments_specs!$A:$J,9,FALSE)</f>
        <v>wup_similarity</v>
      </c>
      <c r="F12" s="15" t="s">
        <v>134</v>
      </c>
      <c r="G12" s="6" t="s">
        <v>17</v>
      </c>
      <c r="H12" s="19" t="s">
        <v>556</v>
      </c>
      <c r="I12" s="19">
        <v>7.7151600000000001E-2</v>
      </c>
      <c r="J12" s="19" t="s">
        <v>557</v>
      </c>
      <c r="K12" s="19">
        <v>1.8259000000000001E-3</v>
      </c>
      <c r="L12" s="31">
        <v>0.44444444444444442</v>
      </c>
      <c r="M12" s="22" t="s">
        <v>434</v>
      </c>
      <c r="N12" s="22">
        <v>0</v>
      </c>
      <c r="O12" s="22" t="s">
        <v>557</v>
      </c>
      <c r="P12" s="22">
        <v>3.405E-3</v>
      </c>
      <c r="Q12" s="34">
        <v>0.44444444444444442</v>
      </c>
      <c r="S12" s="16"/>
      <c r="U12" s="16"/>
      <c r="W12" s="11" t="s">
        <v>8</v>
      </c>
      <c r="X12" s="12" t="str">
        <f>VLOOKUP(LOWER(Z4),experiments_specs!$A:$J,9,FALSE)</f>
        <v>wup_similarity</v>
      </c>
      <c r="Y12" s="15" t="s">
        <v>140</v>
      </c>
      <c r="Z12" s="6" t="s">
        <v>17</v>
      </c>
      <c r="AA12" s="19" t="s">
        <v>644</v>
      </c>
      <c r="AB12" s="19">
        <v>4.8794999999999998E-2</v>
      </c>
      <c r="AC12" s="19" t="s">
        <v>645</v>
      </c>
      <c r="AD12" s="19">
        <v>3.0860000000000002E-3</v>
      </c>
      <c r="AE12" s="31">
        <v>0.22222222222222221</v>
      </c>
      <c r="AF12" s="23" t="s">
        <v>646</v>
      </c>
      <c r="AG12" s="23" t="s">
        <v>185</v>
      </c>
      <c r="AH12" s="23" t="s">
        <v>648</v>
      </c>
      <c r="AI12" s="23" t="s">
        <v>650</v>
      </c>
      <c r="AJ12" s="34">
        <v>0.18181818181818182</v>
      </c>
      <c r="AL12" s="16"/>
      <c r="AN12" s="16"/>
      <c r="AP12" s="11" t="s">
        <v>8</v>
      </c>
      <c r="AQ12" s="12" t="str">
        <f>VLOOKUP(LOWER(AS4),experiments_specs!$A:$J,9,FALSE)</f>
        <v>wup_similarity</v>
      </c>
      <c r="AR12" s="15" t="s">
        <v>146</v>
      </c>
      <c r="AS12" s="6" t="s">
        <v>17</v>
      </c>
      <c r="AT12" s="18" t="s">
        <v>724</v>
      </c>
      <c r="AU12" s="18" t="s">
        <v>726</v>
      </c>
      <c r="AV12" s="18" t="s">
        <v>728</v>
      </c>
      <c r="AW12" s="18" t="s">
        <v>730</v>
      </c>
      <c r="AX12" s="31">
        <v>0.13333333333333333</v>
      </c>
      <c r="AY12" s="23" t="s">
        <v>646</v>
      </c>
      <c r="AZ12" s="23" t="s">
        <v>185</v>
      </c>
      <c r="BA12" s="23" t="s">
        <v>648</v>
      </c>
      <c r="BB12" s="23" t="s">
        <v>650</v>
      </c>
      <c r="BC12" s="34">
        <v>0.18181818181818182</v>
      </c>
      <c r="BE12" s="16"/>
    </row>
    <row r="13" spans="2:57" x14ac:dyDescent="0.2">
      <c r="B13" s="16"/>
      <c r="D13" s="11" t="s">
        <v>9</v>
      </c>
      <c r="E13" s="12" t="str">
        <f>VLOOKUP(LOWER(G4),experiments_specs!$A:$J,10,FALSE)</f>
        <v>False</v>
      </c>
      <c r="F13" s="15" t="s">
        <v>134</v>
      </c>
      <c r="G13" s="7" t="s">
        <v>18</v>
      </c>
      <c r="H13" s="20" t="s">
        <v>556</v>
      </c>
      <c r="I13" s="20">
        <v>6.1084699999999999E-2</v>
      </c>
      <c r="J13" s="20" t="s">
        <v>558</v>
      </c>
      <c r="K13" s="20">
        <v>1.3854E-3</v>
      </c>
      <c r="L13" s="32">
        <v>0.375</v>
      </c>
      <c r="M13" s="24" t="s">
        <v>559</v>
      </c>
      <c r="N13" s="24">
        <v>0</v>
      </c>
      <c r="O13" s="24" t="s">
        <v>560</v>
      </c>
      <c r="P13" s="24">
        <v>2.0202000000000002E-3</v>
      </c>
      <c r="Q13" s="35">
        <v>0.1111111111111111</v>
      </c>
      <c r="S13" s="16"/>
      <c r="U13" s="16"/>
      <c r="W13" s="11" t="s">
        <v>9</v>
      </c>
      <c r="X13" s="12" t="str">
        <f>VLOOKUP(LOWER(Z4),experiments_specs!$A:$J,10,FALSE)</f>
        <v>False</v>
      </c>
      <c r="Y13" s="15" t="s">
        <v>140</v>
      </c>
      <c r="Z13" s="7" t="s">
        <v>18</v>
      </c>
      <c r="AA13" s="20" t="s">
        <v>44</v>
      </c>
      <c r="AB13" s="20">
        <v>0</v>
      </c>
      <c r="AC13" s="20" t="s">
        <v>652</v>
      </c>
      <c r="AD13" s="20">
        <v>1.12485E-2</v>
      </c>
      <c r="AE13" s="32">
        <v>0.21052631578947367</v>
      </c>
      <c r="AF13" s="24" t="s">
        <v>46</v>
      </c>
      <c r="AG13" s="24">
        <v>0</v>
      </c>
      <c r="AH13" s="24" t="s">
        <v>652</v>
      </c>
      <c r="AI13" s="24">
        <v>1.12485E-2</v>
      </c>
      <c r="AJ13" s="35">
        <v>0.21052631578947367</v>
      </c>
      <c r="AL13" s="16"/>
      <c r="AN13" s="16"/>
      <c r="AP13" s="11" t="s">
        <v>9</v>
      </c>
      <c r="AQ13" s="12" t="str">
        <f>VLOOKUP(LOWER(AS4),experiments_specs!$A:$J,10,FALSE)</f>
        <v>True</v>
      </c>
      <c r="AR13" s="15" t="s">
        <v>146</v>
      </c>
      <c r="AS13" s="7" t="s">
        <v>18</v>
      </c>
      <c r="AT13" s="20" t="s">
        <v>44</v>
      </c>
      <c r="AU13" s="20">
        <v>0</v>
      </c>
      <c r="AV13" s="20" t="s">
        <v>652</v>
      </c>
      <c r="AW13" s="20">
        <v>1.12485E-2</v>
      </c>
      <c r="AX13" s="32">
        <v>0.21052631578947367</v>
      </c>
      <c r="AY13" s="24" t="s">
        <v>46</v>
      </c>
      <c r="AZ13" s="24">
        <v>0</v>
      </c>
      <c r="BA13" s="24" t="s">
        <v>652</v>
      </c>
      <c r="BB13" s="24">
        <v>1.12485E-2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TEST_56</v>
      </c>
      <c r="H15" s="41" t="s">
        <v>124</v>
      </c>
      <c r="I15" s="41"/>
      <c r="J15" s="41"/>
      <c r="K15" s="41"/>
      <c r="L15" s="41"/>
      <c r="M15" s="42" t="s">
        <v>123</v>
      </c>
      <c r="N15" s="42"/>
      <c r="O15" s="42"/>
      <c r="P15" s="42"/>
      <c r="Q15" s="42"/>
      <c r="R15" s="2"/>
      <c r="S15" s="16"/>
      <c r="U15" s="16"/>
      <c r="W15" s="13" t="s">
        <v>126</v>
      </c>
      <c r="X15" s="14"/>
      <c r="Y15" s="9"/>
      <c r="Z15" s="10" t="str">
        <f>"TEST_"&amp;TEXT(RIGHT(Z4,2)+1, "00")</f>
        <v>TEST_62</v>
      </c>
      <c r="AA15" s="41" t="s">
        <v>124</v>
      </c>
      <c r="AB15" s="41"/>
      <c r="AC15" s="41"/>
      <c r="AD15" s="41"/>
      <c r="AE15" s="41"/>
      <c r="AF15" s="42" t="s">
        <v>123</v>
      </c>
      <c r="AG15" s="42"/>
      <c r="AH15" s="42"/>
      <c r="AI15" s="42"/>
      <c r="AJ15" s="42"/>
      <c r="AK15" s="2"/>
      <c r="AL15" s="16"/>
      <c r="AN15" s="16"/>
      <c r="AP15" s="13" t="s">
        <v>126</v>
      </c>
      <c r="AQ15" s="14"/>
      <c r="AR15" s="9"/>
      <c r="AS15" s="10" t="str">
        <f>"TEST_"&amp;TEXT(RIGHT(AS4,2)+1, "00")</f>
        <v>TEST_68</v>
      </c>
      <c r="AT15" s="41" t="s">
        <v>124</v>
      </c>
      <c r="AU15" s="41"/>
      <c r="AV15" s="41"/>
      <c r="AW15" s="41"/>
      <c r="AX15" s="41"/>
      <c r="AY15" s="42" t="s">
        <v>123</v>
      </c>
      <c r="AZ15" s="42"/>
      <c r="BA15" s="42"/>
      <c r="BB15" s="42"/>
      <c r="BC15" s="42"/>
      <c r="BD15" s="2"/>
      <c r="BE15" s="16"/>
    </row>
    <row r="16" spans="2:57" x14ac:dyDescent="0.2">
      <c r="B16" s="16"/>
      <c r="D16" s="11" t="s">
        <v>1</v>
      </c>
      <c r="E16" s="12" t="str">
        <f>VLOOKUP(LOWER(G15),experiments_specs!$A:$J,2,FALSE)</f>
        <v>NN,JJ</v>
      </c>
      <c r="F16" s="15" t="str">
        <f>"{"&amp;LOWER(G15)&amp;".csv}"</f>
        <v>{test_56.csv}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VLOOKUP(LOWER(Z15),experiments_specs!$A:$J,2,FALSE)</f>
        <v>NN,JJ</v>
      </c>
      <c r="Y16" s="15" t="str">
        <f>"{"&amp;LOWER(Z15)&amp;".csv}"</f>
        <v>{test_62.csv}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VLOOKUP(LOWER(AS15),experiments_specs!$A:$J,2,FALSE)</f>
        <v>NN,JJ</v>
      </c>
      <c r="AR16" s="15" t="str">
        <f>"{"&amp;LOWER(AS15)&amp;".csv}"</f>
        <v>{test_68.csv}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51" x14ac:dyDescent="0.2">
      <c r="B17" s="16"/>
      <c r="D17" s="11" t="s">
        <v>2</v>
      </c>
      <c r="E17" s="12">
        <f>VLOOKUP(LOWER(G15),experiments_specs!$A:$J,3,FALSE)</f>
        <v>1</v>
      </c>
      <c r="F17" s="15" t="s">
        <v>135</v>
      </c>
      <c r="G17" s="5" t="s">
        <v>19</v>
      </c>
      <c r="H17" s="17" t="s">
        <v>354</v>
      </c>
      <c r="I17" s="17">
        <v>0</v>
      </c>
      <c r="J17" s="17" t="s">
        <v>533</v>
      </c>
      <c r="K17" s="17">
        <v>1.1463000000000001E-3</v>
      </c>
      <c r="L17" s="30">
        <v>0.19047619047619047</v>
      </c>
      <c r="M17" s="47" t="s">
        <v>561</v>
      </c>
      <c r="N17" s="47" t="s">
        <v>563</v>
      </c>
      <c r="O17" s="47" t="s">
        <v>565</v>
      </c>
      <c r="P17" s="47" t="s">
        <v>567</v>
      </c>
      <c r="Q17" s="33">
        <v>0.11764705882352941</v>
      </c>
      <c r="S17" s="16"/>
      <c r="U17" s="16"/>
      <c r="W17" s="11" t="s">
        <v>2</v>
      </c>
      <c r="X17" s="12">
        <f>VLOOKUP(LOWER(Z15),experiments_specs!$A:$J,3,FALSE)</f>
        <v>1</v>
      </c>
      <c r="Y17" s="15" t="s">
        <v>141</v>
      </c>
      <c r="Z17" s="5" t="s">
        <v>19</v>
      </c>
      <c r="AA17" s="17" t="s">
        <v>354</v>
      </c>
      <c r="AB17" s="17">
        <v>0</v>
      </c>
      <c r="AC17" s="17" t="s">
        <v>533</v>
      </c>
      <c r="AD17" s="17">
        <v>1.0686899999999999E-2</v>
      </c>
      <c r="AE17" s="30">
        <v>0.19047619047619047</v>
      </c>
      <c r="AF17" s="21" t="s">
        <v>47</v>
      </c>
      <c r="AG17" s="21">
        <v>6.3757599999999998E-2</v>
      </c>
      <c r="AH17" s="21" t="s">
        <v>533</v>
      </c>
      <c r="AI17" s="21">
        <v>1.5058800000000001E-2</v>
      </c>
      <c r="AJ17" s="33">
        <v>0.19047619047619047</v>
      </c>
      <c r="AL17" s="16"/>
      <c r="AN17" s="16"/>
      <c r="AP17" s="11" t="s">
        <v>2</v>
      </c>
      <c r="AQ17" s="12">
        <f>VLOOKUP(LOWER(AS15),experiments_specs!$A:$J,3,FALSE)</f>
        <v>1</v>
      </c>
      <c r="AR17" s="15" t="s">
        <v>147</v>
      </c>
      <c r="AS17" s="5" t="s">
        <v>19</v>
      </c>
      <c r="AT17" s="17" t="s">
        <v>354</v>
      </c>
      <c r="AU17" s="17">
        <v>0</v>
      </c>
      <c r="AV17" s="17" t="s">
        <v>533</v>
      </c>
      <c r="AW17" s="17">
        <v>1.1423900000000001E-2</v>
      </c>
      <c r="AX17" s="30">
        <v>0.19047619047619047</v>
      </c>
      <c r="AY17" s="21" t="s">
        <v>47</v>
      </c>
      <c r="AZ17" s="21">
        <v>6.3757599999999998E-2</v>
      </c>
      <c r="BA17" s="21" t="s">
        <v>533</v>
      </c>
      <c r="BB17" s="21">
        <v>1.1831899999999999E-2</v>
      </c>
      <c r="BC17" s="33">
        <v>0.19047619047619047</v>
      </c>
      <c r="BE17" s="16"/>
    </row>
    <row r="18" spans="2:57" ht="34" x14ac:dyDescent="0.2">
      <c r="B18" s="16"/>
      <c r="D18" s="11" t="s">
        <v>3</v>
      </c>
      <c r="E18" s="12">
        <f>VLOOKUP(LOWER(G15),experiments_specs!$A:$J,4,FALSE)</f>
        <v>2</v>
      </c>
      <c r="F18" s="15" t="s">
        <v>135</v>
      </c>
      <c r="G18" s="6" t="s">
        <v>12</v>
      </c>
      <c r="H18" s="18" t="s">
        <v>363</v>
      </c>
      <c r="I18" s="18">
        <v>9.7243300000000005E-2</v>
      </c>
      <c r="J18" s="18" t="s">
        <v>535</v>
      </c>
      <c r="K18" s="18">
        <v>1.0652999999999999E-3</v>
      </c>
      <c r="L18" s="31">
        <v>0.2857142857142857</v>
      </c>
      <c r="M18" s="22" t="s">
        <v>363</v>
      </c>
      <c r="N18" s="22">
        <v>9.7243300000000005E-2</v>
      </c>
      <c r="O18" s="22" t="s">
        <v>535</v>
      </c>
      <c r="P18" s="22">
        <v>3.5568000000000002E-3</v>
      </c>
      <c r="Q18" s="34">
        <v>0.2857142857142857</v>
      </c>
      <c r="S18" s="16"/>
      <c r="U18" s="16"/>
      <c r="W18" s="11" t="s">
        <v>3</v>
      </c>
      <c r="X18" s="12">
        <f>VLOOKUP(LOWER(Z15),experiments_specs!$A:$J,4,FALSE)</f>
        <v>2</v>
      </c>
      <c r="Y18" s="15" t="s">
        <v>141</v>
      </c>
      <c r="Z18" s="6" t="s">
        <v>12</v>
      </c>
      <c r="AA18" s="18" t="s">
        <v>623</v>
      </c>
      <c r="AB18" s="18">
        <v>0</v>
      </c>
      <c r="AC18" s="18" t="s">
        <v>624</v>
      </c>
      <c r="AD18" s="18">
        <v>1.9848999999999999E-3</v>
      </c>
      <c r="AE18" s="31">
        <v>0.25</v>
      </c>
      <c r="AF18" s="23" t="s">
        <v>390</v>
      </c>
      <c r="AG18" s="23" t="s">
        <v>625</v>
      </c>
      <c r="AH18" s="23" t="s">
        <v>627</v>
      </c>
      <c r="AI18" s="23" t="s">
        <v>653</v>
      </c>
      <c r="AJ18" s="34">
        <v>0.46153846153846156</v>
      </c>
      <c r="AL18" s="16"/>
      <c r="AN18" s="16"/>
      <c r="AP18" s="11" t="s">
        <v>3</v>
      </c>
      <c r="AQ18" s="12">
        <f>VLOOKUP(LOWER(AS15),experiments_specs!$A:$J,4,FALSE)</f>
        <v>2</v>
      </c>
      <c r="AR18" s="15" t="s">
        <v>147</v>
      </c>
      <c r="AS18" s="6" t="s">
        <v>12</v>
      </c>
      <c r="AT18" s="18" t="s">
        <v>623</v>
      </c>
      <c r="AU18" s="18">
        <v>0</v>
      </c>
      <c r="AV18" s="18" t="s">
        <v>624</v>
      </c>
      <c r="AW18" s="18">
        <v>2.7066999999999998E-3</v>
      </c>
      <c r="AX18" s="31">
        <v>0.25</v>
      </c>
      <c r="AY18" s="23" t="s">
        <v>390</v>
      </c>
      <c r="AZ18" s="23" t="s">
        <v>625</v>
      </c>
      <c r="BA18" s="23" t="s">
        <v>627</v>
      </c>
      <c r="BB18" s="23" t="s">
        <v>686</v>
      </c>
      <c r="BC18" s="34">
        <v>0.46153846153846156</v>
      </c>
      <c r="BE18" s="16"/>
    </row>
    <row r="19" spans="2:57" ht="34" x14ac:dyDescent="0.2">
      <c r="B19" s="16"/>
      <c r="D19" s="11" t="s">
        <v>4</v>
      </c>
      <c r="E19" s="12" t="str">
        <f>VLOOKUP(LOWER(G15),experiments_specs!$A:$J,5,FALSE)</f>
        <v>False</v>
      </c>
      <c r="F19" s="15" t="s">
        <v>135</v>
      </c>
      <c r="G19" s="6" t="s">
        <v>13</v>
      </c>
      <c r="H19" s="19" t="s">
        <v>536</v>
      </c>
      <c r="I19" s="19">
        <v>0</v>
      </c>
      <c r="J19" s="19" t="s">
        <v>537</v>
      </c>
      <c r="K19" s="19">
        <v>3.4897000000000001E-3</v>
      </c>
      <c r="L19" s="31" t="s">
        <v>25</v>
      </c>
      <c r="M19" s="23" t="s">
        <v>538</v>
      </c>
      <c r="N19" s="23" t="s">
        <v>185</v>
      </c>
      <c r="O19" s="23" t="s">
        <v>540</v>
      </c>
      <c r="P19" s="23" t="s">
        <v>542</v>
      </c>
      <c r="Q19" s="34" t="s">
        <v>25</v>
      </c>
      <c r="S19" s="16"/>
      <c r="U19" s="16"/>
      <c r="W19" s="11" t="s">
        <v>4</v>
      </c>
      <c r="X19" s="12" t="str">
        <f>VLOOKUP(LOWER(Z15),experiments_specs!$A:$J,5,FALSE)</f>
        <v>True</v>
      </c>
      <c r="Y19" s="15" t="s">
        <v>141</v>
      </c>
      <c r="Z19" s="6" t="s">
        <v>13</v>
      </c>
      <c r="AA19" s="19" t="s">
        <v>32</v>
      </c>
      <c r="AB19" s="19">
        <v>6.5937999999999997E-2</v>
      </c>
      <c r="AC19" s="19" t="s">
        <v>631</v>
      </c>
      <c r="AD19" s="19">
        <v>7.3264000000000003E-3</v>
      </c>
      <c r="AE19" s="31">
        <v>0.4</v>
      </c>
      <c r="AF19" s="22" t="s">
        <v>34</v>
      </c>
      <c r="AG19" s="22">
        <v>0</v>
      </c>
      <c r="AH19" s="22" t="s">
        <v>35</v>
      </c>
      <c r="AI19" s="22">
        <v>2.1281399999999999E-2</v>
      </c>
      <c r="AJ19" s="34" t="s">
        <v>25</v>
      </c>
      <c r="AL19" s="16"/>
      <c r="AN19" s="16"/>
      <c r="AP19" s="11" t="s">
        <v>4</v>
      </c>
      <c r="AQ19" s="12" t="str">
        <f>VLOOKUP(LOWER(AS15),experiments_specs!$A:$J,5,FALSE)</f>
        <v>True</v>
      </c>
      <c r="AR19" s="15" t="s">
        <v>147</v>
      </c>
      <c r="AS19" s="6" t="s">
        <v>13</v>
      </c>
      <c r="AT19" s="19" t="s">
        <v>688</v>
      </c>
      <c r="AU19" s="19">
        <v>7.3720900000000006E-2</v>
      </c>
      <c r="AV19" s="19" t="s">
        <v>689</v>
      </c>
      <c r="AW19" s="19">
        <v>2.5079999999999998E-3</v>
      </c>
      <c r="AX19" s="31" t="s">
        <v>25</v>
      </c>
      <c r="AY19" s="22" t="s">
        <v>34</v>
      </c>
      <c r="AZ19" s="22">
        <v>0</v>
      </c>
      <c r="BA19" s="22" t="s">
        <v>35</v>
      </c>
      <c r="BB19" s="22">
        <v>1.77345E-2</v>
      </c>
      <c r="BC19" s="34" t="s">
        <v>25</v>
      </c>
      <c r="BE19" s="16"/>
    </row>
    <row r="20" spans="2:57" ht="34" x14ac:dyDescent="0.2">
      <c r="B20" s="16"/>
      <c r="D20" s="11" t="s">
        <v>5</v>
      </c>
      <c r="E20" s="12" t="str">
        <f>VLOOKUP(LOWER(G15),experiments_specs!$A:$J,6,FALSE)</f>
        <v>False</v>
      </c>
      <c r="F20" s="15" t="s">
        <v>135</v>
      </c>
      <c r="G20" s="6" t="s">
        <v>14</v>
      </c>
      <c r="H20" s="18" t="s">
        <v>544</v>
      </c>
      <c r="I20" s="18" t="s">
        <v>546</v>
      </c>
      <c r="J20" s="18" t="s">
        <v>548</v>
      </c>
      <c r="K20" s="18" t="s">
        <v>569</v>
      </c>
      <c r="L20" s="31">
        <v>0.33333333333333331</v>
      </c>
      <c r="M20" s="22" t="s">
        <v>204</v>
      </c>
      <c r="N20" s="22">
        <v>0</v>
      </c>
      <c r="O20" s="22" t="s">
        <v>381</v>
      </c>
      <c r="P20" s="22">
        <v>5.1092999999999998E-3</v>
      </c>
      <c r="Q20" s="34">
        <v>0.66666666666666663</v>
      </c>
      <c r="S20" s="16"/>
      <c r="U20" s="16"/>
      <c r="W20" s="11" t="s">
        <v>5</v>
      </c>
      <c r="X20" s="12" t="str">
        <f>VLOOKUP(LOWER(Z15),experiments_specs!$A:$J,6,FALSE)</f>
        <v>False</v>
      </c>
      <c r="Y20" s="15" t="s">
        <v>141</v>
      </c>
      <c r="Z20" s="6" t="s">
        <v>14</v>
      </c>
      <c r="AA20" s="18" t="s">
        <v>534</v>
      </c>
      <c r="AB20" s="18">
        <v>5.5555500000000001E-2</v>
      </c>
      <c r="AC20" s="18" t="s">
        <v>632</v>
      </c>
      <c r="AD20" s="18">
        <v>6.3492000000000002E-3</v>
      </c>
      <c r="AE20" s="31">
        <v>0.33333333333333331</v>
      </c>
      <c r="AF20" s="23" t="s">
        <v>633</v>
      </c>
      <c r="AG20" s="23" t="s">
        <v>185</v>
      </c>
      <c r="AH20" s="23" t="s">
        <v>635</v>
      </c>
      <c r="AI20" s="23" t="s">
        <v>655</v>
      </c>
      <c r="AJ20" s="34">
        <v>0.33333333333333331</v>
      </c>
      <c r="AL20" s="16"/>
      <c r="AN20" s="16"/>
      <c r="AP20" s="11" t="s">
        <v>5</v>
      </c>
      <c r="AQ20" s="12" t="str">
        <f>VLOOKUP(LOWER(AS15),experiments_specs!$A:$J,6,FALSE)</f>
        <v>False</v>
      </c>
      <c r="AR20" s="15" t="s">
        <v>147</v>
      </c>
      <c r="AS20" s="6" t="s">
        <v>14</v>
      </c>
      <c r="AT20" s="18" t="s">
        <v>534</v>
      </c>
      <c r="AU20" s="18">
        <v>5.5555500000000001E-2</v>
      </c>
      <c r="AV20" s="18" t="s">
        <v>632</v>
      </c>
      <c r="AW20" s="18">
        <v>6.7340000000000004E-3</v>
      </c>
      <c r="AX20" s="31">
        <v>0.33333333333333331</v>
      </c>
      <c r="AY20" s="23" t="s">
        <v>633</v>
      </c>
      <c r="AZ20" s="23" t="s">
        <v>185</v>
      </c>
      <c r="BA20" s="23" t="s">
        <v>635</v>
      </c>
      <c r="BB20" s="23" t="s">
        <v>690</v>
      </c>
      <c r="BC20" s="34">
        <v>0.33333333333333331</v>
      </c>
      <c r="BE20" s="16"/>
    </row>
    <row r="21" spans="2:57" ht="17" x14ac:dyDescent="0.2">
      <c r="B21" s="16"/>
      <c r="D21" s="11" t="s">
        <v>6</v>
      </c>
      <c r="E21" s="12" t="str">
        <f>VLOOKUP(LOWER(G15),experiments_specs!$A:$J,7,FALSE)</f>
        <v>True</v>
      </c>
      <c r="F21" s="15" t="s">
        <v>135</v>
      </c>
      <c r="G21" s="6" t="s">
        <v>15</v>
      </c>
      <c r="H21" s="19" t="s">
        <v>552</v>
      </c>
      <c r="I21" s="19">
        <v>0</v>
      </c>
      <c r="J21" s="19" t="s">
        <v>553</v>
      </c>
      <c r="K21" s="19">
        <v>8.0909999999999999E-4</v>
      </c>
      <c r="L21" s="31">
        <v>0.44444444444444442</v>
      </c>
      <c r="M21" s="23" t="s">
        <v>365</v>
      </c>
      <c r="N21" s="23">
        <v>0</v>
      </c>
      <c r="O21" s="23" t="s">
        <v>26</v>
      </c>
      <c r="P21" s="23">
        <v>7.417E-3</v>
      </c>
      <c r="Q21" s="34">
        <v>0.18181818181818182</v>
      </c>
      <c r="S21" s="16"/>
      <c r="U21" s="16"/>
      <c r="W21" s="11" t="s">
        <v>6</v>
      </c>
      <c r="X21" s="12" t="str">
        <f>VLOOKUP(LOWER(Z15),experiments_specs!$A:$J,7,FALSE)</f>
        <v>True</v>
      </c>
      <c r="Y21" s="15" t="s">
        <v>141</v>
      </c>
      <c r="Z21" s="6" t="s">
        <v>15</v>
      </c>
      <c r="AA21" s="19" t="s">
        <v>639</v>
      </c>
      <c r="AB21" s="19">
        <v>0</v>
      </c>
      <c r="AC21" s="19" t="s">
        <v>435</v>
      </c>
      <c r="AD21" s="19">
        <v>3.9202999999999998E-3</v>
      </c>
      <c r="AE21" s="31">
        <v>0.44444444444444442</v>
      </c>
      <c r="AF21" s="23" t="s">
        <v>365</v>
      </c>
      <c r="AG21" s="23">
        <v>0</v>
      </c>
      <c r="AH21" s="23" t="s">
        <v>26</v>
      </c>
      <c r="AI21" s="23">
        <v>2.6293199999999999E-2</v>
      </c>
      <c r="AJ21" s="34">
        <v>0.18181818181818182</v>
      </c>
      <c r="AL21" s="16"/>
      <c r="AN21" s="16"/>
      <c r="AP21" s="11" t="s">
        <v>6</v>
      </c>
      <c r="AQ21" s="12" t="str">
        <f>VLOOKUP(LOWER(AS15),experiments_specs!$A:$J,7,FALSE)</f>
        <v>True</v>
      </c>
      <c r="AR21" s="15" t="s">
        <v>147</v>
      </c>
      <c r="AS21" s="6" t="s">
        <v>15</v>
      </c>
      <c r="AT21" s="19" t="s">
        <v>639</v>
      </c>
      <c r="AU21" s="19">
        <v>0</v>
      </c>
      <c r="AV21" s="19" t="s">
        <v>435</v>
      </c>
      <c r="AW21" s="19">
        <v>4.5082999999999998E-3</v>
      </c>
      <c r="AX21" s="31">
        <v>0.44444444444444442</v>
      </c>
      <c r="AY21" s="23" t="s">
        <v>365</v>
      </c>
      <c r="AZ21" s="23">
        <v>0</v>
      </c>
      <c r="BA21" s="23" t="s">
        <v>26</v>
      </c>
      <c r="BB21" s="23">
        <v>2.6293199999999999E-2</v>
      </c>
      <c r="BC21" s="34">
        <v>0.18181818181818182</v>
      </c>
      <c r="BE21" s="16"/>
    </row>
    <row r="22" spans="2:57" ht="17" x14ac:dyDescent="0.2">
      <c r="B22" s="16"/>
      <c r="D22" s="11" t="s">
        <v>7</v>
      </c>
      <c r="E22" s="12" t="str">
        <f>VLOOKUP(LOWER(G15),experiments_specs!$A:$J,8,FALSE)</f>
        <v>False</v>
      </c>
      <c r="F22" s="15" t="s">
        <v>135</v>
      </c>
      <c r="G22" s="6" t="s">
        <v>16</v>
      </c>
      <c r="H22" s="19" t="s">
        <v>385</v>
      </c>
      <c r="I22" s="19">
        <v>0.1290994</v>
      </c>
      <c r="J22" s="19" t="s">
        <v>554</v>
      </c>
      <c r="K22" s="19">
        <v>1.2290999999999999E-3</v>
      </c>
      <c r="L22" s="31">
        <v>0.14285714285714285</v>
      </c>
      <c r="M22" s="23" t="s">
        <v>432</v>
      </c>
      <c r="N22" s="23">
        <v>6.4549700000000002E-2</v>
      </c>
      <c r="O22" s="23" t="s">
        <v>555</v>
      </c>
      <c r="P22" s="23">
        <v>2.9475999999999999E-3</v>
      </c>
      <c r="Q22" s="34">
        <v>0.13333333333333333</v>
      </c>
      <c r="S22" s="16"/>
      <c r="U22" s="16"/>
      <c r="W22" s="11" t="s">
        <v>7</v>
      </c>
      <c r="X22" s="12" t="str">
        <f>VLOOKUP(LOWER(Z15),experiments_specs!$A:$J,8,FALSE)</f>
        <v>False</v>
      </c>
      <c r="Y22" s="15" t="s">
        <v>141</v>
      </c>
      <c r="Z22" s="6" t="s">
        <v>16</v>
      </c>
      <c r="AA22" s="19" t="s">
        <v>640</v>
      </c>
      <c r="AB22" s="19">
        <v>0</v>
      </c>
      <c r="AC22" s="19" t="s">
        <v>641</v>
      </c>
      <c r="AD22" s="19">
        <v>4.6296000000000002E-3</v>
      </c>
      <c r="AE22" s="31">
        <v>0.13333333333333333</v>
      </c>
      <c r="AF22" s="23" t="s">
        <v>642</v>
      </c>
      <c r="AG22" s="23">
        <v>0</v>
      </c>
      <c r="AH22" s="23" t="s">
        <v>643</v>
      </c>
      <c r="AI22" s="23">
        <v>6.4181000000000004E-3</v>
      </c>
      <c r="AJ22" s="34">
        <v>0.70588235294117652</v>
      </c>
      <c r="AL22" s="16"/>
      <c r="AN22" s="16"/>
      <c r="AP22" s="11" t="s">
        <v>7</v>
      </c>
      <c r="AQ22" s="12" t="str">
        <f>VLOOKUP(LOWER(AS15),experiments_specs!$A:$J,8,FALSE)</f>
        <v>False</v>
      </c>
      <c r="AR22" s="15" t="s">
        <v>147</v>
      </c>
      <c r="AS22" s="6" t="s">
        <v>16</v>
      </c>
      <c r="AT22" s="19" t="s">
        <v>640</v>
      </c>
      <c r="AU22" s="19">
        <v>0</v>
      </c>
      <c r="AV22" s="19" t="s">
        <v>641</v>
      </c>
      <c r="AW22" s="19">
        <v>5.2082999999999999E-3</v>
      </c>
      <c r="AX22" s="31">
        <v>0.13333333333333333</v>
      </c>
      <c r="AY22" s="23" t="s">
        <v>642</v>
      </c>
      <c r="AZ22" s="23">
        <v>0</v>
      </c>
      <c r="BA22" s="23" t="s">
        <v>643</v>
      </c>
      <c r="BB22" s="23">
        <v>6.4181000000000004E-3</v>
      </c>
      <c r="BC22" s="34">
        <v>0.70588235294117652</v>
      </c>
      <c r="BE22" s="16"/>
    </row>
    <row r="23" spans="2:57" ht="34" x14ac:dyDescent="0.2">
      <c r="B23" s="16"/>
      <c r="D23" s="11" t="s">
        <v>8</v>
      </c>
      <c r="E23" s="12" t="str">
        <f>VLOOKUP(LOWER(G15),experiments_specs!$A:$J,9,FALSE)</f>
        <v>wup_similarity</v>
      </c>
      <c r="F23" s="15" t="s">
        <v>135</v>
      </c>
      <c r="G23" s="6" t="s">
        <v>17</v>
      </c>
      <c r="H23" s="19" t="s">
        <v>556</v>
      </c>
      <c r="I23" s="19">
        <v>7.7151600000000001E-2</v>
      </c>
      <c r="J23" s="19" t="s">
        <v>557</v>
      </c>
      <c r="K23" s="19">
        <v>1.6798E-3</v>
      </c>
      <c r="L23" s="31">
        <v>0.44444444444444442</v>
      </c>
      <c r="M23" s="22" t="s">
        <v>434</v>
      </c>
      <c r="N23" s="22">
        <v>0</v>
      </c>
      <c r="O23" s="22" t="s">
        <v>557</v>
      </c>
      <c r="P23" s="22">
        <v>3.3660000000000001E-3</v>
      </c>
      <c r="Q23" s="34">
        <v>0.44444444444444442</v>
      </c>
      <c r="S23" s="16"/>
      <c r="U23" s="16"/>
      <c r="W23" s="11" t="s">
        <v>8</v>
      </c>
      <c r="X23" s="12" t="str">
        <f>VLOOKUP(LOWER(Z15),experiments_specs!$A:$J,9,FALSE)</f>
        <v>wup_similarity</v>
      </c>
      <c r="Y23" s="15" t="s">
        <v>141</v>
      </c>
      <c r="Z23" s="6" t="s">
        <v>17</v>
      </c>
      <c r="AA23" s="18" t="s">
        <v>220</v>
      </c>
      <c r="AB23" s="18">
        <v>0</v>
      </c>
      <c r="AC23" s="18" t="s">
        <v>657</v>
      </c>
      <c r="AD23" s="18">
        <v>3.6369000000000002E-3</v>
      </c>
      <c r="AE23" s="31">
        <v>0.36363636363636365</v>
      </c>
      <c r="AF23" s="23" t="s">
        <v>646</v>
      </c>
      <c r="AG23" s="23" t="s">
        <v>185</v>
      </c>
      <c r="AH23" s="23" t="s">
        <v>648</v>
      </c>
      <c r="AI23" s="23" t="s">
        <v>658</v>
      </c>
      <c r="AJ23" s="34">
        <v>0.18181818181818182</v>
      </c>
      <c r="AL23" s="16"/>
      <c r="AN23" s="16"/>
      <c r="AP23" s="11" t="s">
        <v>8</v>
      </c>
      <c r="AQ23" s="12" t="str">
        <f>VLOOKUP(LOWER(AS15),experiments_specs!$A:$J,9,FALSE)</f>
        <v>wup_similarity</v>
      </c>
      <c r="AR23" s="15" t="s">
        <v>147</v>
      </c>
      <c r="AS23" s="6" t="s">
        <v>17</v>
      </c>
      <c r="AT23" s="18" t="s">
        <v>220</v>
      </c>
      <c r="AU23" s="18">
        <v>0</v>
      </c>
      <c r="AV23" s="18" t="s">
        <v>657</v>
      </c>
      <c r="AW23" s="18">
        <v>4.0410000000000003E-3</v>
      </c>
      <c r="AX23" s="31">
        <v>0.36363636363636365</v>
      </c>
      <c r="AY23" s="23" t="s">
        <v>646</v>
      </c>
      <c r="AZ23" s="23" t="s">
        <v>185</v>
      </c>
      <c r="BA23" s="23" t="s">
        <v>648</v>
      </c>
      <c r="BB23" s="23" t="s">
        <v>692</v>
      </c>
      <c r="BC23" s="34">
        <v>0.18181818181818182</v>
      </c>
      <c r="BE23" s="16"/>
    </row>
    <row r="24" spans="2:57" ht="51" x14ac:dyDescent="0.2">
      <c r="B24" s="16"/>
      <c r="D24" s="11" t="s">
        <v>9</v>
      </c>
      <c r="E24" s="12" t="str">
        <f>VLOOKUP(LOWER(G15),experiments_specs!$A:$J,10,FALSE)</f>
        <v>False</v>
      </c>
      <c r="F24" s="15" t="s">
        <v>135</v>
      </c>
      <c r="G24" s="7" t="s">
        <v>18</v>
      </c>
      <c r="H24" s="20" t="s">
        <v>556</v>
      </c>
      <c r="I24" s="20">
        <v>6.1084699999999999E-2</v>
      </c>
      <c r="J24" s="20" t="s">
        <v>558</v>
      </c>
      <c r="K24" s="20">
        <v>1.0058000000000001E-3</v>
      </c>
      <c r="L24" s="32">
        <v>0.375</v>
      </c>
      <c r="M24" s="48" t="s">
        <v>571</v>
      </c>
      <c r="N24" s="48" t="s">
        <v>563</v>
      </c>
      <c r="O24" s="48" t="s">
        <v>573</v>
      </c>
      <c r="P24" s="48" t="s">
        <v>575</v>
      </c>
      <c r="Q24" s="35">
        <v>0.125</v>
      </c>
      <c r="S24" s="16"/>
      <c r="U24" s="16"/>
      <c r="W24" s="11" t="s">
        <v>9</v>
      </c>
      <c r="X24" s="12" t="str">
        <f>VLOOKUP(LOWER(Z15),experiments_specs!$A:$J,10,FALSE)</f>
        <v>False</v>
      </c>
      <c r="Y24" s="15" t="s">
        <v>141</v>
      </c>
      <c r="Z24" s="7" t="s">
        <v>18</v>
      </c>
      <c r="AA24" s="20" t="s">
        <v>44</v>
      </c>
      <c r="AB24" s="20">
        <v>0</v>
      </c>
      <c r="AC24" s="20" t="s">
        <v>652</v>
      </c>
      <c r="AD24" s="20">
        <v>7.8050999999999997E-3</v>
      </c>
      <c r="AE24" s="32">
        <v>0.21052631578947367</v>
      </c>
      <c r="AF24" s="24" t="s">
        <v>46</v>
      </c>
      <c r="AG24" s="24">
        <v>0</v>
      </c>
      <c r="AH24" s="24" t="s">
        <v>652</v>
      </c>
      <c r="AI24" s="24">
        <v>1.0064399999999999E-2</v>
      </c>
      <c r="AJ24" s="35">
        <v>0.21052631578947367</v>
      </c>
      <c r="AL24" s="16"/>
      <c r="AN24" s="16"/>
      <c r="AP24" s="11" t="s">
        <v>9</v>
      </c>
      <c r="AQ24" s="12" t="str">
        <f>VLOOKUP(LOWER(AS15),experiments_specs!$A:$J,10,FALSE)</f>
        <v>True</v>
      </c>
      <c r="AR24" s="15" t="s">
        <v>147</v>
      </c>
      <c r="AS24" s="7" t="s">
        <v>18</v>
      </c>
      <c r="AT24" s="20" t="s">
        <v>44</v>
      </c>
      <c r="AU24" s="20">
        <v>0</v>
      </c>
      <c r="AV24" s="20" t="s">
        <v>652</v>
      </c>
      <c r="AW24" s="20">
        <v>1.03365E-2</v>
      </c>
      <c r="AX24" s="32">
        <v>0.21052631578947367</v>
      </c>
      <c r="AY24" s="24" t="s">
        <v>46</v>
      </c>
      <c r="AZ24" s="24">
        <v>0</v>
      </c>
      <c r="BA24" s="24" t="s">
        <v>652</v>
      </c>
      <c r="BB24" s="24">
        <v>1.03365E-2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TEST_57</v>
      </c>
      <c r="H26" s="41" t="s">
        <v>124</v>
      </c>
      <c r="I26" s="41"/>
      <c r="J26" s="41"/>
      <c r="K26" s="41"/>
      <c r="L26" s="41"/>
      <c r="M26" s="42" t="s">
        <v>123</v>
      </c>
      <c r="N26" s="42"/>
      <c r="O26" s="42"/>
      <c r="P26" s="42"/>
      <c r="Q26" s="42"/>
      <c r="R26" s="2"/>
      <c r="S26" s="16"/>
      <c r="U26" s="16"/>
      <c r="W26" s="13" t="s">
        <v>126</v>
      </c>
      <c r="X26" s="14"/>
      <c r="Y26" s="9"/>
      <c r="Z26" s="10" t="str">
        <f>"TEST_"&amp;TEXT(RIGHT(Z15,2)+1, "00")</f>
        <v>TEST_63</v>
      </c>
      <c r="AA26" s="41" t="s">
        <v>124</v>
      </c>
      <c r="AB26" s="41"/>
      <c r="AC26" s="41"/>
      <c r="AD26" s="41"/>
      <c r="AE26" s="41"/>
      <c r="AF26" s="42" t="s">
        <v>123</v>
      </c>
      <c r="AG26" s="42"/>
      <c r="AH26" s="42"/>
      <c r="AI26" s="42"/>
      <c r="AJ26" s="42"/>
      <c r="AK26" s="2"/>
      <c r="AL26" s="16"/>
      <c r="AN26" s="16"/>
      <c r="AP26" s="13" t="s">
        <v>126</v>
      </c>
      <c r="AQ26" s="14"/>
      <c r="AR26" s="9"/>
      <c r="AS26" s="10" t="str">
        <f>"TEST_"&amp;TEXT(RIGHT(AS15,2)+1, "00")</f>
        <v>TEST_69</v>
      </c>
      <c r="AT26" s="41" t="s">
        <v>124</v>
      </c>
      <c r="AU26" s="41"/>
      <c r="AV26" s="41"/>
      <c r="AW26" s="41"/>
      <c r="AX26" s="41"/>
      <c r="AY26" s="42" t="s">
        <v>123</v>
      </c>
      <c r="AZ26" s="42"/>
      <c r="BA26" s="42"/>
      <c r="BB26" s="42"/>
      <c r="BC26" s="42"/>
      <c r="BD26" s="2"/>
      <c r="BE26" s="16"/>
    </row>
    <row r="27" spans="2:57" x14ac:dyDescent="0.2">
      <c r="B27" s="16"/>
      <c r="D27" s="11" t="s">
        <v>1</v>
      </c>
      <c r="E27" s="12" t="str">
        <f>VLOOKUP(LOWER(G26),experiments_specs!$A:$J,2,FALSE)</f>
        <v>NN,VB</v>
      </c>
      <c r="F27" s="15" t="str">
        <f>"{"&amp;LOWER(G26)&amp;".csv}"</f>
        <v>{test_57.csv}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VLOOKUP(LOWER(Z26),experiments_specs!$A:$J,2,FALSE)</f>
        <v>NN,VB</v>
      </c>
      <c r="Y27" s="15" t="str">
        <f>"{"&amp;LOWER(Z26)&amp;".csv}"</f>
        <v>{test_63.csv}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VLOOKUP(LOWER(AS26),experiments_specs!$A:$J,2,FALSE)</f>
        <v>NN,VB</v>
      </c>
      <c r="AR27" s="15" t="str">
        <f>"{"&amp;LOWER(AS26)&amp;".csv}"</f>
        <v>{test_69.csv}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17" x14ac:dyDescent="0.2">
      <c r="B28" s="16"/>
      <c r="D28" s="11" t="s">
        <v>2</v>
      </c>
      <c r="E28" s="12">
        <f>VLOOKUP(LOWER(G26),experiments_specs!$A:$J,3,FALSE)</f>
        <v>1</v>
      </c>
      <c r="F28" s="15" t="s">
        <v>136</v>
      </c>
      <c r="G28" s="5" t="s">
        <v>19</v>
      </c>
      <c r="H28" s="17" t="s">
        <v>354</v>
      </c>
      <c r="I28" s="17">
        <v>0</v>
      </c>
      <c r="J28" s="17" t="s">
        <v>533</v>
      </c>
      <c r="K28" s="17">
        <v>2.3495999999999999E-3</v>
      </c>
      <c r="L28" s="30">
        <v>0.19047619047619047</v>
      </c>
      <c r="M28" s="21" t="s">
        <v>534</v>
      </c>
      <c r="N28" s="21">
        <v>0</v>
      </c>
      <c r="O28" s="21" t="s">
        <v>365</v>
      </c>
      <c r="P28" s="21">
        <v>2.7035000000000002E-3</v>
      </c>
      <c r="Q28" s="33">
        <v>0.22222222222222221</v>
      </c>
      <c r="S28" s="16"/>
      <c r="U28" s="16"/>
      <c r="W28" s="11" t="s">
        <v>2</v>
      </c>
      <c r="X28" s="12">
        <f>VLOOKUP(LOWER(Z26),experiments_specs!$A:$J,3,FALSE)</f>
        <v>1</v>
      </c>
      <c r="Y28" s="15" t="s">
        <v>142</v>
      </c>
      <c r="Z28" s="5" t="s">
        <v>19</v>
      </c>
      <c r="AA28" s="17" t="s">
        <v>354</v>
      </c>
      <c r="AB28" s="17">
        <v>0</v>
      </c>
      <c r="AC28" s="17" t="s">
        <v>533</v>
      </c>
      <c r="AD28" s="17">
        <v>1.44041E-2</v>
      </c>
      <c r="AE28" s="30">
        <v>0.19047619047619047</v>
      </c>
      <c r="AF28" s="21" t="s">
        <v>47</v>
      </c>
      <c r="AG28" s="21">
        <v>6.3757599999999998E-2</v>
      </c>
      <c r="AH28" s="21" t="s">
        <v>533</v>
      </c>
      <c r="AI28" s="21">
        <v>1.6564700000000002E-2</v>
      </c>
      <c r="AJ28" s="33">
        <v>0.19047619047619047</v>
      </c>
      <c r="AL28" s="16"/>
      <c r="AN28" s="16"/>
      <c r="AP28" s="11" t="s">
        <v>2</v>
      </c>
      <c r="AQ28" s="12">
        <f>VLOOKUP(LOWER(AS26),experiments_specs!$A:$J,3,FALSE)</f>
        <v>1</v>
      </c>
      <c r="AR28" s="15" t="s">
        <v>148</v>
      </c>
      <c r="AS28" s="5" t="s">
        <v>19</v>
      </c>
      <c r="AT28" s="17" t="s">
        <v>354</v>
      </c>
      <c r="AU28" s="17">
        <v>0</v>
      </c>
      <c r="AV28" s="17" t="s">
        <v>533</v>
      </c>
      <c r="AW28" s="17">
        <v>1.44041E-2</v>
      </c>
      <c r="AX28" s="30">
        <v>0.19047619047619047</v>
      </c>
      <c r="AY28" s="21" t="s">
        <v>47</v>
      </c>
      <c r="AZ28" s="21">
        <v>6.3757599999999998E-2</v>
      </c>
      <c r="BA28" s="21" t="s">
        <v>533</v>
      </c>
      <c r="BB28" s="21">
        <v>1.5058800000000001E-2</v>
      </c>
      <c r="BC28" s="33">
        <v>0.19047619047619047</v>
      </c>
      <c r="BE28" s="16"/>
    </row>
    <row r="29" spans="2:57" ht="34" x14ac:dyDescent="0.2">
      <c r="B29" s="16"/>
      <c r="D29" s="11" t="s">
        <v>3</v>
      </c>
      <c r="E29" s="12">
        <f>VLOOKUP(LOWER(G26),experiments_specs!$A:$J,4,FALSE)</f>
        <v>2</v>
      </c>
      <c r="F29" s="15" t="s">
        <v>136</v>
      </c>
      <c r="G29" s="6" t="s">
        <v>12</v>
      </c>
      <c r="H29" s="18" t="s">
        <v>251</v>
      </c>
      <c r="I29" s="18">
        <v>6.5232799999999994E-2</v>
      </c>
      <c r="J29" s="18" t="s">
        <v>577</v>
      </c>
      <c r="K29" s="18">
        <v>1.6517999999999999E-3</v>
      </c>
      <c r="L29" s="31">
        <v>0.125</v>
      </c>
      <c r="M29" s="22" t="s">
        <v>235</v>
      </c>
      <c r="N29" s="22">
        <v>0</v>
      </c>
      <c r="O29" s="22" t="s">
        <v>577</v>
      </c>
      <c r="P29" s="22">
        <v>3.1530999999999998E-3</v>
      </c>
      <c r="Q29" s="34">
        <v>0.125</v>
      </c>
      <c r="S29" s="16"/>
      <c r="U29" s="16"/>
      <c r="W29" s="11" t="s">
        <v>3</v>
      </c>
      <c r="X29" s="12">
        <f>VLOOKUP(LOWER(Z26),experiments_specs!$A:$J,4,FALSE)</f>
        <v>2</v>
      </c>
      <c r="Y29" s="15" t="s">
        <v>142</v>
      </c>
      <c r="Z29" s="6" t="s">
        <v>12</v>
      </c>
      <c r="AA29" s="18" t="s">
        <v>660</v>
      </c>
      <c r="AB29" s="18">
        <v>0</v>
      </c>
      <c r="AC29" s="18" t="s">
        <v>661</v>
      </c>
      <c r="AD29" s="18">
        <v>2.8070999999999999E-3</v>
      </c>
      <c r="AE29" s="31">
        <v>0.14285714285714285</v>
      </c>
      <c r="AF29" s="23" t="s">
        <v>390</v>
      </c>
      <c r="AG29" s="23" t="s">
        <v>625</v>
      </c>
      <c r="AH29" s="23" t="s">
        <v>627</v>
      </c>
      <c r="AI29" s="23" t="s">
        <v>662</v>
      </c>
      <c r="AJ29" s="34">
        <v>0.46153846153846156</v>
      </c>
      <c r="AL29" s="16"/>
      <c r="AN29" s="16"/>
      <c r="AP29" s="11" t="s">
        <v>3</v>
      </c>
      <c r="AQ29" s="12">
        <f>VLOOKUP(LOWER(AS26),experiments_specs!$A:$J,4,FALSE)</f>
        <v>2</v>
      </c>
      <c r="AR29" s="15" t="s">
        <v>148</v>
      </c>
      <c r="AS29" s="6" t="s">
        <v>12</v>
      </c>
      <c r="AT29" s="18" t="s">
        <v>623</v>
      </c>
      <c r="AU29" s="18">
        <v>0</v>
      </c>
      <c r="AV29" s="18" t="s">
        <v>624</v>
      </c>
      <c r="AW29" s="18">
        <v>2.5890000000000002E-3</v>
      </c>
      <c r="AX29" s="31">
        <v>0.25</v>
      </c>
      <c r="AY29" s="23" t="s">
        <v>390</v>
      </c>
      <c r="AZ29" s="23" t="s">
        <v>625</v>
      </c>
      <c r="BA29" s="23" t="s">
        <v>627</v>
      </c>
      <c r="BB29" s="23" t="s">
        <v>694</v>
      </c>
      <c r="BC29" s="34">
        <v>0.46153846153846156</v>
      </c>
      <c r="BE29" s="16"/>
    </row>
    <row r="30" spans="2:57" x14ac:dyDescent="0.2">
      <c r="B30" s="16"/>
      <c r="D30" s="11" t="s">
        <v>4</v>
      </c>
      <c r="E30" s="12" t="str">
        <f>VLOOKUP(LOWER(G26),experiments_specs!$A:$J,5,FALSE)</f>
        <v>False</v>
      </c>
      <c r="F30" s="15" t="s">
        <v>136</v>
      </c>
      <c r="G30" s="6" t="s">
        <v>13</v>
      </c>
      <c r="H30" s="19" t="s">
        <v>536</v>
      </c>
      <c r="I30" s="19">
        <v>0</v>
      </c>
      <c r="J30" s="19" t="s">
        <v>537</v>
      </c>
      <c r="K30" s="19">
        <v>3.6495E-3</v>
      </c>
      <c r="L30" s="31" t="s">
        <v>25</v>
      </c>
      <c r="M30" s="22" t="s">
        <v>252</v>
      </c>
      <c r="N30" s="22">
        <v>0</v>
      </c>
      <c r="O30" s="22" t="s">
        <v>578</v>
      </c>
      <c r="P30" s="22">
        <v>4.8606999999999999E-3</v>
      </c>
      <c r="Q30" s="34">
        <v>0.4</v>
      </c>
      <c r="S30" s="16"/>
      <c r="U30" s="16"/>
      <c r="W30" s="11" t="s">
        <v>4</v>
      </c>
      <c r="X30" s="12" t="str">
        <f>VLOOKUP(LOWER(Z26),experiments_specs!$A:$J,5,FALSE)</f>
        <v>True</v>
      </c>
      <c r="Y30" s="15" t="s">
        <v>142</v>
      </c>
      <c r="Z30" s="6" t="s">
        <v>13</v>
      </c>
      <c r="AA30" s="19" t="s">
        <v>32</v>
      </c>
      <c r="AB30" s="19">
        <v>6.5937999999999997E-2</v>
      </c>
      <c r="AC30" s="19" t="s">
        <v>631</v>
      </c>
      <c r="AD30" s="19">
        <v>9.9906000000000005E-3</v>
      </c>
      <c r="AE30" s="31">
        <v>0.4</v>
      </c>
      <c r="AF30" s="22" t="s">
        <v>34</v>
      </c>
      <c r="AG30" s="22">
        <v>0</v>
      </c>
      <c r="AH30" s="22" t="s">
        <v>35</v>
      </c>
      <c r="AI30" s="22">
        <v>1.6370300000000001E-2</v>
      </c>
      <c r="AJ30" s="34" t="s">
        <v>25</v>
      </c>
      <c r="AL30" s="16"/>
      <c r="AN30" s="16"/>
      <c r="AP30" s="11" t="s">
        <v>4</v>
      </c>
      <c r="AQ30" s="12" t="str">
        <f>VLOOKUP(LOWER(AS26),experiments_specs!$A:$J,5,FALSE)</f>
        <v>True</v>
      </c>
      <c r="AR30" s="15" t="s">
        <v>148</v>
      </c>
      <c r="AS30" s="6" t="s">
        <v>13</v>
      </c>
      <c r="AT30" s="19" t="s">
        <v>696</v>
      </c>
      <c r="AU30" s="19">
        <v>4.0892999999999999E-2</v>
      </c>
      <c r="AV30" s="19" t="s">
        <v>697</v>
      </c>
      <c r="AW30" s="19">
        <v>2.5420999999999998E-3</v>
      </c>
      <c r="AX30" s="31" t="s">
        <v>25</v>
      </c>
      <c r="AY30" s="22" t="s">
        <v>34</v>
      </c>
      <c r="AZ30" s="22">
        <v>0</v>
      </c>
      <c r="BA30" s="22" t="s">
        <v>35</v>
      </c>
      <c r="BB30" s="22">
        <v>1.46768E-2</v>
      </c>
      <c r="BC30" s="34" t="s">
        <v>25</v>
      </c>
      <c r="BE30" s="16"/>
    </row>
    <row r="31" spans="2:57" ht="34" x14ac:dyDescent="0.2">
      <c r="B31" s="16"/>
      <c r="D31" s="11" t="s">
        <v>5</v>
      </c>
      <c r="E31" s="12" t="str">
        <f>VLOOKUP(LOWER(G26),experiments_specs!$A:$J,6,FALSE)</f>
        <v>False</v>
      </c>
      <c r="F31" s="15" t="s">
        <v>136</v>
      </c>
      <c r="G31" s="6" t="s">
        <v>14</v>
      </c>
      <c r="H31" s="18" t="s">
        <v>544</v>
      </c>
      <c r="I31" s="18" t="s">
        <v>546</v>
      </c>
      <c r="J31" s="18" t="s">
        <v>548</v>
      </c>
      <c r="K31" s="18" t="s">
        <v>579</v>
      </c>
      <c r="L31" s="31">
        <v>0.33333333333333331</v>
      </c>
      <c r="M31" s="22" t="s">
        <v>204</v>
      </c>
      <c r="N31" s="22">
        <v>0</v>
      </c>
      <c r="O31" s="22" t="s">
        <v>381</v>
      </c>
      <c r="P31" s="22">
        <v>4.8830000000000002E-3</v>
      </c>
      <c r="Q31" s="34">
        <v>0.66666666666666663</v>
      </c>
      <c r="S31" s="16"/>
      <c r="U31" s="16"/>
      <c r="W31" s="11" t="s">
        <v>5</v>
      </c>
      <c r="X31" s="12" t="str">
        <f>VLOOKUP(LOWER(Z26),experiments_specs!$A:$J,6,FALSE)</f>
        <v>False</v>
      </c>
      <c r="Y31" s="15" t="s">
        <v>142</v>
      </c>
      <c r="Z31" s="6" t="s">
        <v>14</v>
      </c>
      <c r="AA31" s="18" t="s">
        <v>534</v>
      </c>
      <c r="AB31" s="18">
        <v>5.5555500000000001E-2</v>
      </c>
      <c r="AC31" s="18" t="s">
        <v>632</v>
      </c>
      <c r="AD31" s="18">
        <v>7.4073999999999997E-3</v>
      </c>
      <c r="AE31" s="31">
        <v>0.33333333333333331</v>
      </c>
      <c r="AF31" s="23" t="s">
        <v>633</v>
      </c>
      <c r="AG31" s="23" t="s">
        <v>185</v>
      </c>
      <c r="AH31" s="23" t="s">
        <v>635</v>
      </c>
      <c r="AI31" s="23" t="s">
        <v>664</v>
      </c>
      <c r="AJ31" s="34">
        <v>0.33333333333333331</v>
      </c>
      <c r="AL31" s="16"/>
      <c r="AN31" s="16"/>
      <c r="AP31" s="11" t="s">
        <v>5</v>
      </c>
      <c r="AQ31" s="12" t="str">
        <f>VLOOKUP(LOWER(AS26),experiments_specs!$A:$J,6,FALSE)</f>
        <v>False</v>
      </c>
      <c r="AR31" s="15" t="s">
        <v>148</v>
      </c>
      <c r="AS31" s="6" t="s">
        <v>14</v>
      </c>
      <c r="AT31" s="18" t="s">
        <v>534</v>
      </c>
      <c r="AU31" s="18">
        <v>5.5555500000000001E-2</v>
      </c>
      <c r="AV31" s="18" t="s">
        <v>632</v>
      </c>
      <c r="AW31" s="18">
        <v>7.4073999999999997E-3</v>
      </c>
      <c r="AX31" s="31">
        <v>0.33333333333333331</v>
      </c>
      <c r="AY31" s="23" t="s">
        <v>633</v>
      </c>
      <c r="AZ31" s="23" t="s">
        <v>185</v>
      </c>
      <c r="BA31" s="23" t="s">
        <v>635</v>
      </c>
      <c r="BB31" s="23" t="s">
        <v>698</v>
      </c>
      <c r="BC31" s="34">
        <v>0.33333333333333331</v>
      </c>
      <c r="BE31" s="16"/>
    </row>
    <row r="32" spans="2:57" ht="17" x14ac:dyDescent="0.2">
      <c r="B32" s="16"/>
      <c r="D32" s="11" t="s">
        <v>6</v>
      </c>
      <c r="E32" s="12" t="str">
        <f>VLOOKUP(LOWER(G26),experiments_specs!$A:$J,7,FALSE)</f>
        <v>True</v>
      </c>
      <c r="F32" s="15" t="s">
        <v>136</v>
      </c>
      <c r="G32" s="6" t="s">
        <v>15</v>
      </c>
      <c r="H32" s="19" t="s">
        <v>409</v>
      </c>
      <c r="I32" s="19">
        <v>4.7088100000000001E-2</v>
      </c>
      <c r="J32" s="19" t="s">
        <v>410</v>
      </c>
      <c r="K32" s="19">
        <v>1.2815000000000001E-3</v>
      </c>
      <c r="L32" s="31">
        <v>0.22222222222222221</v>
      </c>
      <c r="M32" s="23" t="s">
        <v>227</v>
      </c>
      <c r="N32" s="23">
        <v>4.5083400000000003E-2</v>
      </c>
      <c r="O32" s="23" t="s">
        <v>581</v>
      </c>
      <c r="P32" s="23">
        <v>6.0447000000000001E-3</v>
      </c>
      <c r="Q32" s="34">
        <v>0.22222222222222221</v>
      </c>
      <c r="S32" s="16"/>
      <c r="U32" s="16"/>
      <c r="W32" s="11" t="s">
        <v>6</v>
      </c>
      <c r="X32" s="12" t="str">
        <f>VLOOKUP(LOWER(Z26),experiments_specs!$A:$J,7,FALSE)</f>
        <v>True</v>
      </c>
      <c r="Y32" s="15" t="s">
        <v>142</v>
      </c>
      <c r="Z32" s="6" t="s">
        <v>15</v>
      </c>
      <c r="AA32" s="19" t="s">
        <v>409</v>
      </c>
      <c r="AB32" s="19">
        <v>4.7088100000000001E-2</v>
      </c>
      <c r="AC32" s="19" t="s">
        <v>410</v>
      </c>
      <c r="AD32" s="19">
        <v>6.9842999999999997E-3</v>
      </c>
      <c r="AE32" s="31">
        <v>0.22222222222222221</v>
      </c>
      <c r="AF32" s="23" t="s">
        <v>365</v>
      </c>
      <c r="AG32" s="23">
        <v>0</v>
      </c>
      <c r="AH32" s="23" t="s">
        <v>26</v>
      </c>
      <c r="AI32" s="23">
        <v>2.3248700000000001E-2</v>
      </c>
      <c r="AJ32" s="34">
        <v>0.18181818181818182</v>
      </c>
      <c r="AL32" s="16"/>
      <c r="AN32" s="16"/>
      <c r="AP32" s="11" t="s">
        <v>6</v>
      </c>
      <c r="AQ32" s="12" t="str">
        <f>VLOOKUP(LOWER(AS26),experiments_specs!$A:$J,7,FALSE)</f>
        <v>True</v>
      </c>
      <c r="AR32" s="15" t="s">
        <v>148</v>
      </c>
      <c r="AS32" s="6" t="s">
        <v>15</v>
      </c>
      <c r="AT32" s="19" t="s">
        <v>639</v>
      </c>
      <c r="AU32" s="19">
        <v>0</v>
      </c>
      <c r="AV32" s="19" t="s">
        <v>435</v>
      </c>
      <c r="AW32" s="19">
        <v>5.6353999999999996E-3</v>
      </c>
      <c r="AX32" s="31">
        <v>0.44444444444444442</v>
      </c>
      <c r="AY32" s="23" t="s">
        <v>365</v>
      </c>
      <c r="AZ32" s="23">
        <v>0</v>
      </c>
      <c r="BA32" s="23" t="s">
        <v>26</v>
      </c>
      <c r="BB32" s="23">
        <v>2.5983800000000001E-2</v>
      </c>
      <c r="BC32" s="34">
        <v>0.18181818181818182</v>
      </c>
      <c r="BE32" s="16"/>
    </row>
    <row r="33" spans="2:57" ht="34" x14ac:dyDescent="0.2">
      <c r="B33" s="16"/>
      <c r="D33" s="11" t="s">
        <v>7</v>
      </c>
      <c r="E33" s="12" t="str">
        <f>VLOOKUP(LOWER(G26),experiments_specs!$A:$J,8,FALSE)</f>
        <v>False</v>
      </c>
      <c r="F33" s="15" t="s">
        <v>136</v>
      </c>
      <c r="G33" s="6" t="s">
        <v>16</v>
      </c>
      <c r="H33" s="19" t="s">
        <v>385</v>
      </c>
      <c r="I33" s="19">
        <v>0.1290994</v>
      </c>
      <c r="J33" s="19" t="s">
        <v>554</v>
      </c>
      <c r="K33" s="19">
        <v>1.4450000000000001E-3</v>
      </c>
      <c r="L33" s="31">
        <v>0.14285714285714285</v>
      </c>
      <c r="M33" s="23" t="s">
        <v>582</v>
      </c>
      <c r="N33" s="23" t="s">
        <v>584</v>
      </c>
      <c r="O33" s="23" t="s">
        <v>586</v>
      </c>
      <c r="P33" s="23" t="s">
        <v>588</v>
      </c>
      <c r="Q33" s="34">
        <v>0.15384615384615385</v>
      </c>
      <c r="S33" s="16"/>
      <c r="U33" s="16"/>
      <c r="W33" s="11" t="s">
        <v>7</v>
      </c>
      <c r="X33" s="12" t="str">
        <f>VLOOKUP(LOWER(Z26),experiments_specs!$A:$J,8,FALSE)</f>
        <v>False</v>
      </c>
      <c r="Y33" s="15" t="s">
        <v>142</v>
      </c>
      <c r="Z33" s="6" t="s">
        <v>16</v>
      </c>
      <c r="AA33" s="19" t="s">
        <v>640</v>
      </c>
      <c r="AB33" s="19">
        <v>0</v>
      </c>
      <c r="AC33" s="19" t="s">
        <v>641</v>
      </c>
      <c r="AD33" s="19">
        <v>4.3858999999999999E-3</v>
      </c>
      <c r="AE33" s="31">
        <v>0.13333333333333333</v>
      </c>
      <c r="AF33" s="23" t="s">
        <v>642</v>
      </c>
      <c r="AG33" s="23">
        <v>0</v>
      </c>
      <c r="AH33" s="23" t="s">
        <v>643</v>
      </c>
      <c r="AI33" s="23">
        <v>5.7425000000000002E-3</v>
      </c>
      <c r="AJ33" s="34">
        <v>0.70588235294117652</v>
      </c>
      <c r="AL33" s="16"/>
      <c r="AN33" s="16"/>
      <c r="AP33" s="11" t="s">
        <v>7</v>
      </c>
      <c r="AQ33" s="12" t="str">
        <f>VLOOKUP(LOWER(AS26),experiments_specs!$A:$J,8,FALSE)</f>
        <v>False</v>
      </c>
      <c r="AR33" s="15" t="s">
        <v>148</v>
      </c>
      <c r="AS33" s="6" t="s">
        <v>16</v>
      </c>
      <c r="AT33" s="19" t="s">
        <v>640</v>
      </c>
      <c r="AU33" s="19">
        <v>0</v>
      </c>
      <c r="AV33" s="19" t="s">
        <v>641</v>
      </c>
      <c r="AW33" s="19">
        <v>4.7619000000000003E-3</v>
      </c>
      <c r="AX33" s="31">
        <v>0.13333333333333333</v>
      </c>
      <c r="AY33" s="23" t="s">
        <v>642</v>
      </c>
      <c r="AZ33" s="23">
        <v>0</v>
      </c>
      <c r="BA33" s="23" t="s">
        <v>643</v>
      </c>
      <c r="BB33" s="23">
        <v>5.8976999999999996E-3</v>
      </c>
      <c r="BC33" s="34">
        <v>0.70588235294117652</v>
      </c>
      <c r="BE33" s="16"/>
    </row>
    <row r="34" spans="2:57" ht="409.6" x14ac:dyDescent="0.2">
      <c r="B34" s="16"/>
      <c r="D34" s="11" t="s">
        <v>8</v>
      </c>
      <c r="E34" s="12" t="str">
        <f>VLOOKUP(LOWER(G26),experiments_specs!$A:$J,9,FALSE)</f>
        <v>wup_similarity</v>
      </c>
      <c r="F34" s="15" t="s">
        <v>136</v>
      </c>
      <c r="G34" s="6" t="s">
        <v>17</v>
      </c>
      <c r="H34" s="19" t="s">
        <v>556</v>
      </c>
      <c r="I34" s="19">
        <v>7.7151600000000001E-2</v>
      </c>
      <c r="J34" s="19" t="s">
        <v>557</v>
      </c>
      <c r="K34" s="19">
        <v>1.3959E-3</v>
      </c>
      <c r="L34" s="31">
        <v>0.44444444444444442</v>
      </c>
      <c r="M34" s="22" t="s">
        <v>246</v>
      </c>
      <c r="N34" s="22">
        <v>0</v>
      </c>
      <c r="O34" s="22" t="s">
        <v>590</v>
      </c>
      <c r="P34" s="22">
        <v>3.5433999999999999E-3</v>
      </c>
      <c r="Q34" s="34">
        <v>0.15384615384615385</v>
      </c>
      <c r="S34" s="16"/>
      <c r="U34" s="16"/>
      <c r="W34" s="11" t="s">
        <v>8</v>
      </c>
      <c r="X34" s="12" t="str">
        <f>VLOOKUP(LOWER(Z26),experiments_specs!$A:$J,9,FALSE)</f>
        <v>wup_similarity</v>
      </c>
      <c r="Y34" s="15" t="s">
        <v>142</v>
      </c>
      <c r="Z34" s="6" t="s">
        <v>17</v>
      </c>
      <c r="AA34" s="18" t="s">
        <v>600</v>
      </c>
      <c r="AB34" s="18" t="s">
        <v>602</v>
      </c>
      <c r="AC34" s="18" t="s">
        <v>604</v>
      </c>
      <c r="AD34" s="18" t="s">
        <v>666</v>
      </c>
      <c r="AE34" s="31">
        <v>0.22222222222222221</v>
      </c>
      <c r="AF34" s="23" t="s">
        <v>646</v>
      </c>
      <c r="AG34" s="23" t="s">
        <v>185</v>
      </c>
      <c r="AH34" s="23" t="s">
        <v>648</v>
      </c>
      <c r="AI34" s="23" t="s">
        <v>668</v>
      </c>
      <c r="AJ34" s="34">
        <v>0.18181818181818182</v>
      </c>
      <c r="AL34" s="16"/>
      <c r="AN34" s="16"/>
      <c r="AP34" s="11" t="s">
        <v>8</v>
      </c>
      <c r="AQ34" s="12" t="str">
        <f>VLOOKUP(LOWER(AS26),experiments_specs!$A:$J,9,FALSE)</f>
        <v>wup_similarity</v>
      </c>
      <c r="AR34" s="15" t="s">
        <v>148</v>
      </c>
      <c r="AS34" s="6" t="s">
        <v>17</v>
      </c>
      <c r="AT34" s="18" t="s">
        <v>700</v>
      </c>
      <c r="AU34" s="18" t="s">
        <v>702</v>
      </c>
      <c r="AV34" s="18" t="s">
        <v>704</v>
      </c>
      <c r="AW34" s="18" t="s">
        <v>706</v>
      </c>
      <c r="AX34" s="31">
        <v>0.13333333333333333</v>
      </c>
      <c r="AY34" s="23" t="s">
        <v>646</v>
      </c>
      <c r="AZ34" s="23" t="s">
        <v>185</v>
      </c>
      <c r="BA34" s="23" t="s">
        <v>648</v>
      </c>
      <c r="BB34" s="23" t="s">
        <v>708</v>
      </c>
      <c r="BC34" s="34">
        <v>0.18181818181818182</v>
      </c>
      <c r="BE34" s="16"/>
    </row>
    <row r="35" spans="2:57" x14ac:dyDescent="0.2">
      <c r="B35" s="16"/>
      <c r="D35" s="11" t="s">
        <v>9</v>
      </c>
      <c r="E35" s="12" t="str">
        <f>VLOOKUP(LOWER(G26),experiments_specs!$A:$J,10,FALSE)</f>
        <v>False</v>
      </c>
      <c r="F35" s="15" t="s">
        <v>136</v>
      </c>
      <c r="G35" s="7" t="s">
        <v>18</v>
      </c>
      <c r="H35" s="20" t="s">
        <v>556</v>
      </c>
      <c r="I35" s="20">
        <v>6.1084699999999999E-2</v>
      </c>
      <c r="J35" s="20" t="s">
        <v>558</v>
      </c>
      <c r="K35" s="20">
        <v>1.0108999999999999E-3</v>
      </c>
      <c r="L35" s="32">
        <v>0.375</v>
      </c>
      <c r="M35" s="24" t="s">
        <v>591</v>
      </c>
      <c r="N35" s="24">
        <v>0.1221694</v>
      </c>
      <c r="O35" s="24" t="s">
        <v>592</v>
      </c>
      <c r="P35" s="24">
        <v>2.4600999999999998E-3</v>
      </c>
      <c r="Q35" s="35">
        <v>0.125</v>
      </c>
      <c r="S35" s="16"/>
      <c r="U35" s="16"/>
      <c r="W35" s="11" t="s">
        <v>9</v>
      </c>
      <c r="X35" s="12" t="str">
        <f>VLOOKUP(LOWER(Z26),experiments_specs!$A:$J,10,FALSE)</f>
        <v>False</v>
      </c>
      <c r="Y35" s="15" t="s">
        <v>142</v>
      </c>
      <c r="Z35" s="7" t="s">
        <v>18</v>
      </c>
      <c r="AA35" s="20" t="s">
        <v>44</v>
      </c>
      <c r="AB35" s="20">
        <v>0</v>
      </c>
      <c r="AC35" s="20" t="s">
        <v>652</v>
      </c>
      <c r="AD35" s="20">
        <v>8.4989000000000002E-3</v>
      </c>
      <c r="AE35" s="32">
        <v>0.21052631578947367</v>
      </c>
      <c r="AF35" s="24" t="s">
        <v>46</v>
      </c>
      <c r="AG35" s="24">
        <v>0</v>
      </c>
      <c r="AH35" s="24" t="s">
        <v>652</v>
      </c>
      <c r="AI35" s="24">
        <v>8.4989000000000002E-3</v>
      </c>
      <c r="AJ35" s="35">
        <v>0.21052631578947367</v>
      </c>
      <c r="AL35" s="16"/>
      <c r="AN35" s="16"/>
      <c r="AP35" s="11" t="s">
        <v>9</v>
      </c>
      <c r="AQ35" s="12" t="str">
        <f>VLOOKUP(LOWER(AS26),experiments_specs!$A:$J,10,FALSE)</f>
        <v>True</v>
      </c>
      <c r="AR35" s="15" t="s">
        <v>148</v>
      </c>
      <c r="AS35" s="7" t="s">
        <v>18</v>
      </c>
      <c r="AT35" s="20" t="s">
        <v>44</v>
      </c>
      <c r="AU35" s="20">
        <v>0</v>
      </c>
      <c r="AV35" s="20" t="s">
        <v>652</v>
      </c>
      <c r="AW35" s="20">
        <v>8.6920000000000001E-3</v>
      </c>
      <c r="AX35" s="32">
        <v>0.21052631578947367</v>
      </c>
      <c r="AY35" s="24" t="s">
        <v>46</v>
      </c>
      <c r="AZ35" s="24">
        <v>0</v>
      </c>
      <c r="BA35" s="24" t="s">
        <v>652</v>
      </c>
      <c r="BB35" s="24">
        <v>8.6920000000000001E-3</v>
      </c>
      <c r="BC35" s="35">
        <v>0.21052631578947367</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TEST_58</v>
      </c>
      <c r="H37" s="41" t="s">
        <v>124</v>
      </c>
      <c r="I37" s="41"/>
      <c r="J37" s="41"/>
      <c r="K37" s="41"/>
      <c r="L37" s="41"/>
      <c r="M37" s="42" t="s">
        <v>123</v>
      </c>
      <c r="N37" s="42"/>
      <c r="O37" s="42"/>
      <c r="P37" s="42"/>
      <c r="Q37" s="42"/>
      <c r="R37" s="2"/>
      <c r="S37" s="16"/>
      <c r="U37" s="16"/>
      <c r="W37" s="13" t="s">
        <v>126</v>
      </c>
      <c r="X37" s="14"/>
      <c r="Y37" s="9"/>
      <c r="Z37" s="10" t="str">
        <f>"TEST_"&amp;TEXT(RIGHT(Z26,2)+1, "00")</f>
        <v>TEST_64</v>
      </c>
      <c r="AA37" s="41" t="s">
        <v>124</v>
      </c>
      <c r="AB37" s="41"/>
      <c r="AC37" s="41"/>
      <c r="AD37" s="41"/>
      <c r="AE37" s="41"/>
      <c r="AF37" s="42" t="s">
        <v>123</v>
      </c>
      <c r="AG37" s="42"/>
      <c r="AH37" s="42"/>
      <c r="AI37" s="42"/>
      <c r="AJ37" s="42"/>
      <c r="AK37" s="2"/>
      <c r="AL37" s="16"/>
      <c r="AN37" s="16"/>
      <c r="AP37" s="13" t="s">
        <v>126</v>
      </c>
      <c r="AQ37" s="14"/>
      <c r="AR37" s="9"/>
      <c r="AS37" s="10" t="str">
        <f>"TEST_"&amp;TEXT(RIGHT(AS26,2)+1, "00")</f>
        <v>TEST_70</v>
      </c>
      <c r="AT37" s="41" t="s">
        <v>124</v>
      </c>
      <c r="AU37" s="41"/>
      <c r="AV37" s="41"/>
      <c r="AW37" s="41"/>
      <c r="AX37" s="41"/>
      <c r="AY37" s="42" t="s">
        <v>123</v>
      </c>
      <c r="AZ37" s="42"/>
      <c r="BA37" s="42"/>
      <c r="BB37" s="42"/>
      <c r="BC37" s="42"/>
      <c r="BD37" s="2"/>
      <c r="BE37" s="16"/>
    </row>
    <row r="38" spans="2:57" x14ac:dyDescent="0.2">
      <c r="B38" s="16"/>
      <c r="D38" s="11" t="s">
        <v>1</v>
      </c>
      <c r="E38" s="12" t="str">
        <f>VLOOKUP(LOWER(G37),experiments_specs!$A:$J,2,FALSE)</f>
        <v>NN,VB,VBD,VBG,VBN,VBP,VBZ</v>
      </c>
      <c r="F38" s="15" t="str">
        <f>"{"&amp;LOWER(G37)&amp;".csv}"</f>
        <v>{test_58.csv}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VLOOKUP(LOWER(Z37),experiments_specs!$A:$J,2,FALSE)</f>
        <v>NN,VB,VBD,VBG,VBN,VBP,VBZ</v>
      </c>
      <c r="Y38" s="15" t="str">
        <f>"{"&amp;LOWER(Z37)&amp;".csv}"</f>
        <v>{test_64.csv}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VLOOKUP(LOWER(AS37),experiments_specs!$A:$J,2,FALSE)</f>
        <v>NN,VB,VBD,VBG,VBN,VBP,VBZ</v>
      </c>
      <c r="AR38" s="15" t="str">
        <f>"{"&amp;LOWER(AS37)&amp;".csv}"</f>
        <v>{test_70.csv}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17" x14ac:dyDescent="0.2">
      <c r="B39" s="16"/>
      <c r="D39" s="11" t="s">
        <v>2</v>
      </c>
      <c r="E39" s="12">
        <f>VLOOKUP(LOWER(G37),experiments_specs!$A:$J,3,FALSE)</f>
        <v>1</v>
      </c>
      <c r="F39" s="15" t="s">
        <v>137</v>
      </c>
      <c r="G39" s="5" t="s">
        <v>19</v>
      </c>
      <c r="H39" s="17" t="s">
        <v>354</v>
      </c>
      <c r="I39" s="17">
        <v>0</v>
      </c>
      <c r="J39" s="17" t="s">
        <v>533</v>
      </c>
      <c r="K39" s="17">
        <v>1.5701000000000001E-3</v>
      </c>
      <c r="L39" s="30">
        <v>0.19047619047619047</v>
      </c>
      <c r="M39" s="21" t="s">
        <v>534</v>
      </c>
      <c r="N39" s="21">
        <v>0</v>
      </c>
      <c r="O39" s="21" t="s">
        <v>365</v>
      </c>
      <c r="P39" s="21">
        <v>2.0354000000000001E-3</v>
      </c>
      <c r="Q39" s="33">
        <v>0.22222222222222221</v>
      </c>
      <c r="S39" s="16"/>
      <c r="U39" s="16"/>
      <c r="W39" s="11" t="s">
        <v>2</v>
      </c>
      <c r="X39" s="12">
        <f>VLOOKUP(LOWER(Z37),experiments_specs!$A:$J,3,FALSE)</f>
        <v>1</v>
      </c>
      <c r="Y39" s="15" t="s">
        <v>143</v>
      </c>
      <c r="Z39" s="5" t="s">
        <v>19</v>
      </c>
      <c r="AA39" s="17" t="s">
        <v>354</v>
      </c>
      <c r="AB39" s="17">
        <v>0</v>
      </c>
      <c r="AC39" s="17" t="s">
        <v>533</v>
      </c>
      <c r="AD39" s="17">
        <v>1.03529E-2</v>
      </c>
      <c r="AE39" s="30">
        <v>0.19047619047619047</v>
      </c>
      <c r="AF39" s="21" t="s">
        <v>47</v>
      </c>
      <c r="AG39" s="21">
        <v>6.3757599999999998E-2</v>
      </c>
      <c r="AH39" s="21" t="s">
        <v>533</v>
      </c>
      <c r="AI39" s="21">
        <v>1.32517E-2</v>
      </c>
      <c r="AJ39" s="33">
        <v>0.19047619047619047</v>
      </c>
      <c r="AL39" s="16"/>
      <c r="AN39" s="16"/>
      <c r="AP39" s="11" t="s">
        <v>2</v>
      </c>
      <c r="AQ39" s="12">
        <f>VLOOKUP(LOWER(AS37),experiments_specs!$A:$J,3,FALSE)</f>
        <v>1</v>
      </c>
      <c r="AR39" s="15" t="s">
        <v>149</v>
      </c>
      <c r="AS39" s="5" t="s">
        <v>19</v>
      </c>
      <c r="AT39" s="17" t="s">
        <v>354</v>
      </c>
      <c r="AU39" s="17">
        <v>0</v>
      </c>
      <c r="AV39" s="17" t="s">
        <v>533</v>
      </c>
      <c r="AW39" s="17">
        <v>1.44041E-2</v>
      </c>
      <c r="AX39" s="30">
        <v>0.19047619047619047</v>
      </c>
      <c r="AY39" s="21" t="s">
        <v>47</v>
      </c>
      <c r="AZ39" s="21">
        <v>6.3757599999999998E-2</v>
      </c>
      <c r="BA39" s="21" t="s">
        <v>533</v>
      </c>
      <c r="BB39" s="21">
        <v>1.5058800000000001E-2</v>
      </c>
      <c r="BC39" s="33">
        <v>0.19047619047619047</v>
      </c>
      <c r="BE39" s="16"/>
    </row>
    <row r="40" spans="2:57" ht="34" x14ac:dyDescent="0.2">
      <c r="B40" s="16"/>
      <c r="D40" s="11" t="s">
        <v>3</v>
      </c>
      <c r="E40" s="12">
        <f>VLOOKUP(LOWER(G37),experiments_specs!$A:$J,4,FALSE)</f>
        <v>2</v>
      </c>
      <c r="F40" s="15" t="s">
        <v>137</v>
      </c>
      <c r="G40" s="6" t="s">
        <v>12</v>
      </c>
      <c r="H40" s="18" t="s">
        <v>251</v>
      </c>
      <c r="I40" s="18">
        <v>6.5232799999999994E-2</v>
      </c>
      <c r="J40" s="18" t="s">
        <v>577</v>
      </c>
      <c r="K40" s="18">
        <v>1.5638E-3</v>
      </c>
      <c r="L40" s="31">
        <v>0.125</v>
      </c>
      <c r="M40" s="22" t="s">
        <v>388</v>
      </c>
      <c r="N40" s="22">
        <v>0</v>
      </c>
      <c r="O40" s="22" t="s">
        <v>593</v>
      </c>
      <c r="P40" s="22">
        <v>4.1831999999999998E-3</v>
      </c>
      <c r="Q40" s="34">
        <v>0.16666666666666666</v>
      </c>
      <c r="S40" s="16"/>
      <c r="U40" s="16"/>
      <c r="W40" s="11" t="s">
        <v>3</v>
      </c>
      <c r="X40" s="12">
        <f>VLOOKUP(LOWER(Z37),experiments_specs!$A:$J,4,FALSE)</f>
        <v>2</v>
      </c>
      <c r="Y40" s="15" t="s">
        <v>143</v>
      </c>
      <c r="Z40" s="6" t="s">
        <v>12</v>
      </c>
      <c r="AA40" s="18" t="s">
        <v>660</v>
      </c>
      <c r="AB40" s="18">
        <v>0</v>
      </c>
      <c r="AC40" s="18" t="s">
        <v>661</v>
      </c>
      <c r="AD40" s="18">
        <v>2.3392999999999999E-3</v>
      </c>
      <c r="AE40" s="31">
        <v>0.14285714285714285</v>
      </c>
      <c r="AF40" s="23" t="s">
        <v>390</v>
      </c>
      <c r="AG40" s="23" t="s">
        <v>625</v>
      </c>
      <c r="AH40" s="23" t="s">
        <v>627</v>
      </c>
      <c r="AI40" s="23" t="s">
        <v>670</v>
      </c>
      <c r="AJ40" s="34">
        <v>0.46153846153846156</v>
      </c>
      <c r="AL40" s="16"/>
      <c r="AN40" s="16"/>
      <c r="AP40" s="11" t="s">
        <v>3</v>
      </c>
      <c r="AQ40" s="12">
        <f>VLOOKUP(LOWER(AS37),experiments_specs!$A:$J,4,FALSE)</f>
        <v>2</v>
      </c>
      <c r="AR40" s="15" t="s">
        <v>149</v>
      </c>
      <c r="AS40" s="6" t="s">
        <v>12</v>
      </c>
      <c r="AT40" s="18" t="s">
        <v>623</v>
      </c>
      <c r="AU40" s="18">
        <v>0</v>
      </c>
      <c r="AV40" s="18" t="s">
        <v>624</v>
      </c>
      <c r="AW40" s="18">
        <v>2.3819000000000002E-3</v>
      </c>
      <c r="AX40" s="31">
        <v>0.25</v>
      </c>
      <c r="AY40" s="23" t="s">
        <v>390</v>
      </c>
      <c r="AZ40" s="23" t="s">
        <v>625</v>
      </c>
      <c r="BA40" s="23" t="s">
        <v>627</v>
      </c>
      <c r="BB40" s="23" t="s">
        <v>710</v>
      </c>
      <c r="BC40" s="34">
        <v>0.46153846153846156</v>
      </c>
      <c r="BE40" s="16"/>
    </row>
    <row r="41" spans="2:57" x14ac:dyDescent="0.2">
      <c r="B41" s="16"/>
      <c r="D41" s="11" t="s">
        <v>4</v>
      </c>
      <c r="E41" s="12" t="str">
        <f>VLOOKUP(LOWER(G37),experiments_specs!$A:$J,5,FALSE)</f>
        <v>False</v>
      </c>
      <c r="F41" s="15" t="s">
        <v>137</v>
      </c>
      <c r="G41" s="6" t="s">
        <v>13</v>
      </c>
      <c r="H41" s="19" t="s">
        <v>536</v>
      </c>
      <c r="I41" s="19">
        <v>0</v>
      </c>
      <c r="J41" s="19" t="s">
        <v>537</v>
      </c>
      <c r="K41" s="19">
        <v>3.1913000000000002E-3</v>
      </c>
      <c r="L41" s="31" t="s">
        <v>25</v>
      </c>
      <c r="M41" s="22" t="s">
        <v>252</v>
      </c>
      <c r="N41" s="22">
        <v>0</v>
      </c>
      <c r="O41" s="22" t="s">
        <v>578</v>
      </c>
      <c r="P41" s="22">
        <v>5.1346999999999999E-3</v>
      </c>
      <c r="Q41" s="34">
        <v>0.4</v>
      </c>
      <c r="S41" s="16"/>
      <c r="U41" s="16"/>
      <c r="W41" s="11" t="s">
        <v>4</v>
      </c>
      <c r="X41" s="12" t="str">
        <f>VLOOKUP(LOWER(Z37),experiments_specs!$A:$J,5,FALSE)</f>
        <v>True</v>
      </c>
      <c r="Y41" s="15" t="s">
        <v>143</v>
      </c>
      <c r="Z41" s="6" t="s">
        <v>13</v>
      </c>
      <c r="AA41" s="19" t="s">
        <v>32</v>
      </c>
      <c r="AB41" s="19">
        <v>6.5937999999999997E-2</v>
      </c>
      <c r="AC41" s="19" t="s">
        <v>631</v>
      </c>
      <c r="AD41" s="19">
        <v>8.6759999999999997E-3</v>
      </c>
      <c r="AE41" s="31">
        <v>0.4</v>
      </c>
      <c r="AF41" s="22" t="s">
        <v>34</v>
      </c>
      <c r="AG41" s="22">
        <v>0</v>
      </c>
      <c r="AH41" s="22" t="s">
        <v>35</v>
      </c>
      <c r="AI41" s="22">
        <v>1.5200999999999999E-2</v>
      </c>
      <c r="AJ41" s="34" t="s">
        <v>25</v>
      </c>
      <c r="AL41" s="16"/>
      <c r="AN41" s="16"/>
      <c r="AP41" s="11" t="s">
        <v>4</v>
      </c>
      <c r="AQ41" s="12" t="str">
        <f>VLOOKUP(LOWER(AS37),experiments_specs!$A:$J,5,FALSE)</f>
        <v>True</v>
      </c>
      <c r="AR41" s="15" t="s">
        <v>149</v>
      </c>
      <c r="AS41" s="6" t="s">
        <v>13</v>
      </c>
      <c r="AT41" s="19" t="s">
        <v>696</v>
      </c>
      <c r="AU41" s="19">
        <v>4.0892999999999999E-2</v>
      </c>
      <c r="AV41" s="19" t="s">
        <v>697</v>
      </c>
      <c r="AW41" s="19">
        <v>2.4572999999999999E-3</v>
      </c>
      <c r="AX41" s="31" t="s">
        <v>25</v>
      </c>
      <c r="AY41" s="22" t="s">
        <v>34</v>
      </c>
      <c r="AZ41" s="22">
        <v>0</v>
      </c>
      <c r="BA41" s="22" t="s">
        <v>35</v>
      </c>
      <c r="BB41" s="22">
        <v>1.41876E-2</v>
      </c>
      <c r="BC41" s="34" t="s">
        <v>25</v>
      </c>
      <c r="BE41" s="16"/>
    </row>
    <row r="42" spans="2:57" ht="34" x14ac:dyDescent="0.2">
      <c r="B42" s="16"/>
      <c r="D42" s="11" t="s">
        <v>5</v>
      </c>
      <c r="E42" s="12" t="str">
        <f>VLOOKUP(LOWER(G37),experiments_specs!$A:$J,6,FALSE)</f>
        <v>False</v>
      </c>
      <c r="F42" s="15" t="s">
        <v>137</v>
      </c>
      <c r="G42" s="6" t="s">
        <v>14</v>
      </c>
      <c r="H42" s="18" t="s">
        <v>544</v>
      </c>
      <c r="I42" s="18" t="s">
        <v>546</v>
      </c>
      <c r="J42" s="18" t="s">
        <v>548</v>
      </c>
      <c r="K42" s="18" t="s">
        <v>594</v>
      </c>
      <c r="L42" s="31">
        <v>0.33333333333333331</v>
      </c>
      <c r="M42" s="22" t="s">
        <v>204</v>
      </c>
      <c r="N42" s="22">
        <v>0</v>
      </c>
      <c r="O42" s="22" t="s">
        <v>381</v>
      </c>
      <c r="P42" s="22">
        <v>4.4297E-3</v>
      </c>
      <c r="Q42" s="34">
        <v>0.66666666666666663</v>
      </c>
      <c r="S42" s="16"/>
      <c r="U42" s="16"/>
      <c r="W42" s="11" t="s">
        <v>5</v>
      </c>
      <c r="X42" s="12" t="str">
        <f>VLOOKUP(LOWER(Z37),experiments_specs!$A:$J,6,FALSE)</f>
        <v>False</v>
      </c>
      <c r="Y42" s="15" t="s">
        <v>143</v>
      </c>
      <c r="Z42" s="6" t="s">
        <v>14</v>
      </c>
      <c r="AA42" s="18" t="s">
        <v>534</v>
      </c>
      <c r="AB42" s="18">
        <v>5.5555500000000001E-2</v>
      </c>
      <c r="AC42" s="18" t="s">
        <v>632</v>
      </c>
      <c r="AD42" s="18">
        <v>5.4200000000000003E-3</v>
      </c>
      <c r="AE42" s="31">
        <v>0.33333333333333331</v>
      </c>
      <c r="AF42" s="23" t="s">
        <v>633</v>
      </c>
      <c r="AG42" s="23" t="s">
        <v>185</v>
      </c>
      <c r="AH42" s="23" t="s">
        <v>635</v>
      </c>
      <c r="AI42" s="23" t="s">
        <v>672</v>
      </c>
      <c r="AJ42" s="34">
        <v>0.33333333333333331</v>
      </c>
      <c r="AL42" s="16"/>
      <c r="AN42" s="16"/>
      <c r="AP42" s="11" t="s">
        <v>5</v>
      </c>
      <c r="AQ42" s="12" t="str">
        <f>VLOOKUP(LOWER(AS37),experiments_specs!$A:$J,6,FALSE)</f>
        <v>False</v>
      </c>
      <c r="AR42" s="15" t="s">
        <v>149</v>
      </c>
      <c r="AS42" s="6" t="s">
        <v>14</v>
      </c>
      <c r="AT42" s="18" t="s">
        <v>534</v>
      </c>
      <c r="AU42" s="18">
        <v>5.5555500000000001E-2</v>
      </c>
      <c r="AV42" s="18" t="s">
        <v>632</v>
      </c>
      <c r="AW42" s="18">
        <v>6.5358999999999999E-3</v>
      </c>
      <c r="AX42" s="31">
        <v>0.33333333333333331</v>
      </c>
      <c r="AY42" s="23" t="s">
        <v>633</v>
      </c>
      <c r="AZ42" s="23" t="s">
        <v>185</v>
      </c>
      <c r="BA42" s="23" t="s">
        <v>635</v>
      </c>
      <c r="BB42" s="23" t="s">
        <v>712</v>
      </c>
      <c r="BC42" s="34">
        <v>0.33333333333333331</v>
      </c>
      <c r="BE42" s="16"/>
    </row>
    <row r="43" spans="2:57" ht="17" x14ac:dyDescent="0.2">
      <c r="B43" s="16"/>
      <c r="D43" s="11" t="s">
        <v>6</v>
      </c>
      <c r="E43" s="12" t="str">
        <f>VLOOKUP(LOWER(G37),experiments_specs!$A:$J,7,FALSE)</f>
        <v>True</v>
      </c>
      <c r="F43" s="15" t="s">
        <v>137</v>
      </c>
      <c r="G43" s="6" t="s">
        <v>15</v>
      </c>
      <c r="H43" s="19" t="s">
        <v>596</v>
      </c>
      <c r="I43" s="19">
        <v>0.1104315</v>
      </c>
      <c r="J43" s="19" t="s">
        <v>597</v>
      </c>
      <c r="K43" s="19">
        <v>1.5636000000000001E-3</v>
      </c>
      <c r="L43" s="31">
        <v>0.2</v>
      </c>
      <c r="M43" s="23" t="s">
        <v>383</v>
      </c>
      <c r="N43" s="23">
        <v>0</v>
      </c>
      <c r="O43" s="23" t="s">
        <v>597</v>
      </c>
      <c r="P43" s="23">
        <v>7.5858999999999996E-3</v>
      </c>
      <c r="Q43" s="34">
        <v>0.2</v>
      </c>
      <c r="S43" s="16"/>
      <c r="U43" s="16"/>
      <c r="W43" s="11" t="s">
        <v>6</v>
      </c>
      <c r="X43" s="12" t="str">
        <f>VLOOKUP(LOWER(Z37),experiments_specs!$A:$J,7,FALSE)</f>
        <v>True</v>
      </c>
      <c r="Y43" s="15" t="s">
        <v>143</v>
      </c>
      <c r="Z43" s="6" t="s">
        <v>15</v>
      </c>
      <c r="AA43" s="19" t="s">
        <v>409</v>
      </c>
      <c r="AB43" s="19">
        <v>4.7088100000000001E-2</v>
      </c>
      <c r="AC43" s="19" t="s">
        <v>410</v>
      </c>
      <c r="AD43" s="19">
        <v>9.0119999999999992E-3</v>
      </c>
      <c r="AE43" s="31">
        <v>0.22222222222222221</v>
      </c>
      <c r="AF43" s="23" t="s">
        <v>365</v>
      </c>
      <c r="AG43" s="23">
        <v>0</v>
      </c>
      <c r="AH43" s="23" t="s">
        <v>26</v>
      </c>
      <c r="AI43" s="23">
        <v>1.7669000000000001E-2</v>
      </c>
      <c r="AJ43" s="34">
        <v>0.18181818181818182</v>
      </c>
      <c r="AL43" s="16"/>
      <c r="AN43" s="16"/>
      <c r="AP43" s="11" t="s">
        <v>6</v>
      </c>
      <c r="AQ43" s="12" t="str">
        <f>VLOOKUP(LOWER(AS37),experiments_specs!$A:$J,7,FALSE)</f>
        <v>True</v>
      </c>
      <c r="AR43" s="15" t="s">
        <v>149</v>
      </c>
      <c r="AS43" s="6" t="s">
        <v>15</v>
      </c>
      <c r="AT43" s="19" t="s">
        <v>639</v>
      </c>
      <c r="AU43" s="19">
        <v>0</v>
      </c>
      <c r="AV43" s="19" t="s">
        <v>435</v>
      </c>
      <c r="AW43" s="19">
        <v>5.0092000000000001E-3</v>
      </c>
      <c r="AX43" s="31">
        <v>0.44444444444444442</v>
      </c>
      <c r="AY43" s="23" t="s">
        <v>365</v>
      </c>
      <c r="AZ43" s="23">
        <v>0</v>
      </c>
      <c r="BA43" s="23" t="s">
        <v>26</v>
      </c>
      <c r="BB43" s="23">
        <v>2.3248700000000001E-2</v>
      </c>
      <c r="BC43" s="34">
        <v>0.18181818181818182</v>
      </c>
      <c r="BE43" s="16"/>
    </row>
    <row r="44" spans="2:57" ht="34" x14ac:dyDescent="0.2">
      <c r="B44" s="16"/>
      <c r="D44" s="11" t="s">
        <v>7</v>
      </c>
      <c r="E44" s="12" t="str">
        <f>VLOOKUP(LOWER(G37),experiments_specs!$A:$J,8,FALSE)</f>
        <v>False</v>
      </c>
      <c r="F44" s="15" t="s">
        <v>137</v>
      </c>
      <c r="G44" s="6" t="s">
        <v>16</v>
      </c>
      <c r="H44" s="19" t="s">
        <v>385</v>
      </c>
      <c r="I44" s="19">
        <v>0.1290994</v>
      </c>
      <c r="J44" s="19" t="s">
        <v>554</v>
      </c>
      <c r="K44" s="19">
        <v>1.3725E-3</v>
      </c>
      <c r="L44" s="31">
        <v>0.14285714285714285</v>
      </c>
      <c r="M44" s="23" t="s">
        <v>582</v>
      </c>
      <c r="N44" s="23" t="s">
        <v>584</v>
      </c>
      <c r="O44" s="23" t="s">
        <v>586</v>
      </c>
      <c r="P44" s="23" t="s">
        <v>598</v>
      </c>
      <c r="Q44" s="34">
        <v>0.15384615384615385</v>
      </c>
      <c r="S44" s="16"/>
      <c r="U44" s="16"/>
      <c r="W44" s="11" t="s">
        <v>7</v>
      </c>
      <c r="X44" s="12" t="str">
        <f>VLOOKUP(LOWER(Z37),experiments_specs!$A:$J,8,FALSE)</f>
        <v>False</v>
      </c>
      <c r="Y44" s="15" t="s">
        <v>143</v>
      </c>
      <c r="Z44" s="6" t="s">
        <v>16</v>
      </c>
      <c r="AA44" s="19" t="s">
        <v>640</v>
      </c>
      <c r="AB44" s="19">
        <v>0</v>
      </c>
      <c r="AC44" s="19" t="s">
        <v>641</v>
      </c>
      <c r="AD44" s="19">
        <v>3.4721999999999999E-3</v>
      </c>
      <c r="AE44" s="31">
        <v>0.13333333333333333</v>
      </c>
      <c r="AF44" s="23" t="s">
        <v>642</v>
      </c>
      <c r="AG44" s="23">
        <v>0</v>
      </c>
      <c r="AH44" s="23" t="s">
        <v>643</v>
      </c>
      <c r="AI44" s="23">
        <v>4.7438000000000003E-3</v>
      </c>
      <c r="AJ44" s="34">
        <v>0.70588235294117652</v>
      </c>
      <c r="AL44" s="16"/>
      <c r="AN44" s="16"/>
      <c r="AP44" s="11" t="s">
        <v>7</v>
      </c>
      <c r="AQ44" s="12" t="str">
        <f>VLOOKUP(LOWER(AS37),experiments_specs!$A:$J,8,FALSE)</f>
        <v>False</v>
      </c>
      <c r="AR44" s="15" t="s">
        <v>149</v>
      </c>
      <c r="AS44" s="6" t="s">
        <v>16</v>
      </c>
      <c r="AT44" s="19" t="s">
        <v>640</v>
      </c>
      <c r="AU44" s="19">
        <v>0</v>
      </c>
      <c r="AV44" s="19" t="s">
        <v>641</v>
      </c>
      <c r="AW44" s="19">
        <v>4.6296000000000002E-3</v>
      </c>
      <c r="AX44" s="31">
        <v>0.13333333333333333</v>
      </c>
      <c r="AY44" s="23" t="s">
        <v>642</v>
      </c>
      <c r="AZ44" s="23">
        <v>0</v>
      </c>
      <c r="BA44" s="23" t="s">
        <v>643</v>
      </c>
      <c r="BB44" s="23">
        <v>5.7425000000000002E-3</v>
      </c>
      <c r="BC44" s="34">
        <v>0.70588235294117652</v>
      </c>
      <c r="BE44" s="16"/>
    </row>
    <row r="45" spans="2:57" ht="409.6" x14ac:dyDescent="0.2">
      <c r="B45" s="16"/>
      <c r="D45" s="11" t="s">
        <v>8</v>
      </c>
      <c r="E45" s="12" t="str">
        <f>VLOOKUP(LOWER(G37),experiments_specs!$A:$J,9,FALSE)</f>
        <v>wup_similarity</v>
      </c>
      <c r="F45" s="15" t="s">
        <v>137</v>
      </c>
      <c r="G45" s="6" t="s">
        <v>17</v>
      </c>
      <c r="H45" s="18" t="s">
        <v>600</v>
      </c>
      <c r="I45" s="18" t="s">
        <v>602</v>
      </c>
      <c r="J45" s="18" t="s">
        <v>604</v>
      </c>
      <c r="K45" s="18" t="s">
        <v>606</v>
      </c>
      <c r="L45" s="31">
        <v>0.22222222222222221</v>
      </c>
      <c r="M45" s="23" t="s">
        <v>600</v>
      </c>
      <c r="N45" s="23" t="s">
        <v>602</v>
      </c>
      <c r="O45" s="23" t="s">
        <v>604</v>
      </c>
      <c r="P45" s="23" t="s">
        <v>608</v>
      </c>
      <c r="Q45" s="34">
        <v>0.22222222222222221</v>
      </c>
      <c r="S45" s="16"/>
      <c r="U45" s="16"/>
      <c r="W45" s="11" t="s">
        <v>8</v>
      </c>
      <c r="X45" s="12" t="str">
        <f>VLOOKUP(LOWER(Z37),experiments_specs!$A:$J,9,FALSE)</f>
        <v>wup_similarity</v>
      </c>
      <c r="Y45" s="15" t="s">
        <v>143</v>
      </c>
      <c r="Z45" s="6" t="s">
        <v>17</v>
      </c>
      <c r="AA45" s="18" t="s">
        <v>600</v>
      </c>
      <c r="AB45" s="18" t="s">
        <v>602</v>
      </c>
      <c r="AC45" s="18" t="s">
        <v>604</v>
      </c>
      <c r="AD45" s="18" t="s">
        <v>674</v>
      </c>
      <c r="AE45" s="31">
        <v>0.22222222222222221</v>
      </c>
      <c r="AF45" s="23" t="s">
        <v>600</v>
      </c>
      <c r="AG45" s="23" t="s">
        <v>602</v>
      </c>
      <c r="AH45" s="23" t="s">
        <v>604</v>
      </c>
      <c r="AI45" s="23" t="s">
        <v>676</v>
      </c>
      <c r="AJ45" s="34">
        <v>0.22222222222222221</v>
      </c>
      <c r="AL45" s="16"/>
      <c r="AN45" s="16"/>
      <c r="AP45" s="11" t="s">
        <v>8</v>
      </c>
      <c r="AQ45" s="12" t="str">
        <f>VLOOKUP(LOWER(AS37),experiments_specs!$A:$J,9,FALSE)</f>
        <v>wup_similarity</v>
      </c>
      <c r="AR45" s="15" t="s">
        <v>149</v>
      </c>
      <c r="AS45" s="6" t="s">
        <v>17</v>
      </c>
      <c r="AT45" s="18" t="s">
        <v>714</v>
      </c>
      <c r="AU45" s="18" t="s">
        <v>716</v>
      </c>
      <c r="AV45" s="18" t="s">
        <v>718</v>
      </c>
      <c r="AW45" s="18" t="s">
        <v>720</v>
      </c>
      <c r="AX45" s="31">
        <v>0.13333333333333333</v>
      </c>
      <c r="AY45" s="23" t="s">
        <v>646</v>
      </c>
      <c r="AZ45" s="23" t="s">
        <v>185</v>
      </c>
      <c r="BA45" s="23" t="s">
        <v>648</v>
      </c>
      <c r="BB45" s="23" t="s">
        <v>722</v>
      </c>
      <c r="BC45" s="34">
        <v>0.18181818181818182</v>
      </c>
      <c r="BE45" s="16"/>
    </row>
    <row r="46" spans="2:57" x14ac:dyDescent="0.2">
      <c r="B46" s="16"/>
      <c r="D46" s="11" t="s">
        <v>9</v>
      </c>
      <c r="E46" s="12" t="str">
        <f>VLOOKUP(LOWER(G37),experiments_specs!$A:$J,10,FALSE)</f>
        <v>False</v>
      </c>
      <c r="F46" s="15" t="s">
        <v>137</v>
      </c>
      <c r="G46" s="7" t="s">
        <v>18</v>
      </c>
      <c r="H46" s="20" t="s">
        <v>556</v>
      </c>
      <c r="I46" s="20">
        <v>6.1084699999999999E-2</v>
      </c>
      <c r="J46" s="20" t="s">
        <v>558</v>
      </c>
      <c r="K46" s="20">
        <v>6.7319999999999999E-4</v>
      </c>
      <c r="L46" s="32">
        <v>0.375</v>
      </c>
      <c r="M46" s="24" t="s">
        <v>388</v>
      </c>
      <c r="N46" s="24">
        <v>0</v>
      </c>
      <c r="O46" s="24" t="s">
        <v>610</v>
      </c>
      <c r="P46" s="24">
        <v>2.7198000000000001E-3</v>
      </c>
      <c r="Q46" s="35">
        <v>0.11764705882352941</v>
      </c>
      <c r="S46" s="16"/>
      <c r="U46" s="16"/>
      <c r="W46" s="11" t="s">
        <v>9</v>
      </c>
      <c r="X46" s="12" t="str">
        <f>VLOOKUP(LOWER(Z37),experiments_specs!$A:$J,10,FALSE)</f>
        <v>False</v>
      </c>
      <c r="Y46" s="15" t="s">
        <v>143</v>
      </c>
      <c r="Z46" s="7" t="s">
        <v>18</v>
      </c>
      <c r="AA46" s="20" t="s">
        <v>44</v>
      </c>
      <c r="AB46" s="20">
        <v>0</v>
      </c>
      <c r="AC46" s="20" t="s">
        <v>652</v>
      </c>
      <c r="AD46" s="20">
        <v>5.9756999999999996E-3</v>
      </c>
      <c r="AE46" s="32">
        <v>0.21052631578947367</v>
      </c>
      <c r="AF46" s="24" t="s">
        <v>46</v>
      </c>
      <c r="AG46" s="24">
        <v>0</v>
      </c>
      <c r="AH46" s="24" t="s">
        <v>652</v>
      </c>
      <c r="AI46" s="24">
        <v>6.9535999999999999E-3</v>
      </c>
      <c r="AJ46" s="35">
        <v>0.21052631578947367</v>
      </c>
      <c r="AL46" s="16"/>
      <c r="AN46" s="16"/>
      <c r="AP46" s="11" t="s">
        <v>9</v>
      </c>
      <c r="AQ46" s="12" t="str">
        <f>VLOOKUP(LOWER(AS37),experiments_specs!$A:$J,10,FALSE)</f>
        <v>True</v>
      </c>
      <c r="AR46" s="15" t="s">
        <v>149</v>
      </c>
      <c r="AS46" s="7" t="s">
        <v>18</v>
      </c>
      <c r="AT46" s="20" t="s">
        <v>44</v>
      </c>
      <c r="AU46" s="20">
        <v>0</v>
      </c>
      <c r="AV46" s="20" t="s">
        <v>652</v>
      </c>
      <c r="AW46" s="20">
        <v>7.9676999999999994E-3</v>
      </c>
      <c r="AX46" s="32">
        <v>0.21052631578947367</v>
      </c>
      <c r="AY46" s="24" t="s">
        <v>46</v>
      </c>
      <c r="AZ46" s="24">
        <v>0</v>
      </c>
      <c r="BA46" s="24" t="s">
        <v>652</v>
      </c>
      <c r="BB46" s="24">
        <v>8.1372000000000007E-3</v>
      </c>
      <c r="BC46" s="35">
        <v>0.21052631578947367</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TEST_59</v>
      </c>
      <c r="H48" s="41" t="s">
        <v>124</v>
      </c>
      <c r="I48" s="41"/>
      <c r="J48" s="41"/>
      <c r="K48" s="41"/>
      <c r="L48" s="41"/>
      <c r="M48" s="42" t="s">
        <v>123</v>
      </c>
      <c r="N48" s="42"/>
      <c r="O48" s="42"/>
      <c r="P48" s="42"/>
      <c r="Q48" s="42"/>
      <c r="R48" s="2"/>
      <c r="S48" s="16"/>
      <c r="U48" s="16"/>
      <c r="W48" s="13" t="s">
        <v>126</v>
      </c>
      <c r="X48" s="14"/>
      <c r="Y48" s="9"/>
      <c r="Z48" s="10" t="str">
        <f>"TEST_"&amp;TEXT(RIGHT(Z37,2)+1, "00")</f>
        <v>TEST_65</v>
      </c>
      <c r="AA48" s="41" t="s">
        <v>124</v>
      </c>
      <c r="AB48" s="41"/>
      <c r="AC48" s="41"/>
      <c r="AD48" s="41"/>
      <c r="AE48" s="41"/>
      <c r="AF48" s="42" t="s">
        <v>123</v>
      </c>
      <c r="AG48" s="42"/>
      <c r="AH48" s="42"/>
      <c r="AI48" s="42"/>
      <c r="AJ48" s="42"/>
      <c r="AK48" s="2"/>
      <c r="AL48" s="16"/>
      <c r="AN48" s="16"/>
      <c r="AP48" s="13" t="s">
        <v>126</v>
      </c>
      <c r="AQ48" s="14"/>
      <c r="AR48" s="9"/>
      <c r="AS48" s="10" t="str">
        <f>"TEST_"&amp;TEXT(RIGHT(AS37,2)+1, "00")</f>
        <v>TEST_71</v>
      </c>
      <c r="AT48" s="41" t="s">
        <v>124</v>
      </c>
      <c r="AU48" s="41"/>
      <c r="AV48" s="41"/>
      <c r="AW48" s="41"/>
      <c r="AX48" s="41"/>
      <c r="AY48" s="42" t="s">
        <v>123</v>
      </c>
      <c r="AZ48" s="42"/>
      <c r="BA48" s="42"/>
      <c r="BB48" s="42"/>
      <c r="BC48" s="42"/>
      <c r="BD48" s="2"/>
      <c r="BE48" s="16"/>
    </row>
    <row r="49" spans="2:57" x14ac:dyDescent="0.2">
      <c r="B49" s="16"/>
      <c r="D49" s="11" t="s">
        <v>1</v>
      </c>
      <c r="E49" s="12" t="str">
        <f>VLOOKUP(LOWER(G48),experiments_specs!$A:$J,2,FALSE)</f>
        <v>NN,RB</v>
      </c>
      <c r="F49" s="15" t="str">
        <f>"{"&amp;LOWER(G48)&amp;".csv}"</f>
        <v>{test_59.csv}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VLOOKUP(LOWER(Z48),experiments_specs!$A:$J,2,FALSE)</f>
        <v>NN,RB</v>
      </c>
      <c r="Y49" s="15" t="str">
        <f>"{"&amp;LOWER(Z48)&amp;".csv}"</f>
        <v>{test_65.csv}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VLOOKUP(LOWER(AS48),experiments_specs!$A:$J,2,FALSE)</f>
        <v>NN,RB</v>
      </c>
      <c r="AR49" s="15" t="str">
        <f>"{"&amp;LOWER(AS48)&amp;".csv}"</f>
        <v>{test_71.csv}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17" x14ac:dyDescent="0.2">
      <c r="B50" s="16"/>
      <c r="D50" s="11" t="s">
        <v>2</v>
      </c>
      <c r="E50" s="12">
        <f>VLOOKUP(LOWER(G48),experiments_specs!$A:$J,3,FALSE)</f>
        <v>1</v>
      </c>
      <c r="F50" s="15" t="s">
        <v>138</v>
      </c>
      <c r="G50" s="5" t="s">
        <v>19</v>
      </c>
      <c r="H50" s="17" t="s">
        <v>354</v>
      </c>
      <c r="I50" s="17">
        <v>0</v>
      </c>
      <c r="J50" s="17" t="s">
        <v>533</v>
      </c>
      <c r="K50" s="17">
        <v>2.454E-3</v>
      </c>
      <c r="L50" s="30">
        <v>0.19047619047619047</v>
      </c>
      <c r="M50" s="21" t="s">
        <v>534</v>
      </c>
      <c r="N50" s="21">
        <v>0</v>
      </c>
      <c r="O50" s="21" t="s">
        <v>365</v>
      </c>
      <c r="P50" s="21">
        <v>2.9030000000000002E-3</v>
      </c>
      <c r="Q50" s="33">
        <v>0.22222222222222221</v>
      </c>
      <c r="S50" s="16"/>
      <c r="U50" s="16"/>
      <c r="W50" s="11" t="s">
        <v>2</v>
      </c>
      <c r="X50" s="12">
        <f>VLOOKUP(LOWER(Z48),experiments_specs!$A:$J,3,FALSE)</f>
        <v>1</v>
      </c>
      <c r="Y50" s="15" t="s">
        <v>144</v>
      </c>
      <c r="Z50" s="5" t="s">
        <v>19</v>
      </c>
      <c r="AA50" s="17" t="s">
        <v>354</v>
      </c>
      <c r="AB50" s="17">
        <v>0</v>
      </c>
      <c r="AC50" s="17" t="s">
        <v>533</v>
      </c>
      <c r="AD50" s="17">
        <v>1.3803899999999999E-2</v>
      </c>
      <c r="AE50" s="30">
        <v>0.19047619047619047</v>
      </c>
      <c r="AF50" s="21" t="s">
        <v>47</v>
      </c>
      <c r="AG50" s="21">
        <v>6.3757599999999998E-2</v>
      </c>
      <c r="AH50" s="21" t="s">
        <v>533</v>
      </c>
      <c r="AI50" s="21">
        <v>1.7436500000000001E-2</v>
      </c>
      <c r="AJ50" s="33">
        <v>0.19047619047619047</v>
      </c>
      <c r="AL50" s="16"/>
      <c r="AN50" s="16"/>
      <c r="AP50" s="11" t="s">
        <v>2</v>
      </c>
      <c r="AQ50" s="12">
        <f>VLOOKUP(LOWER(AS48),experiments_specs!$A:$J,3,FALSE)</f>
        <v>1</v>
      </c>
      <c r="AR50" s="15" t="s">
        <v>150</v>
      </c>
      <c r="AS50" s="5" t="s">
        <v>19</v>
      </c>
      <c r="AT50" s="17" t="s">
        <v>354</v>
      </c>
      <c r="AU50" s="17">
        <v>0</v>
      </c>
      <c r="AV50" s="17" t="s">
        <v>533</v>
      </c>
      <c r="AW50" s="17">
        <v>1.5058800000000001E-2</v>
      </c>
      <c r="AX50" s="30">
        <v>0.19047619047619047</v>
      </c>
      <c r="AY50" s="21" t="s">
        <v>47</v>
      </c>
      <c r="AZ50" s="21">
        <v>6.3757599999999998E-2</v>
      </c>
      <c r="BA50" s="21" t="s">
        <v>533</v>
      </c>
      <c r="BB50" s="21">
        <v>1.5775899999999999E-2</v>
      </c>
      <c r="BC50" s="33">
        <v>0.19047619047619047</v>
      </c>
      <c r="BE50" s="16"/>
    </row>
    <row r="51" spans="2:57" ht="34" x14ac:dyDescent="0.2">
      <c r="B51" s="16"/>
      <c r="D51" s="11" t="s">
        <v>3</v>
      </c>
      <c r="E51" s="12">
        <f>VLOOKUP(LOWER(G48),experiments_specs!$A:$J,4,FALSE)</f>
        <v>2</v>
      </c>
      <c r="F51" s="15" t="s">
        <v>138</v>
      </c>
      <c r="G51" s="6" t="s">
        <v>12</v>
      </c>
      <c r="H51" s="18" t="s">
        <v>363</v>
      </c>
      <c r="I51" s="18">
        <v>9.7243300000000005E-2</v>
      </c>
      <c r="J51" s="18" t="s">
        <v>535</v>
      </c>
      <c r="K51" s="18">
        <v>2.1410000000000001E-3</v>
      </c>
      <c r="L51" s="31">
        <v>0.2857142857142857</v>
      </c>
      <c r="M51" s="22" t="s">
        <v>363</v>
      </c>
      <c r="N51" s="22">
        <v>9.7243300000000005E-2</v>
      </c>
      <c r="O51" s="22" t="s">
        <v>535</v>
      </c>
      <c r="P51" s="22">
        <v>4.3667999999999997E-3</v>
      </c>
      <c r="Q51" s="34">
        <v>0.2857142857142857</v>
      </c>
      <c r="S51" s="16"/>
      <c r="U51" s="16"/>
      <c r="W51" s="11" t="s">
        <v>3</v>
      </c>
      <c r="X51" s="12">
        <f>VLOOKUP(LOWER(Z48),experiments_specs!$A:$J,4,FALSE)</f>
        <v>2</v>
      </c>
      <c r="Y51" s="15" t="s">
        <v>144</v>
      </c>
      <c r="Z51" s="6" t="s">
        <v>12</v>
      </c>
      <c r="AA51" s="18" t="s">
        <v>623</v>
      </c>
      <c r="AB51" s="18">
        <v>0</v>
      </c>
      <c r="AC51" s="18" t="s">
        <v>624</v>
      </c>
      <c r="AD51" s="18">
        <v>3.3081999999999999E-3</v>
      </c>
      <c r="AE51" s="31">
        <v>0.25</v>
      </c>
      <c r="AF51" s="23" t="s">
        <v>390</v>
      </c>
      <c r="AG51" s="23" t="s">
        <v>625</v>
      </c>
      <c r="AH51" s="23" t="s">
        <v>627</v>
      </c>
      <c r="AI51" s="23" t="s">
        <v>629</v>
      </c>
      <c r="AJ51" s="34">
        <v>0.46153846153846156</v>
      </c>
      <c r="AL51" s="16"/>
      <c r="AN51" s="16"/>
      <c r="AP51" s="11" t="s">
        <v>3</v>
      </c>
      <c r="AQ51" s="12">
        <f>VLOOKUP(LOWER(AS48),experiments_specs!$A:$J,4,FALSE)</f>
        <v>2</v>
      </c>
      <c r="AR51" s="15" t="s">
        <v>150</v>
      </c>
      <c r="AS51" s="6" t="s">
        <v>12</v>
      </c>
      <c r="AT51" s="18" t="s">
        <v>623</v>
      </c>
      <c r="AU51" s="18">
        <v>0</v>
      </c>
      <c r="AV51" s="18" t="s">
        <v>624</v>
      </c>
      <c r="AW51" s="18">
        <v>3.3081999999999999E-3</v>
      </c>
      <c r="AX51" s="31">
        <v>0.25</v>
      </c>
      <c r="AY51" s="23" t="s">
        <v>390</v>
      </c>
      <c r="AZ51" s="23" t="s">
        <v>625</v>
      </c>
      <c r="BA51" s="23" t="s">
        <v>627</v>
      </c>
      <c r="BB51" s="23" t="s">
        <v>629</v>
      </c>
      <c r="BC51" s="34">
        <v>0.46153846153846156</v>
      </c>
      <c r="BE51" s="16"/>
    </row>
    <row r="52" spans="2:57" ht="34" x14ac:dyDescent="0.2">
      <c r="B52" s="16"/>
      <c r="D52" s="11" t="s">
        <v>4</v>
      </c>
      <c r="E52" s="12" t="str">
        <f>VLOOKUP(LOWER(G48),experiments_specs!$A:$J,5,FALSE)</f>
        <v>False</v>
      </c>
      <c r="F52" s="15" t="s">
        <v>138</v>
      </c>
      <c r="G52" s="6" t="s">
        <v>13</v>
      </c>
      <c r="H52" s="19" t="s">
        <v>536</v>
      </c>
      <c r="I52" s="19">
        <v>0</v>
      </c>
      <c r="J52" s="19" t="s">
        <v>537</v>
      </c>
      <c r="K52" s="19">
        <v>4.6074999999999996E-3</v>
      </c>
      <c r="L52" s="31" t="s">
        <v>25</v>
      </c>
      <c r="M52" s="23" t="s">
        <v>538</v>
      </c>
      <c r="N52" s="23" t="s">
        <v>185</v>
      </c>
      <c r="O52" s="23" t="s">
        <v>540</v>
      </c>
      <c r="P52" s="23" t="s">
        <v>542</v>
      </c>
      <c r="Q52" s="34" t="s">
        <v>25</v>
      </c>
      <c r="S52" s="16"/>
      <c r="U52" s="16"/>
      <c r="W52" s="11" t="s">
        <v>4</v>
      </c>
      <c r="X52" s="12" t="str">
        <f>VLOOKUP(LOWER(Z48),experiments_specs!$A:$J,5,FALSE)</f>
        <v>True</v>
      </c>
      <c r="Y52" s="15" t="s">
        <v>144</v>
      </c>
      <c r="Z52" s="6" t="s">
        <v>13</v>
      </c>
      <c r="AA52" s="19" t="s">
        <v>32</v>
      </c>
      <c r="AB52" s="19">
        <v>6.5937999999999997E-2</v>
      </c>
      <c r="AC52" s="19" t="s">
        <v>631</v>
      </c>
      <c r="AD52" s="19">
        <v>1.09896E-2</v>
      </c>
      <c r="AE52" s="31">
        <v>0.4</v>
      </c>
      <c r="AF52" s="22" t="s">
        <v>34</v>
      </c>
      <c r="AG52" s="22">
        <v>0</v>
      </c>
      <c r="AH52" s="22" t="s">
        <v>35</v>
      </c>
      <c r="AI52" s="22">
        <v>2.1281399999999999E-2</v>
      </c>
      <c r="AJ52" s="34" t="s">
        <v>25</v>
      </c>
      <c r="AL52" s="16"/>
      <c r="AN52" s="16"/>
      <c r="AP52" s="11" t="s">
        <v>4</v>
      </c>
      <c r="AQ52" s="12" t="str">
        <f>VLOOKUP(LOWER(AS48),experiments_specs!$A:$J,5,FALSE)</f>
        <v>True</v>
      </c>
      <c r="AR52" s="15" t="s">
        <v>150</v>
      </c>
      <c r="AS52" s="6" t="s">
        <v>13</v>
      </c>
      <c r="AT52" s="19" t="s">
        <v>688</v>
      </c>
      <c r="AU52" s="19">
        <v>7.3720900000000006E-2</v>
      </c>
      <c r="AV52" s="19" t="s">
        <v>689</v>
      </c>
      <c r="AW52" s="19">
        <v>2.5079999999999998E-3</v>
      </c>
      <c r="AX52" s="31" t="s">
        <v>25</v>
      </c>
      <c r="AY52" s="22" t="s">
        <v>34</v>
      </c>
      <c r="AZ52" s="22">
        <v>0</v>
      </c>
      <c r="BA52" s="22" t="s">
        <v>35</v>
      </c>
      <c r="BB52" s="22">
        <v>1.77345E-2</v>
      </c>
      <c r="BC52" s="34" t="s">
        <v>25</v>
      </c>
      <c r="BE52" s="16"/>
    </row>
    <row r="53" spans="2:57" ht="34" x14ac:dyDescent="0.2">
      <c r="B53" s="16"/>
      <c r="D53" s="11" t="s">
        <v>5</v>
      </c>
      <c r="E53" s="12" t="str">
        <f>VLOOKUP(LOWER(G48),experiments_specs!$A:$J,6,FALSE)</f>
        <v>False</v>
      </c>
      <c r="F53" s="15" t="s">
        <v>138</v>
      </c>
      <c r="G53" s="6" t="s">
        <v>14</v>
      </c>
      <c r="H53" s="18" t="s">
        <v>544</v>
      </c>
      <c r="I53" s="18" t="s">
        <v>546</v>
      </c>
      <c r="J53" s="18" t="s">
        <v>548</v>
      </c>
      <c r="K53" s="18" t="s">
        <v>611</v>
      </c>
      <c r="L53" s="31">
        <v>0.33333333333333331</v>
      </c>
      <c r="M53" s="22" t="s">
        <v>204</v>
      </c>
      <c r="N53" s="22">
        <v>0</v>
      </c>
      <c r="O53" s="22" t="s">
        <v>381</v>
      </c>
      <c r="P53" s="22">
        <v>5.5906999999999997E-3</v>
      </c>
      <c r="Q53" s="34">
        <v>0.66666666666666663</v>
      </c>
      <c r="S53" s="16"/>
      <c r="U53" s="16"/>
      <c r="W53" s="11" t="s">
        <v>5</v>
      </c>
      <c r="X53" s="12" t="str">
        <f>VLOOKUP(LOWER(Z48),experiments_specs!$A:$J,6,FALSE)</f>
        <v>False</v>
      </c>
      <c r="Y53" s="15" t="s">
        <v>144</v>
      </c>
      <c r="Z53" s="6" t="s">
        <v>14</v>
      </c>
      <c r="AA53" s="18" t="s">
        <v>534</v>
      </c>
      <c r="AB53" s="18">
        <v>5.5555500000000001E-2</v>
      </c>
      <c r="AC53" s="18" t="s">
        <v>632</v>
      </c>
      <c r="AD53" s="18">
        <v>7.6628E-3</v>
      </c>
      <c r="AE53" s="31">
        <v>0.33333333333333331</v>
      </c>
      <c r="AF53" s="23" t="s">
        <v>633</v>
      </c>
      <c r="AG53" s="23" t="s">
        <v>185</v>
      </c>
      <c r="AH53" s="23" t="s">
        <v>635</v>
      </c>
      <c r="AI53" s="23" t="s">
        <v>637</v>
      </c>
      <c r="AJ53" s="34">
        <v>0.33333333333333331</v>
      </c>
      <c r="AL53" s="16"/>
      <c r="AN53" s="16"/>
      <c r="AP53" s="11" t="s">
        <v>5</v>
      </c>
      <c r="AQ53" s="12" t="str">
        <f>VLOOKUP(LOWER(AS48),experiments_specs!$A:$J,6,FALSE)</f>
        <v>False</v>
      </c>
      <c r="AR53" s="15" t="s">
        <v>150</v>
      </c>
      <c r="AS53" s="6" t="s">
        <v>14</v>
      </c>
      <c r="AT53" s="18" t="s">
        <v>534</v>
      </c>
      <c r="AU53" s="18">
        <v>5.5555500000000001E-2</v>
      </c>
      <c r="AV53" s="18" t="s">
        <v>632</v>
      </c>
      <c r="AW53" s="18">
        <v>7.9365000000000008E-3</v>
      </c>
      <c r="AX53" s="31">
        <v>0.33333333333333331</v>
      </c>
      <c r="AY53" s="23" t="s">
        <v>633</v>
      </c>
      <c r="AZ53" s="23" t="s">
        <v>185</v>
      </c>
      <c r="BA53" s="23" t="s">
        <v>635</v>
      </c>
      <c r="BB53" s="23" t="s">
        <v>655</v>
      </c>
      <c r="BC53" s="34">
        <v>0.33333333333333331</v>
      </c>
      <c r="BE53" s="16"/>
    </row>
    <row r="54" spans="2:57" ht="17" x14ac:dyDescent="0.2">
      <c r="B54" s="16"/>
      <c r="D54" s="11" t="s">
        <v>6</v>
      </c>
      <c r="E54" s="12" t="str">
        <f>VLOOKUP(LOWER(G48),experiments_specs!$A:$J,7,FALSE)</f>
        <v>True</v>
      </c>
      <c r="F54" s="15" t="s">
        <v>138</v>
      </c>
      <c r="G54" s="6" t="s">
        <v>15</v>
      </c>
      <c r="H54" s="19" t="s">
        <v>552</v>
      </c>
      <c r="I54" s="19">
        <v>0</v>
      </c>
      <c r="J54" s="19" t="s">
        <v>553</v>
      </c>
      <c r="K54" s="19">
        <v>9.7000000000000005E-4</v>
      </c>
      <c r="L54" s="31">
        <v>0.44444444444444442</v>
      </c>
      <c r="M54" s="23" t="s">
        <v>365</v>
      </c>
      <c r="N54" s="23">
        <v>0</v>
      </c>
      <c r="O54" s="23" t="s">
        <v>26</v>
      </c>
      <c r="P54" s="23">
        <v>6.7957E-3</v>
      </c>
      <c r="Q54" s="34">
        <v>0.18181818181818182</v>
      </c>
      <c r="S54" s="16"/>
      <c r="U54" s="16"/>
      <c r="W54" s="11" t="s">
        <v>6</v>
      </c>
      <c r="X54" s="12" t="str">
        <f>VLOOKUP(LOWER(Z48),experiments_specs!$A:$J,7,FALSE)</f>
        <v>True</v>
      </c>
      <c r="Y54" s="15" t="s">
        <v>144</v>
      </c>
      <c r="Z54" s="6" t="s">
        <v>15</v>
      </c>
      <c r="AA54" s="19" t="s">
        <v>639</v>
      </c>
      <c r="AB54" s="19">
        <v>0</v>
      </c>
      <c r="AC54" s="19" t="s">
        <v>435</v>
      </c>
      <c r="AD54" s="19">
        <v>6.0111000000000001E-3</v>
      </c>
      <c r="AE54" s="31">
        <v>0.44444444444444442</v>
      </c>
      <c r="AF54" s="23" t="s">
        <v>365</v>
      </c>
      <c r="AG54" s="23">
        <v>0</v>
      </c>
      <c r="AH54" s="23" t="s">
        <v>26</v>
      </c>
      <c r="AI54" s="23">
        <v>2.7607799999999998E-2</v>
      </c>
      <c r="AJ54" s="34">
        <v>0.18181818181818182</v>
      </c>
      <c r="AL54" s="16"/>
      <c r="AN54" s="16"/>
      <c r="AP54" s="11" t="s">
        <v>6</v>
      </c>
      <c r="AQ54" s="12" t="str">
        <f>VLOOKUP(LOWER(AS48),experiments_specs!$A:$J,7,FALSE)</f>
        <v>True</v>
      </c>
      <c r="AR54" s="15" t="s">
        <v>150</v>
      </c>
      <c r="AS54" s="6" t="s">
        <v>15</v>
      </c>
      <c r="AT54" s="19" t="s">
        <v>639</v>
      </c>
      <c r="AU54" s="19">
        <v>0</v>
      </c>
      <c r="AV54" s="19" t="s">
        <v>435</v>
      </c>
      <c r="AW54" s="19">
        <v>6.4403999999999998E-3</v>
      </c>
      <c r="AX54" s="31">
        <v>0.44444444444444442</v>
      </c>
      <c r="AY54" s="23" t="s">
        <v>365</v>
      </c>
      <c r="AZ54" s="23">
        <v>0</v>
      </c>
      <c r="BA54" s="23" t="s">
        <v>26</v>
      </c>
      <c r="BB54" s="23">
        <v>2.94484E-2</v>
      </c>
      <c r="BC54" s="34">
        <v>0.18181818181818182</v>
      </c>
      <c r="BE54" s="16"/>
    </row>
    <row r="55" spans="2:57" ht="17" x14ac:dyDescent="0.2">
      <c r="B55" s="16"/>
      <c r="D55" s="11" t="s">
        <v>7</v>
      </c>
      <c r="E55" s="12" t="str">
        <f>VLOOKUP(LOWER(G48),experiments_specs!$A:$J,8,FALSE)</f>
        <v>False</v>
      </c>
      <c r="F55" s="15" t="s">
        <v>138</v>
      </c>
      <c r="G55" s="6" t="s">
        <v>16</v>
      </c>
      <c r="H55" s="19" t="s">
        <v>385</v>
      </c>
      <c r="I55" s="19">
        <v>0.1290994</v>
      </c>
      <c r="J55" s="19" t="s">
        <v>554</v>
      </c>
      <c r="K55" s="19">
        <v>1.5150999999999999E-3</v>
      </c>
      <c r="L55" s="31">
        <v>0.14285714285714285</v>
      </c>
      <c r="M55" s="23" t="s">
        <v>432</v>
      </c>
      <c r="N55" s="23">
        <v>6.4549700000000002E-2</v>
      </c>
      <c r="O55" s="23" t="s">
        <v>555</v>
      </c>
      <c r="P55" s="23">
        <v>2.9799000000000002E-3</v>
      </c>
      <c r="Q55" s="34">
        <v>0.13333333333333333</v>
      </c>
      <c r="S55" s="16"/>
      <c r="U55" s="16"/>
      <c r="W55" s="11" t="s">
        <v>7</v>
      </c>
      <c r="X55" s="12" t="str">
        <f>VLOOKUP(LOWER(Z48),experiments_specs!$A:$J,8,FALSE)</f>
        <v>False</v>
      </c>
      <c r="Y55" s="15" t="s">
        <v>144</v>
      </c>
      <c r="Z55" s="6" t="s">
        <v>16</v>
      </c>
      <c r="AA55" s="19" t="s">
        <v>640</v>
      </c>
      <c r="AB55" s="19">
        <v>0</v>
      </c>
      <c r="AC55" s="19" t="s">
        <v>641</v>
      </c>
      <c r="AD55" s="19">
        <v>4.7619000000000003E-3</v>
      </c>
      <c r="AE55" s="31">
        <v>0.13333333333333333</v>
      </c>
      <c r="AF55" s="23" t="s">
        <v>642</v>
      </c>
      <c r="AG55" s="23">
        <v>0</v>
      </c>
      <c r="AH55" s="23" t="s">
        <v>643</v>
      </c>
      <c r="AI55" s="23">
        <v>6.6125999999999997E-3</v>
      </c>
      <c r="AJ55" s="34">
        <v>0.70588235294117652</v>
      </c>
      <c r="AL55" s="16"/>
      <c r="AN55" s="16"/>
      <c r="AP55" s="11" t="s">
        <v>7</v>
      </c>
      <c r="AQ55" s="12" t="str">
        <f>VLOOKUP(LOWER(AS48),experiments_specs!$A:$J,8,FALSE)</f>
        <v>False</v>
      </c>
      <c r="AR55" s="15" t="s">
        <v>150</v>
      </c>
      <c r="AS55" s="6" t="s">
        <v>16</v>
      </c>
      <c r="AT55" s="19" t="s">
        <v>640</v>
      </c>
      <c r="AU55" s="19">
        <v>0</v>
      </c>
      <c r="AV55" s="19" t="s">
        <v>641</v>
      </c>
      <c r="AW55" s="19">
        <v>5.3762999999999997E-3</v>
      </c>
      <c r="AX55" s="31">
        <v>0.13333333333333333</v>
      </c>
      <c r="AY55" s="23" t="s">
        <v>642</v>
      </c>
      <c r="AZ55" s="23">
        <v>0</v>
      </c>
      <c r="BA55" s="23" t="s">
        <v>643</v>
      </c>
      <c r="BB55" s="23">
        <v>6.6125999999999997E-3</v>
      </c>
      <c r="BC55" s="34">
        <v>0.70588235294117652</v>
      </c>
      <c r="BE55" s="16"/>
    </row>
    <row r="56" spans="2:57" ht="409.6" x14ac:dyDescent="0.2">
      <c r="B56" s="16"/>
      <c r="D56" s="11" t="s">
        <v>8</v>
      </c>
      <c r="E56" s="12" t="str">
        <f>VLOOKUP(LOWER(G48),experiments_specs!$A:$J,9,FALSE)</f>
        <v>wup_similarity</v>
      </c>
      <c r="F56" s="15" t="s">
        <v>138</v>
      </c>
      <c r="G56" s="6" t="s">
        <v>17</v>
      </c>
      <c r="H56" s="19" t="s">
        <v>556</v>
      </c>
      <c r="I56" s="19">
        <v>7.7151600000000001E-2</v>
      </c>
      <c r="J56" s="19" t="s">
        <v>557</v>
      </c>
      <c r="K56" s="19">
        <v>1.7933999999999999E-3</v>
      </c>
      <c r="L56" s="31">
        <v>0.44444444444444442</v>
      </c>
      <c r="M56" s="22" t="s">
        <v>434</v>
      </c>
      <c r="N56" s="22">
        <v>0</v>
      </c>
      <c r="O56" s="22" t="s">
        <v>557</v>
      </c>
      <c r="P56" s="22">
        <v>3.405E-3</v>
      </c>
      <c r="Q56" s="34">
        <v>0.44444444444444442</v>
      </c>
      <c r="S56" s="16"/>
      <c r="U56" s="16"/>
      <c r="W56" s="11" t="s">
        <v>8</v>
      </c>
      <c r="X56" s="12" t="str">
        <f>VLOOKUP(LOWER(Z48),experiments_specs!$A:$J,9,FALSE)</f>
        <v>wup_similarity</v>
      </c>
      <c r="Y56" s="15" t="s">
        <v>144</v>
      </c>
      <c r="Z56" s="6" t="s">
        <v>17</v>
      </c>
      <c r="AA56" s="18" t="s">
        <v>644</v>
      </c>
      <c r="AB56" s="18">
        <v>4.8794999999999998E-2</v>
      </c>
      <c r="AC56" s="18" t="s">
        <v>645</v>
      </c>
      <c r="AD56" s="18">
        <v>2.7553999999999999E-3</v>
      </c>
      <c r="AE56" s="31">
        <v>0.22222222222222221</v>
      </c>
      <c r="AF56" s="23" t="s">
        <v>646</v>
      </c>
      <c r="AG56" s="23" t="s">
        <v>185</v>
      </c>
      <c r="AH56" s="23" t="s">
        <v>648</v>
      </c>
      <c r="AI56" s="23" t="s">
        <v>650</v>
      </c>
      <c r="AJ56" s="34">
        <v>0.18181818181818182</v>
      </c>
      <c r="AL56" s="16"/>
      <c r="AN56" s="16"/>
      <c r="AP56" s="11" t="s">
        <v>8</v>
      </c>
      <c r="AQ56" s="12" t="str">
        <f>VLOOKUP(LOWER(AS48),experiments_specs!$A:$J,9,FALSE)</f>
        <v>wup_similarity</v>
      </c>
      <c r="AR56" s="15" t="s">
        <v>150</v>
      </c>
      <c r="AS56" s="6" t="s">
        <v>17</v>
      </c>
      <c r="AT56" s="18" t="s">
        <v>724</v>
      </c>
      <c r="AU56" s="18" t="s">
        <v>726</v>
      </c>
      <c r="AV56" s="18" t="s">
        <v>728</v>
      </c>
      <c r="AW56" s="18" t="s">
        <v>730</v>
      </c>
      <c r="AX56" s="31">
        <v>0.13333333333333333</v>
      </c>
      <c r="AY56" s="23" t="s">
        <v>646</v>
      </c>
      <c r="AZ56" s="23" t="s">
        <v>185</v>
      </c>
      <c r="BA56" s="23" t="s">
        <v>648</v>
      </c>
      <c r="BB56" s="23" t="s">
        <v>650</v>
      </c>
      <c r="BC56" s="34">
        <v>0.18181818181818182</v>
      </c>
      <c r="BE56" s="16"/>
    </row>
    <row r="57" spans="2:57" x14ac:dyDescent="0.2">
      <c r="B57" s="16"/>
      <c r="D57" s="11" t="s">
        <v>9</v>
      </c>
      <c r="E57" s="12" t="str">
        <f>VLOOKUP(LOWER(G48),experiments_specs!$A:$J,10,FALSE)</f>
        <v>False</v>
      </c>
      <c r="F57" s="15" t="s">
        <v>138</v>
      </c>
      <c r="G57" s="7" t="s">
        <v>18</v>
      </c>
      <c r="H57" s="20" t="s">
        <v>556</v>
      </c>
      <c r="I57" s="20">
        <v>6.1084699999999999E-2</v>
      </c>
      <c r="J57" s="20" t="s">
        <v>558</v>
      </c>
      <c r="K57" s="20">
        <v>1.2442E-3</v>
      </c>
      <c r="L57" s="32">
        <v>0.375</v>
      </c>
      <c r="M57" s="24" t="s">
        <v>559</v>
      </c>
      <c r="N57" s="24">
        <v>0</v>
      </c>
      <c r="O57" s="24" t="s">
        <v>560</v>
      </c>
      <c r="P57" s="24">
        <v>2.0151000000000001E-3</v>
      </c>
      <c r="Q57" s="35">
        <v>0.1111111111111111</v>
      </c>
      <c r="S57" s="16"/>
      <c r="U57" s="16"/>
      <c r="W57" s="11" t="s">
        <v>9</v>
      </c>
      <c r="X57" s="12" t="str">
        <f>VLOOKUP(LOWER(Z48),experiments_specs!$A:$J,10,FALSE)</f>
        <v>False</v>
      </c>
      <c r="Y57" s="15" t="s">
        <v>144</v>
      </c>
      <c r="Z57" s="7" t="s">
        <v>18</v>
      </c>
      <c r="AA57" s="20" t="s">
        <v>44</v>
      </c>
      <c r="AB57" s="20">
        <v>0</v>
      </c>
      <c r="AC57" s="20" t="s">
        <v>652</v>
      </c>
      <c r="AD57" s="20">
        <v>9.3279999999999995E-3</v>
      </c>
      <c r="AE57" s="32">
        <v>0.21052631578947367</v>
      </c>
      <c r="AF57" s="24" t="s">
        <v>46</v>
      </c>
      <c r="AG57" s="24">
        <v>0</v>
      </c>
      <c r="AH57" s="24" t="s">
        <v>652</v>
      </c>
      <c r="AI57" s="24">
        <v>1.12485E-2</v>
      </c>
      <c r="AJ57" s="35">
        <v>0.21052631578947367</v>
      </c>
      <c r="AL57" s="16"/>
      <c r="AN57" s="16"/>
      <c r="AP57" s="11" t="s">
        <v>9</v>
      </c>
      <c r="AQ57" s="12" t="str">
        <f>VLOOKUP(LOWER(AS48),experiments_specs!$A:$J,10,FALSE)</f>
        <v>True</v>
      </c>
      <c r="AR57" s="15" t="s">
        <v>150</v>
      </c>
      <c r="AS57" s="7" t="s">
        <v>18</v>
      </c>
      <c r="AT57" s="20" t="s">
        <v>44</v>
      </c>
      <c r="AU57" s="20">
        <v>0</v>
      </c>
      <c r="AV57" s="20" t="s">
        <v>652</v>
      </c>
      <c r="AW57" s="20">
        <v>1.12485E-2</v>
      </c>
      <c r="AX57" s="32">
        <v>0.21052631578947367</v>
      </c>
      <c r="AY57" s="24" t="s">
        <v>46</v>
      </c>
      <c r="AZ57" s="24">
        <v>0</v>
      </c>
      <c r="BA57" s="24" t="s">
        <v>652</v>
      </c>
      <c r="BB57" s="24">
        <v>1.12485E-2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TEST_60</v>
      </c>
      <c r="H59" s="41" t="s">
        <v>124</v>
      </c>
      <c r="I59" s="41"/>
      <c r="J59" s="41"/>
      <c r="K59" s="41"/>
      <c r="L59" s="41"/>
      <c r="M59" s="42" t="s">
        <v>123</v>
      </c>
      <c r="N59" s="42"/>
      <c r="O59" s="42"/>
      <c r="P59" s="42"/>
      <c r="Q59" s="42"/>
      <c r="R59" s="2"/>
      <c r="S59" s="16"/>
      <c r="U59" s="16"/>
      <c r="W59" s="13" t="s">
        <v>126</v>
      </c>
      <c r="X59" s="14"/>
      <c r="Y59" s="9"/>
      <c r="Z59" s="10" t="str">
        <f>"TEST_"&amp;TEXT(RIGHT(Z48,2)+1, "00")</f>
        <v>TEST_66</v>
      </c>
      <c r="AA59" s="41" t="s">
        <v>124</v>
      </c>
      <c r="AB59" s="41"/>
      <c r="AC59" s="41"/>
      <c r="AD59" s="41"/>
      <c r="AE59" s="41"/>
      <c r="AF59" s="42" t="s">
        <v>123</v>
      </c>
      <c r="AG59" s="42"/>
      <c r="AH59" s="42"/>
      <c r="AI59" s="42"/>
      <c r="AJ59" s="42"/>
      <c r="AK59" s="2"/>
      <c r="AL59" s="16"/>
      <c r="AN59" s="16"/>
      <c r="AP59" s="13" t="s">
        <v>126</v>
      </c>
      <c r="AQ59" s="14"/>
      <c r="AR59" s="9"/>
      <c r="AS59" s="10" t="str">
        <f>"TEST_"&amp;TEXT(RIGHT(AS48,2)+1, "00")</f>
        <v>TEST_72</v>
      </c>
      <c r="AT59" s="41" t="s">
        <v>124</v>
      </c>
      <c r="AU59" s="41"/>
      <c r="AV59" s="41"/>
      <c r="AW59" s="41"/>
      <c r="AX59" s="41"/>
      <c r="AY59" s="42" t="s">
        <v>123</v>
      </c>
      <c r="AZ59" s="42"/>
      <c r="BA59" s="42"/>
      <c r="BB59" s="42"/>
      <c r="BC59" s="42"/>
      <c r="BD59" s="2"/>
      <c r="BE59" s="16"/>
    </row>
    <row r="60" spans="2:57" x14ac:dyDescent="0.2">
      <c r="B60" s="16"/>
      <c r="D60" s="11" t="s">
        <v>1</v>
      </c>
      <c r="E60" s="12" t="str">
        <f>VLOOKUP(LOWER(G59),experiments_specs!$A:$J,2,FALSE)</f>
        <v>NN,JJ,VB,VBD,VBG,VBN,VBP,VBZ</v>
      </c>
      <c r="F60" s="15" t="str">
        <f>"{"&amp;LOWER(G59)&amp;".csv}"</f>
        <v>{test_60.csv}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VLOOKUP(LOWER(Z59),experiments_specs!$A:$J,2,FALSE)</f>
        <v>NN,JJ,VB,VBD,VBG,VBN,VBP,VBZ</v>
      </c>
      <c r="Y60" s="15" t="str">
        <f>"{"&amp;LOWER(Z59)&amp;".csv}"</f>
        <v>{test_66.csv}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VLOOKUP(LOWER(AS59),experiments_specs!$A:$J,2,FALSE)</f>
        <v>NN,JJ,VB,VBD,VBG,VBN,VBP,VBZ</v>
      </c>
      <c r="AR60" s="15" t="str">
        <f>"{"&amp;LOWER(AS59)&amp;".csv}"</f>
        <v>{test_72.csv}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51" x14ac:dyDescent="0.2">
      <c r="B61" s="16"/>
      <c r="D61" s="11" t="s">
        <v>2</v>
      </c>
      <c r="E61" s="12">
        <f>VLOOKUP(LOWER(G59),experiments_specs!$A:$J,3,FALSE)</f>
        <v>1</v>
      </c>
      <c r="F61" s="15" t="s">
        <v>139</v>
      </c>
      <c r="G61" s="5" t="s">
        <v>19</v>
      </c>
      <c r="H61" s="17" t="s">
        <v>354</v>
      </c>
      <c r="I61" s="17">
        <v>0</v>
      </c>
      <c r="J61" s="17" t="s">
        <v>533</v>
      </c>
      <c r="K61" s="17">
        <v>9.0019999999999998E-4</v>
      </c>
      <c r="L61" s="30">
        <v>0.19047619047619047</v>
      </c>
      <c r="M61" s="47" t="s">
        <v>561</v>
      </c>
      <c r="N61" s="47" t="s">
        <v>563</v>
      </c>
      <c r="O61" s="47" t="s">
        <v>565</v>
      </c>
      <c r="P61" s="47" t="s">
        <v>613</v>
      </c>
      <c r="Q61" s="33">
        <v>0.11764705882352941</v>
      </c>
      <c r="S61" s="16"/>
      <c r="U61" s="16"/>
      <c r="W61" s="11" t="s">
        <v>2</v>
      </c>
      <c r="X61" s="12">
        <f>VLOOKUP(LOWER(Z59),experiments_specs!$A:$J,3,FALSE)</f>
        <v>1</v>
      </c>
      <c r="Y61" s="15" t="s">
        <v>145</v>
      </c>
      <c r="Z61" s="5" t="s">
        <v>19</v>
      </c>
      <c r="AA61" s="17" t="s">
        <v>354</v>
      </c>
      <c r="AB61" s="17">
        <v>0</v>
      </c>
      <c r="AC61" s="17" t="s">
        <v>533</v>
      </c>
      <c r="AD61" s="17">
        <v>8.0803000000000003E-3</v>
      </c>
      <c r="AE61" s="30">
        <v>0.19047619047619047</v>
      </c>
      <c r="AF61" s="21" t="s">
        <v>47</v>
      </c>
      <c r="AG61" s="21">
        <v>6.3757599999999998E-2</v>
      </c>
      <c r="AH61" s="21" t="s">
        <v>533</v>
      </c>
      <c r="AI61" s="21">
        <v>1.1831899999999999E-2</v>
      </c>
      <c r="AJ61" s="33">
        <v>0.19047619047619047</v>
      </c>
      <c r="AL61" s="16"/>
      <c r="AN61" s="16"/>
      <c r="AP61" s="11" t="s">
        <v>2</v>
      </c>
      <c r="AQ61" s="12">
        <f>VLOOKUP(LOWER(AS59),experiments_specs!$A:$J,3,FALSE)</f>
        <v>1</v>
      </c>
      <c r="AR61" s="15" t="s">
        <v>151</v>
      </c>
      <c r="AS61" s="5" t="s">
        <v>19</v>
      </c>
      <c r="AT61" s="17" t="s">
        <v>354</v>
      </c>
      <c r="AU61" s="17">
        <v>0</v>
      </c>
      <c r="AV61" s="17" t="s">
        <v>533</v>
      </c>
      <c r="AW61" s="17">
        <v>1.10431E-2</v>
      </c>
      <c r="AX61" s="30">
        <v>0.19047619047619047</v>
      </c>
      <c r="AY61" s="21" t="s">
        <v>47</v>
      </c>
      <c r="AZ61" s="21">
        <v>6.3757599999999998E-2</v>
      </c>
      <c r="BA61" s="21" t="s">
        <v>533</v>
      </c>
      <c r="BB61" s="21">
        <v>1.1423900000000001E-2</v>
      </c>
      <c r="BC61" s="33">
        <v>0.19047619047619047</v>
      </c>
      <c r="BE61" s="16"/>
    </row>
    <row r="62" spans="2:57" ht="34" x14ac:dyDescent="0.2">
      <c r="B62" s="16"/>
      <c r="D62" s="11" t="s">
        <v>3</v>
      </c>
      <c r="E62" s="12">
        <f>VLOOKUP(LOWER(G59),experiments_specs!$A:$J,4,FALSE)</f>
        <v>2</v>
      </c>
      <c r="F62" s="15" t="s">
        <v>139</v>
      </c>
      <c r="G62" s="6" t="s">
        <v>12</v>
      </c>
      <c r="H62" s="18" t="s">
        <v>251</v>
      </c>
      <c r="I62" s="18">
        <v>6.5232799999999994E-2</v>
      </c>
      <c r="J62" s="18" t="s">
        <v>577</v>
      </c>
      <c r="K62" s="18">
        <v>1.1498999999999999E-3</v>
      </c>
      <c r="L62" s="31">
        <v>0.125</v>
      </c>
      <c r="M62" s="22" t="s">
        <v>388</v>
      </c>
      <c r="N62" s="22">
        <v>0</v>
      </c>
      <c r="O62" s="22" t="s">
        <v>593</v>
      </c>
      <c r="P62" s="22">
        <v>3.8467000000000002E-3</v>
      </c>
      <c r="Q62" s="34">
        <v>0.16666666666666666</v>
      </c>
      <c r="S62" s="16"/>
      <c r="U62" s="16"/>
      <c r="W62" s="11" t="s">
        <v>3</v>
      </c>
      <c r="X62" s="12">
        <f>VLOOKUP(LOWER(Z59),experiments_specs!$A:$J,4,FALSE)</f>
        <v>2</v>
      </c>
      <c r="Y62" s="15" t="s">
        <v>145</v>
      </c>
      <c r="Z62" s="6" t="s">
        <v>12</v>
      </c>
      <c r="AA62" s="18" t="s">
        <v>660</v>
      </c>
      <c r="AB62" s="18">
        <v>0</v>
      </c>
      <c r="AC62" s="18" t="s">
        <v>661</v>
      </c>
      <c r="AD62" s="18">
        <v>1.7543999999999999E-3</v>
      </c>
      <c r="AE62" s="31">
        <v>0.14285714285714285</v>
      </c>
      <c r="AF62" s="23" t="s">
        <v>390</v>
      </c>
      <c r="AG62" s="23" t="s">
        <v>625</v>
      </c>
      <c r="AH62" s="23" t="s">
        <v>627</v>
      </c>
      <c r="AI62" s="23" t="s">
        <v>678</v>
      </c>
      <c r="AJ62" s="34">
        <v>0.46153846153846156</v>
      </c>
      <c r="AL62" s="16"/>
      <c r="AN62" s="16"/>
      <c r="AP62" s="11" t="s">
        <v>3</v>
      </c>
      <c r="AQ62" s="12">
        <f>VLOOKUP(LOWER(AS59),experiments_specs!$A:$J,4,FALSE)</f>
        <v>2</v>
      </c>
      <c r="AR62" s="15" t="s">
        <v>151</v>
      </c>
      <c r="AS62" s="6" t="s">
        <v>12</v>
      </c>
      <c r="AT62" s="18" t="s">
        <v>623</v>
      </c>
      <c r="AU62" s="18">
        <v>0</v>
      </c>
      <c r="AV62" s="18" t="s">
        <v>624</v>
      </c>
      <c r="AW62" s="18">
        <v>2.0533999999999999E-3</v>
      </c>
      <c r="AX62" s="31">
        <v>0.25</v>
      </c>
      <c r="AY62" s="23" t="s">
        <v>390</v>
      </c>
      <c r="AZ62" s="23" t="s">
        <v>625</v>
      </c>
      <c r="BA62" s="23" t="s">
        <v>627</v>
      </c>
      <c r="BB62" s="23" t="s">
        <v>732</v>
      </c>
      <c r="BC62" s="34">
        <v>0.46153846153846156</v>
      </c>
      <c r="BE62" s="16"/>
    </row>
    <row r="63" spans="2:57" x14ac:dyDescent="0.2">
      <c r="B63" s="16"/>
      <c r="D63" s="11" t="s">
        <v>4</v>
      </c>
      <c r="E63" s="12" t="str">
        <f>VLOOKUP(LOWER(G59),experiments_specs!$A:$J,5,FALSE)</f>
        <v>False</v>
      </c>
      <c r="F63" s="15" t="s">
        <v>139</v>
      </c>
      <c r="G63" s="6" t="s">
        <v>13</v>
      </c>
      <c r="H63" s="19" t="s">
        <v>536</v>
      </c>
      <c r="I63" s="19">
        <v>0</v>
      </c>
      <c r="J63" s="19" t="s">
        <v>537</v>
      </c>
      <c r="K63" s="19">
        <v>2.7103000000000001E-3</v>
      </c>
      <c r="L63" s="31" t="s">
        <v>25</v>
      </c>
      <c r="M63" s="22" t="s">
        <v>252</v>
      </c>
      <c r="N63" s="22">
        <v>0</v>
      </c>
      <c r="O63" s="22" t="s">
        <v>578</v>
      </c>
      <c r="P63" s="22">
        <v>5.1346999999999999E-3</v>
      </c>
      <c r="Q63" s="34">
        <v>0.4</v>
      </c>
      <c r="S63" s="16"/>
      <c r="U63" s="16"/>
      <c r="W63" s="11" t="s">
        <v>4</v>
      </c>
      <c r="X63" s="12" t="str">
        <f>VLOOKUP(LOWER(Z59),experiments_specs!$A:$J,5,FALSE)</f>
        <v>True</v>
      </c>
      <c r="Y63" s="15" t="s">
        <v>145</v>
      </c>
      <c r="Z63" s="6" t="s">
        <v>13</v>
      </c>
      <c r="AA63" s="19" t="s">
        <v>32</v>
      </c>
      <c r="AB63" s="19">
        <v>6.5937999999999997E-2</v>
      </c>
      <c r="AC63" s="19" t="s">
        <v>631</v>
      </c>
      <c r="AD63" s="19">
        <v>6.5938000000000004E-3</v>
      </c>
      <c r="AE63" s="31">
        <v>0.4</v>
      </c>
      <c r="AF63" s="22" t="s">
        <v>34</v>
      </c>
      <c r="AG63" s="22">
        <v>0</v>
      </c>
      <c r="AH63" s="22" t="s">
        <v>35</v>
      </c>
      <c r="AI63" s="22">
        <v>1.5200999999999999E-2</v>
      </c>
      <c r="AJ63" s="34" t="s">
        <v>25</v>
      </c>
      <c r="AL63" s="16"/>
      <c r="AN63" s="16"/>
      <c r="AP63" s="11" t="s">
        <v>4</v>
      </c>
      <c r="AQ63" s="12" t="str">
        <f>VLOOKUP(LOWER(AS59),experiments_specs!$A:$J,5,FALSE)</f>
        <v>True</v>
      </c>
      <c r="AR63" s="15" t="s">
        <v>151</v>
      </c>
      <c r="AS63" s="6" t="s">
        <v>13</v>
      </c>
      <c r="AT63" s="19" t="s">
        <v>696</v>
      </c>
      <c r="AU63" s="19">
        <v>4.0892999999999999E-2</v>
      </c>
      <c r="AV63" s="19" t="s">
        <v>697</v>
      </c>
      <c r="AW63" s="19">
        <v>2.4572999999999999E-3</v>
      </c>
      <c r="AX63" s="31" t="s">
        <v>25</v>
      </c>
      <c r="AY63" s="22" t="s">
        <v>34</v>
      </c>
      <c r="AZ63" s="22">
        <v>0</v>
      </c>
      <c r="BA63" s="22" t="s">
        <v>35</v>
      </c>
      <c r="BB63" s="22">
        <v>1.41876E-2</v>
      </c>
      <c r="BC63" s="34" t="s">
        <v>25</v>
      </c>
      <c r="BE63" s="16"/>
    </row>
    <row r="64" spans="2:57" ht="34" x14ac:dyDescent="0.2">
      <c r="B64" s="16"/>
      <c r="D64" s="11" t="s">
        <v>5</v>
      </c>
      <c r="E64" s="12" t="str">
        <f>VLOOKUP(LOWER(G59),experiments_specs!$A:$J,6,FALSE)</f>
        <v>False</v>
      </c>
      <c r="F64" s="15" t="s">
        <v>139</v>
      </c>
      <c r="G64" s="6" t="s">
        <v>14</v>
      </c>
      <c r="H64" s="18" t="s">
        <v>544</v>
      </c>
      <c r="I64" s="18" t="s">
        <v>546</v>
      </c>
      <c r="J64" s="18" t="s">
        <v>548</v>
      </c>
      <c r="K64" s="18" t="s">
        <v>615</v>
      </c>
      <c r="L64" s="31">
        <v>0.33333333333333331</v>
      </c>
      <c r="M64" s="22" t="s">
        <v>204</v>
      </c>
      <c r="N64" s="22">
        <v>0</v>
      </c>
      <c r="O64" s="22" t="s">
        <v>381</v>
      </c>
      <c r="P64" s="22">
        <v>4.1703E-3</v>
      </c>
      <c r="Q64" s="34">
        <v>0.66666666666666663</v>
      </c>
      <c r="S64" s="16"/>
      <c r="U64" s="16"/>
      <c r="W64" s="11" t="s">
        <v>5</v>
      </c>
      <c r="X64" s="12" t="str">
        <f>VLOOKUP(LOWER(Z59),experiments_specs!$A:$J,6,FALSE)</f>
        <v>False</v>
      </c>
      <c r="Y64" s="15" t="s">
        <v>145</v>
      </c>
      <c r="Z64" s="6" t="s">
        <v>14</v>
      </c>
      <c r="AA64" s="18" t="s">
        <v>534</v>
      </c>
      <c r="AB64" s="18">
        <v>5.5555500000000001E-2</v>
      </c>
      <c r="AC64" s="18" t="s">
        <v>632</v>
      </c>
      <c r="AD64" s="18">
        <v>4.6296000000000002E-3</v>
      </c>
      <c r="AE64" s="31">
        <v>0.33333333333333331</v>
      </c>
      <c r="AF64" s="23" t="s">
        <v>633</v>
      </c>
      <c r="AG64" s="23" t="s">
        <v>185</v>
      </c>
      <c r="AH64" s="23" t="s">
        <v>635</v>
      </c>
      <c r="AI64" s="23" t="s">
        <v>680</v>
      </c>
      <c r="AJ64" s="34">
        <v>0.33333333333333331</v>
      </c>
      <c r="AL64" s="16"/>
      <c r="AN64" s="16"/>
      <c r="AP64" s="11" t="s">
        <v>5</v>
      </c>
      <c r="AQ64" s="12" t="str">
        <f>VLOOKUP(LOWER(AS59),experiments_specs!$A:$J,6,FALSE)</f>
        <v>False</v>
      </c>
      <c r="AR64" s="15" t="s">
        <v>151</v>
      </c>
      <c r="AS64" s="6" t="s">
        <v>14</v>
      </c>
      <c r="AT64" s="18" t="s">
        <v>534</v>
      </c>
      <c r="AU64" s="18">
        <v>5.5555500000000001E-2</v>
      </c>
      <c r="AV64" s="18" t="s">
        <v>632</v>
      </c>
      <c r="AW64" s="18">
        <v>5.6979999999999999E-3</v>
      </c>
      <c r="AX64" s="31">
        <v>0.33333333333333331</v>
      </c>
      <c r="AY64" s="23" t="s">
        <v>633</v>
      </c>
      <c r="AZ64" s="23" t="s">
        <v>185</v>
      </c>
      <c r="BA64" s="23" t="s">
        <v>635</v>
      </c>
      <c r="BB64" s="23" t="s">
        <v>734</v>
      </c>
      <c r="BC64" s="34">
        <v>0.33333333333333331</v>
      </c>
      <c r="BE64" s="16"/>
    </row>
    <row r="65" spans="2:57" ht="17" x14ac:dyDescent="0.2">
      <c r="B65" s="16"/>
      <c r="D65" s="11" t="s">
        <v>6</v>
      </c>
      <c r="E65" s="12" t="str">
        <f>VLOOKUP(LOWER(G59),experiments_specs!$A:$J,7,FALSE)</f>
        <v>True</v>
      </c>
      <c r="F65" s="15" t="s">
        <v>139</v>
      </c>
      <c r="G65" s="6" t="s">
        <v>15</v>
      </c>
      <c r="H65" s="19" t="s">
        <v>596</v>
      </c>
      <c r="I65" s="19">
        <v>0.1104315</v>
      </c>
      <c r="J65" s="19" t="s">
        <v>597</v>
      </c>
      <c r="K65" s="19">
        <v>1.3767E-3</v>
      </c>
      <c r="L65" s="31">
        <v>0.2</v>
      </c>
      <c r="M65" s="23" t="s">
        <v>383</v>
      </c>
      <c r="N65" s="23">
        <v>0</v>
      </c>
      <c r="O65" s="23" t="s">
        <v>597</v>
      </c>
      <c r="P65" s="23">
        <v>7.2649999999999998E-3</v>
      </c>
      <c r="Q65" s="34">
        <v>0.2</v>
      </c>
      <c r="S65" s="16"/>
      <c r="U65" s="16"/>
      <c r="W65" s="11" t="s">
        <v>6</v>
      </c>
      <c r="X65" s="12" t="str">
        <f>VLOOKUP(LOWER(Z59),experiments_specs!$A:$J,7,FALSE)</f>
        <v>True</v>
      </c>
      <c r="Y65" s="15" t="s">
        <v>145</v>
      </c>
      <c r="Z65" s="6" t="s">
        <v>15</v>
      </c>
      <c r="AA65" s="19" t="s">
        <v>409</v>
      </c>
      <c r="AB65" s="19">
        <v>4.7088100000000001E-2</v>
      </c>
      <c r="AC65" s="19" t="s">
        <v>410</v>
      </c>
      <c r="AD65" s="19">
        <v>6.9842999999999997E-3</v>
      </c>
      <c r="AE65" s="31">
        <v>0.22222222222222221</v>
      </c>
      <c r="AF65" s="23" t="s">
        <v>365</v>
      </c>
      <c r="AG65" s="23">
        <v>0</v>
      </c>
      <c r="AH65" s="23" t="s">
        <v>26</v>
      </c>
      <c r="AI65" s="23">
        <v>1.7811500000000001E-2</v>
      </c>
      <c r="AJ65" s="34">
        <v>0.18181818181818182</v>
      </c>
      <c r="AL65" s="16"/>
      <c r="AN65" s="16"/>
      <c r="AP65" s="11" t="s">
        <v>6</v>
      </c>
      <c r="AQ65" s="12" t="str">
        <f>VLOOKUP(LOWER(AS59),experiments_specs!$A:$J,7,FALSE)</f>
        <v>True</v>
      </c>
      <c r="AR65" s="15" t="s">
        <v>151</v>
      </c>
      <c r="AS65" s="6" t="s">
        <v>15</v>
      </c>
      <c r="AT65" s="19" t="s">
        <v>639</v>
      </c>
      <c r="AU65" s="19">
        <v>0</v>
      </c>
      <c r="AV65" s="19" t="s">
        <v>435</v>
      </c>
      <c r="AW65" s="19">
        <v>3.7569000000000001E-3</v>
      </c>
      <c r="AX65" s="31">
        <v>0.44444444444444442</v>
      </c>
      <c r="AY65" s="23" t="s">
        <v>365</v>
      </c>
      <c r="AZ65" s="23">
        <v>0</v>
      </c>
      <c r="BA65" s="23" t="s">
        <v>26</v>
      </c>
      <c r="BB65" s="23">
        <v>2.20863E-2</v>
      </c>
      <c r="BC65" s="34">
        <v>0.18181818181818182</v>
      </c>
      <c r="BE65" s="16"/>
    </row>
    <row r="66" spans="2:57" ht="34" x14ac:dyDescent="0.2">
      <c r="B66" s="16"/>
      <c r="D66" s="11" t="s">
        <v>7</v>
      </c>
      <c r="E66" s="12" t="str">
        <f>VLOOKUP(LOWER(G59),experiments_specs!$A:$J,8,FALSE)</f>
        <v>False</v>
      </c>
      <c r="F66" s="15" t="s">
        <v>139</v>
      </c>
      <c r="G66" s="6" t="s">
        <v>16</v>
      </c>
      <c r="H66" s="19" t="s">
        <v>385</v>
      </c>
      <c r="I66" s="19">
        <v>0.1290994</v>
      </c>
      <c r="J66" s="19" t="s">
        <v>554</v>
      </c>
      <c r="K66" s="19">
        <v>1.1784E-3</v>
      </c>
      <c r="L66" s="31">
        <v>0.14285714285714285</v>
      </c>
      <c r="M66" s="23" t="s">
        <v>582</v>
      </c>
      <c r="N66" s="23" t="s">
        <v>584</v>
      </c>
      <c r="O66" s="23" t="s">
        <v>586</v>
      </c>
      <c r="P66" s="23" t="s">
        <v>617</v>
      </c>
      <c r="Q66" s="34">
        <v>0.15384615384615385</v>
      </c>
      <c r="S66" s="16"/>
      <c r="U66" s="16"/>
      <c r="W66" s="11" t="s">
        <v>7</v>
      </c>
      <c r="X66" s="12" t="str">
        <f>VLOOKUP(LOWER(Z59),experiments_specs!$A:$J,8,FALSE)</f>
        <v>False</v>
      </c>
      <c r="Y66" s="15" t="s">
        <v>145</v>
      </c>
      <c r="Z66" s="6" t="s">
        <v>16</v>
      </c>
      <c r="AA66" s="19" t="s">
        <v>640</v>
      </c>
      <c r="AB66" s="19">
        <v>0</v>
      </c>
      <c r="AC66" s="19" t="s">
        <v>641</v>
      </c>
      <c r="AD66" s="19">
        <v>3.2050999999999998E-3</v>
      </c>
      <c r="AE66" s="31">
        <v>0.13333333333333333</v>
      </c>
      <c r="AF66" s="23" t="s">
        <v>642</v>
      </c>
      <c r="AG66" s="23">
        <v>0</v>
      </c>
      <c r="AH66" s="23" t="s">
        <v>643</v>
      </c>
      <c r="AI66" s="23">
        <v>4.6429000000000002E-3</v>
      </c>
      <c r="AJ66" s="34">
        <v>0.70588235294117652</v>
      </c>
      <c r="AL66" s="16"/>
      <c r="AN66" s="16"/>
      <c r="AP66" s="11" t="s">
        <v>7</v>
      </c>
      <c r="AQ66" s="12" t="str">
        <f>VLOOKUP(LOWER(AS59),experiments_specs!$A:$J,8,FALSE)</f>
        <v>False</v>
      </c>
      <c r="AR66" s="15" t="s">
        <v>151</v>
      </c>
      <c r="AS66" s="6" t="s">
        <v>16</v>
      </c>
      <c r="AT66" s="19" t="s">
        <v>640</v>
      </c>
      <c r="AU66" s="19">
        <v>0</v>
      </c>
      <c r="AV66" s="19" t="s">
        <v>641</v>
      </c>
      <c r="AW66" s="19">
        <v>4.5044999999999998E-3</v>
      </c>
      <c r="AX66" s="31">
        <v>0.13333333333333333</v>
      </c>
      <c r="AY66" s="23" t="s">
        <v>642</v>
      </c>
      <c r="AZ66" s="23">
        <v>0</v>
      </c>
      <c r="BA66" s="23" t="s">
        <v>643</v>
      </c>
      <c r="BB66" s="23">
        <v>5.5953000000000001E-3</v>
      </c>
      <c r="BC66" s="34">
        <v>0.70588235294117652</v>
      </c>
      <c r="BE66" s="16"/>
    </row>
    <row r="67" spans="2:57" ht="34" x14ac:dyDescent="0.2">
      <c r="B67" s="16"/>
      <c r="D67" s="11" t="s">
        <v>8</v>
      </c>
      <c r="E67" s="12" t="str">
        <f>VLOOKUP(LOWER(G59),experiments_specs!$A:$J,9,FALSE)</f>
        <v>wup_similarity</v>
      </c>
      <c r="F67" s="15" t="s">
        <v>139</v>
      </c>
      <c r="G67" s="6" t="s">
        <v>17</v>
      </c>
      <c r="H67" s="18" t="s">
        <v>600</v>
      </c>
      <c r="I67" s="18" t="s">
        <v>602</v>
      </c>
      <c r="J67" s="18" t="s">
        <v>604</v>
      </c>
      <c r="K67" s="18" t="s">
        <v>619</v>
      </c>
      <c r="L67" s="31">
        <v>0.22222222222222221</v>
      </c>
      <c r="M67" s="23" t="s">
        <v>600</v>
      </c>
      <c r="N67" s="23" t="s">
        <v>602</v>
      </c>
      <c r="O67" s="23" t="s">
        <v>604</v>
      </c>
      <c r="P67" s="23" t="s">
        <v>621</v>
      </c>
      <c r="Q67" s="34">
        <v>0.22222222222222221</v>
      </c>
      <c r="S67" s="16"/>
      <c r="U67" s="16"/>
      <c r="W67" s="11" t="s">
        <v>8</v>
      </c>
      <c r="X67" s="12" t="str">
        <f>VLOOKUP(LOWER(Z59),experiments_specs!$A:$J,9,FALSE)</f>
        <v>wup_similarity</v>
      </c>
      <c r="Y67" s="15" t="s">
        <v>145</v>
      </c>
      <c r="Z67" s="6" t="s">
        <v>17</v>
      </c>
      <c r="AA67" s="18" t="s">
        <v>600</v>
      </c>
      <c r="AB67" s="18" t="s">
        <v>602</v>
      </c>
      <c r="AC67" s="18" t="s">
        <v>604</v>
      </c>
      <c r="AD67" s="18" t="s">
        <v>682</v>
      </c>
      <c r="AE67" s="31">
        <v>0.22222222222222221</v>
      </c>
      <c r="AF67" s="23" t="s">
        <v>600</v>
      </c>
      <c r="AG67" s="23" t="s">
        <v>602</v>
      </c>
      <c r="AH67" s="23" t="s">
        <v>604</v>
      </c>
      <c r="AI67" s="23" t="s">
        <v>684</v>
      </c>
      <c r="AJ67" s="34">
        <v>0.22222222222222221</v>
      </c>
      <c r="AL67" s="16"/>
      <c r="AN67" s="16"/>
      <c r="AP67" s="11" t="s">
        <v>8</v>
      </c>
      <c r="AQ67" s="12" t="str">
        <f>VLOOKUP(LOWER(AS59),experiments_specs!$A:$J,9,FALSE)</f>
        <v>wup_similarity</v>
      </c>
      <c r="AR67" s="15" t="s">
        <v>151</v>
      </c>
      <c r="AS67" s="6" t="s">
        <v>17</v>
      </c>
      <c r="AT67" s="18" t="s">
        <v>220</v>
      </c>
      <c r="AU67" s="18">
        <v>0</v>
      </c>
      <c r="AV67" s="18" t="s">
        <v>657</v>
      </c>
      <c r="AW67" s="18">
        <v>3.3062999999999999E-3</v>
      </c>
      <c r="AX67" s="31">
        <v>0.36363636363636365</v>
      </c>
      <c r="AY67" s="23" t="s">
        <v>646</v>
      </c>
      <c r="AZ67" s="23" t="s">
        <v>185</v>
      </c>
      <c r="BA67" s="23" t="s">
        <v>648</v>
      </c>
      <c r="BB67" s="23" t="s">
        <v>736</v>
      </c>
      <c r="BC67" s="34">
        <v>0.18181818181818182</v>
      </c>
      <c r="BE67" s="16"/>
    </row>
    <row r="68" spans="2:57" x14ac:dyDescent="0.2">
      <c r="B68" s="16"/>
      <c r="D68" s="11" t="s">
        <v>9</v>
      </c>
      <c r="E68" s="12" t="str">
        <f>VLOOKUP(LOWER(G59),experiments_specs!$A:$J,10,FALSE)</f>
        <v>False</v>
      </c>
      <c r="F68" s="15" t="s">
        <v>139</v>
      </c>
      <c r="G68" s="7" t="s">
        <v>18</v>
      </c>
      <c r="H68" s="20" t="s">
        <v>556</v>
      </c>
      <c r="I68" s="20">
        <v>6.1084699999999999E-2</v>
      </c>
      <c r="J68" s="20" t="s">
        <v>558</v>
      </c>
      <c r="K68" s="20">
        <v>5.689E-4</v>
      </c>
      <c r="L68" s="32">
        <v>0.375</v>
      </c>
      <c r="M68" s="24" t="s">
        <v>388</v>
      </c>
      <c r="N68" s="24">
        <v>0</v>
      </c>
      <c r="O68" s="24" t="s">
        <v>610</v>
      </c>
      <c r="P68" s="24">
        <v>2.4746999999999998E-3</v>
      </c>
      <c r="Q68" s="35">
        <v>0.11764705882352941</v>
      </c>
      <c r="S68" s="16"/>
      <c r="U68" s="16"/>
      <c r="W68" s="11" t="s">
        <v>9</v>
      </c>
      <c r="X68" s="12" t="str">
        <f>VLOOKUP(LOWER(Z59),experiments_specs!$A:$J,10,FALSE)</f>
        <v>False</v>
      </c>
      <c r="Y68" s="15" t="s">
        <v>145</v>
      </c>
      <c r="Z68" s="7" t="s">
        <v>18</v>
      </c>
      <c r="AA68" s="20" t="s">
        <v>44</v>
      </c>
      <c r="AB68" s="20">
        <v>0</v>
      </c>
      <c r="AC68" s="20" t="s">
        <v>652</v>
      </c>
      <c r="AD68" s="20">
        <v>4.8411000000000001E-3</v>
      </c>
      <c r="AE68" s="32">
        <v>0.21052631578947367</v>
      </c>
      <c r="AF68" s="24" t="s">
        <v>46</v>
      </c>
      <c r="AG68" s="24">
        <v>0</v>
      </c>
      <c r="AH68" s="24" t="s">
        <v>652</v>
      </c>
      <c r="AI68" s="24">
        <v>6.4821999999999996E-3</v>
      </c>
      <c r="AJ68" s="35">
        <v>0.21052631578947367</v>
      </c>
      <c r="AL68" s="16"/>
      <c r="AN68" s="16"/>
      <c r="AP68" s="11" t="s">
        <v>9</v>
      </c>
      <c r="AQ68" s="12" t="str">
        <f>VLOOKUP(LOWER(AS59),experiments_specs!$A:$J,10,FALSE)</f>
        <v>True</v>
      </c>
      <c r="AR68" s="15" t="s">
        <v>151</v>
      </c>
      <c r="AS68" s="7" t="s">
        <v>18</v>
      </c>
      <c r="AT68" s="20" t="s">
        <v>44</v>
      </c>
      <c r="AU68" s="20">
        <v>0</v>
      </c>
      <c r="AV68" s="20" t="s">
        <v>652</v>
      </c>
      <c r="AW68" s="20">
        <v>7.4989999999999996E-3</v>
      </c>
      <c r="AX68" s="32">
        <v>0.21052631578947367</v>
      </c>
      <c r="AY68" s="24" t="s">
        <v>46</v>
      </c>
      <c r="AZ68" s="24">
        <v>0</v>
      </c>
      <c r="BA68" s="24" t="s">
        <v>652</v>
      </c>
      <c r="BB68" s="24">
        <v>7.6490000000000004E-3</v>
      </c>
      <c r="BC68" s="35">
        <v>0.21052631578947367</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59:BC59"/>
    <mergeCell ref="H48:L48"/>
    <mergeCell ref="M48:Q48"/>
    <mergeCell ref="AA48:AE48"/>
    <mergeCell ref="AF48:AJ48"/>
    <mergeCell ref="AT48:AX48"/>
    <mergeCell ref="AY48:BC48"/>
    <mergeCell ref="H59:L59"/>
    <mergeCell ref="M59:Q59"/>
    <mergeCell ref="AA59:AE59"/>
    <mergeCell ref="AF59:AJ59"/>
    <mergeCell ref="AT59:AX59"/>
    <mergeCell ref="AY37:BC37"/>
    <mergeCell ref="H26:L26"/>
    <mergeCell ref="M26:Q26"/>
    <mergeCell ref="AA26:AE26"/>
    <mergeCell ref="AF26:AJ26"/>
    <mergeCell ref="AT26:AX26"/>
    <mergeCell ref="AY26:BC26"/>
    <mergeCell ref="H37:L37"/>
    <mergeCell ref="M37:Q37"/>
    <mergeCell ref="AA37:AE37"/>
    <mergeCell ref="AF37:AJ37"/>
    <mergeCell ref="AT37:AX37"/>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0AE84-955B-B44B-9786-7EFAA76D5F17}">
  <sheetPr codeName="Foglio7"/>
  <dimension ref="B2:BE70"/>
  <sheetViews>
    <sheetView topLeftCell="AQ6" workbookViewId="0">
      <selection activeCell="AJ60" sqref="AJ60:AJ69"/>
    </sheetView>
  </sheetViews>
  <sheetFormatPr baseColWidth="10" defaultRowHeight="16" x14ac:dyDescent="0.2"/>
  <cols>
    <col min="1" max="1" width="2.1640625" customWidth="1"/>
    <col min="2" max="3" width="3.1640625" customWidth="1"/>
    <col min="4" max="4" width="22.33203125" bestFit="1" customWidth="1"/>
    <col min="5" max="5" width="29" bestFit="1" customWidth="1"/>
    <col min="6" max="6" width="1.83203125" customWidth="1"/>
    <col min="7" max="7" width="24.1640625" bestFit="1" customWidth="1"/>
    <col min="8" max="8" width="25.83203125" customWidth="1"/>
    <col min="9" max="9" width="11.83203125" customWidth="1"/>
    <col min="10" max="10" width="25.83203125" customWidth="1"/>
    <col min="11" max="11" width="11.83203125" customWidth="1"/>
    <col min="12" max="12" width="12.1640625" bestFit="1" customWidth="1"/>
    <col min="13" max="13" width="25.83203125" customWidth="1"/>
    <col min="14" max="14" width="11.83203125" customWidth="1"/>
    <col min="15" max="15" width="25.83203125" customWidth="1"/>
    <col min="16" max="16" width="11.83203125" customWidth="1"/>
    <col min="17" max="17" width="12.1640625" bestFit="1" customWidth="1"/>
    <col min="18" max="22" width="3.1640625" customWidth="1"/>
    <col min="23" max="23" width="22.33203125" bestFit="1" customWidth="1"/>
    <col min="24" max="24" width="29" bestFit="1" customWidth="1"/>
    <col min="25" max="25" width="1.83203125" customWidth="1"/>
    <col min="26" max="26" width="24.1640625" bestFit="1" customWidth="1"/>
    <col min="27" max="27" width="25.83203125" customWidth="1"/>
    <col min="28" max="28" width="11.83203125" customWidth="1"/>
    <col min="29" max="29" width="25.83203125" customWidth="1"/>
    <col min="30" max="30" width="11.83203125" customWidth="1"/>
    <col min="31" max="31" width="12.1640625" bestFit="1" customWidth="1"/>
    <col min="32" max="32" width="25.83203125" customWidth="1"/>
    <col min="33" max="33" width="11.83203125" customWidth="1"/>
    <col min="34" max="34" width="25.83203125" customWidth="1"/>
    <col min="35" max="35" width="11.83203125" customWidth="1"/>
    <col min="36" max="36" width="12.1640625" bestFit="1" customWidth="1"/>
    <col min="37" max="41" width="3.1640625" customWidth="1"/>
    <col min="42" max="42" width="22.33203125" bestFit="1" customWidth="1"/>
    <col min="43" max="43" width="29" bestFit="1" customWidth="1"/>
    <col min="44" max="44" width="1.83203125" customWidth="1"/>
    <col min="45" max="45" width="24.1640625" bestFit="1" customWidth="1"/>
    <col min="46" max="46" width="25.83203125" customWidth="1"/>
    <col min="47" max="47" width="11.83203125" customWidth="1"/>
    <col min="48" max="48" width="25.83203125" customWidth="1"/>
    <col min="49" max="49" width="11.83203125" customWidth="1"/>
    <col min="50" max="50" width="12.1640625" bestFit="1" customWidth="1"/>
    <col min="51" max="51" width="25.83203125" customWidth="1"/>
    <col min="52" max="52" width="11.83203125" customWidth="1"/>
    <col min="53" max="53" width="25.83203125" customWidth="1"/>
    <col min="54" max="54" width="11.83203125" customWidth="1"/>
    <col min="55" max="55" width="12.1640625" bestFit="1" customWidth="1"/>
    <col min="56" max="57" width="3.1640625" customWidth="1"/>
  </cols>
  <sheetData>
    <row r="2" spans="2:57" ht="19" x14ac:dyDescent="0.25">
      <c r="B2" s="16"/>
      <c r="C2" s="16"/>
      <c r="D2" s="43" t="s">
        <v>127</v>
      </c>
      <c r="E2" s="43"/>
      <c r="F2" s="43"/>
      <c r="G2" s="43"/>
      <c r="H2" s="43"/>
      <c r="I2" s="43"/>
      <c r="J2" s="43"/>
      <c r="K2" s="43"/>
      <c r="L2" s="43"/>
      <c r="M2" s="43"/>
      <c r="N2" s="43"/>
      <c r="O2" s="43"/>
      <c r="P2" s="43"/>
      <c r="Q2" s="43"/>
      <c r="R2" s="16"/>
      <c r="S2" s="16"/>
      <c r="U2" s="16"/>
      <c r="V2" s="16"/>
      <c r="W2" s="43" t="s">
        <v>128</v>
      </c>
      <c r="X2" s="43"/>
      <c r="Y2" s="43"/>
      <c r="Z2" s="43"/>
      <c r="AA2" s="43"/>
      <c r="AB2" s="43"/>
      <c r="AC2" s="43"/>
      <c r="AD2" s="43"/>
      <c r="AE2" s="43"/>
      <c r="AF2" s="43"/>
      <c r="AG2" s="43"/>
      <c r="AH2" s="43"/>
      <c r="AI2" s="43"/>
      <c r="AJ2" s="43"/>
      <c r="AK2" s="16"/>
      <c r="AL2" s="16"/>
      <c r="AN2" s="16"/>
      <c r="AO2" s="16"/>
      <c r="AP2" s="43" t="s">
        <v>129</v>
      </c>
      <c r="AQ2" s="43"/>
      <c r="AR2" s="43"/>
      <c r="AS2" s="43"/>
      <c r="AT2" s="43"/>
      <c r="AU2" s="43"/>
      <c r="AV2" s="43"/>
      <c r="AW2" s="43"/>
      <c r="AX2" s="43"/>
      <c r="AY2" s="43"/>
      <c r="AZ2" s="43"/>
      <c r="BA2" s="43"/>
      <c r="BB2" s="43"/>
      <c r="BC2" s="43"/>
      <c r="BD2" s="16"/>
      <c r="BE2" s="16"/>
    </row>
    <row r="3" spans="2:57" ht="17" thickBot="1" x14ac:dyDescent="0.25">
      <c r="B3" s="16"/>
      <c r="S3" s="16"/>
      <c r="U3" s="16"/>
      <c r="AL3" s="16"/>
      <c r="AN3" s="16"/>
      <c r="BE3" s="16"/>
    </row>
    <row r="4" spans="2:57" ht="20" thickBot="1" x14ac:dyDescent="0.3">
      <c r="B4" s="16"/>
      <c r="D4" s="13" t="s">
        <v>126</v>
      </c>
      <c r="E4" s="14"/>
      <c r="F4" s="9"/>
      <c r="G4" s="10" t="s">
        <v>170</v>
      </c>
      <c r="H4" s="41" t="s">
        <v>124</v>
      </c>
      <c r="I4" s="41"/>
      <c r="J4" s="41"/>
      <c r="K4" s="41"/>
      <c r="L4" s="41"/>
      <c r="M4" s="42" t="s">
        <v>123</v>
      </c>
      <c r="N4" s="42"/>
      <c r="O4" s="42"/>
      <c r="P4" s="42"/>
      <c r="Q4" s="42"/>
      <c r="R4" s="2"/>
      <c r="S4" s="16"/>
      <c r="U4" s="16"/>
      <c r="W4" s="13" t="s">
        <v>126</v>
      </c>
      <c r="X4" s="14"/>
      <c r="Y4" s="9"/>
      <c r="Z4" s="10" t="str">
        <f>"TEST_"&amp;TEXT(RIGHT(G59,2)+1, "00")</f>
        <v>TEST_79</v>
      </c>
      <c r="AA4" s="41" t="s">
        <v>124</v>
      </c>
      <c r="AB4" s="41"/>
      <c r="AC4" s="41"/>
      <c r="AD4" s="41"/>
      <c r="AE4" s="41"/>
      <c r="AF4" s="42" t="s">
        <v>123</v>
      </c>
      <c r="AG4" s="42"/>
      <c r="AH4" s="42"/>
      <c r="AI4" s="42"/>
      <c r="AJ4" s="42"/>
      <c r="AK4" s="2"/>
      <c r="AL4" s="16"/>
      <c r="AN4" s="16"/>
      <c r="AP4" s="13" t="s">
        <v>126</v>
      </c>
      <c r="AQ4" s="14"/>
      <c r="AR4" s="9"/>
      <c r="AS4" s="10" t="str">
        <f>"TEST_"&amp;TEXT(RIGHT(Z59,2)+1, "00")</f>
        <v>TEST_85</v>
      </c>
      <c r="AT4" s="41" t="s">
        <v>124</v>
      </c>
      <c r="AU4" s="41"/>
      <c r="AV4" s="41"/>
      <c r="AW4" s="41"/>
      <c r="AX4" s="41"/>
      <c r="AY4" s="42" t="s">
        <v>123</v>
      </c>
      <c r="AZ4" s="42"/>
      <c r="BA4" s="42"/>
      <c r="BB4" s="42"/>
      <c r="BC4" s="42"/>
      <c r="BD4" s="2"/>
      <c r="BE4" s="16"/>
    </row>
    <row r="5" spans="2:57" x14ac:dyDescent="0.2">
      <c r="B5" s="16"/>
      <c r="D5" s="11" t="s">
        <v>1</v>
      </c>
      <c r="E5" s="12" t="str">
        <f>VLOOKUP(LOWER(G4),experiments_specs!$A:$J,2,FALSE)</f>
        <v>NN</v>
      </c>
      <c r="F5" s="15" t="str">
        <f>"{"&amp;LOWER(G4)&amp;".csv}"</f>
        <v>{test_73.csv}</v>
      </c>
      <c r="G5" s="8" t="s">
        <v>118</v>
      </c>
      <c r="H5" s="3" t="s">
        <v>119</v>
      </c>
      <c r="I5" s="3" t="s">
        <v>178</v>
      </c>
      <c r="J5" s="3" t="s">
        <v>120</v>
      </c>
      <c r="K5" s="3" t="s">
        <v>178</v>
      </c>
      <c r="L5" s="29" t="s">
        <v>121</v>
      </c>
      <c r="M5" s="4" t="s">
        <v>122</v>
      </c>
      <c r="N5" s="4" t="s">
        <v>178</v>
      </c>
      <c r="O5" s="4" t="s">
        <v>120</v>
      </c>
      <c r="P5" s="4" t="s">
        <v>178</v>
      </c>
      <c r="Q5" s="4" t="s">
        <v>121</v>
      </c>
      <c r="S5" s="16"/>
      <c r="U5" s="16"/>
      <c r="W5" s="11" t="s">
        <v>1</v>
      </c>
      <c r="X5" s="12" t="str">
        <f>VLOOKUP(LOWER(Z4),experiments_specs!$A:$J,2,FALSE)</f>
        <v>NN</v>
      </c>
      <c r="Y5" s="15" t="str">
        <f>"{"&amp;LOWER(Z4)&amp;".csv}"</f>
        <v>{test_79.csv}</v>
      </c>
      <c r="Z5" s="8" t="s">
        <v>118</v>
      </c>
      <c r="AA5" s="3" t="s">
        <v>119</v>
      </c>
      <c r="AB5" s="3" t="s">
        <v>178</v>
      </c>
      <c r="AC5" s="3" t="s">
        <v>120</v>
      </c>
      <c r="AD5" s="3" t="s">
        <v>178</v>
      </c>
      <c r="AE5" s="3" t="s">
        <v>121</v>
      </c>
      <c r="AF5" s="4" t="s">
        <v>122</v>
      </c>
      <c r="AG5" s="4" t="s">
        <v>178</v>
      </c>
      <c r="AH5" s="4" t="s">
        <v>120</v>
      </c>
      <c r="AI5" s="4" t="s">
        <v>178</v>
      </c>
      <c r="AJ5" s="4" t="s">
        <v>121</v>
      </c>
      <c r="AL5" s="16"/>
      <c r="AN5" s="16"/>
      <c r="AP5" s="11" t="s">
        <v>1</v>
      </c>
      <c r="AQ5" s="12" t="str">
        <f>VLOOKUP(LOWER(AS4),experiments_specs!$A:$J,2,FALSE)</f>
        <v>NN</v>
      </c>
      <c r="AR5" s="15" t="str">
        <f>"{"&amp;LOWER(AS4)&amp;".csv}"</f>
        <v>{test_85.csv}</v>
      </c>
      <c r="AS5" s="8" t="s">
        <v>118</v>
      </c>
      <c r="AT5" s="3" t="s">
        <v>119</v>
      </c>
      <c r="AU5" s="3" t="s">
        <v>178</v>
      </c>
      <c r="AV5" s="3" t="s">
        <v>120</v>
      </c>
      <c r="AW5" s="3" t="s">
        <v>178</v>
      </c>
      <c r="AX5" s="3" t="s">
        <v>121</v>
      </c>
      <c r="AY5" s="4" t="s">
        <v>122</v>
      </c>
      <c r="AZ5" s="4" t="s">
        <v>178</v>
      </c>
      <c r="BA5" s="4" t="s">
        <v>120</v>
      </c>
      <c r="BB5" s="4" t="s">
        <v>178</v>
      </c>
      <c r="BC5" s="4" t="s">
        <v>121</v>
      </c>
      <c r="BE5" s="16"/>
    </row>
    <row r="6" spans="2:57" ht="51" x14ac:dyDescent="0.2">
      <c r="B6" s="16"/>
      <c r="D6" s="11" t="s">
        <v>2</v>
      </c>
      <c r="E6" s="12">
        <f>VLOOKUP(LOWER(G4),experiments_specs!$A:$J,3,FALSE)</f>
        <v>1</v>
      </c>
      <c r="F6" s="15" t="s">
        <v>152</v>
      </c>
      <c r="G6" s="5" t="s">
        <v>19</v>
      </c>
      <c r="H6" s="17" t="s">
        <v>738</v>
      </c>
      <c r="I6" s="17" t="s">
        <v>740</v>
      </c>
      <c r="J6" s="17" t="s">
        <v>742</v>
      </c>
      <c r="K6" s="17" t="s">
        <v>744</v>
      </c>
      <c r="L6" s="30">
        <v>0.19047619047619047</v>
      </c>
      <c r="M6" s="21" t="s">
        <v>47</v>
      </c>
      <c r="N6" s="21">
        <v>0.18257409999999999</v>
      </c>
      <c r="O6" s="21" t="s">
        <v>746</v>
      </c>
      <c r="P6" s="21">
        <v>7.0984999999999998E-3</v>
      </c>
      <c r="Q6" s="33">
        <v>0.2</v>
      </c>
      <c r="S6" s="16"/>
      <c r="U6" s="16"/>
      <c r="W6" s="11" t="s">
        <v>2</v>
      </c>
      <c r="X6" s="12">
        <f>VLOOKUP(LOWER(Z4),experiments_specs!$A:$J,3,FALSE)</f>
        <v>1</v>
      </c>
      <c r="Y6" s="15" t="s">
        <v>158</v>
      </c>
      <c r="Z6" s="5" t="s">
        <v>19</v>
      </c>
      <c r="AA6" s="17" t="s">
        <v>179</v>
      </c>
      <c r="AB6" s="17" t="s">
        <v>497</v>
      </c>
      <c r="AC6" s="17" t="s">
        <v>890</v>
      </c>
      <c r="AD6" s="17" t="s">
        <v>892</v>
      </c>
      <c r="AE6" s="30">
        <v>0.19047619047619047</v>
      </c>
      <c r="AF6" s="21" t="s">
        <v>47</v>
      </c>
      <c r="AG6" s="21">
        <v>0.18731709999999999</v>
      </c>
      <c r="AH6" s="21" t="s">
        <v>746</v>
      </c>
      <c r="AI6" s="21">
        <v>3.74115E-2</v>
      </c>
      <c r="AJ6" s="33">
        <v>0.2</v>
      </c>
      <c r="AL6" s="16"/>
      <c r="AN6" s="16"/>
      <c r="AP6" s="11" t="s">
        <v>2</v>
      </c>
      <c r="AQ6" s="12">
        <f>VLOOKUP(LOWER(AS4),experiments_specs!$A:$J,3,FALSE)</f>
        <v>1</v>
      </c>
      <c r="AR6" s="15" t="s">
        <v>164</v>
      </c>
      <c r="AS6" s="5" t="s">
        <v>19</v>
      </c>
      <c r="AT6" s="17" t="s">
        <v>179</v>
      </c>
      <c r="AU6" s="17" t="s">
        <v>497</v>
      </c>
      <c r="AV6" s="17" t="s">
        <v>890</v>
      </c>
      <c r="AW6" s="17" t="s">
        <v>892</v>
      </c>
      <c r="AX6" s="30">
        <v>0.19047619047619047</v>
      </c>
      <c r="AY6" s="21" t="s">
        <v>47</v>
      </c>
      <c r="AZ6" s="21">
        <v>0.18731709999999999</v>
      </c>
      <c r="BA6" s="21" t="s">
        <v>746</v>
      </c>
      <c r="BB6" s="21">
        <v>3.3848499999999997E-2</v>
      </c>
      <c r="BC6" s="33">
        <v>0.2</v>
      </c>
      <c r="BE6" s="16"/>
    </row>
    <row r="7" spans="2:57" ht="170" x14ac:dyDescent="0.2">
      <c r="B7" s="16"/>
      <c r="D7" s="11" t="s">
        <v>3</v>
      </c>
      <c r="E7" s="12">
        <f>VLOOKUP(LOWER(G4),experiments_specs!$A:$J,4,FALSE)</f>
        <v>2</v>
      </c>
      <c r="F7" s="15" t="s">
        <v>152</v>
      </c>
      <c r="G7" s="6" t="s">
        <v>12</v>
      </c>
      <c r="H7" s="18" t="s">
        <v>747</v>
      </c>
      <c r="I7" s="18" t="s">
        <v>749</v>
      </c>
      <c r="J7" s="18" t="s">
        <v>751</v>
      </c>
      <c r="K7" s="18" t="s">
        <v>753</v>
      </c>
      <c r="L7" s="31">
        <v>0.2857142857142857</v>
      </c>
      <c r="M7" s="23" t="s">
        <v>755</v>
      </c>
      <c r="N7" s="23" t="s">
        <v>757</v>
      </c>
      <c r="O7" s="23" t="s">
        <v>759</v>
      </c>
      <c r="P7" s="23" t="s">
        <v>761</v>
      </c>
      <c r="Q7" s="34">
        <v>0.42857142857142855</v>
      </c>
      <c r="S7" s="16"/>
      <c r="U7" s="16"/>
      <c r="W7" s="11" t="s">
        <v>3</v>
      </c>
      <c r="X7" s="12">
        <f>VLOOKUP(LOWER(Z4),experiments_specs!$A:$J,4,FALSE)</f>
        <v>2</v>
      </c>
      <c r="Y7" s="15" t="s">
        <v>158</v>
      </c>
      <c r="Z7" s="6" t="s">
        <v>12</v>
      </c>
      <c r="AA7" s="18" t="s">
        <v>894</v>
      </c>
      <c r="AB7" s="18" t="s">
        <v>896</v>
      </c>
      <c r="AC7" s="18" t="s">
        <v>898</v>
      </c>
      <c r="AD7" s="18" t="s">
        <v>900</v>
      </c>
      <c r="AE7" s="31">
        <v>0.42857142857142855</v>
      </c>
      <c r="AF7" s="23" t="s">
        <v>390</v>
      </c>
      <c r="AG7" s="23" t="s">
        <v>902</v>
      </c>
      <c r="AH7" s="23" t="s">
        <v>904</v>
      </c>
      <c r="AI7" s="23" t="s">
        <v>906</v>
      </c>
      <c r="AJ7" s="34">
        <v>0.42857142857142855</v>
      </c>
      <c r="AL7" s="16"/>
      <c r="AN7" s="16"/>
      <c r="AP7" s="11" t="s">
        <v>3</v>
      </c>
      <c r="AQ7" s="12">
        <f>VLOOKUP(LOWER(AS4),experiments_specs!$A:$J,4,FALSE)</f>
        <v>2</v>
      </c>
      <c r="AR7" s="15" t="s">
        <v>164</v>
      </c>
      <c r="AS7" s="6" t="s">
        <v>12</v>
      </c>
      <c r="AT7" s="18" t="s">
        <v>894</v>
      </c>
      <c r="AU7" s="18" t="s">
        <v>896</v>
      </c>
      <c r="AV7" s="18" t="s">
        <v>898</v>
      </c>
      <c r="AW7" s="18" t="s">
        <v>900</v>
      </c>
      <c r="AX7" s="31">
        <v>0.42857142857142855</v>
      </c>
      <c r="AY7" s="23" t="s">
        <v>390</v>
      </c>
      <c r="AZ7" s="23" t="s">
        <v>902</v>
      </c>
      <c r="BA7" s="23" t="s">
        <v>904</v>
      </c>
      <c r="BB7" s="23" t="s">
        <v>906</v>
      </c>
      <c r="BC7" s="34">
        <v>0.42857142857142855</v>
      </c>
      <c r="BE7" s="16"/>
    </row>
    <row r="8" spans="2:57" x14ac:dyDescent="0.2">
      <c r="B8" s="16"/>
      <c r="D8" s="11" t="s">
        <v>4</v>
      </c>
      <c r="E8" s="12" t="str">
        <f>VLOOKUP(LOWER(G4),experiments_specs!$A:$J,5,FALSE)</f>
        <v>False</v>
      </c>
      <c r="F8" s="15" t="s">
        <v>152</v>
      </c>
      <c r="G8" s="6" t="s">
        <v>13</v>
      </c>
      <c r="H8" s="19" t="s">
        <v>425</v>
      </c>
      <c r="I8" s="19">
        <v>0.1240347</v>
      </c>
      <c r="J8" s="19" t="s">
        <v>426</v>
      </c>
      <c r="K8" s="19">
        <v>1.37894E-2</v>
      </c>
      <c r="L8" s="31" t="s">
        <v>25</v>
      </c>
      <c r="M8" s="22" t="s">
        <v>427</v>
      </c>
      <c r="N8" s="22">
        <v>0.1240347</v>
      </c>
      <c r="O8" s="22" t="s">
        <v>426</v>
      </c>
      <c r="P8" s="22">
        <v>1.45871E-2</v>
      </c>
      <c r="Q8" s="34" t="s">
        <v>25</v>
      </c>
      <c r="S8" s="16"/>
      <c r="U8" s="16"/>
      <c r="W8" s="11" t="s">
        <v>4</v>
      </c>
      <c r="X8" s="12" t="str">
        <f>VLOOKUP(LOWER(Z4),experiments_specs!$A:$J,5,FALSE)</f>
        <v>True</v>
      </c>
      <c r="Y8" s="15" t="s">
        <v>158</v>
      </c>
      <c r="Z8" s="6" t="s">
        <v>13</v>
      </c>
      <c r="AA8" s="19" t="s">
        <v>35</v>
      </c>
      <c r="AB8" s="19">
        <v>0.1290994</v>
      </c>
      <c r="AC8" s="19" t="s">
        <v>908</v>
      </c>
      <c r="AD8" s="19">
        <v>4.65847E-2</v>
      </c>
      <c r="AE8" s="31" t="s">
        <v>25</v>
      </c>
      <c r="AF8" s="22" t="s">
        <v>34</v>
      </c>
      <c r="AG8" s="22">
        <v>0.1290994</v>
      </c>
      <c r="AH8" s="22" t="s">
        <v>908</v>
      </c>
      <c r="AI8" s="22">
        <v>5.5901600000000003E-2</v>
      </c>
      <c r="AJ8" s="34" t="s">
        <v>25</v>
      </c>
      <c r="AL8" s="16"/>
      <c r="AN8" s="16"/>
      <c r="AP8" s="11" t="s">
        <v>4</v>
      </c>
      <c r="AQ8" s="12" t="str">
        <f>VLOOKUP(LOWER(AS4),experiments_specs!$A:$J,5,FALSE)</f>
        <v>True</v>
      </c>
      <c r="AR8" s="15" t="s">
        <v>164</v>
      </c>
      <c r="AS8" s="6" t="s">
        <v>13</v>
      </c>
      <c r="AT8" s="19" t="s">
        <v>35</v>
      </c>
      <c r="AU8" s="19">
        <v>0.12803680000000001</v>
      </c>
      <c r="AV8" s="19" t="s">
        <v>908</v>
      </c>
      <c r="AW8" s="19">
        <v>4.6201300000000001E-2</v>
      </c>
      <c r="AX8" s="31" t="s">
        <v>25</v>
      </c>
      <c r="AY8" s="22" t="s">
        <v>34</v>
      </c>
      <c r="AZ8" s="22">
        <v>0.12803680000000001</v>
      </c>
      <c r="BA8" s="22" t="s">
        <v>908</v>
      </c>
      <c r="BB8" s="22">
        <v>4.6201300000000001E-2</v>
      </c>
      <c r="BC8" s="34" t="s">
        <v>25</v>
      </c>
      <c r="BE8" s="16"/>
    </row>
    <row r="9" spans="2:57" ht="34" x14ac:dyDescent="0.2">
      <c r="B9" s="16"/>
      <c r="D9" s="11" t="s">
        <v>5</v>
      </c>
      <c r="E9" s="12" t="str">
        <f>VLOOKUP(LOWER(G4),experiments_specs!$A:$J,6,FALSE)</f>
        <v>False</v>
      </c>
      <c r="F9" s="15" t="s">
        <v>152</v>
      </c>
      <c r="G9" s="6" t="s">
        <v>14</v>
      </c>
      <c r="H9" s="18" t="s">
        <v>763</v>
      </c>
      <c r="I9" s="18" t="s">
        <v>765</v>
      </c>
      <c r="J9" s="18" t="s">
        <v>767</v>
      </c>
      <c r="K9" s="18" t="s">
        <v>769</v>
      </c>
      <c r="L9" s="31">
        <v>0.25</v>
      </c>
      <c r="M9" s="22" t="s">
        <v>430</v>
      </c>
      <c r="N9" s="22">
        <v>0.1601281</v>
      </c>
      <c r="O9" s="22" t="s">
        <v>429</v>
      </c>
      <c r="P9" s="22">
        <v>1.1008E-2</v>
      </c>
      <c r="Q9" s="34">
        <v>0.125</v>
      </c>
      <c r="S9" s="16"/>
      <c r="U9" s="16"/>
      <c r="W9" s="11" t="s">
        <v>5</v>
      </c>
      <c r="X9" s="12" t="str">
        <f>VLOOKUP(LOWER(Z4),experiments_specs!$A:$J,6,FALSE)</f>
        <v>False</v>
      </c>
      <c r="Y9" s="15" t="s">
        <v>158</v>
      </c>
      <c r="Z9" s="6" t="s">
        <v>14</v>
      </c>
      <c r="AA9" s="19" t="s">
        <v>449</v>
      </c>
      <c r="AB9" s="19">
        <v>0.26919090000000001</v>
      </c>
      <c r="AC9" s="19" t="s">
        <v>450</v>
      </c>
      <c r="AD9" s="19">
        <v>1.8241199999999999E-2</v>
      </c>
      <c r="AE9" s="31">
        <v>0.2857142857142857</v>
      </c>
      <c r="AF9" s="22" t="s">
        <v>451</v>
      </c>
      <c r="AG9" s="22">
        <v>0.1203858</v>
      </c>
      <c r="AH9" s="22" t="s">
        <v>449</v>
      </c>
      <c r="AI9" s="22">
        <v>3.36488E-2</v>
      </c>
      <c r="AJ9" s="34">
        <v>0.30769230769230771</v>
      </c>
      <c r="AL9" s="16"/>
      <c r="AN9" s="16"/>
      <c r="AP9" s="11" t="s">
        <v>5</v>
      </c>
      <c r="AQ9" s="12" t="str">
        <f>VLOOKUP(LOWER(AS4),experiments_specs!$A:$J,6,FALSE)</f>
        <v>False</v>
      </c>
      <c r="AR9" s="15" t="s">
        <v>164</v>
      </c>
      <c r="AS9" s="6" t="s">
        <v>14</v>
      </c>
      <c r="AT9" s="18" t="s">
        <v>449</v>
      </c>
      <c r="AU9" s="18">
        <v>0.27116299999999999</v>
      </c>
      <c r="AV9" s="18" t="s">
        <v>450</v>
      </c>
      <c r="AW9" s="18">
        <v>1.83748E-2</v>
      </c>
      <c r="AX9" s="31">
        <v>0.2857142857142857</v>
      </c>
      <c r="AY9" s="22" t="s">
        <v>451</v>
      </c>
      <c r="AZ9" s="22">
        <v>0.1212678</v>
      </c>
      <c r="BA9" s="22" t="s">
        <v>449</v>
      </c>
      <c r="BB9" s="22">
        <v>3.1288000000000003E-2</v>
      </c>
      <c r="BC9" s="34">
        <v>0.30769230769230771</v>
      </c>
      <c r="BE9" s="16"/>
    </row>
    <row r="10" spans="2:57" ht="51" x14ac:dyDescent="0.2">
      <c r="B10" s="16"/>
      <c r="D10" s="11" t="s">
        <v>6</v>
      </c>
      <c r="E10" s="12" t="str">
        <f>VLOOKUP(LOWER(G4),experiments_specs!$A:$J,7,FALSE)</f>
        <v>False</v>
      </c>
      <c r="F10" s="15" t="s">
        <v>152</v>
      </c>
      <c r="G10" s="6" t="s">
        <v>15</v>
      </c>
      <c r="H10" s="18" t="s">
        <v>771</v>
      </c>
      <c r="I10" s="18" t="s">
        <v>773</v>
      </c>
      <c r="J10" s="18" t="s">
        <v>775</v>
      </c>
      <c r="K10" s="18" t="s">
        <v>777</v>
      </c>
      <c r="L10" s="31">
        <v>0.16666666666666666</v>
      </c>
      <c r="M10" s="23" t="s">
        <v>363</v>
      </c>
      <c r="N10" s="23">
        <v>0.1754116</v>
      </c>
      <c r="O10" s="23" t="s">
        <v>779</v>
      </c>
      <c r="P10" s="23">
        <v>1.35292E-2</v>
      </c>
      <c r="Q10" s="34">
        <v>0.18181818181818182</v>
      </c>
      <c r="S10" s="16"/>
      <c r="U10" s="16"/>
      <c r="W10" s="11" t="s">
        <v>6</v>
      </c>
      <c r="X10" s="12" t="str">
        <f>VLOOKUP(LOWER(Z4),experiments_specs!$A:$J,7,FALSE)</f>
        <v>False</v>
      </c>
      <c r="Y10" s="15" t="s">
        <v>158</v>
      </c>
      <c r="Z10" s="6" t="s">
        <v>15</v>
      </c>
      <c r="AA10" s="18" t="s">
        <v>909</v>
      </c>
      <c r="AB10" s="18" t="s">
        <v>911</v>
      </c>
      <c r="AC10" s="18" t="s">
        <v>913</v>
      </c>
      <c r="AD10" s="18" t="s">
        <v>915</v>
      </c>
      <c r="AE10" s="31">
        <v>0.16666666666666666</v>
      </c>
      <c r="AF10" s="23" t="s">
        <v>184</v>
      </c>
      <c r="AG10" s="23" t="s">
        <v>917</v>
      </c>
      <c r="AH10" s="23" t="s">
        <v>919</v>
      </c>
      <c r="AI10" s="23" t="s">
        <v>921</v>
      </c>
      <c r="AJ10" s="34">
        <v>0.18181818181818182</v>
      </c>
      <c r="AL10" s="16"/>
      <c r="AN10" s="16"/>
      <c r="AP10" s="11" t="s">
        <v>6</v>
      </c>
      <c r="AQ10" s="12" t="str">
        <f>VLOOKUP(LOWER(AS4),experiments_specs!$A:$J,7,FALSE)</f>
        <v>False</v>
      </c>
      <c r="AR10" s="15" t="s">
        <v>164</v>
      </c>
      <c r="AS10" s="6" t="s">
        <v>15</v>
      </c>
      <c r="AT10" s="18" t="s">
        <v>909</v>
      </c>
      <c r="AU10" s="18" t="s">
        <v>911</v>
      </c>
      <c r="AV10" s="18" t="s">
        <v>913</v>
      </c>
      <c r="AW10" s="18" t="s">
        <v>915</v>
      </c>
      <c r="AX10" s="31">
        <v>0.16666666666666666</v>
      </c>
      <c r="AY10" s="23" t="s">
        <v>184</v>
      </c>
      <c r="AZ10" s="23" t="s">
        <v>917</v>
      </c>
      <c r="BA10" s="23" t="s">
        <v>919</v>
      </c>
      <c r="BB10" s="23" t="s">
        <v>921</v>
      </c>
      <c r="BC10" s="34">
        <v>0.18181818181818182</v>
      </c>
      <c r="BE10" s="16"/>
    </row>
    <row r="11" spans="2:57" ht="119" x14ac:dyDescent="0.2">
      <c r="B11" s="16"/>
      <c r="D11" s="11" t="s">
        <v>7</v>
      </c>
      <c r="E11" s="12" t="str">
        <f>VLOOKUP(LOWER(G4),experiments_specs!$A:$J,8,FALSE)</f>
        <v>True</v>
      </c>
      <c r="F11" s="15" t="s">
        <v>152</v>
      </c>
      <c r="G11" s="6" t="s">
        <v>16</v>
      </c>
      <c r="H11" s="19" t="s">
        <v>556</v>
      </c>
      <c r="I11" s="19">
        <v>0.16783619999999999</v>
      </c>
      <c r="J11" s="19" t="s">
        <v>780</v>
      </c>
      <c r="K11" s="19">
        <v>4.3226000000000002E-3</v>
      </c>
      <c r="L11" s="31">
        <v>0.46153846153846156</v>
      </c>
      <c r="M11" s="23" t="s">
        <v>388</v>
      </c>
      <c r="N11" s="23">
        <v>0.11867809999999999</v>
      </c>
      <c r="O11" s="23" t="s">
        <v>440</v>
      </c>
      <c r="P11" s="23">
        <v>6.8484000000000001E-3</v>
      </c>
      <c r="Q11" s="34">
        <v>0.14285714285714285</v>
      </c>
      <c r="S11" s="16"/>
      <c r="U11" s="16"/>
      <c r="W11" s="11" t="s">
        <v>7</v>
      </c>
      <c r="X11" s="12" t="str">
        <f>VLOOKUP(LOWER(Z4),experiments_specs!$A:$J,8,FALSE)</f>
        <v>True</v>
      </c>
      <c r="Y11" s="15" t="s">
        <v>158</v>
      </c>
      <c r="Z11" s="6" t="s">
        <v>16</v>
      </c>
      <c r="AA11" s="18" t="s">
        <v>923</v>
      </c>
      <c r="AB11" s="18" t="s">
        <v>925</v>
      </c>
      <c r="AC11" s="18" t="s">
        <v>927</v>
      </c>
      <c r="AD11" s="18" t="s">
        <v>929</v>
      </c>
      <c r="AE11" s="31">
        <v>0.2857142857142857</v>
      </c>
      <c r="AF11" s="23" t="s">
        <v>931</v>
      </c>
      <c r="AG11" s="23" t="s">
        <v>933</v>
      </c>
      <c r="AH11" s="23" t="s">
        <v>935</v>
      </c>
      <c r="AI11" s="23" t="s">
        <v>937</v>
      </c>
      <c r="AJ11" s="34">
        <v>0.23529411764705882</v>
      </c>
      <c r="AL11" s="16"/>
      <c r="AN11" s="16"/>
      <c r="AP11" s="11" t="s">
        <v>7</v>
      </c>
      <c r="AQ11" s="12" t="str">
        <f>VLOOKUP(LOWER(AS4),experiments_specs!$A:$J,8,FALSE)</f>
        <v>True</v>
      </c>
      <c r="AR11" s="15" t="s">
        <v>164</v>
      </c>
      <c r="AS11" s="6" t="s">
        <v>16</v>
      </c>
      <c r="AT11" s="18" t="s">
        <v>923</v>
      </c>
      <c r="AU11" s="18" t="s">
        <v>925</v>
      </c>
      <c r="AV11" s="18" t="s">
        <v>927</v>
      </c>
      <c r="AW11" s="18" t="s">
        <v>1189</v>
      </c>
      <c r="AX11" s="31">
        <v>0.2857142857142857</v>
      </c>
      <c r="AY11" s="23" t="s">
        <v>931</v>
      </c>
      <c r="AZ11" s="23" t="s">
        <v>933</v>
      </c>
      <c r="BA11" s="23" t="s">
        <v>935</v>
      </c>
      <c r="BB11" s="23" t="s">
        <v>937</v>
      </c>
      <c r="BC11" s="34">
        <v>0.23529411764705882</v>
      </c>
      <c r="BE11" s="16"/>
    </row>
    <row r="12" spans="2:57" ht="34" x14ac:dyDescent="0.2">
      <c r="B12" s="16"/>
      <c r="D12" s="11" t="s">
        <v>8</v>
      </c>
      <c r="E12" s="12" t="str">
        <f>VLOOKUP(LOWER(G4),experiments_specs!$A:$J,9,FALSE)</f>
        <v>wup_similarity</v>
      </c>
      <c r="F12" s="15" t="s">
        <v>152</v>
      </c>
      <c r="G12" s="6" t="s">
        <v>17</v>
      </c>
      <c r="H12" s="19" t="s">
        <v>556</v>
      </c>
      <c r="I12" s="19">
        <v>0.1740776</v>
      </c>
      <c r="J12" s="19" t="s">
        <v>780</v>
      </c>
      <c r="K12" s="19">
        <v>4.3696999999999998E-3</v>
      </c>
      <c r="L12" s="31">
        <v>0.44444444444444442</v>
      </c>
      <c r="M12" s="22" t="s">
        <v>434</v>
      </c>
      <c r="N12" s="22">
        <v>0.1230914</v>
      </c>
      <c r="O12" s="22" t="s">
        <v>780</v>
      </c>
      <c r="P12" s="22">
        <v>8.1489000000000006E-3</v>
      </c>
      <c r="Q12" s="34">
        <v>0.44444444444444442</v>
      </c>
      <c r="S12" s="16"/>
      <c r="U12" s="16"/>
      <c r="W12" s="11" t="s">
        <v>8</v>
      </c>
      <c r="X12" s="12" t="str">
        <f>VLOOKUP(LOWER(Z4),experiments_specs!$A:$J,9,FALSE)</f>
        <v>wup_similarity</v>
      </c>
      <c r="Y12" s="15" t="s">
        <v>158</v>
      </c>
      <c r="Z12" s="6" t="s">
        <v>17</v>
      </c>
      <c r="AA12" s="19" t="s">
        <v>939</v>
      </c>
      <c r="AB12" s="19">
        <v>0.13483990000000001</v>
      </c>
      <c r="AC12" s="19" t="s">
        <v>940</v>
      </c>
      <c r="AD12" s="19">
        <v>2.2019199999999999E-2</v>
      </c>
      <c r="AE12" s="31">
        <v>0.26666666666666666</v>
      </c>
      <c r="AF12" s="23" t="s">
        <v>646</v>
      </c>
      <c r="AG12" s="23" t="s">
        <v>466</v>
      </c>
      <c r="AH12" s="23" t="s">
        <v>941</v>
      </c>
      <c r="AI12" s="23" t="s">
        <v>943</v>
      </c>
      <c r="AJ12" s="34">
        <v>0.16666666666666666</v>
      </c>
      <c r="AL12" s="16"/>
      <c r="AN12" s="16"/>
      <c r="AP12" s="11" t="s">
        <v>8</v>
      </c>
      <c r="AQ12" s="12" t="str">
        <f>VLOOKUP(LOWER(AS4),experiments_specs!$A:$J,9,FALSE)</f>
        <v>wup_similarity</v>
      </c>
      <c r="AR12" s="15" t="s">
        <v>164</v>
      </c>
      <c r="AS12" s="6" t="s">
        <v>17</v>
      </c>
      <c r="AT12" s="19" t="s">
        <v>939</v>
      </c>
      <c r="AU12" s="19">
        <v>0.13483990000000001</v>
      </c>
      <c r="AV12" s="19" t="s">
        <v>940</v>
      </c>
      <c r="AW12" s="19">
        <v>2.2936700000000001E-2</v>
      </c>
      <c r="AX12" s="31">
        <v>0.26666666666666666</v>
      </c>
      <c r="AY12" s="23" t="s">
        <v>646</v>
      </c>
      <c r="AZ12" s="23" t="s">
        <v>466</v>
      </c>
      <c r="BA12" s="23" t="s">
        <v>941</v>
      </c>
      <c r="BB12" s="23" t="s">
        <v>943</v>
      </c>
      <c r="BC12" s="34">
        <v>0.16666666666666666</v>
      </c>
      <c r="BE12" s="16"/>
    </row>
    <row r="13" spans="2:57" ht="68" x14ac:dyDescent="0.2">
      <c r="B13" s="16"/>
      <c r="D13" s="11" t="s">
        <v>9</v>
      </c>
      <c r="E13" s="12" t="str">
        <f>VLOOKUP(LOWER(G4),experiments_specs!$A:$J,10,FALSE)</f>
        <v>False</v>
      </c>
      <c r="F13" s="15" t="s">
        <v>152</v>
      </c>
      <c r="G13" s="7" t="s">
        <v>18</v>
      </c>
      <c r="H13" s="20" t="s">
        <v>44</v>
      </c>
      <c r="I13" s="20">
        <v>0.1015346</v>
      </c>
      <c r="J13" s="20" t="s">
        <v>781</v>
      </c>
      <c r="K13" s="20">
        <v>3.2904000000000002E-3</v>
      </c>
      <c r="L13" s="32">
        <v>0.21052631578947367</v>
      </c>
      <c r="M13" s="24" t="s">
        <v>388</v>
      </c>
      <c r="N13" s="24">
        <v>0.1015346</v>
      </c>
      <c r="O13" s="24" t="s">
        <v>440</v>
      </c>
      <c r="P13" s="24">
        <v>4.8770999999999997E-3</v>
      </c>
      <c r="Q13" s="35">
        <v>0.11764705882352941</v>
      </c>
      <c r="S13" s="16"/>
      <c r="U13" s="16"/>
      <c r="W13" s="11" t="s">
        <v>9</v>
      </c>
      <c r="X13" s="12" t="str">
        <f>VLOOKUP(LOWER(Z4),experiments_specs!$A:$J,10,FALSE)</f>
        <v>False</v>
      </c>
      <c r="Y13" s="15" t="s">
        <v>158</v>
      </c>
      <c r="Z13" s="7" t="s">
        <v>18</v>
      </c>
      <c r="AA13" s="49" t="s">
        <v>945</v>
      </c>
      <c r="AB13" s="49" t="s">
        <v>947</v>
      </c>
      <c r="AC13" s="49" t="s">
        <v>949</v>
      </c>
      <c r="AD13" s="49" t="s">
        <v>951</v>
      </c>
      <c r="AE13" s="32">
        <v>0.21052631578947367</v>
      </c>
      <c r="AF13" s="24" t="s">
        <v>46</v>
      </c>
      <c r="AG13" s="24">
        <v>0.1561737</v>
      </c>
      <c r="AH13" s="24" t="s">
        <v>953</v>
      </c>
      <c r="AI13" s="24">
        <v>3.9379699999999997E-2</v>
      </c>
      <c r="AJ13" s="35">
        <v>0.21052631578947367</v>
      </c>
      <c r="AL13" s="16"/>
      <c r="AN13" s="16"/>
      <c r="AP13" s="11" t="s">
        <v>9</v>
      </c>
      <c r="AQ13" s="12" t="str">
        <f>VLOOKUP(LOWER(AS4),experiments_specs!$A:$J,10,FALSE)</f>
        <v>True</v>
      </c>
      <c r="AR13" s="15" t="s">
        <v>164</v>
      </c>
      <c r="AS13" s="7" t="s">
        <v>18</v>
      </c>
      <c r="AT13" s="49" t="s">
        <v>945</v>
      </c>
      <c r="AU13" s="49" t="s">
        <v>947</v>
      </c>
      <c r="AV13" s="49" t="s">
        <v>949</v>
      </c>
      <c r="AW13" s="49" t="s">
        <v>951</v>
      </c>
      <c r="AX13" s="32">
        <v>0.21052631578947367</v>
      </c>
      <c r="AY13" s="24" t="s">
        <v>46</v>
      </c>
      <c r="AZ13" s="24">
        <v>0.1561737</v>
      </c>
      <c r="BA13" s="24" t="s">
        <v>953</v>
      </c>
      <c r="BB13" s="24">
        <v>3.9379699999999997E-2</v>
      </c>
      <c r="BC13" s="35">
        <v>0.21052631578947367</v>
      </c>
      <c r="BE13" s="16"/>
    </row>
    <row r="14" spans="2:57" ht="17" thickBot="1" x14ac:dyDescent="0.25">
      <c r="B14" s="16"/>
      <c r="S14" s="16"/>
      <c r="U14" s="16"/>
      <c r="AL14" s="16"/>
      <c r="AN14" s="16"/>
      <c r="BE14" s="16"/>
    </row>
    <row r="15" spans="2:57" ht="20" thickBot="1" x14ac:dyDescent="0.3">
      <c r="B15" s="16"/>
      <c r="D15" s="13" t="s">
        <v>126</v>
      </c>
      <c r="E15" s="14"/>
      <c r="F15" s="9"/>
      <c r="G15" s="10" t="str">
        <f>"TEST_"&amp;TEXT(RIGHT(G4,2)+1, "00")</f>
        <v>TEST_74</v>
      </c>
      <c r="H15" s="41" t="s">
        <v>124</v>
      </c>
      <c r="I15" s="41"/>
      <c r="J15" s="41"/>
      <c r="K15" s="41"/>
      <c r="L15" s="41"/>
      <c r="M15" s="42" t="s">
        <v>123</v>
      </c>
      <c r="N15" s="42"/>
      <c r="O15" s="42"/>
      <c r="P15" s="42"/>
      <c r="Q15" s="42"/>
      <c r="R15" s="2"/>
      <c r="S15" s="16"/>
      <c r="U15" s="16"/>
      <c r="W15" s="13" t="s">
        <v>126</v>
      </c>
      <c r="X15" s="14"/>
      <c r="Y15" s="9"/>
      <c r="Z15" s="10" t="str">
        <f>"TEST_"&amp;TEXT(RIGHT(Z4,2)+1, "00")</f>
        <v>TEST_80</v>
      </c>
      <c r="AA15" s="41" t="s">
        <v>124</v>
      </c>
      <c r="AB15" s="41"/>
      <c r="AC15" s="41"/>
      <c r="AD15" s="41"/>
      <c r="AE15" s="41"/>
      <c r="AF15" s="42" t="s">
        <v>123</v>
      </c>
      <c r="AG15" s="42"/>
      <c r="AH15" s="42"/>
      <c r="AI15" s="42"/>
      <c r="AJ15" s="42"/>
      <c r="AK15" s="2"/>
      <c r="AL15" s="16"/>
      <c r="AN15" s="16"/>
      <c r="AP15" s="13" t="s">
        <v>126</v>
      </c>
      <c r="AQ15" s="14"/>
      <c r="AR15" s="9"/>
      <c r="AS15" s="10" t="str">
        <f>"TEST_"&amp;TEXT(RIGHT(AS4,2)+1, "00")</f>
        <v>TEST_86</v>
      </c>
      <c r="AT15" s="41" t="s">
        <v>124</v>
      </c>
      <c r="AU15" s="41"/>
      <c r="AV15" s="41"/>
      <c r="AW15" s="41"/>
      <c r="AX15" s="41"/>
      <c r="AY15" s="42" t="s">
        <v>123</v>
      </c>
      <c r="AZ15" s="42"/>
      <c r="BA15" s="42"/>
      <c r="BB15" s="42"/>
      <c r="BC15" s="42"/>
      <c r="BD15" s="2"/>
      <c r="BE15" s="16"/>
    </row>
    <row r="16" spans="2:57" x14ac:dyDescent="0.2">
      <c r="B16" s="16"/>
      <c r="D16" s="11" t="s">
        <v>1</v>
      </c>
      <c r="E16" s="12" t="str">
        <f>VLOOKUP(LOWER(G15),experiments_specs!$A:$J,2,FALSE)</f>
        <v>NN,JJ</v>
      </c>
      <c r="F16" s="15" t="str">
        <f>"{"&amp;LOWER(G15)&amp;".csv}"</f>
        <v>{test_74.csv}</v>
      </c>
      <c r="G16" s="8" t="s">
        <v>118</v>
      </c>
      <c r="H16" s="3" t="s">
        <v>119</v>
      </c>
      <c r="I16" s="3" t="s">
        <v>178</v>
      </c>
      <c r="J16" s="3" t="s">
        <v>120</v>
      </c>
      <c r="K16" s="3" t="s">
        <v>178</v>
      </c>
      <c r="L16" s="29" t="s">
        <v>121</v>
      </c>
      <c r="M16" s="4" t="s">
        <v>122</v>
      </c>
      <c r="N16" s="4" t="s">
        <v>178</v>
      </c>
      <c r="O16" s="4" t="s">
        <v>120</v>
      </c>
      <c r="P16" s="4" t="s">
        <v>178</v>
      </c>
      <c r="Q16" s="4" t="s">
        <v>121</v>
      </c>
      <c r="S16" s="16"/>
      <c r="U16" s="16"/>
      <c r="W16" s="11" t="s">
        <v>1</v>
      </c>
      <c r="X16" s="12" t="str">
        <f>VLOOKUP(LOWER(Z15),experiments_specs!$A:$J,2,FALSE)</f>
        <v>NN,JJ</v>
      </c>
      <c r="Y16" s="15" t="str">
        <f>"{"&amp;LOWER(Z15)&amp;".csv}"</f>
        <v>{test_80.csv}</v>
      </c>
      <c r="Z16" s="8" t="s">
        <v>118</v>
      </c>
      <c r="AA16" s="3" t="s">
        <v>119</v>
      </c>
      <c r="AB16" s="3" t="s">
        <v>178</v>
      </c>
      <c r="AC16" s="3" t="s">
        <v>120</v>
      </c>
      <c r="AD16" s="3" t="s">
        <v>178</v>
      </c>
      <c r="AE16" s="3" t="s">
        <v>121</v>
      </c>
      <c r="AF16" s="4" t="s">
        <v>122</v>
      </c>
      <c r="AG16" s="4" t="s">
        <v>178</v>
      </c>
      <c r="AH16" s="4" t="s">
        <v>120</v>
      </c>
      <c r="AI16" s="4" t="s">
        <v>178</v>
      </c>
      <c r="AJ16" s="4" t="s">
        <v>121</v>
      </c>
      <c r="AL16" s="16"/>
      <c r="AN16" s="16"/>
      <c r="AP16" s="11" t="s">
        <v>1</v>
      </c>
      <c r="AQ16" s="12" t="str">
        <f>VLOOKUP(LOWER(AS15),experiments_specs!$A:$J,2,FALSE)</f>
        <v>NN,JJ</v>
      </c>
      <c r="AR16" s="15" t="str">
        <f>"{"&amp;LOWER(AS15)&amp;".csv}"</f>
        <v>{test_86.csv}</v>
      </c>
      <c r="AS16" s="8" t="s">
        <v>118</v>
      </c>
      <c r="AT16" s="3" t="s">
        <v>119</v>
      </c>
      <c r="AU16" s="3" t="s">
        <v>178</v>
      </c>
      <c r="AV16" s="3" t="s">
        <v>120</v>
      </c>
      <c r="AW16" s="3" t="s">
        <v>178</v>
      </c>
      <c r="AX16" s="3" t="s">
        <v>121</v>
      </c>
      <c r="AY16" s="4" t="s">
        <v>122</v>
      </c>
      <c r="AZ16" s="4" t="s">
        <v>178</v>
      </c>
      <c r="BA16" s="4" t="s">
        <v>120</v>
      </c>
      <c r="BB16" s="4" t="s">
        <v>178</v>
      </c>
      <c r="BC16" s="4" t="s">
        <v>121</v>
      </c>
      <c r="BE16" s="16"/>
    </row>
    <row r="17" spans="2:57" ht="51" x14ac:dyDescent="0.2">
      <c r="B17" s="16"/>
      <c r="D17" s="11" t="s">
        <v>2</v>
      </c>
      <c r="E17" s="12">
        <f>VLOOKUP(LOWER(G15),experiments_specs!$A:$J,3,FALSE)</f>
        <v>1</v>
      </c>
      <c r="F17" s="15" t="s">
        <v>153</v>
      </c>
      <c r="G17" s="5" t="s">
        <v>19</v>
      </c>
      <c r="H17" s="17" t="s">
        <v>738</v>
      </c>
      <c r="I17" s="17" t="s">
        <v>782</v>
      </c>
      <c r="J17" s="17" t="s">
        <v>742</v>
      </c>
      <c r="K17" s="17" t="s">
        <v>784</v>
      </c>
      <c r="L17" s="30">
        <v>0.19047619047619047</v>
      </c>
      <c r="M17" s="47" t="s">
        <v>561</v>
      </c>
      <c r="N17" s="47" t="s">
        <v>786</v>
      </c>
      <c r="O17" s="47" t="s">
        <v>788</v>
      </c>
      <c r="P17" s="47" t="s">
        <v>790</v>
      </c>
      <c r="Q17" s="33">
        <v>0.11764705882352941</v>
      </c>
      <c r="S17" s="16"/>
      <c r="U17" s="16"/>
      <c r="W17" s="11" t="s">
        <v>2</v>
      </c>
      <c r="X17" s="12">
        <f>VLOOKUP(LOWER(Z15),experiments_specs!$A:$J,3,FALSE)</f>
        <v>1</v>
      </c>
      <c r="Y17" s="15" t="s">
        <v>159</v>
      </c>
      <c r="Z17" s="5" t="s">
        <v>19</v>
      </c>
      <c r="AA17" s="17" t="s">
        <v>179</v>
      </c>
      <c r="AB17" s="17" t="s">
        <v>497</v>
      </c>
      <c r="AC17" s="17" t="s">
        <v>890</v>
      </c>
      <c r="AD17" s="17" t="s">
        <v>954</v>
      </c>
      <c r="AE17" s="30">
        <v>0.19047619047619047</v>
      </c>
      <c r="AF17" s="21" t="s">
        <v>47</v>
      </c>
      <c r="AG17" s="21">
        <v>0.18731709999999999</v>
      </c>
      <c r="AH17" s="21" t="s">
        <v>746</v>
      </c>
      <c r="AI17" s="21">
        <v>3.2309900000000003E-2</v>
      </c>
      <c r="AJ17" s="33">
        <v>0.2</v>
      </c>
      <c r="AL17" s="16"/>
      <c r="AN17" s="16"/>
      <c r="AP17" s="11" t="s">
        <v>2</v>
      </c>
      <c r="AQ17" s="12">
        <f>VLOOKUP(LOWER(AS15),experiments_specs!$A:$J,3,FALSE)</f>
        <v>1</v>
      </c>
      <c r="AR17" s="15" t="s">
        <v>165</v>
      </c>
      <c r="AS17" s="5" t="s">
        <v>19</v>
      </c>
      <c r="AT17" s="17" t="s">
        <v>179</v>
      </c>
      <c r="AU17" s="17" t="s">
        <v>497</v>
      </c>
      <c r="AV17" s="17" t="s">
        <v>890</v>
      </c>
      <c r="AW17" s="17" t="s">
        <v>1125</v>
      </c>
      <c r="AX17" s="30">
        <v>0.19047619047619047</v>
      </c>
      <c r="AY17" s="21" t="s">
        <v>47</v>
      </c>
      <c r="AZ17" s="21">
        <v>0.18731709999999999</v>
      </c>
      <c r="BA17" s="21" t="s">
        <v>746</v>
      </c>
      <c r="BB17" s="21">
        <v>2.5386300000000001E-2</v>
      </c>
      <c r="BC17" s="33">
        <v>0.2</v>
      </c>
      <c r="BE17" s="16"/>
    </row>
    <row r="18" spans="2:57" ht="170" x14ac:dyDescent="0.2">
      <c r="B18" s="16"/>
      <c r="D18" s="11" t="s">
        <v>3</v>
      </c>
      <c r="E18" s="12">
        <f>VLOOKUP(LOWER(G15),experiments_specs!$A:$J,4,FALSE)</f>
        <v>2</v>
      </c>
      <c r="F18" s="15" t="s">
        <v>153</v>
      </c>
      <c r="G18" s="6" t="s">
        <v>12</v>
      </c>
      <c r="H18" s="18" t="s">
        <v>792</v>
      </c>
      <c r="I18" s="18">
        <v>0.2617119</v>
      </c>
      <c r="J18" s="18" t="s">
        <v>793</v>
      </c>
      <c r="K18" s="18">
        <v>4.1549000000000004E-3</v>
      </c>
      <c r="L18" s="31">
        <v>0.15384615384615385</v>
      </c>
      <c r="M18" s="22" t="s">
        <v>794</v>
      </c>
      <c r="N18" s="22">
        <v>0.20272119999999999</v>
      </c>
      <c r="O18" s="22" t="s">
        <v>795</v>
      </c>
      <c r="P18" s="22">
        <v>1.4924E-2</v>
      </c>
      <c r="Q18" s="34">
        <v>0.2857142857142857</v>
      </c>
      <c r="S18" s="16"/>
      <c r="U18" s="16"/>
      <c r="W18" s="11" t="s">
        <v>3</v>
      </c>
      <c r="X18" s="12">
        <f>VLOOKUP(LOWER(Z15),experiments_specs!$A:$J,4,FALSE)</f>
        <v>2</v>
      </c>
      <c r="Y18" s="15" t="s">
        <v>159</v>
      </c>
      <c r="Z18" s="6" t="s">
        <v>12</v>
      </c>
      <c r="AA18" s="18" t="s">
        <v>894</v>
      </c>
      <c r="AB18" s="18" t="s">
        <v>956</v>
      </c>
      <c r="AC18" s="18" t="s">
        <v>898</v>
      </c>
      <c r="AD18" s="18" t="s">
        <v>958</v>
      </c>
      <c r="AE18" s="31">
        <v>0.42857142857142855</v>
      </c>
      <c r="AF18" s="23" t="s">
        <v>390</v>
      </c>
      <c r="AG18" s="23" t="s">
        <v>960</v>
      </c>
      <c r="AH18" s="23" t="s">
        <v>904</v>
      </c>
      <c r="AI18" s="23" t="s">
        <v>962</v>
      </c>
      <c r="AJ18" s="34">
        <v>0.42857142857142855</v>
      </c>
      <c r="AL18" s="16"/>
      <c r="AN18" s="16"/>
      <c r="AP18" s="11" t="s">
        <v>3</v>
      </c>
      <c r="AQ18" s="12">
        <f>VLOOKUP(LOWER(AS15),experiments_specs!$A:$J,4,FALSE)</f>
        <v>2</v>
      </c>
      <c r="AR18" s="15" t="s">
        <v>165</v>
      </c>
      <c r="AS18" s="6" t="s">
        <v>12</v>
      </c>
      <c r="AT18" s="18" t="s">
        <v>894</v>
      </c>
      <c r="AU18" s="18" t="s">
        <v>1127</v>
      </c>
      <c r="AV18" s="18" t="s">
        <v>898</v>
      </c>
      <c r="AW18" s="18" t="s">
        <v>1129</v>
      </c>
      <c r="AX18" s="31">
        <v>0.42857142857142855</v>
      </c>
      <c r="AY18" s="23" t="s">
        <v>390</v>
      </c>
      <c r="AZ18" s="23" t="s">
        <v>1131</v>
      </c>
      <c r="BA18" s="23" t="s">
        <v>904</v>
      </c>
      <c r="BB18" s="23" t="s">
        <v>1133</v>
      </c>
      <c r="BC18" s="34">
        <v>0.42857142857142855</v>
      </c>
      <c r="BE18" s="16"/>
    </row>
    <row r="19" spans="2:57" x14ac:dyDescent="0.2">
      <c r="B19" s="16"/>
      <c r="D19" s="11" t="s">
        <v>4</v>
      </c>
      <c r="E19" s="12" t="str">
        <f>VLOOKUP(LOWER(G15),experiments_specs!$A:$J,5,FALSE)</f>
        <v>False</v>
      </c>
      <c r="F19" s="15" t="s">
        <v>153</v>
      </c>
      <c r="G19" s="6" t="s">
        <v>13</v>
      </c>
      <c r="H19" s="19" t="s">
        <v>425</v>
      </c>
      <c r="I19" s="19">
        <v>0.1221694</v>
      </c>
      <c r="J19" s="19" t="s">
        <v>426</v>
      </c>
      <c r="K19" s="19">
        <v>1.02869E-2</v>
      </c>
      <c r="L19" s="31" t="s">
        <v>25</v>
      </c>
      <c r="M19" s="22" t="s">
        <v>427</v>
      </c>
      <c r="N19" s="22">
        <v>0.1221694</v>
      </c>
      <c r="O19" s="22" t="s">
        <v>426</v>
      </c>
      <c r="P19" s="22">
        <v>1.4367700000000001E-2</v>
      </c>
      <c r="Q19" s="34" t="s">
        <v>25</v>
      </c>
      <c r="S19" s="16"/>
      <c r="U19" s="16"/>
      <c r="W19" s="11" t="s">
        <v>4</v>
      </c>
      <c r="X19" s="12" t="str">
        <f>VLOOKUP(LOWER(Z15),experiments_specs!$A:$J,5,FALSE)</f>
        <v>True</v>
      </c>
      <c r="Y19" s="15" t="s">
        <v>159</v>
      </c>
      <c r="Z19" s="6" t="s">
        <v>13</v>
      </c>
      <c r="AA19" s="19" t="s">
        <v>35</v>
      </c>
      <c r="AB19" s="19">
        <v>0.125</v>
      </c>
      <c r="AC19" s="19" t="s">
        <v>908</v>
      </c>
      <c r="AD19" s="19">
        <v>3.0070300000000001E-2</v>
      </c>
      <c r="AE19" s="31" t="s">
        <v>25</v>
      </c>
      <c r="AF19" s="22" t="s">
        <v>34</v>
      </c>
      <c r="AG19" s="22">
        <v>0.125</v>
      </c>
      <c r="AH19" s="22" t="s">
        <v>908</v>
      </c>
      <c r="AI19" s="22">
        <v>5.4126500000000001E-2</v>
      </c>
      <c r="AJ19" s="34" t="s">
        <v>25</v>
      </c>
      <c r="AL19" s="16"/>
      <c r="AN19" s="16"/>
      <c r="AP19" s="11" t="s">
        <v>4</v>
      </c>
      <c r="AQ19" s="12" t="str">
        <f>VLOOKUP(LOWER(AS15),experiments_specs!$A:$J,5,FALSE)</f>
        <v>True</v>
      </c>
      <c r="AR19" s="15" t="s">
        <v>165</v>
      </c>
      <c r="AS19" s="6" t="s">
        <v>13</v>
      </c>
      <c r="AT19" s="19" t="s">
        <v>35</v>
      </c>
      <c r="AU19" s="19">
        <v>0.12803680000000001</v>
      </c>
      <c r="AV19" s="19" t="s">
        <v>908</v>
      </c>
      <c r="AW19" s="19">
        <v>4.6201300000000001E-2</v>
      </c>
      <c r="AX19" s="31" t="s">
        <v>25</v>
      </c>
      <c r="AY19" s="22" t="s">
        <v>34</v>
      </c>
      <c r="AZ19" s="22">
        <v>0.12803680000000001</v>
      </c>
      <c r="BA19" s="22" t="s">
        <v>908</v>
      </c>
      <c r="BB19" s="22">
        <v>4.6201300000000001E-2</v>
      </c>
      <c r="BC19" s="34" t="s">
        <v>25</v>
      </c>
      <c r="BE19" s="16"/>
    </row>
    <row r="20" spans="2:57" ht="34" x14ac:dyDescent="0.2">
      <c r="B20" s="16"/>
      <c r="D20" s="11" t="s">
        <v>5</v>
      </c>
      <c r="E20" s="12" t="str">
        <f>VLOOKUP(LOWER(G15),experiments_specs!$A:$J,6,FALSE)</f>
        <v>False</v>
      </c>
      <c r="F20" s="15" t="s">
        <v>153</v>
      </c>
      <c r="G20" s="6" t="s">
        <v>14</v>
      </c>
      <c r="H20" s="18" t="s">
        <v>763</v>
      </c>
      <c r="I20" s="18" t="s">
        <v>796</v>
      </c>
      <c r="J20" s="18" t="s">
        <v>767</v>
      </c>
      <c r="K20" s="18" t="s">
        <v>798</v>
      </c>
      <c r="L20" s="31">
        <v>0.25</v>
      </c>
      <c r="M20" s="22" t="s">
        <v>430</v>
      </c>
      <c r="N20" s="22">
        <v>0.15911139999999999</v>
      </c>
      <c r="O20" s="22" t="s">
        <v>429</v>
      </c>
      <c r="P20" s="22">
        <v>9.9964000000000008E-3</v>
      </c>
      <c r="Q20" s="34">
        <v>0.125</v>
      </c>
      <c r="S20" s="16"/>
      <c r="U20" s="16"/>
      <c r="W20" s="11" t="s">
        <v>5</v>
      </c>
      <c r="X20" s="12" t="str">
        <f>VLOOKUP(LOWER(Z15),experiments_specs!$A:$J,6,FALSE)</f>
        <v>False</v>
      </c>
      <c r="Y20" s="15" t="s">
        <v>159</v>
      </c>
      <c r="Z20" s="6" t="s">
        <v>14</v>
      </c>
      <c r="AA20" s="18" t="s">
        <v>449</v>
      </c>
      <c r="AB20" s="18">
        <v>0.26537240000000001</v>
      </c>
      <c r="AC20" s="18" t="s">
        <v>450</v>
      </c>
      <c r="AD20" s="18">
        <v>1.43859E-2</v>
      </c>
      <c r="AE20" s="31">
        <v>0.2857142857142857</v>
      </c>
      <c r="AF20" s="23" t="s">
        <v>451</v>
      </c>
      <c r="AG20" s="23">
        <v>0.11867809999999999</v>
      </c>
      <c r="AH20" s="23" t="s">
        <v>449</v>
      </c>
      <c r="AI20" s="23">
        <v>3.0619799999999999E-2</v>
      </c>
      <c r="AJ20" s="34">
        <v>0.30769230769230771</v>
      </c>
      <c r="AL20" s="16"/>
      <c r="AN20" s="16"/>
      <c r="AP20" s="11" t="s">
        <v>5</v>
      </c>
      <c r="AQ20" s="12" t="str">
        <f>VLOOKUP(LOWER(AS15),experiments_specs!$A:$J,6,FALSE)</f>
        <v>False</v>
      </c>
      <c r="AR20" s="15" t="s">
        <v>165</v>
      </c>
      <c r="AS20" s="6" t="s">
        <v>14</v>
      </c>
      <c r="AT20" s="18" t="s">
        <v>449</v>
      </c>
      <c r="AU20" s="18">
        <v>0.26726119999999998</v>
      </c>
      <c r="AV20" s="18" t="s">
        <v>450</v>
      </c>
      <c r="AW20" s="18">
        <v>1.5366400000000001E-2</v>
      </c>
      <c r="AX20" s="31">
        <v>0.2857142857142857</v>
      </c>
      <c r="AY20" s="23" t="s">
        <v>451</v>
      </c>
      <c r="AZ20" s="23">
        <v>0.1195228</v>
      </c>
      <c r="BA20" s="23" t="s">
        <v>449</v>
      </c>
      <c r="BB20" s="23">
        <v>2.5863899999999999E-2</v>
      </c>
      <c r="BC20" s="34">
        <v>0.30769230769230771</v>
      </c>
      <c r="BE20" s="16"/>
    </row>
    <row r="21" spans="2:57" ht="34" x14ac:dyDescent="0.2">
      <c r="B21" s="16"/>
      <c r="D21" s="11" t="s">
        <v>6</v>
      </c>
      <c r="E21" s="12" t="str">
        <f>VLOOKUP(LOWER(G15),experiments_specs!$A:$J,7,FALSE)</f>
        <v>False</v>
      </c>
      <c r="F21" s="15" t="s">
        <v>153</v>
      </c>
      <c r="G21" s="6" t="s">
        <v>15</v>
      </c>
      <c r="H21" s="18" t="s">
        <v>771</v>
      </c>
      <c r="I21" s="18" t="s">
        <v>773</v>
      </c>
      <c r="J21" s="18" t="s">
        <v>775</v>
      </c>
      <c r="K21" s="18" t="s">
        <v>800</v>
      </c>
      <c r="L21" s="31">
        <v>0.16666666666666666</v>
      </c>
      <c r="M21" s="23" t="s">
        <v>363</v>
      </c>
      <c r="N21" s="23">
        <v>0.1754116</v>
      </c>
      <c r="O21" s="23" t="s">
        <v>779</v>
      </c>
      <c r="P21" s="23">
        <v>1.24186E-2</v>
      </c>
      <c r="Q21" s="34">
        <v>0.18181818181818182</v>
      </c>
      <c r="S21" s="16"/>
      <c r="U21" s="16"/>
      <c r="W21" s="11" t="s">
        <v>6</v>
      </c>
      <c r="X21" s="12" t="str">
        <f>VLOOKUP(LOWER(Z15),experiments_specs!$A:$J,7,FALSE)</f>
        <v>False</v>
      </c>
      <c r="Y21" s="15" t="s">
        <v>159</v>
      </c>
      <c r="Z21" s="6" t="s">
        <v>15</v>
      </c>
      <c r="AA21" s="18" t="s">
        <v>771</v>
      </c>
      <c r="AB21" s="18" t="s">
        <v>964</v>
      </c>
      <c r="AC21" s="18" t="s">
        <v>775</v>
      </c>
      <c r="AD21" s="18" t="s">
        <v>966</v>
      </c>
      <c r="AE21" s="31">
        <v>0.16666666666666666</v>
      </c>
      <c r="AF21" s="23" t="s">
        <v>968</v>
      </c>
      <c r="AG21" s="23" t="s">
        <v>964</v>
      </c>
      <c r="AH21" s="23" t="s">
        <v>970</v>
      </c>
      <c r="AI21" s="23" t="s">
        <v>972</v>
      </c>
      <c r="AJ21" s="34">
        <v>0.90909090909090906</v>
      </c>
      <c r="AL21" s="16"/>
      <c r="AN21" s="16"/>
      <c r="AP21" s="11" t="s">
        <v>6</v>
      </c>
      <c r="AQ21" s="12" t="str">
        <f>VLOOKUP(LOWER(AS15),experiments_specs!$A:$J,7,FALSE)</f>
        <v>False</v>
      </c>
      <c r="AR21" s="15" t="s">
        <v>165</v>
      </c>
      <c r="AS21" s="6" t="s">
        <v>15</v>
      </c>
      <c r="AT21" s="18" t="s">
        <v>771</v>
      </c>
      <c r="AU21" s="18" t="s">
        <v>1135</v>
      </c>
      <c r="AV21" s="18" t="s">
        <v>775</v>
      </c>
      <c r="AW21" s="18" t="s">
        <v>1137</v>
      </c>
      <c r="AX21" s="31">
        <v>0.16666666666666666</v>
      </c>
      <c r="AY21" s="23" t="s">
        <v>15</v>
      </c>
      <c r="AZ21" s="23">
        <v>9.2057399999999998E-2</v>
      </c>
      <c r="BA21" s="23" t="s">
        <v>474</v>
      </c>
      <c r="BB21" s="23">
        <v>4.95957E-2</v>
      </c>
      <c r="BC21" s="34">
        <v>0.90909090909090906</v>
      </c>
      <c r="BE21" s="16"/>
    </row>
    <row r="22" spans="2:57" ht="119" x14ac:dyDescent="0.2">
      <c r="B22" s="16"/>
      <c r="D22" s="11" t="s">
        <v>7</v>
      </c>
      <c r="E22" s="12" t="str">
        <f>VLOOKUP(LOWER(G15),experiments_specs!$A:$J,8,FALSE)</f>
        <v>True</v>
      </c>
      <c r="F22" s="15" t="s">
        <v>153</v>
      </c>
      <c r="G22" s="6" t="s">
        <v>16</v>
      </c>
      <c r="H22" s="19" t="s">
        <v>556</v>
      </c>
      <c r="I22" s="19">
        <v>0.16783619999999999</v>
      </c>
      <c r="J22" s="19" t="s">
        <v>780</v>
      </c>
      <c r="K22" s="19">
        <v>3.4299999999999999E-3</v>
      </c>
      <c r="L22" s="31">
        <v>0.46153846153846156</v>
      </c>
      <c r="M22" s="23" t="s">
        <v>388</v>
      </c>
      <c r="N22" s="23">
        <v>0.11867809999999999</v>
      </c>
      <c r="O22" s="23" t="s">
        <v>440</v>
      </c>
      <c r="P22" s="23">
        <v>6.7742000000000002E-3</v>
      </c>
      <c r="Q22" s="34">
        <v>0.14285714285714285</v>
      </c>
      <c r="S22" s="16"/>
      <c r="U22" s="16"/>
      <c r="W22" s="11" t="s">
        <v>7</v>
      </c>
      <c r="X22" s="12" t="str">
        <f>VLOOKUP(LOWER(Z15),experiments_specs!$A:$J,8,FALSE)</f>
        <v>True</v>
      </c>
      <c r="Y22" s="15" t="s">
        <v>159</v>
      </c>
      <c r="Z22" s="6" t="s">
        <v>16</v>
      </c>
      <c r="AA22" s="18" t="s">
        <v>923</v>
      </c>
      <c r="AB22" s="18" t="s">
        <v>925</v>
      </c>
      <c r="AC22" s="18" t="s">
        <v>927</v>
      </c>
      <c r="AD22" s="18" t="s">
        <v>974</v>
      </c>
      <c r="AE22" s="31">
        <v>0.2857142857142857</v>
      </c>
      <c r="AF22" s="23" t="s">
        <v>931</v>
      </c>
      <c r="AG22" s="23" t="s">
        <v>933</v>
      </c>
      <c r="AH22" s="23" t="s">
        <v>935</v>
      </c>
      <c r="AI22" s="23" t="s">
        <v>976</v>
      </c>
      <c r="AJ22" s="34">
        <v>0.23529411764705882</v>
      </c>
      <c r="AL22" s="16"/>
      <c r="AN22" s="16"/>
      <c r="AP22" s="11" t="s">
        <v>7</v>
      </c>
      <c r="AQ22" s="12" t="str">
        <f>VLOOKUP(LOWER(AS15),experiments_specs!$A:$J,8,FALSE)</f>
        <v>True</v>
      </c>
      <c r="AR22" s="15" t="s">
        <v>165</v>
      </c>
      <c r="AS22" s="6" t="s">
        <v>16</v>
      </c>
      <c r="AT22" s="18" t="s">
        <v>923</v>
      </c>
      <c r="AU22" s="18" t="s">
        <v>925</v>
      </c>
      <c r="AV22" s="18" t="s">
        <v>927</v>
      </c>
      <c r="AW22" s="18" t="s">
        <v>929</v>
      </c>
      <c r="AX22" s="31">
        <v>0.2857142857142857</v>
      </c>
      <c r="AY22" s="23" t="s">
        <v>931</v>
      </c>
      <c r="AZ22" s="23" t="s">
        <v>933</v>
      </c>
      <c r="BA22" s="23" t="s">
        <v>935</v>
      </c>
      <c r="BB22" s="23" t="s">
        <v>976</v>
      </c>
      <c r="BC22" s="34">
        <v>0.23529411764705882</v>
      </c>
      <c r="BE22" s="16"/>
    </row>
    <row r="23" spans="2:57" ht="34" x14ac:dyDescent="0.2">
      <c r="B23" s="16"/>
      <c r="D23" s="11" t="s">
        <v>8</v>
      </c>
      <c r="E23" s="12" t="str">
        <f>VLOOKUP(LOWER(G15),experiments_specs!$A:$J,9,FALSE)</f>
        <v>wup_similarity</v>
      </c>
      <c r="F23" s="15" t="s">
        <v>153</v>
      </c>
      <c r="G23" s="6" t="s">
        <v>17</v>
      </c>
      <c r="H23" s="19" t="s">
        <v>556</v>
      </c>
      <c r="I23" s="19">
        <v>0.1714985</v>
      </c>
      <c r="J23" s="19" t="s">
        <v>780</v>
      </c>
      <c r="K23" s="19">
        <v>3.9604999999999996E-3</v>
      </c>
      <c r="L23" s="31">
        <v>0.44444444444444442</v>
      </c>
      <c r="M23" s="22" t="s">
        <v>388</v>
      </c>
      <c r="N23" s="22">
        <v>0.1212678</v>
      </c>
      <c r="O23" s="22" t="s">
        <v>440</v>
      </c>
      <c r="P23" s="22">
        <v>8.7819999999999999E-3</v>
      </c>
      <c r="Q23" s="34">
        <v>0.2</v>
      </c>
      <c r="S23" s="16"/>
      <c r="U23" s="16"/>
      <c r="W23" s="11" t="s">
        <v>8</v>
      </c>
      <c r="X23" s="12" t="str">
        <f>VLOOKUP(LOWER(Z15),experiments_specs!$A:$J,9,FALSE)</f>
        <v>wup_similarity</v>
      </c>
      <c r="Y23" s="15" t="s">
        <v>159</v>
      </c>
      <c r="Z23" s="6" t="s">
        <v>17</v>
      </c>
      <c r="AA23" s="18" t="s">
        <v>939</v>
      </c>
      <c r="AB23" s="18">
        <v>0.13483990000000001</v>
      </c>
      <c r="AC23" s="18" t="s">
        <v>940</v>
      </c>
      <c r="AD23" s="18">
        <v>1.8349299999999999E-2</v>
      </c>
      <c r="AE23" s="31">
        <v>0.26666666666666666</v>
      </c>
      <c r="AF23" s="23" t="s">
        <v>646</v>
      </c>
      <c r="AG23" s="23" t="s">
        <v>466</v>
      </c>
      <c r="AH23" s="23" t="s">
        <v>941</v>
      </c>
      <c r="AI23" s="23" t="s">
        <v>978</v>
      </c>
      <c r="AJ23" s="34">
        <v>0.16666666666666666</v>
      </c>
      <c r="AL23" s="16"/>
      <c r="AN23" s="16"/>
      <c r="AP23" s="11" t="s">
        <v>8</v>
      </c>
      <c r="AQ23" s="12" t="str">
        <f>VLOOKUP(LOWER(AS15),experiments_specs!$A:$J,9,FALSE)</f>
        <v>wup_similarity</v>
      </c>
      <c r="AR23" s="15" t="s">
        <v>165</v>
      </c>
      <c r="AS23" s="6" t="s">
        <v>17</v>
      </c>
      <c r="AT23" s="18" t="s">
        <v>939</v>
      </c>
      <c r="AU23" s="18">
        <v>0.13483990000000001</v>
      </c>
      <c r="AV23" s="18" t="s">
        <v>940</v>
      </c>
      <c r="AW23" s="18">
        <v>2.0388199999999999E-2</v>
      </c>
      <c r="AX23" s="31">
        <v>0.26666666666666666</v>
      </c>
      <c r="AY23" s="23" t="s">
        <v>646</v>
      </c>
      <c r="AZ23" s="23" t="s">
        <v>466</v>
      </c>
      <c r="BA23" s="23" t="s">
        <v>941</v>
      </c>
      <c r="BB23" s="23" t="s">
        <v>1139</v>
      </c>
      <c r="BC23" s="34">
        <v>0.16666666666666666</v>
      </c>
      <c r="BE23" s="16"/>
    </row>
    <row r="24" spans="2:57" ht="68" x14ac:dyDescent="0.2">
      <c r="B24" s="16"/>
      <c r="D24" s="11" t="s">
        <v>9</v>
      </c>
      <c r="E24" s="12" t="str">
        <f>VLOOKUP(LOWER(G15),experiments_specs!$A:$J,10,FALSE)</f>
        <v>False</v>
      </c>
      <c r="F24" s="15" t="s">
        <v>153</v>
      </c>
      <c r="G24" s="7" t="s">
        <v>18</v>
      </c>
      <c r="H24" s="20" t="s">
        <v>44</v>
      </c>
      <c r="I24" s="20">
        <v>0.1010152</v>
      </c>
      <c r="J24" s="20" t="s">
        <v>781</v>
      </c>
      <c r="K24" s="20">
        <v>2.3768000000000001E-3</v>
      </c>
      <c r="L24" s="32">
        <v>0.21052631578947367</v>
      </c>
      <c r="M24" s="24" t="s">
        <v>438</v>
      </c>
      <c r="N24" s="24">
        <v>0.14285709999999999</v>
      </c>
      <c r="O24" s="24" t="s">
        <v>439</v>
      </c>
      <c r="P24" s="24">
        <v>6.0918999999999999E-3</v>
      </c>
      <c r="Q24" s="35">
        <v>0.125</v>
      </c>
      <c r="S24" s="16"/>
      <c r="U24" s="16"/>
      <c r="W24" s="11" t="s">
        <v>9</v>
      </c>
      <c r="X24" s="12" t="str">
        <f>VLOOKUP(LOWER(Z15),experiments_specs!$A:$J,10,FALSE)</f>
        <v>False</v>
      </c>
      <c r="Y24" s="15" t="s">
        <v>159</v>
      </c>
      <c r="Z24" s="7" t="s">
        <v>18</v>
      </c>
      <c r="AA24" s="49" t="s">
        <v>945</v>
      </c>
      <c r="AB24" s="49" t="s">
        <v>980</v>
      </c>
      <c r="AC24" s="49" t="s">
        <v>949</v>
      </c>
      <c r="AD24" s="49" t="s">
        <v>982</v>
      </c>
      <c r="AE24" s="32">
        <v>0.21052631578947367</v>
      </c>
      <c r="AF24" s="24" t="s">
        <v>46</v>
      </c>
      <c r="AG24" s="24">
        <v>0.15249850000000001</v>
      </c>
      <c r="AH24" s="24" t="s">
        <v>436</v>
      </c>
      <c r="AI24" s="24">
        <v>3.9727800000000001E-2</v>
      </c>
      <c r="AJ24" s="35">
        <v>0.22222222222222221</v>
      </c>
      <c r="AL24" s="16"/>
      <c r="AN24" s="16"/>
      <c r="AP24" s="11" t="s">
        <v>9</v>
      </c>
      <c r="AQ24" s="12" t="str">
        <f>VLOOKUP(LOWER(AS15),experiments_specs!$A:$J,10,FALSE)</f>
        <v>True</v>
      </c>
      <c r="AR24" s="15" t="s">
        <v>165</v>
      </c>
      <c r="AS24" s="7" t="s">
        <v>18</v>
      </c>
      <c r="AT24" s="49" t="s">
        <v>945</v>
      </c>
      <c r="AU24" s="49" t="s">
        <v>1141</v>
      </c>
      <c r="AV24" s="49" t="s">
        <v>949</v>
      </c>
      <c r="AW24" s="49" t="s">
        <v>1143</v>
      </c>
      <c r="AX24" s="32">
        <v>0.21052631578947367</v>
      </c>
      <c r="AY24" s="24" t="s">
        <v>46</v>
      </c>
      <c r="AZ24" s="24">
        <v>0.15523010000000001</v>
      </c>
      <c r="BA24" s="24" t="s">
        <v>953</v>
      </c>
      <c r="BB24" s="24">
        <v>3.5968100000000003E-2</v>
      </c>
      <c r="BC24" s="35">
        <v>0.21052631578947367</v>
      </c>
      <c r="BE24" s="16"/>
    </row>
    <row r="25" spans="2:57" ht="17" thickBot="1" x14ac:dyDescent="0.25">
      <c r="B25" s="16"/>
      <c r="S25" s="16"/>
      <c r="U25" s="16"/>
      <c r="AL25" s="16"/>
      <c r="AN25" s="16"/>
      <c r="BE25" s="16"/>
    </row>
    <row r="26" spans="2:57" ht="20" thickBot="1" x14ac:dyDescent="0.3">
      <c r="B26" s="16"/>
      <c r="D26" s="13" t="s">
        <v>126</v>
      </c>
      <c r="E26" s="14"/>
      <c r="F26" s="9"/>
      <c r="G26" s="10" t="str">
        <f>"TEST_"&amp;TEXT(RIGHT(G15,2)+1, "00")</f>
        <v>TEST_75</v>
      </c>
      <c r="H26" s="41" t="s">
        <v>124</v>
      </c>
      <c r="I26" s="41"/>
      <c r="J26" s="41"/>
      <c r="K26" s="41"/>
      <c r="L26" s="41"/>
      <c r="M26" s="42" t="s">
        <v>123</v>
      </c>
      <c r="N26" s="42"/>
      <c r="O26" s="42"/>
      <c r="P26" s="42"/>
      <c r="Q26" s="42"/>
      <c r="R26" s="2"/>
      <c r="S26" s="16"/>
      <c r="U26" s="16"/>
      <c r="W26" s="13" t="s">
        <v>126</v>
      </c>
      <c r="X26" s="14"/>
      <c r="Y26" s="9"/>
      <c r="Z26" s="10" t="str">
        <f>"TEST_"&amp;TEXT(RIGHT(Z15,2)+1, "00")</f>
        <v>TEST_81</v>
      </c>
      <c r="AA26" s="41" t="s">
        <v>124</v>
      </c>
      <c r="AB26" s="41"/>
      <c r="AC26" s="41"/>
      <c r="AD26" s="41"/>
      <c r="AE26" s="41"/>
      <c r="AF26" s="42" t="s">
        <v>123</v>
      </c>
      <c r="AG26" s="42"/>
      <c r="AH26" s="42"/>
      <c r="AI26" s="42"/>
      <c r="AJ26" s="42"/>
      <c r="AK26" s="2"/>
      <c r="AL26" s="16"/>
      <c r="AN26" s="16"/>
      <c r="AP26" s="13" t="s">
        <v>126</v>
      </c>
      <c r="AQ26" s="14"/>
      <c r="AR26" s="9"/>
      <c r="AS26" s="10" t="str">
        <f>"TEST_"&amp;TEXT(RIGHT(AS15,2)+1, "00")</f>
        <v>TEST_87</v>
      </c>
      <c r="AT26" s="41" t="s">
        <v>124</v>
      </c>
      <c r="AU26" s="41"/>
      <c r="AV26" s="41"/>
      <c r="AW26" s="41"/>
      <c r="AX26" s="41"/>
      <c r="AY26" s="42" t="s">
        <v>123</v>
      </c>
      <c r="AZ26" s="42"/>
      <c r="BA26" s="42"/>
      <c r="BB26" s="42"/>
      <c r="BC26" s="42"/>
      <c r="BD26" s="2"/>
      <c r="BE26" s="16"/>
    </row>
    <row r="27" spans="2:57" x14ac:dyDescent="0.2">
      <c r="B27" s="16"/>
      <c r="D27" s="11" t="s">
        <v>1</v>
      </c>
      <c r="E27" s="12" t="str">
        <f>VLOOKUP(LOWER(G26),experiments_specs!$A:$J,2,FALSE)</f>
        <v>NN,VB</v>
      </c>
      <c r="F27" s="15" t="str">
        <f>"{"&amp;LOWER(G26)&amp;".csv}"</f>
        <v>{test_75.csv}</v>
      </c>
      <c r="G27" s="8" t="s">
        <v>118</v>
      </c>
      <c r="H27" s="3" t="s">
        <v>119</v>
      </c>
      <c r="I27" s="3" t="s">
        <v>178</v>
      </c>
      <c r="J27" s="3" t="s">
        <v>120</v>
      </c>
      <c r="K27" s="3" t="s">
        <v>178</v>
      </c>
      <c r="L27" s="3" t="s">
        <v>121</v>
      </c>
      <c r="M27" s="4" t="s">
        <v>122</v>
      </c>
      <c r="N27" s="4" t="s">
        <v>178</v>
      </c>
      <c r="O27" s="4" t="s">
        <v>120</v>
      </c>
      <c r="P27" s="4" t="s">
        <v>178</v>
      </c>
      <c r="Q27" s="4" t="s">
        <v>121</v>
      </c>
      <c r="S27" s="16"/>
      <c r="U27" s="16"/>
      <c r="W27" s="11" t="s">
        <v>1</v>
      </c>
      <c r="X27" s="12" t="str">
        <f>VLOOKUP(LOWER(Z26),experiments_specs!$A:$J,2,FALSE)</f>
        <v>NN,VB</v>
      </c>
      <c r="Y27" s="15" t="str">
        <f>"{"&amp;LOWER(Z26)&amp;".csv}"</f>
        <v>{test_81.csv}</v>
      </c>
      <c r="Z27" s="8" t="s">
        <v>118</v>
      </c>
      <c r="AA27" s="3" t="s">
        <v>119</v>
      </c>
      <c r="AB27" s="3" t="s">
        <v>178</v>
      </c>
      <c r="AC27" s="3" t="s">
        <v>120</v>
      </c>
      <c r="AD27" s="3" t="s">
        <v>178</v>
      </c>
      <c r="AE27" s="3" t="s">
        <v>121</v>
      </c>
      <c r="AF27" s="4" t="s">
        <v>122</v>
      </c>
      <c r="AG27" s="4" t="s">
        <v>178</v>
      </c>
      <c r="AH27" s="4" t="s">
        <v>120</v>
      </c>
      <c r="AI27" s="4" t="s">
        <v>178</v>
      </c>
      <c r="AJ27" s="4" t="s">
        <v>121</v>
      </c>
      <c r="AL27" s="16"/>
      <c r="AN27" s="16"/>
      <c r="AP27" s="11" t="s">
        <v>1</v>
      </c>
      <c r="AQ27" s="12" t="str">
        <f>VLOOKUP(LOWER(AS26),experiments_specs!$A:$J,2,FALSE)</f>
        <v>NN,VB</v>
      </c>
      <c r="AR27" s="15" t="str">
        <f>"{"&amp;LOWER(AS26)&amp;".csv}"</f>
        <v>{test_87.csv}</v>
      </c>
      <c r="AS27" s="8" t="s">
        <v>118</v>
      </c>
      <c r="AT27" s="3" t="s">
        <v>119</v>
      </c>
      <c r="AU27" s="3" t="s">
        <v>178</v>
      </c>
      <c r="AV27" s="3" t="s">
        <v>120</v>
      </c>
      <c r="AW27" s="3" t="s">
        <v>178</v>
      </c>
      <c r="AX27" s="3" t="s">
        <v>121</v>
      </c>
      <c r="AY27" s="4" t="s">
        <v>122</v>
      </c>
      <c r="AZ27" s="4" t="s">
        <v>178</v>
      </c>
      <c r="BA27" s="4" t="s">
        <v>120</v>
      </c>
      <c r="BB27" s="4" t="s">
        <v>178</v>
      </c>
      <c r="BC27" s="4" t="s">
        <v>121</v>
      </c>
      <c r="BE27" s="16"/>
    </row>
    <row r="28" spans="2:57" ht="51" x14ac:dyDescent="0.2">
      <c r="B28" s="16"/>
      <c r="D28" s="11" t="s">
        <v>2</v>
      </c>
      <c r="E28" s="12">
        <f>VLOOKUP(LOWER(G26),experiments_specs!$A:$J,3,FALSE)</f>
        <v>1</v>
      </c>
      <c r="F28" s="15" t="s">
        <v>154</v>
      </c>
      <c r="G28" s="5" t="s">
        <v>19</v>
      </c>
      <c r="H28" s="17" t="s">
        <v>738</v>
      </c>
      <c r="I28" s="17" t="s">
        <v>740</v>
      </c>
      <c r="J28" s="17" t="s">
        <v>742</v>
      </c>
      <c r="K28" s="17" t="s">
        <v>802</v>
      </c>
      <c r="L28" s="30">
        <v>0.19047619047619047</v>
      </c>
      <c r="M28" s="47" t="s">
        <v>804</v>
      </c>
      <c r="N28" s="47" t="s">
        <v>806</v>
      </c>
      <c r="O28" s="47" t="s">
        <v>808</v>
      </c>
      <c r="P28" s="47" t="s">
        <v>810</v>
      </c>
      <c r="Q28" s="33">
        <v>0.1</v>
      </c>
      <c r="S28" s="16"/>
      <c r="U28" s="16"/>
      <c r="W28" s="11" t="s">
        <v>2</v>
      </c>
      <c r="X28" s="12">
        <f>VLOOKUP(LOWER(Z26),experiments_specs!$A:$J,3,FALSE)</f>
        <v>1</v>
      </c>
      <c r="Y28" s="15" t="s">
        <v>160</v>
      </c>
      <c r="Z28" s="5" t="s">
        <v>19</v>
      </c>
      <c r="AA28" s="17" t="s">
        <v>179</v>
      </c>
      <c r="AB28" s="17" t="s">
        <v>497</v>
      </c>
      <c r="AC28" s="17" t="s">
        <v>890</v>
      </c>
      <c r="AD28" s="17" t="s">
        <v>984</v>
      </c>
      <c r="AE28" s="30">
        <v>0.19047619047619047</v>
      </c>
      <c r="AF28" s="21" t="s">
        <v>47</v>
      </c>
      <c r="AG28" s="21">
        <v>0.18731709999999999</v>
      </c>
      <c r="AH28" s="21" t="s">
        <v>746</v>
      </c>
      <c r="AI28" s="21">
        <v>3.55409E-2</v>
      </c>
      <c r="AJ28" s="33">
        <v>0.2</v>
      </c>
      <c r="AL28" s="16"/>
      <c r="AN28" s="16"/>
      <c r="AP28" s="11" t="s">
        <v>2</v>
      </c>
      <c r="AQ28" s="12">
        <f>VLOOKUP(LOWER(AS26),experiments_specs!$A:$J,3,FALSE)</f>
        <v>1</v>
      </c>
      <c r="AR28" s="15" t="s">
        <v>166</v>
      </c>
      <c r="AS28" s="5" t="s">
        <v>19</v>
      </c>
      <c r="AT28" s="17" t="s">
        <v>179</v>
      </c>
      <c r="AU28" s="17" t="s">
        <v>497</v>
      </c>
      <c r="AV28" s="17" t="s">
        <v>890</v>
      </c>
      <c r="AW28" s="17" t="s">
        <v>984</v>
      </c>
      <c r="AX28" s="30">
        <v>0.19047619047619047</v>
      </c>
      <c r="AY28" s="21" t="s">
        <v>47</v>
      </c>
      <c r="AZ28" s="21">
        <v>0.18731709999999999</v>
      </c>
      <c r="BA28" s="21" t="s">
        <v>746</v>
      </c>
      <c r="BB28" s="21">
        <v>3.2309900000000003E-2</v>
      </c>
      <c r="BC28" s="33">
        <v>0.2</v>
      </c>
      <c r="BE28" s="16"/>
    </row>
    <row r="29" spans="2:57" ht="204" x14ac:dyDescent="0.2">
      <c r="B29" s="16"/>
      <c r="D29" s="11" t="s">
        <v>3</v>
      </c>
      <c r="E29" s="12">
        <f>VLOOKUP(LOWER(G26),experiments_specs!$A:$J,4,FALSE)</f>
        <v>2</v>
      </c>
      <c r="F29" s="15" t="s">
        <v>154</v>
      </c>
      <c r="G29" s="6" t="s">
        <v>12</v>
      </c>
      <c r="H29" s="18" t="s">
        <v>251</v>
      </c>
      <c r="I29" s="18">
        <v>0.31851099999999999</v>
      </c>
      <c r="J29" s="18" t="s">
        <v>577</v>
      </c>
      <c r="K29" s="18">
        <v>4.5725999999999996E-3</v>
      </c>
      <c r="L29" s="31">
        <v>0.125</v>
      </c>
      <c r="M29" s="22" t="s">
        <v>235</v>
      </c>
      <c r="N29" s="22">
        <v>0.24077170000000001</v>
      </c>
      <c r="O29" s="22" t="s">
        <v>251</v>
      </c>
      <c r="P29" s="22">
        <v>1.3332999999999999E-2</v>
      </c>
      <c r="Q29" s="34">
        <v>0.13333333333333333</v>
      </c>
      <c r="S29" s="16"/>
      <c r="U29" s="16"/>
      <c r="W29" s="11" t="s">
        <v>3</v>
      </c>
      <c r="X29" s="12">
        <f>VLOOKUP(LOWER(Z26),experiments_specs!$A:$J,4,FALSE)</f>
        <v>2</v>
      </c>
      <c r="Y29" s="15" t="s">
        <v>160</v>
      </c>
      <c r="Z29" s="6" t="s">
        <v>12</v>
      </c>
      <c r="AA29" s="18" t="s">
        <v>986</v>
      </c>
      <c r="AB29" s="18" t="s">
        <v>988</v>
      </c>
      <c r="AC29" s="18" t="s">
        <v>990</v>
      </c>
      <c r="AD29" s="18" t="s">
        <v>992</v>
      </c>
      <c r="AE29" s="31">
        <v>0.42857142857142855</v>
      </c>
      <c r="AF29" s="23" t="s">
        <v>390</v>
      </c>
      <c r="AG29" s="23" t="s">
        <v>994</v>
      </c>
      <c r="AH29" s="23" t="s">
        <v>904</v>
      </c>
      <c r="AI29" s="23" t="s">
        <v>996</v>
      </c>
      <c r="AJ29" s="34">
        <v>0.42857142857142855</v>
      </c>
      <c r="AL29" s="16"/>
      <c r="AN29" s="16"/>
      <c r="AP29" s="11" t="s">
        <v>3</v>
      </c>
      <c r="AQ29" s="12">
        <f>VLOOKUP(LOWER(AS26),experiments_specs!$A:$J,4,FALSE)</f>
        <v>2</v>
      </c>
      <c r="AR29" s="15" t="s">
        <v>166</v>
      </c>
      <c r="AS29" s="6" t="s">
        <v>12</v>
      </c>
      <c r="AT29" s="18" t="s">
        <v>986</v>
      </c>
      <c r="AU29" s="18" t="s">
        <v>988</v>
      </c>
      <c r="AV29" s="18" t="s">
        <v>990</v>
      </c>
      <c r="AW29" s="18" t="s">
        <v>1145</v>
      </c>
      <c r="AX29" s="31">
        <v>0.42857142857142855</v>
      </c>
      <c r="AY29" s="23" t="s">
        <v>390</v>
      </c>
      <c r="AZ29" s="23" t="s">
        <v>994</v>
      </c>
      <c r="BA29" s="23" t="s">
        <v>904</v>
      </c>
      <c r="BB29" s="23" t="s">
        <v>1147</v>
      </c>
      <c r="BC29" s="34">
        <v>0.42857142857142855</v>
      </c>
      <c r="BE29" s="16"/>
    </row>
    <row r="30" spans="2:57" x14ac:dyDescent="0.2">
      <c r="B30" s="16"/>
      <c r="D30" s="11" t="s">
        <v>4</v>
      </c>
      <c r="E30" s="12" t="str">
        <f>VLOOKUP(LOWER(G26),experiments_specs!$A:$J,5,FALSE)</f>
        <v>False</v>
      </c>
      <c r="F30" s="15" t="s">
        <v>154</v>
      </c>
      <c r="G30" s="6" t="s">
        <v>13</v>
      </c>
      <c r="H30" s="19" t="s">
        <v>425</v>
      </c>
      <c r="I30" s="19">
        <v>0.1221694</v>
      </c>
      <c r="J30" s="19" t="s">
        <v>426</v>
      </c>
      <c r="K30" s="19">
        <v>8.6064000000000002E-3</v>
      </c>
      <c r="L30" s="31" t="s">
        <v>25</v>
      </c>
      <c r="M30" s="22" t="s">
        <v>252</v>
      </c>
      <c r="N30" s="22">
        <v>0.1727736</v>
      </c>
      <c r="O30" s="22" t="s">
        <v>812</v>
      </c>
      <c r="P30" s="22">
        <v>1.13916E-2</v>
      </c>
      <c r="Q30" s="34">
        <v>0.4</v>
      </c>
      <c r="S30" s="16"/>
      <c r="U30" s="16"/>
      <c r="W30" s="11" t="s">
        <v>4</v>
      </c>
      <c r="X30" s="12" t="str">
        <f>VLOOKUP(LOWER(Z26),experiments_specs!$A:$J,5,FALSE)</f>
        <v>True</v>
      </c>
      <c r="Y30" s="15" t="s">
        <v>160</v>
      </c>
      <c r="Z30" s="6" t="s">
        <v>13</v>
      </c>
      <c r="AA30" s="19" t="s">
        <v>32</v>
      </c>
      <c r="AB30" s="19">
        <v>0.17677660000000001</v>
      </c>
      <c r="AC30" s="19" t="s">
        <v>473</v>
      </c>
      <c r="AD30" s="19">
        <v>3.3879800000000002E-2</v>
      </c>
      <c r="AE30" s="31">
        <v>0.4</v>
      </c>
      <c r="AF30" s="22" t="s">
        <v>34</v>
      </c>
      <c r="AG30" s="22">
        <v>0.125</v>
      </c>
      <c r="AH30" s="22" t="s">
        <v>908</v>
      </c>
      <c r="AI30" s="22">
        <v>4.1635800000000001E-2</v>
      </c>
      <c r="AJ30" s="34" t="s">
        <v>25</v>
      </c>
      <c r="AL30" s="16"/>
      <c r="AN30" s="16"/>
      <c r="AP30" s="11" t="s">
        <v>4</v>
      </c>
      <c r="AQ30" s="12" t="str">
        <f>VLOOKUP(LOWER(AS26),experiments_specs!$A:$J,5,FALSE)</f>
        <v>True</v>
      </c>
      <c r="AR30" s="15" t="s">
        <v>166</v>
      </c>
      <c r="AS30" s="6" t="s">
        <v>13</v>
      </c>
      <c r="AT30" s="19" t="s">
        <v>35</v>
      </c>
      <c r="AU30" s="19">
        <v>0.12803680000000001</v>
      </c>
      <c r="AV30" s="19" t="s">
        <v>908</v>
      </c>
      <c r="AW30" s="19">
        <v>3.8235499999999999E-2</v>
      </c>
      <c r="AX30" s="31" t="s">
        <v>25</v>
      </c>
      <c r="AY30" s="22" t="s">
        <v>34</v>
      </c>
      <c r="AZ30" s="22">
        <v>0.12803680000000001</v>
      </c>
      <c r="BA30" s="22" t="s">
        <v>908</v>
      </c>
      <c r="BB30" s="22">
        <v>3.8235499999999999E-2</v>
      </c>
      <c r="BC30" s="34" t="s">
        <v>25</v>
      </c>
      <c r="BE30" s="16"/>
    </row>
    <row r="31" spans="2:57" ht="34" x14ac:dyDescent="0.2">
      <c r="B31" s="16"/>
      <c r="D31" s="11" t="s">
        <v>5</v>
      </c>
      <c r="E31" s="12" t="str">
        <f>VLOOKUP(LOWER(G26),experiments_specs!$A:$J,6,FALSE)</f>
        <v>False</v>
      </c>
      <c r="F31" s="15" t="s">
        <v>154</v>
      </c>
      <c r="G31" s="6" t="s">
        <v>14</v>
      </c>
      <c r="H31" s="18" t="s">
        <v>763</v>
      </c>
      <c r="I31" s="18" t="s">
        <v>765</v>
      </c>
      <c r="J31" s="18" t="s">
        <v>767</v>
      </c>
      <c r="K31" s="18" t="s">
        <v>813</v>
      </c>
      <c r="L31" s="31">
        <v>0.25</v>
      </c>
      <c r="M31" s="22" t="s">
        <v>430</v>
      </c>
      <c r="N31" s="22">
        <v>0.1601281</v>
      </c>
      <c r="O31" s="22" t="s">
        <v>429</v>
      </c>
      <c r="P31" s="22">
        <v>9.6145999999999992E-3</v>
      </c>
      <c r="Q31" s="34">
        <v>0.125</v>
      </c>
      <c r="S31" s="16"/>
      <c r="U31" s="16"/>
      <c r="W31" s="11" t="s">
        <v>5</v>
      </c>
      <c r="X31" s="12" t="str">
        <f>VLOOKUP(LOWER(Z26),experiments_specs!$A:$J,6,FALSE)</f>
        <v>False</v>
      </c>
      <c r="Y31" s="15" t="s">
        <v>160</v>
      </c>
      <c r="Z31" s="6" t="s">
        <v>14</v>
      </c>
      <c r="AA31" s="18" t="s">
        <v>449</v>
      </c>
      <c r="AB31" s="18">
        <v>0.26537240000000001</v>
      </c>
      <c r="AC31" s="18" t="s">
        <v>450</v>
      </c>
      <c r="AD31" s="18">
        <v>1.6783599999999999E-2</v>
      </c>
      <c r="AE31" s="31">
        <v>0.2857142857142857</v>
      </c>
      <c r="AF31" s="23" t="s">
        <v>451</v>
      </c>
      <c r="AG31" s="23">
        <v>0.11867809999999999</v>
      </c>
      <c r="AH31" s="23" t="s">
        <v>449</v>
      </c>
      <c r="AI31" s="23">
        <v>3.1844600000000001E-2</v>
      </c>
      <c r="AJ31" s="34">
        <v>0.30769230769230771</v>
      </c>
      <c r="AL31" s="16"/>
      <c r="AN31" s="16"/>
      <c r="AP31" s="11" t="s">
        <v>5</v>
      </c>
      <c r="AQ31" s="12" t="str">
        <f>VLOOKUP(LOWER(AS26),experiments_specs!$A:$J,6,FALSE)</f>
        <v>False</v>
      </c>
      <c r="AR31" s="15" t="s">
        <v>166</v>
      </c>
      <c r="AS31" s="6" t="s">
        <v>14</v>
      </c>
      <c r="AT31" s="18" t="s">
        <v>449</v>
      </c>
      <c r="AU31" s="18">
        <v>0.26919090000000001</v>
      </c>
      <c r="AV31" s="18" t="s">
        <v>450</v>
      </c>
      <c r="AW31" s="18">
        <v>1.7025100000000001E-2</v>
      </c>
      <c r="AX31" s="31">
        <v>0.2857142857142857</v>
      </c>
      <c r="AY31" s="23" t="s">
        <v>451</v>
      </c>
      <c r="AZ31" s="23">
        <v>0.1203858</v>
      </c>
      <c r="BA31" s="23" t="s">
        <v>449</v>
      </c>
      <c r="BB31" s="23">
        <v>2.8841800000000001E-2</v>
      </c>
      <c r="BC31" s="34">
        <v>0.30769230769230771</v>
      </c>
      <c r="BE31" s="16"/>
    </row>
    <row r="32" spans="2:57" ht="85" x14ac:dyDescent="0.2">
      <c r="B32" s="16"/>
      <c r="D32" s="11" t="s">
        <v>6</v>
      </c>
      <c r="E32" s="12" t="str">
        <f>VLOOKUP(LOWER(G26),experiments_specs!$A:$J,7,FALSE)</f>
        <v>False</v>
      </c>
      <c r="F32" s="15" t="s">
        <v>154</v>
      </c>
      <c r="G32" s="6" t="s">
        <v>15</v>
      </c>
      <c r="H32" s="18" t="s">
        <v>771</v>
      </c>
      <c r="I32" s="18" t="s">
        <v>815</v>
      </c>
      <c r="J32" s="18" t="s">
        <v>775</v>
      </c>
      <c r="K32" s="18" t="s">
        <v>817</v>
      </c>
      <c r="L32" s="31">
        <v>0.16666666666666666</v>
      </c>
      <c r="M32" s="23" t="s">
        <v>239</v>
      </c>
      <c r="N32" s="23" t="s">
        <v>819</v>
      </c>
      <c r="O32" s="23" t="s">
        <v>821</v>
      </c>
      <c r="P32" s="23" t="s">
        <v>823</v>
      </c>
      <c r="Q32" s="34">
        <v>0.2</v>
      </c>
      <c r="S32" s="16"/>
      <c r="U32" s="16"/>
      <c r="W32" s="11" t="s">
        <v>6</v>
      </c>
      <c r="X32" s="12" t="str">
        <f>VLOOKUP(LOWER(Z26),experiments_specs!$A:$J,7,FALSE)</f>
        <v>False</v>
      </c>
      <c r="Y32" s="15" t="s">
        <v>160</v>
      </c>
      <c r="Z32" s="6" t="s">
        <v>15</v>
      </c>
      <c r="AA32" s="18" t="s">
        <v>771</v>
      </c>
      <c r="AB32" s="18" t="s">
        <v>964</v>
      </c>
      <c r="AC32" s="18" t="s">
        <v>775</v>
      </c>
      <c r="AD32" s="18" t="s">
        <v>998</v>
      </c>
      <c r="AE32" s="31">
        <v>0.16666666666666666</v>
      </c>
      <c r="AF32" s="23" t="s">
        <v>1000</v>
      </c>
      <c r="AG32" s="23" t="s">
        <v>1002</v>
      </c>
      <c r="AH32" s="23" t="s">
        <v>1004</v>
      </c>
      <c r="AI32" s="23" t="s">
        <v>1006</v>
      </c>
      <c r="AJ32" s="34">
        <v>0.18181818181818182</v>
      </c>
      <c r="AL32" s="16"/>
      <c r="AN32" s="16"/>
      <c r="AP32" s="11" t="s">
        <v>6</v>
      </c>
      <c r="AQ32" s="12" t="str">
        <f>VLOOKUP(LOWER(AS26),experiments_specs!$A:$J,7,FALSE)</f>
        <v>False</v>
      </c>
      <c r="AR32" s="15" t="s">
        <v>166</v>
      </c>
      <c r="AS32" s="6" t="s">
        <v>15</v>
      </c>
      <c r="AT32" s="18" t="s">
        <v>909</v>
      </c>
      <c r="AU32" s="18" t="s">
        <v>1149</v>
      </c>
      <c r="AV32" s="18" t="s">
        <v>913</v>
      </c>
      <c r="AW32" s="18" t="s">
        <v>1151</v>
      </c>
      <c r="AX32" s="31">
        <v>0.16666666666666666</v>
      </c>
      <c r="AY32" s="23" t="s">
        <v>184</v>
      </c>
      <c r="AZ32" s="23" t="s">
        <v>1153</v>
      </c>
      <c r="BA32" s="23" t="s">
        <v>919</v>
      </c>
      <c r="BB32" s="23" t="s">
        <v>1155</v>
      </c>
      <c r="BC32" s="34">
        <v>0.18181818181818182</v>
      </c>
      <c r="BE32" s="16"/>
    </row>
    <row r="33" spans="2:57" ht="102" x14ac:dyDescent="0.2">
      <c r="B33" s="16"/>
      <c r="D33" s="11" t="s">
        <v>7</v>
      </c>
      <c r="E33" s="12" t="str">
        <f>VLOOKUP(LOWER(G26),experiments_specs!$A:$J,8,FALSE)</f>
        <v>True</v>
      </c>
      <c r="F33" s="15" t="s">
        <v>154</v>
      </c>
      <c r="G33" s="6" t="s">
        <v>16</v>
      </c>
      <c r="H33" s="19" t="s">
        <v>556</v>
      </c>
      <c r="I33" s="19">
        <v>0.1666666</v>
      </c>
      <c r="J33" s="19" t="s">
        <v>780</v>
      </c>
      <c r="K33" s="19">
        <v>3.3371999999999998E-3</v>
      </c>
      <c r="L33" s="31">
        <v>0.46153846153846156</v>
      </c>
      <c r="M33" s="23" t="s">
        <v>561</v>
      </c>
      <c r="N33" s="23" t="s">
        <v>825</v>
      </c>
      <c r="O33" s="23" t="s">
        <v>788</v>
      </c>
      <c r="P33" s="23" t="s">
        <v>827</v>
      </c>
      <c r="Q33" s="34">
        <v>0.15384615384615385</v>
      </c>
      <c r="S33" s="16"/>
      <c r="U33" s="16"/>
      <c r="W33" s="11" t="s">
        <v>7</v>
      </c>
      <c r="X33" s="12" t="str">
        <f>VLOOKUP(LOWER(Z26),experiments_specs!$A:$J,8,FALSE)</f>
        <v>True</v>
      </c>
      <c r="Y33" s="15" t="s">
        <v>160</v>
      </c>
      <c r="Z33" s="6" t="s">
        <v>16</v>
      </c>
      <c r="AA33" s="18" t="s">
        <v>1008</v>
      </c>
      <c r="AB33" s="18" t="s">
        <v>1010</v>
      </c>
      <c r="AC33" s="18" t="s">
        <v>1012</v>
      </c>
      <c r="AD33" s="18" t="s">
        <v>1014</v>
      </c>
      <c r="AE33" s="31">
        <v>0.22222222222222221</v>
      </c>
      <c r="AF33" s="23" t="s">
        <v>931</v>
      </c>
      <c r="AG33" s="23" t="s">
        <v>933</v>
      </c>
      <c r="AH33" s="23" t="s">
        <v>935</v>
      </c>
      <c r="AI33" s="23" t="s">
        <v>1016</v>
      </c>
      <c r="AJ33" s="34">
        <v>0.23529411764705882</v>
      </c>
      <c r="AL33" s="16"/>
      <c r="AN33" s="16"/>
      <c r="AP33" s="11" t="s">
        <v>7</v>
      </c>
      <c r="AQ33" s="12" t="str">
        <f>VLOOKUP(LOWER(AS26),experiments_specs!$A:$J,8,FALSE)</f>
        <v>True</v>
      </c>
      <c r="AR33" s="15" t="s">
        <v>166</v>
      </c>
      <c r="AS33" s="6" t="s">
        <v>16</v>
      </c>
      <c r="AT33" s="18" t="s">
        <v>1008</v>
      </c>
      <c r="AU33" s="18" t="s">
        <v>1010</v>
      </c>
      <c r="AV33" s="18" t="s">
        <v>1012</v>
      </c>
      <c r="AW33" s="18" t="s">
        <v>1157</v>
      </c>
      <c r="AX33" s="31">
        <v>0.22222222222222221</v>
      </c>
      <c r="AY33" s="23" t="s">
        <v>931</v>
      </c>
      <c r="AZ33" s="23" t="s">
        <v>933</v>
      </c>
      <c r="BA33" s="23" t="s">
        <v>935</v>
      </c>
      <c r="BB33" s="23" t="s">
        <v>1159</v>
      </c>
      <c r="BC33" s="34">
        <v>0.23529411764705882</v>
      </c>
      <c r="BE33" s="16"/>
    </row>
    <row r="34" spans="2:57" ht="51" x14ac:dyDescent="0.2">
      <c r="B34" s="16"/>
      <c r="D34" s="11" t="s">
        <v>8</v>
      </c>
      <c r="E34" s="12" t="str">
        <f>VLOOKUP(LOWER(G26),experiments_specs!$A:$J,9,FALSE)</f>
        <v>wup_similarity</v>
      </c>
      <c r="F34" s="15" t="s">
        <v>154</v>
      </c>
      <c r="G34" s="6" t="s">
        <v>17</v>
      </c>
      <c r="H34" s="19" t="s">
        <v>556</v>
      </c>
      <c r="I34" s="19">
        <v>0.1740776</v>
      </c>
      <c r="J34" s="19" t="s">
        <v>780</v>
      </c>
      <c r="K34" s="19">
        <v>3.3408000000000001E-3</v>
      </c>
      <c r="L34" s="31">
        <v>0.44444444444444442</v>
      </c>
      <c r="M34" s="22" t="s">
        <v>246</v>
      </c>
      <c r="N34" s="22">
        <v>0.1230914</v>
      </c>
      <c r="O34" s="22" t="s">
        <v>829</v>
      </c>
      <c r="P34" s="22">
        <v>6.9237999999999999E-3</v>
      </c>
      <c r="Q34" s="34">
        <v>0.14285714285714285</v>
      </c>
      <c r="S34" s="16"/>
      <c r="U34" s="16"/>
      <c r="W34" s="11" t="s">
        <v>8</v>
      </c>
      <c r="X34" s="12" t="str">
        <f>VLOOKUP(LOWER(Z26),experiments_specs!$A:$J,9,FALSE)</f>
        <v>wup_similarity</v>
      </c>
      <c r="Y34" s="15" t="s">
        <v>160</v>
      </c>
      <c r="Z34" s="6" t="s">
        <v>17</v>
      </c>
      <c r="AA34" s="19" t="s">
        <v>30</v>
      </c>
      <c r="AB34" s="19">
        <v>0.18898219999999999</v>
      </c>
      <c r="AC34" s="19" t="s">
        <v>1018</v>
      </c>
      <c r="AD34" s="19">
        <v>2.6726099999999999E-2</v>
      </c>
      <c r="AE34" s="31">
        <v>0.22222222222222221</v>
      </c>
      <c r="AF34" s="23" t="s">
        <v>1019</v>
      </c>
      <c r="AG34" s="23" t="s">
        <v>1021</v>
      </c>
      <c r="AH34" s="23" t="s">
        <v>1023</v>
      </c>
      <c r="AI34" s="23" t="s">
        <v>1025</v>
      </c>
      <c r="AJ34" s="34">
        <v>0.16666666666666666</v>
      </c>
      <c r="AL34" s="16"/>
      <c r="AN34" s="16"/>
      <c r="AP34" s="11" t="s">
        <v>8</v>
      </c>
      <c r="AQ34" s="12" t="str">
        <f>VLOOKUP(LOWER(AS26),experiments_specs!$A:$J,9,FALSE)</f>
        <v>wup_similarity</v>
      </c>
      <c r="AR34" s="15" t="s">
        <v>166</v>
      </c>
      <c r="AS34" s="6" t="s">
        <v>17</v>
      </c>
      <c r="AT34" s="18" t="s">
        <v>939</v>
      </c>
      <c r="AU34" s="18">
        <v>0.13483990000000001</v>
      </c>
      <c r="AV34" s="18" t="s">
        <v>940</v>
      </c>
      <c r="AW34" s="18">
        <v>1.8982099999999998E-2</v>
      </c>
      <c r="AX34" s="31">
        <v>0.26666666666666666</v>
      </c>
      <c r="AY34" s="23" t="s">
        <v>646</v>
      </c>
      <c r="AZ34" s="23" t="s">
        <v>466</v>
      </c>
      <c r="BA34" s="23" t="s">
        <v>941</v>
      </c>
      <c r="BB34" s="23" t="s">
        <v>1161</v>
      </c>
      <c r="BC34" s="34">
        <v>0.16666666666666666</v>
      </c>
      <c r="BE34" s="16"/>
    </row>
    <row r="35" spans="2:57" ht="68" x14ac:dyDescent="0.2">
      <c r="B35" s="16"/>
      <c r="D35" s="11" t="s">
        <v>9</v>
      </c>
      <c r="E35" s="12" t="str">
        <f>VLOOKUP(LOWER(G26),experiments_specs!$A:$J,10,FALSE)</f>
        <v>False</v>
      </c>
      <c r="F35" s="15" t="s">
        <v>154</v>
      </c>
      <c r="G35" s="7" t="s">
        <v>18</v>
      </c>
      <c r="H35" s="20" t="s">
        <v>44</v>
      </c>
      <c r="I35" s="20">
        <v>0.1010152</v>
      </c>
      <c r="J35" s="20" t="s">
        <v>781</v>
      </c>
      <c r="K35" s="20">
        <v>2.3888E-3</v>
      </c>
      <c r="L35" s="32">
        <v>0.21052631578947367</v>
      </c>
      <c r="M35" s="24" t="s">
        <v>388</v>
      </c>
      <c r="N35" s="24">
        <v>0.1010152</v>
      </c>
      <c r="O35" s="24" t="s">
        <v>440</v>
      </c>
      <c r="P35" s="24">
        <v>6.5925000000000003E-3</v>
      </c>
      <c r="Q35" s="35">
        <v>0.11764705882352941</v>
      </c>
      <c r="S35" s="16"/>
      <c r="U35" s="16"/>
      <c r="W35" s="11" t="s">
        <v>9</v>
      </c>
      <c r="X35" s="12" t="str">
        <f>VLOOKUP(LOWER(Z26),experiments_specs!$A:$J,10,FALSE)</f>
        <v>False</v>
      </c>
      <c r="Y35" s="15" t="s">
        <v>160</v>
      </c>
      <c r="Z35" s="7" t="s">
        <v>18</v>
      </c>
      <c r="AA35" s="49" t="s">
        <v>945</v>
      </c>
      <c r="AB35" s="49" t="s">
        <v>1027</v>
      </c>
      <c r="AC35" s="49" t="s">
        <v>949</v>
      </c>
      <c r="AD35" s="49" t="s">
        <v>1029</v>
      </c>
      <c r="AE35" s="32">
        <v>0.21052631578947367</v>
      </c>
      <c r="AF35" s="24" t="s">
        <v>46</v>
      </c>
      <c r="AG35" s="24">
        <v>0.15161959999999999</v>
      </c>
      <c r="AH35" s="24" t="s">
        <v>436</v>
      </c>
      <c r="AI35" s="24">
        <v>3.3354599999999998E-2</v>
      </c>
      <c r="AJ35" s="35">
        <v>0.22222222222222221</v>
      </c>
      <c r="AL35" s="16"/>
      <c r="AN35" s="16"/>
      <c r="AP35" s="11" t="s">
        <v>9</v>
      </c>
      <c r="AQ35" s="12" t="str">
        <f>VLOOKUP(LOWER(AS26),experiments_specs!$A:$J,10,FALSE)</f>
        <v>True</v>
      </c>
      <c r="AR35" s="15" t="s">
        <v>166</v>
      </c>
      <c r="AS35" s="7" t="s">
        <v>18</v>
      </c>
      <c r="AT35" s="49" t="s">
        <v>945</v>
      </c>
      <c r="AU35" s="49" t="s">
        <v>980</v>
      </c>
      <c r="AV35" s="49" t="s">
        <v>949</v>
      </c>
      <c r="AW35" s="49" t="s">
        <v>1163</v>
      </c>
      <c r="AX35" s="32">
        <v>0.21052631578947367</v>
      </c>
      <c r="AY35" s="24" t="s">
        <v>46</v>
      </c>
      <c r="AZ35" s="24">
        <v>0.15249850000000001</v>
      </c>
      <c r="BA35" s="24" t="s">
        <v>436</v>
      </c>
      <c r="BB35" s="24">
        <v>3.4310399999999998E-2</v>
      </c>
      <c r="BC35" s="35">
        <v>0.22222222222222221</v>
      </c>
      <c r="BE35" s="16"/>
    </row>
    <row r="36" spans="2:57" ht="17" thickBot="1" x14ac:dyDescent="0.25">
      <c r="B36" s="16"/>
      <c r="S36" s="16"/>
      <c r="U36" s="16"/>
      <c r="AL36" s="16"/>
      <c r="AN36" s="16"/>
      <c r="BE36" s="16"/>
    </row>
    <row r="37" spans="2:57" ht="20" thickBot="1" x14ac:dyDescent="0.3">
      <c r="B37" s="16"/>
      <c r="D37" s="13" t="s">
        <v>126</v>
      </c>
      <c r="E37" s="14"/>
      <c r="F37" s="9"/>
      <c r="G37" s="10" t="str">
        <f>"TEST_"&amp;TEXT(RIGHT(G26,2)+1, "00")</f>
        <v>TEST_76</v>
      </c>
      <c r="H37" s="41" t="s">
        <v>124</v>
      </c>
      <c r="I37" s="41"/>
      <c r="J37" s="41"/>
      <c r="K37" s="41"/>
      <c r="L37" s="41"/>
      <c r="M37" s="42" t="s">
        <v>123</v>
      </c>
      <c r="N37" s="42"/>
      <c r="O37" s="42"/>
      <c r="P37" s="42"/>
      <c r="Q37" s="42"/>
      <c r="R37" s="2"/>
      <c r="S37" s="16"/>
      <c r="U37" s="16"/>
      <c r="W37" s="13" t="s">
        <v>126</v>
      </c>
      <c r="X37" s="14"/>
      <c r="Y37" s="9"/>
      <c r="Z37" s="10" t="str">
        <f>"TEST_"&amp;TEXT(RIGHT(Z26,2)+1, "00")</f>
        <v>TEST_82</v>
      </c>
      <c r="AA37" s="41" t="s">
        <v>124</v>
      </c>
      <c r="AB37" s="41"/>
      <c r="AC37" s="41"/>
      <c r="AD37" s="41"/>
      <c r="AE37" s="41"/>
      <c r="AF37" s="42" t="s">
        <v>123</v>
      </c>
      <c r="AG37" s="42"/>
      <c r="AH37" s="42"/>
      <c r="AI37" s="42"/>
      <c r="AJ37" s="42"/>
      <c r="AK37" s="2"/>
      <c r="AL37" s="16"/>
      <c r="AN37" s="16"/>
      <c r="AP37" s="13" t="s">
        <v>126</v>
      </c>
      <c r="AQ37" s="14"/>
      <c r="AR37" s="9"/>
      <c r="AS37" s="10" t="str">
        <f>"TEST_"&amp;TEXT(RIGHT(AS26,2)+1, "00")</f>
        <v>TEST_88</v>
      </c>
      <c r="AT37" s="41" t="s">
        <v>124</v>
      </c>
      <c r="AU37" s="41"/>
      <c r="AV37" s="41"/>
      <c r="AW37" s="41"/>
      <c r="AX37" s="41"/>
      <c r="AY37" s="42" t="s">
        <v>123</v>
      </c>
      <c r="AZ37" s="42"/>
      <c r="BA37" s="42"/>
      <c r="BB37" s="42"/>
      <c r="BC37" s="42"/>
      <c r="BD37" s="2"/>
      <c r="BE37" s="16"/>
    </row>
    <row r="38" spans="2:57" x14ac:dyDescent="0.2">
      <c r="B38" s="16"/>
      <c r="D38" s="11" t="s">
        <v>1</v>
      </c>
      <c r="E38" s="12" t="str">
        <f>VLOOKUP(LOWER(G37),experiments_specs!$A:$J,2,FALSE)</f>
        <v>NN,VB,VBD,VBG,VBN,VBP,VBZ</v>
      </c>
      <c r="F38" s="15" t="str">
        <f>"{"&amp;LOWER(G37)&amp;".csv}"</f>
        <v>{test_76.csv}</v>
      </c>
      <c r="G38" s="8" t="s">
        <v>118</v>
      </c>
      <c r="H38" s="3" t="s">
        <v>119</v>
      </c>
      <c r="I38" s="3" t="s">
        <v>178</v>
      </c>
      <c r="J38" s="3" t="s">
        <v>120</v>
      </c>
      <c r="K38" s="3" t="s">
        <v>178</v>
      </c>
      <c r="L38" s="3" t="s">
        <v>121</v>
      </c>
      <c r="M38" s="4" t="s">
        <v>122</v>
      </c>
      <c r="N38" s="4" t="s">
        <v>178</v>
      </c>
      <c r="O38" s="4" t="s">
        <v>120</v>
      </c>
      <c r="P38" s="4" t="s">
        <v>178</v>
      </c>
      <c r="Q38" s="4" t="s">
        <v>121</v>
      </c>
      <c r="S38" s="16"/>
      <c r="U38" s="16"/>
      <c r="W38" s="11" t="s">
        <v>1</v>
      </c>
      <c r="X38" s="12" t="str">
        <f>VLOOKUP(LOWER(Z37),experiments_specs!$A:$J,2,FALSE)</f>
        <v>NN,VB,VBD,VBG,VBN,VBP,VBZ</v>
      </c>
      <c r="Y38" s="15" t="str">
        <f>"{"&amp;LOWER(Z37)&amp;".csv}"</f>
        <v>{test_82.csv}</v>
      </c>
      <c r="Z38" s="8" t="s">
        <v>118</v>
      </c>
      <c r="AA38" s="3" t="s">
        <v>119</v>
      </c>
      <c r="AB38" s="3" t="s">
        <v>178</v>
      </c>
      <c r="AC38" s="3" t="s">
        <v>120</v>
      </c>
      <c r="AD38" s="3" t="s">
        <v>178</v>
      </c>
      <c r="AE38" s="3" t="s">
        <v>121</v>
      </c>
      <c r="AF38" s="4" t="s">
        <v>122</v>
      </c>
      <c r="AG38" s="4" t="s">
        <v>178</v>
      </c>
      <c r="AH38" s="4" t="s">
        <v>120</v>
      </c>
      <c r="AI38" s="4" t="s">
        <v>178</v>
      </c>
      <c r="AJ38" s="4" t="s">
        <v>121</v>
      </c>
      <c r="AL38" s="16"/>
      <c r="AN38" s="16"/>
      <c r="AP38" s="11" t="s">
        <v>1</v>
      </c>
      <c r="AQ38" s="12" t="str">
        <f>VLOOKUP(LOWER(AS37),experiments_specs!$A:$J,2,FALSE)</f>
        <v>NN,VB,VBD,VBG,VBN,VBP,VBZ</v>
      </c>
      <c r="AR38" s="15" t="str">
        <f>"{"&amp;LOWER(AS37)&amp;".csv}"</f>
        <v>{test_88.csv}</v>
      </c>
      <c r="AS38" s="8" t="s">
        <v>118</v>
      </c>
      <c r="AT38" s="3" t="s">
        <v>119</v>
      </c>
      <c r="AU38" s="3" t="s">
        <v>178</v>
      </c>
      <c r="AV38" s="3" t="s">
        <v>120</v>
      </c>
      <c r="AW38" s="3" t="s">
        <v>178</v>
      </c>
      <c r="AX38" s="3" t="s">
        <v>121</v>
      </c>
      <c r="AY38" s="4" t="s">
        <v>122</v>
      </c>
      <c r="AZ38" s="4" t="s">
        <v>178</v>
      </c>
      <c r="BA38" s="4" t="s">
        <v>120</v>
      </c>
      <c r="BB38" s="4" t="s">
        <v>178</v>
      </c>
      <c r="BC38" s="4" t="s">
        <v>121</v>
      </c>
      <c r="BE38" s="16"/>
    </row>
    <row r="39" spans="2:57" ht="51" x14ac:dyDescent="0.2">
      <c r="B39" s="16"/>
      <c r="D39" s="11" t="s">
        <v>2</v>
      </c>
      <c r="E39" s="12">
        <f>VLOOKUP(LOWER(G37),experiments_specs!$A:$J,3,FALSE)</f>
        <v>1</v>
      </c>
      <c r="F39" s="15" t="s">
        <v>155</v>
      </c>
      <c r="G39" s="5" t="s">
        <v>19</v>
      </c>
      <c r="H39" s="17" t="s">
        <v>738</v>
      </c>
      <c r="I39" s="17" t="s">
        <v>830</v>
      </c>
      <c r="J39" s="17" t="s">
        <v>742</v>
      </c>
      <c r="K39" s="17" t="s">
        <v>832</v>
      </c>
      <c r="L39" s="30">
        <v>0.19047619047619047</v>
      </c>
      <c r="M39" s="47" t="s">
        <v>804</v>
      </c>
      <c r="N39" s="47" t="s">
        <v>834</v>
      </c>
      <c r="O39" s="47" t="s">
        <v>808</v>
      </c>
      <c r="P39" s="47" t="s">
        <v>836</v>
      </c>
      <c r="Q39" s="33">
        <v>0.1</v>
      </c>
      <c r="S39" s="16"/>
      <c r="U39" s="16"/>
      <c r="W39" s="11" t="s">
        <v>2</v>
      </c>
      <c r="X39" s="12">
        <f>VLOOKUP(LOWER(Z37),experiments_specs!$A:$J,3,FALSE)</f>
        <v>1</v>
      </c>
      <c r="Y39" s="15" t="s">
        <v>161</v>
      </c>
      <c r="Z39" s="5" t="s">
        <v>19</v>
      </c>
      <c r="AA39" s="17" t="s">
        <v>179</v>
      </c>
      <c r="AB39" s="17" t="s">
        <v>1031</v>
      </c>
      <c r="AC39" s="17" t="s">
        <v>890</v>
      </c>
      <c r="AD39" s="17" t="s">
        <v>1033</v>
      </c>
      <c r="AE39" s="30">
        <v>0.19047619047619047</v>
      </c>
      <c r="AF39" s="21" t="s">
        <v>47</v>
      </c>
      <c r="AG39" s="21">
        <v>0.18569530000000001</v>
      </c>
      <c r="AH39" s="21" t="s">
        <v>746</v>
      </c>
      <c r="AI39" s="21">
        <v>2.81865E-2</v>
      </c>
      <c r="AJ39" s="33">
        <v>0.2</v>
      </c>
      <c r="AL39" s="16"/>
      <c r="AN39" s="16"/>
      <c r="AP39" s="11" t="s">
        <v>2</v>
      </c>
      <c r="AQ39" s="12">
        <f>VLOOKUP(LOWER(AS37),experiments_specs!$A:$J,3,FALSE)</f>
        <v>1</v>
      </c>
      <c r="AR39" s="15" t="s">
        <v>167</v>
      </c>
      <c r="AS39" s="5" t="s">
        <v>19</v>
      </c>
      <c r="AT39" s="17" t="s">
        <v>179</v>
      </c>
      <c r="AU39" s="17" t="s">
        <v>497</v>
      </c>
      <c r="AV39" s="17" t="s">
        <v>890</v>
      </c>
      <c r="AW39" s="17" t="s">
        <v>984</v>
      </c>
      <c r="AX39" s="30">
        <v>0.19047619047619047</v>
      </c>
      <c r="AY39" s="21" t="s">
        <v>47</v>
      </c>
      <c r="AZ39" s="21">
        <v>0.18731709999999999</v>
      </c>
      <c r="BA39" s="21" t="s">
        <v>746</v>
      </c>
      <c r="BB39" s="21">
        <v>3.2309900000000003E-2</v>
      </c>
      <c r="BC39" s="33">
        <v>0.2</v>
      </c>
      <c r="BE39" s="16"/>
    </row>
    <row r="40" spans="2:57" ht="204" x14ac:dyDescent="0.2">
      <c r="B40" s="16"/>
      <c r="D40" s="11" t="s">
        <v>3</v>
      </c>
      <c r="E40" s="12">
        <f>VLOOKUP(LOWER(G37),experiments_specs!$A:$J,4,FALSE)</f>
        <v>2</v>
      </c>
      <c r="F40" s="15" t="s">
        <v>155</v>
      </c>
      <c r="G40" s="6" t="s">
        <v>12</v>
      </c>
      <c r="H40" s="18" t="s">
        <v>251</v>
      </c>
      <c r="I40" s="18">
        <v>0.3162277</v>
      </c>
      <c r="J40" s="18" t="s">
        <v>577</v>
      </c>
      <c r="K40" s="18">
        <v>4.2979000000000003E-3</v>
      </c>
      <c r="L40" s="31">
        <v>0.125</v>
      </c>
      <c r="M40" s="22" t="s">
        <v>235</v>
      </c>
      <c r="N40" s="22">
        <v>0.2390457</v>
      </c>
      <c r="O40" s="22" t="s">
        <v>251</v>
      </c>
      <c r="P40" s="22">
        <v>1.2023799999999999E-2</v>
      </c>
      <c r="Q40" s="34">
        <v>0.13333333333333333</v>
      </c>
      <c r="S40" s="16"/>
      <c r="U40" s="16"/>
      <c r="W40" s="11" t="s">
        <v>3</v>
      </c>
      <c r="X40" s="12">
        <f>VLOOKUP(LOWER(Z37),experiments_specs!$A:$J,4,FALSE)</f>
        <v>2</v>
      </c>
      <c r="Y40" s="15" t="s">
        <v>161</v>
      </c>
      <c r="Z40" s="6" t="s">
        <v>12</v>
      </c>
      <c r="AA40" s="18" t="s">
        <v>986</v>
      </c>
      <c r="AB40" s="18" t="s">
        <v>1035</v>
      </c>
      <c r="AC40" s="18" t="s">
        <v>990</v>
      </c>
      <c r="AD40" s="18" t="s">
        <v>1037</v>
      </c>
      <c r="AE40" s="31">
        <v>0.42857142857142855</v>
      </c>
      <c r="AF40" s="23" t="s">
        <v>390</v>
      </c>
      <c r="AG40" s="23" t="s">
        <v>1039</v>
      </c>
      <c r="AH40" s="23" t="s">
        <v>904</v>
      </c>
      <c r="AI40" s="23" t="s">
        <v>1041</v>
      </c>
      <c r="AJ40" s="34">
        <v>0.42857142857142855</v>
      </c>
      <c r="AL40" s="16"/>
      <c r="AN40" s="16"/>
      <c r="AP40" s="11" t="s">
        <v>3</v>
      </c>
      <c r="AQ40" s="12">
        <f>VLOOKUP(LOWER(AS37),experiments_specs!$A:$J,4,FALSE)</f>
        <v>2</v>
      </c>
      <c r="AR40" s="15" t="s">
        <v>167</v>
      </c>
      <c r="AS40" s="6" t="s">
        <v>12</v>
      </c>
      <c r="AT40" s="18" t="s">
        <v>986</v>
      </c>
      <c r="AU40" s="18" t="s">
        <v>1165</v>
      </c>
      <c r="AV40" s="18" t="s">
        <v>990</v>
      </c>
      <c r="AW40" s="18" t="s">
        <v>1167</v>
      </c>
      <c r="AX40" s="31">
        <v>0.42857142857142855</v>
      </c>
      <c r="AY40" s="23" t="s">
        <v>390</v>
      </c>
      <c r="AZ40" s="23" t="s">
        <v>960</v>
      </c>
      <c r="BA40" s="23" t="s">
        <v>904</v>
      </c>
      <c r="BB40" s="23" t="s">
        <v>1169</v>
      </c>
      <c r="BC40" s="34">
        <v>0.42857142857142855</v>
      </c>
      <c r="BE40" s="16"/>
    </row>
    <row r="41" spans="2:57" x14ac:dyDescent="0.2">
      <c r="B41" s="16"/>
      <c r="D41" s="11" t="s">
        <v>4</v>
      </c>
      <c r="E41" s="12" t="str">
        <f>VLOOKUP(LOWER(G37),experiments_specs!$A:$J,5,FALSE)</f>
        <v>False</v>
      </c>
      <c r="F41" s="15" t="s">
        <v>155</v>
      </c>
      <c r="G41" s="6" t="s">
        <v>13</v>
      </c>
      <c r="H41" s="19" t="s">
        <v>425</v>
      </c>
      <c r="I41" s="19">
        <v>0.1221694</v>
      </c>
      <c r="J41" s="19" t="s">
        <v>426</v>
      </c>
      <c r="K41" s="19">
        <v>7.5259000000000003E-3</v>
      </c>
      <c r="L41" s="31" t="s">
        <v>25</v>
      </c>
      <c r="M41" s="22" t="s">
        <v>252</v>
      </c>
      <c r="N41" s="22">
        <v>0.1727736</v>
      </c>
      <c r="O41" s="22" t="s">
        <v>812</v>
      </c>
      <c r="P41" s="22">
        <v>1.20339E-2</v>
      </c>
      <c r="Q41" s="34">
        <v>0.4</v>
      </c>
      <c r="S41" s="16"/>
      <c r="U41" s="16"/>
      <c r="W41" s="11" t="s">
        <v>4</v>
      </c>
      <c r="X41" s="12" t="str">
        <f>VLOOKUP(LOWER(Z37),experiments_specs!$A:$J,5,FALSE)</f>
        <v>True</v>
      </c>
      <c r="Y41" s="15" t="s">
        <v>161</v>
      </c>
      <c r="Z41" s="6" t="s">
        <v>13</v>
      </c>
      <c r="AA41" s="19" t="s">
        <v>32</v>
      </c>
      <c r="AB41" s="19">
        <v>0.1740776</v>
      </c>
      <c r="AC41" s="19" t="s">
        <v>473</v>
      </c>
      <c r="AD41" s="19">
        <v>3.6215900000000002E-2</v>
      </c>
      <c r="AE41" s="31">
        <v>0.4</v>
      </c>
      <c r="AF41" s="22" t="s">
        <v>34</v>
      </c>
      <c r="AG41" s="22">
        <v>0.1230914</v>
      </c>
      <c r="AH41" s="22" t="s">
        <v>908</v>
      </c>
      <c r="AI41" s="22">
        <v>3.8071500000000001E-2</v>
      </c>
      <c r="AJ41" s="34" t="s">
        <v>25</v>
      </c>
      <c r="AL41" s="16"/>
      <c r="AN41" s="16"/>
      <c r="AP41" s="11" t="s">
        <v>4</v>
      </c>
      <c r="AQ41" s="12" t="str">
        <f>VLOOKUP(LOWER(AS37),experiments_specs!$A:$J,5,FALSE)</f>
        <v>True</v>
      </c>
      <c r="AR41" s="15" t="s">
        <v>167</v>
      </c>
      <c r="AS41" s="6" t="s">
        <v>13</v>
      </c>
      <c r="AT41" s="19" t="s">
        <v>35</v>
      </c>
      <c r="AU41" s="19">
        <v>0.12803680000000001</v>
      </c>
      <c r="AV41" s="19" t="s">
        <v>908</v>
      </c>
      <c r="AW41" s="19">
        <v>3.6961000000000001E-2</v>
      </c>
      <c r="AX41" s="31" t="s">
        <v>25</v>
      </c>
      <c r="AY41" s="22" t="s">
        <v>34</v>
      </c>
      <c r="AZ41" s="22">
        <v>0.12803680000000001</v>
      </c>
      <c r="BA41" s="22" t="s">
        <v>908</v>
      </c>
      <c r="BB41" s="22">
        <v>3.6961000000000001E-2</v>
      </c>
      <c r="BC41" s="34" t="s">
        <v>25</v>
      </c>
      <c r="BE41" s="16"/>
    </row>
    <row r="42" spans="2:57" ht="34" x14ac:dyDescent="0.2">
      <c r="B42" s="16"/>
      <c r="D42" s="11" t="s">
        <v>5</v>
      </c>
      <c r="E42" s="12" t="str">
        <f>VLOOKUP(LOWER(G37),experiments_specs!$A:$J,6,FALSE)</f>
        <v>False</v>
      </c>
      <c r="F42" s="15" t="s">
        <v>155</v>
      </c>
      <c r="G42" s="6" t="s">
        <v>14</v>
      </c>
      <c r="H42" s="18" t="s">
        <v>763</v>
      </c>
      <c r="I42" s="18" t="s">
        <v>765</v>
      </c>
      <c r="J42" s="18" t="s">
        <v>767</v>
      </c>
      <c r="K42" s="18" t="s">
        <v>838</v>
      </c>
      <c r="L42" s="31">
        <v>0.25</v>
      </c>
      <c r="M42" s="23" t="s">
        <v>840</v>
      </c>
      <c r="N42" s="23" t="s">
        <v>842</v>
      </c>
      <c r="O42" s="23" t="s">
        <v>844</v>
      </c>
      <c r="P42" s="23" t="s">
        <v>846</v>
      </c>
      <c r="Q42" s="34">
        <v>0.625</v>
      </c>
      <c r="S42" s="16"/>
      <c r="U42" s="16"/>
      <c r="W42" s="11" t="s">
        <v>5</v>
      </c>
      <c r="X42" s="12" t="str">
        <f>VLOOKUP(LOWER(Z37),experiments_specs!$A:$J,6,FALSE)</f>
        <v>False</v>
      </c>
      <c r="Y42" s="15" t="s">
        <v>161</v>
      </c>
      <c r="Z42" s="6" t="s">
        <v>14</v>
      </c>
      <c r="AA42" s="18" t="s">
        <v>1043</v>
      </c>
      <c r="AB42" s="18" t="s">
        <v>1045</v>
      </c>
      <c r="AC42" s="18" t="s">
        <v>1047</v>
      </c>
      <c r="AD42" s="18" t="s">
        <v>1049</v>
      </c>
      <c r="AE42" s="31">
        <v>0.2857142857142857</v>
      </c>
      <c r="AF42" s="23" t="s">
        <v>451</v>
      </c>
      <c r="AG42" s="23">
        <v>0.1178511</v>
      </c>
      <c r="AH42" s="23" t="s">
        <v>449</v>
      </c>
      <c r="AI42" s="23">
        <v>2.3251999999999998E-2</v>
      </c>
      <c r="AJ42" s="34">
        <v>0.30769230769230771</v>
      </c>
      <c r="AL42" s="16"/>
      <c r="AN42" s="16"/>
      <c r="AP42" s="11" t="s">
        <v>5</v>
      </c>
      <c r="AQ42" s="12" t="str">
        <f>VLOOKUP(LOWER(AS37),experiments_specs!$A:$J,6,FALSE)</f>
        <v>False</v>
      </c>
      <c r="AR42" s="15" t="s">
        <v>167</v>
      </c>
      <c r="AS42" s="6" t="s">
        <v>14</v>
      </c>
      <c r="AT42" s="18" t="s">
        <v>449</v>
      </c>
      <c r="AU42" s="18">
        <v>0.26726119999999998</v>
      </c>
      <c r="AV42" s="18" t="s">
        <v>450</v>
      </c>
      <c r="AW42" s="18">
        <v>1.49144E-2</v>
      </c>
      <c r="AX42" s="31">
        <v>0.2857142857142857</v>
      </c>
      <c r="AY42" s="23" t="s">
        <v>451</v>
      </c>
      <c r="AZ42" s="23">
        <v>0.1195228</v>
      </c>
      <c r="BA42" s="23" t="s">
        <v>449</v>
      </c>
      <c r="BB42" s="23">
        <v>2.50557E-2</v>
      </c>
      <c r="BC42" s="34">
        <v>0.30769230769230771</v>
      </c>
      <c r="BE42" s="16"/>
    </row>
    <row r="43" spans="2:57" ht="51" x14ac:dyDescent="0.2">
      <c r="B43" s="16"/>
      <c r="D43" s="11" t="s">
        <v>6</v>
      </c>
      <c r="E43" s="12" t="str">
        <f>VLOOKUP(LOWER(G37),experiments_specs!$A:$J,7,FALSE)</f>
        <v>False</v>
      </c>
      <c r="F43" s="15" t="s">
        <v>155</v>
      </c>
      <c r="G43" s="6" t="s">
        <v>15</v>
      </c>
      <c r="H43" s="19" t="s">
        <v>442</v>
      </c>
      <c r="I43" s="19">
        <v>0.1727736</v>
      </c>
      <c r="J43" s="19" t="s">
        <v>443</v>
      </c>
      <c r="K43" s="19">
        <v>4.5228000000000004E-3</v>
      </c>
      <c r="L43" s="31">
        <v>0.2</v>
      </c>
      <c r="M43" s="23" t="s">
        <v>383</v>
      </c>
      <c r="N43" s="23">
        <v>0.24433879999999999</v>
      </c>
      <c r="O43" s="23" t="s">
        <v>848</v>
      </c>
      <c r="P43" s="23">
        <v>2.0769699999999999E-2</v>
      </c>
      <c r="Q43" s="34">
        <v>0.2</v>
      </c>
      <c r="S43" s="16"/>
      <c r="U43" s="16"/>
      <c r="W43" s="11" t="s">
        <v>6</v>
      </c>
      <c r="X43" s="12" t="str">
        <f>VLOOKUP(LOWER(Z37),experiments_specs!$A:$J,7,FALSE)</f>
        <v>False</v>
      </c>
      <c r="Y43" s="15" t="s">
        <v>161</v>
      </c>
      <c r="Z43" s="6" t="s">
        <v>15</v>
      </c>
      <c r="AA43" s="19" t="s">
        <v>409</v>
      </c>
      <c r="AB43" s="19">
        <v>0.21997059999999999</v>
      </c>
      <c r="AC43" s="19" t="s">
        <v>1051</v>
      </c>
      <c r="AD43" s="19">
        <v>1.6387100000000002E-2</v>
      </c>
      <c r="AE43" s="31">
        <v>0.22222222222222221</v>
      </c>
      <c r="AF43" s="23" t="s">
        <v>1052</v>
      </c>
      <c r="AG43" s="23">
        <v>0.1270001</v>
      </c>
      <c r="AH43" s="23" t="s">
        <v>1053</v>
      </c>
      <c r="AI43" s="23">
        <v>4.0640000000000003E-2</v>
      </c>
      <c r="AJ43" s="34">
        <v>0.18181818181818182</v>
      </c>
      <c r="AL43" s="16"/>
      <c r="AN43" s="16"/>
      <c r="AP43" s="11" t="s">
        <v>6</v>
      </c>
      <c r="AQ43" s="12" t="str">
        <f>VLOOKUP(LOWER(AS37),experiments_specs!$A:$J,7,FALSE)</f>
        <v>False</v>
      </c>
      <c r="AR43" s="15" t="s">
        <v>167</v>
      </c>
      <c r="AS43" s="6" t="s">
        <v>15</v>
      </c>
      <c r="AT43" s="18" t="s">
        <v>909</v>
      </c>
      <c r="AU43" s="18" t="s">
        <v>1149</v>
      </c>
      <c r="AV43" s="18" t="s">
        <v>913</v>
      </c>
      <c r="AW43" s="18" t="s">
        <v>1171</v>
      </c>
      <c r="AX43" s="31">
        <v>0.16666666666666666</v>
      </c>
      <c r="AY43" s="23" t="s">
        <v>184</v>
      </c>
      <c r="AZ43" s="23" t="s">
        <v>1153</v>
      </c>
      <c r="BA43" s="23" t="s">
        <v>919</v>
      </c>
      <c r="BB43" s="23" t="s">
        <v>1173</v>
      </c>
      <c r="BC43" s="34">
        <v>0.18181818181818182</v>
      </c>
      <c r="BE43" s="16"/>
    </row>
    <row r="44" spans="2:57" ht="102" x14ac:dyDescent="0.2">
      <c r="B44" s="16"/>
      <c r="D44" s="11" t="s">
        <v>7</v>
      </c>
      <c r="E44" s="12" t="str">
        <f>VLOOKUP(LOWER(G37),experiments_specs!$A:$J,8,FALSE)</f>
        <v>True</v>
      </c>
      <c r="F44" s="15" t="s">
        <v>155</v>
      </c>
      <c r="G44" s="6" t="s">
        <v>16</v>
      </c>
      <c r="H44" s="19" t="s">
        <v>385</v>
      </c>
      <c r="I44" s="19">
        <v>0.1178511</v>
      </c>
      <c r="J44" s="19" t="s">
        <v>849</v>
      </c>
      <c r="K44" s="19">
        <v>2.745E-3</v>
      </c>
      <c r="L44" s="31">
        <v>0.14285714285714285</v>
      </c>
      <c r="M44" s="23" t="s">
        <v>561</v>
      </c>
      <c r="N44" s="23" t="s">
        <v>825</v>
      </c>
      <c r="O44" s="23" t="s">
        <v>788</v>
      </c>
      <c r="P44" s="23" t="s">
        <v>850</v>
      </c>
      <c r="Q44" s="34">
        <v>0.15384615384615385</v>
      </c>
      <c r="S44" s="16"/>
      <c r="U44" s="16"/>
      <c r="W44" s="11" t="s">
        <v>7</v>
      </c>
      <c r="X44" s="12" t="str">
        <f>VLOOKUP(LOWER(Z37),experiments_specs!$A:$J,8,FALSE)</f>
        <v>True</v>
      </c>
      <c r="Y44" s="15" t="s">
        <v>161</v>
      </c>
      <c r="Z44" s="6" t="s">
        <v>16</v>
      </c>
      <c r="AA44" s="18" t="s">
        <v>1008</v>
      </c>
      <c r="AB44" s="18" t="s">
        <v>1054</v>
      </c>
      <c r="AC44" s="18" t="s">
        <v>1012</v>
      </c>
      <c r="AD44" s="18" t="s">
        <v>1056</v>
      </c>
      <c r="AE44" s="31">
        <v>0.22222222222222221</v>
      </c>
      <c r="AF44" s="23" t="s">
        <v>931</v>
      </c>
      <c r="AG44" s="23" t="s">
        <v>1058</v>
      </c>
      <c r="AH44" s="23" t="s">
        <v>935</v>
      </c>
      <c r="AI44" s="23" t="s">
        <v>1060</v>
      </c>
      <c r="AJ44" s="34">
        <v>0.23529411764705882</v>
      </c>
      <c r="AL44" s="16"/>
      <c r="AN44" s="16"/>
      <c r="AP44" s="11" t="s">
        <v>7</v>
      </c>
      <c r="AQ44" s="12" t="str">
        <f>VLOOKUP(LOWER(AS37),experiments_specs!$A:$J,8,FALSE)</f>
        <v>True</v>
      </c>
      <c r="AR44" s="15" t="s">
        <v>167</v>
      </c>
      <c r="AS44" s="6" t="s">
        <v>16</v>
      </c>
      <c r="AT44" s="18" t="s">
        <v>1008</v>
      </c>
      <c r="AU44" s="18" t="s">
        <v>1010</v>
      </c>
      <c r="AV44" s="18" t="s">
        <v>1012</v>
      </c>
      <c r="AW44" s="18" t="s">
        <v>1175</v>
      </c>
      <c r="AX44" s="31">
        <v>0.22222222222222221</v>
      </c>
      <c r="AY44" s="23" t="s">
        <v>931</v>
      </c>
      <c r="AZ44" s="23" t="s">
        <v>933</v>
      </c>
      <c r="BA44" s="23" t="s">
        <v>935</v>
      </c>
      <c r="BB44" s="23" t="s">
        <v>1177</v>
      </c>
      <c r="BC44" s="34">
        <v>0.23529411764705882</v>
      </c>
      <c r="BE44" s="16"/>
    </row>
    <row r="45" spans="2:57" ht="34" x14ac:dyDescent="0.2">
      <c r="B45" s="16"/>
      <c r="D45" s="11" t="s">
        <v>8</v>
      </c>
      <c r="E45" s="12" t="str">
        <f>VLOOKUP(LOWER(G37),experiments_specs!$A:$J,9,FALSE)</f>
        <v>wup_similarity</v>
      </c>
      <c r="F45" s="15" t="s">
        <v>155</v>
      </c>
      <c r="G45" s="6" t="s">
        <v>17</v>
      </c>
      <c r="H45" s="18" t="s">
        <v>852</v>
      </c>
      <c r="I45" s="18" t="s">
        <v>854</v>
      </c>
      <c r="J45" s="18" t="s">
        <v>856</v>
      </c>
      <c r="K45" s="18" t="s">
        <v>858</v>
      </c>
      <c r="L45" s="31">
        <v>0.22222222222222221</v>
      </c>
      <c r="M45" s="22" t="s">
        <v>30</v>
      </c>
      <c r="N45" s="22">
        <v>0.1714985</v>
      </c>
      <c r="O45" s="22" t="s">
        <v>446</v>
      </c>
      <c r="P45" s="22">
        <v>1.4852199999999999E-2</v>
      </c>
      <c r="Q45" s="34">
        <v>0.22222222222222221</v>
      </c>
      <c r="S45" s="16"/>
      <c r="U45" s="16"/>
      <c r="W45" s="11" t="s">
        <v>8</v>
      </c>
      <c r="X45" s="12" t="str">
        <f>VLOOKUP(LOWER(Z37),experiments_specs!$A:$J,9,FALSE)</f>
        <v>wup_similarity</v>
      </c>
      <c r="Y45" s="15" t="s">
        <v>161</v>
      </c>
      <c r="Z45" s="6" t="s">
        <v>17</v>
      </c>
      <c r="AA45" s="19" t="s">
        <v>30</v>
      </c>
      <c r="AB45" s="19">
        <v>0.18569530000000001</v>
      </c>
      <c r="AC45" s="19" t="s">
        <v>1018</v>
      </c>
      <c r="AD45" s="19">
        <v>2.9842299999999999E-2</v>
      </c>
      <c r="AE45" s="31">
        <v>0.22222222222222221</v>
      </c>
      <c r="AF45" s="23" t="s">
        <v>1062</v>
      </c>
      <c r="AG45" s="23" t="s">
        <v>1064</v>
      </c>
      <c r="AH45" s="23" t="s">
        <v>1066</v>
      </c>
      <c r="AI45" s="23" t="s">
        <v>1068</v>
      </c>
      <c r="AJ45" s="34">
        <v>0.2</v>
      </c>
      <c r="AL45" s="16"/>
      <c r="AN45" s="16"/>
      <c r="AP45" s="11" t="s">
        <v>8</v>
      </c>
      <c r="AQ45" s="12" t="str">
        <f>VLOOKUP(LOWER(AS37),experiments_specs!$A:$J,9,FALSE)</f>
        <v>wup_similarity</v>
      </c>
      <c r="AR45" s="15" t="s">
        <v>167</v>
      </c>
      <c r="AS45" s="6" t="s">
        <v>17</v>
      </c>
      <c r="AT45" s="18" t="s">
        <v>939</v>
      </c>
      <c r="AU45" s="18">
        <v>0.13483990000000001</v>
      </c>
      <c r="AV45" s="18" t="s">
        <v>940</v>
      </c>
      <c r="AW45" s="18">
        <v>1.8349299999999999E-2</v>
      </c>
      <c r="AX45" s="31">
        <v>0.26666666666666666</v>
      </c>
      <c r="AY45" s="23" t="s">
        <v>646</v>
      </c>
      <c r="AZ45" s="23" t="s">
        <v>466</v>
      </c>
      <c r="BA45" s="23" t="s">
        <v>941</v>
      </c>
      <c r="BB45" s="23" t="s">
        <v>1179</v>
      </c>
      <c r="BC45" s="34">
        <v>0.16666666666666666</v>
      </c>
      <c r="BE45" s="16"/>
    </row>
    <row r="46" spans="2:57" ht="221" x14ac:dyDescent="0.2">
      <c r="B46" s="16"/>
      <c r="D46" s="11" t="s">
        <v>9</v>
      </c>
      <c r="E46" s="12" t="str">
        <f>VLOOKUP(LOWER(G37),experiments_specs!$A:$J,10,FALSE)</f>
        <v>False</v>
      </c>
      <c r="F46" s="15" t="s">
        <v>155</v>
      </c>
      <c r="G46" s="7" t="s">
        <v>18</v>
      </c>
      <c r="H46" s="20" t="s">
        <v>44</v>
      </c>
      <c r="I46" s="20">
        <v>0.1005037</v>
      </c>
      <c r="J46" s="20" t="s">
        <v>781</v>
      </c>
      <c r="K46" s="20">
        <v>1.5827E-3</v>
      </c>
      <c r="L46" s="32">
        <v>0.21052631578947367</v>
      </c>
      <c r="M46" s="24" t="s">
        <v>388</v>
      </c>
      <c r="N46" s="24">
        <v>0.1005037</v>
      </c>
      <c r="O46" s="24" t="s">
        <v>440</v>
      </c>
      <c r="P46" s="24">
        <v>9.3600999999999997E-3</v>
      </c>
      <c r="Q46" s="35">
        <v>0.11764705882352941</v>
      </c>
      <c r="S46" s="16"/>
      <c r="U46" s="16"/>
      <c r="W46" s="11" t="s">
        <v>9</v>
      </c>
      <c r="X46" s="12" t="str">
        <f>VLOOKUP(LOWER(Z37),experiments_specs!$A:$J,10,FALSE)</f>
        <v>False</v>
      </c>
      <c r="Y46" s="15" t="s">
        <v>161</v>
      </c>
      <c r="Z46" s="7" t="s">
        <v>18</v>
      </c>
      <c r="AA46" s="49" t="s">
        <v>1070</v>
      </c>
      <c r="AB46" s="49" t="s">
        <v>1072</v>
      </c>
      <c r="AC46" s="49" t="s">
        <v>1074</v>
      </c>
      <c r="AD46" s="49" t="s">
        <v>1076</v>
      </c>
      <c r="AE46" s="32">
        <v>0.125</v>
      </c>
      <c r="AF46" s="24" t="s">
        <v>46</v>
      </c>
      <c r="AG46" s="24">
        <v>0.15075559999999999</v>
      </c>
      <c r="AH46" s="24" t="s">
        <v>436</v>
      </c>
      <c r="AI46" s="24">
        <v>2.7134599999999998E-2</v>
      </c>
      <c r="AJ46" s="35">
        <v>0.22222222222222221</v>
      </c>
      <c r="AL46" s="16"/>
      <c r="AN46" s="16"/>
      <c r="AP46" s="11" t="s">
        <v>9</v>
      </c>
      <c r="AQ46" s="12" t="str">
        <f>VLOOKUP(LOWER(AS37),experiments_specs!$A:$J,10,FALSE)</f>
        <v>True</v>
      </c>
      <c r="AR46" s="15" t="s">
        <v>167</v>
      </c>
      <c r="AS46" s="7" t="s">
        <v>18</v>
      </c>
      <c r="AT46" s="49" t="s">
        <v>1181</v>
      </c>
      <c r="AU46" s="49" t="s">
        <v>1183</v>
      </c>
      <c r="AV46" s="49" t="s">
        <v>1185</v>
      </c>
      <c r="AW46" s="49" t="s">
        <v>1187</v>
      </c>
      <c r="AX46" s="32">
        <v>0.21052631578947367</v>
      </c>
      <c r="AY46" s="24" t="s">
        <v>46</v>
      </c>
      <c r="AZ46" s="24">
        <v>0.14990629999999999</v>
      </c>
      <c r="BA46" s="24" t="s">
        <v>436</v>
      </c>
      <c r="BB46" s="24">
        <v>3.1574400000000002E-2</v>
      </c>
      <c r="BC46" s="35">
        <v>0.22222222222222221</v>
      </c>
      <c r="BE46" s="16"/>
    </row>
    <row r="47" spans="2:57" ht="17" thickBot="1" x14ac:dyDescent="0.25">
      <c r="B47" s="16"/>
      <c r="S47" s="16"/>
      <c r="U47" s="16"/>
      <c r="AL47" s="16"/>
      <c r="AN47" s="16"/>
      <c r="BE47" s="16"/>
    </row>
    <row r="48" spans="2:57" ht="20" thickBot="1" x14ac:dyDescent="0.3">
      <c r="B48" s="16"/>
      <c r="D48" s="13" t="s">
        <v>126</v>
      </c>
      <c r="E48" s="14"/>
      <c r="F48" s="9"/>
      <c r="G48" s="10" t="str">
        <f>"TEST_"&amp;TEXT(RIGHT(G37,2)+1, "00")</f>
        <v>TEST_77</v>
      </c>
      <c r="H48" s="41" t="s">
        <v>124</v>
      </c>
      <c r="I48" s="41"/>
      <c r="J48" s="41"/>
      <c r="K48" s="41"/>
      <c r="L48" s="41"/>
      <c r="M48" s="42" t="s">
        <v>123</v>
      </c>
      <c r="N48" s="42"/>
      <c r="O48" s="42"/>
      <c r="P48" s="42"/>
      <c r="Q48" s="42"/>
      <c r="R48" s="2"/>
      <c r="S48" s="16"/>
      <c r="U48" s="16"/>
      <c r="W48" s="13" t="s">
        <v>126</v>
      </c>
      <c r="X48" s="14"/>
      <c r="Y48" s="9"/>
      <c r="Z48" s="10" t="str">
        <f>"TEST_"&amp;TEXT(RIGHT(Z37,2)+1, "00")</f>
        <v>TEST_83</v>
      </c>
      <c r="AA48" s="41" t="s">
        <v>124</v>
      </c>
      <c r="AB48" s="41"/>
      <c r="AC48" s="41"/>
      <c r="AD48" s="41"/>
      <c r="AE48" s="41"/>
      <c r="AF48" s="42" t="s">
        <v>123</v>
      </c>
      <c r="AG48" s="42"/>
      <c r="AH48" s="42"/>
      <c r="AI48" s="42"/>
      <c r="AJ48" s="42"/>
      <c r="AK48" s="2"/>
      <c r="AL48" s="16"/>
      <c r="AN48" s="16"/>
      <c r="AP48" s="13" t="s">
        <v>126</v>
      </c>
      <c r="AQ48" s="14"/>
      <c r="AR48" s="9"/>
      <c r="AS48" s="10" t="str">
        <f>"TEST_"&amp;TEXT(RIGHT(AS37,2)+1, "00")</f>
        <v>TEST_89</v>
      </c>
      <c r="AT48" s="41" t="s">
        <v>124</v>
      </c>
      <c r="AU48" s="41"/>
      <c r="AV48" s="41"/>
      <c r="AW48" s="41"/>
      <c r="AX48" s="41"/>
      <c r="AY48" s="42" t="s">
        <v>123</v>
      </c>
      <c r="AZ48" s="42"/>
      <c r="BA48" s="42"/>
      <c r="BB48" s="42"/>
      <c r="BC48" s="42"/>
      <c r="BD48" s="2"/>
      <c r="BE48" s="16"/>
    </row>
    <row r="49" spans="2:57" x14ac:dyDescent="0.2">
      <c r="B49" s="16"/>
      <c r="D49" s="11" t="s">
        <v>1</v>
      </c>
      <c r="E49" s="12" t="str">
        <f>VLOOKUP(LOWER(G48),experiments_specs!$A:$J,2,FALSE)</f>
        <v>NN,RB</v>
      </c>
      <c r="F49" s="15" t="str">
        <f>"{"&amp;LOWER(G48)&amp;".csv}"</f>
        <v>{test_77.csv}</v>
      </c>
      <c r="G49" s="8" t="s">
        <v>118</v>
      </c>
      <c r="H49" s="3" t="s">
        <v>119</v>
      </c>
      <c r="I49" s="3" t="s">
        <v>178</v>
      </c>
      <c r="J49" s="3" t="s">
        <v>120</v>
      </c>
      <c r="K49" s="3" t="s">
        <v>178</v>
      </c>
      <c r="L49" s="3" t="s">
        <v>121</v>
      </c>
      <c r="M49" s="4" t="s">
        <v>122</v>
      </c>
      <c r="N49" s="4" t="s">
        <v>178</v>
      </c>
      <c r="O49" s="4" t="s">
        <v>120</v>
      </c>
      <c r="P49" s="4" t="s">
        <v>178</v>
      </c>
      <c r="Q49" s="4" t="s">
        <v>121</v>
      </c>
      <c r="S49" s="16"/>
      <c r="U49" s="16"/>
      <c r="W49" s="11" t="s">
        <v>1</v>
      </c>
      <c r="X49" s="12" t="str">
        <f>VLOOKUP(LOWER(Z48),experiments_specs!$A:$J,2,FALSE)</f>
        <v>NN,RB</v>
      </c>
      <c r="Y49" s="15" t="str">
        <f>"{"&amp;LOWER(Z48)&amp;".csv}"</f>
        <v>{test_83.csv}</v>
      </c>
      <c r="Z49" s="8" t="s">
        <v>118</v>
      </c>
      <c r="AA49" s="3" t="s">
        <v>119</v>
      </c>
      <c r="AB49" s="3" t="s">
        <v>178</v>
      </c>
      <c r="AC49" s="3" t="s">
        <v>120</v>
      </c>
      <c r="AD49" s="3" t="s">
        <v>178</v>
      </c>
      <c r="AE49" s="3" t="s">
        <v>121</v>
      </c>
      <c r="AF49" s="4" t="s">
        <v>122</v>
      </c>
      <c r="AG49" s="4" t="s">
        <v>178</v>
      </c>
      <c r="AH49" s="4" t="s">
        <v>120</v>
      </c>
      <c r="AI49" s="4" t="s">
        <v>178</v>
      </c>
      <c r="AJ49" s="4" t="s">
        <v>121</v>
      </c>
      <c r="AL49" s="16"/>
      <c r="AN49" s="16"/>
      <c r="AP49" s="11" t="s">
        <v>1</v>
      </c>
      <c r="AQ49" s="12" t="str">
        <f>VLOOKUP(LOWER(AS48),experiments_specs!$A:$J,2,FALSE)</f>
        <v>NN,RB</v>
      </c>
      <c r="AR49" s="15" t="str">
        <f>"{"&amp;LOWER(AS48)&amp;".csv}"</f>
        <v>{test_89.csv}</v>
      </c>
      <c r="AS49" s="8" t="s">
        <v>118</v>
      </c>
      <c r="AT49" s="3" t="s">
        <v>119</v>
      </c>
      <c r="AU49" s="3" t="s">
        <v>178</v>
      </c>
      <c r="AV49" s="3" t="s">
        <v>120</v>
      </c>
      <c r="AW49" s="3" t="s">
        <v>178</v>
      </c>
      <c r="AX49" s="3" t="s">
        <v>121</v>
      </c>
      <c r="AY49" s="4" t="s">
        <v>122</v>
      </c>
      <c r="AZ49" s="4" t="s">
        <v>178</v>
      </c>
      <c r="BA49" s="4" t="s">
        <v>120</v>
      </c>
      <c r="BB49" s="4" t="s">
        <v>178</v>
      </c>
      <c r="BC49" s="4" t="s">
        <v>121</v>
      </c>
      <c r="BE49" s="16"/>
    </row>
    <row r="50" spans="2:57" ht="51" x14ac:dyDescent="0.2">
      <c r="B50" s="16"/>
      <c r="D50" s="11" t="s">
        <v>2</v>
      </c>
      <c r="E50" s="12">
        <f>VLOOKUP(LOWER(G48),experiments_specs!$A:$J,3,FALSE)</f>
        <v>1</v>
      </c>
      <c r="F50" s="15" t="s">
        <v>156</v>
      </c>
      <c r="G50" s="5" t="s">
        <v>19</v>
      </c>
      <c r="H50" s="17" t="s">
        <v>738</v>
      </c>
      <c r="I50" s="17" t="s">
        <v>860</v>
      </c>
      <c r="J50" s="17" t="s">
        <v>742</v>
      </c>
      <c r="K50" s="17" t="s">
        <v>862</v>
      </c>
      <c r="L50" s="30">
        <v>0.19047619047619047</v>
      </c>
      <c r="M50" s="21" t="s">
        <v>47</v>
      </c>
      <c r="N50" s="21">
        <v>0.18107139999999999</v>
      </c>
      <c r="O50" s="21" t="s">
        <v>746</v>
      </c>
      <c r="P50" s="21">
        <v>7.0400999999999997E-3</v>
      </c>
      <c r="Q50" s="33">
        <v>0.2</v>
      </c>
      <c r="S50" s="16"/>
      <c r="U50" s="16"/>
      <c r="W50" s="11" t="s">
        <v>2</v>
      </c>
      <c r="X50" s="12">
        <f>VLOOKUP(LOWER(Z48),experiments_specs!$A:$J,3,FALSE)</f>
        <v>1</v>
      </c>
      <c r="Y50" s="15" t="s">
        <v>162</v>
      </c>
      <c r="Z50" s="5" t="s">
        <v>19</v>
      </c>
      <c r="AA50" s="17" t="s">
        <v>179</v>
      </c>
      <c r="AB50" s="17" t="s">
        <v>1078</v>
      </c>
      <c r="AC50" s="17" t="s">
        <v>890</v>
      </c>
      <c r="AD50" s="17" t="s">
        <v>1080</v>
      </c>
      <c r="AE50" s="30">
        <v>0.19047619047619047</v>
      </c>
      <c r="AF50" s="21" t="s">
        <v>47</v>
      </c>
      <c r="AG50" s="21">
        <v>0.1841149</v>
      </c>
      <c r="AH50" s="21" t="s">
        <v>746</v>
      </c>
      <c r="AI50" s="21">
        <v>4.5964900000000003E-2</v>
      </c>
      <c r="AJ50" s="33">
        <v>0.2</v>
      </c>
      <c r="AL50" s="16"/>
      <c r="AN50" s="16"/>
      <c r="AP50" s="11" t="s">
        <v>2</v>
      </c>
      <c r="AQ50" s="12">
        <f>VLOOKUP(LOWER(AS48),experiments_specs!$A:$J,3,FALSE)</f>
        <v>1</v>
      </c>
      <c r="AR50" s="15" t="s">
        <v>168</v>
      </c>
      <c r="AS50" s="5" t="s">
        <v>19</v>
      </c>
      <c r="AT50" s="17" t="s">
        <v>179</v>
      </c>
      <c r="AU50" s="17" t="s">
        <v>497</v>
      </c>
      <c r="AV50" s="17" t="s">
        <v>890</v>
      </c>
      <c r="AW50" s="17" t="s">
        <v>892</v>
      </c>
      <c r="AX50" s="30">
        <v>0.19047619047619047</v>
      </c>
      <c r="AY50" s="21" t="s">
        <v>47</v>
      </c>
      <c r="AZ50" s="21">
        <v>0.18731709999999999</v>
      </c>
      <c r="BA50" s="21" t="s">
        <v>746</v>
      </c>
      <c r="BB50" s="21">
        <v>3.3848499999999997E-2</v>
      </c>
      <c r="BC50" s="33">
        <v>0.2</v>
      </c>
      <c r="BE50" s="16"/>
    </row>
    <row r="51" spans="2:57" ht="170" x14ac:dyDescent="0.2">
      <c r="B51" s="16"/>
      <c r="D51" s="11" t="s">
        <v>3</v>
      </c>
      <c r="E51" s="12">
        <f>VLOOKUP(LOWER(G48),experiments_specs!$A:$J,4,FALSE)</f>
        <v>2</v>
      </c>
      <c r="F51" s="15" t="s">
        <v>156</v>
      </c>
      <c r="G51" s="6" t="s">
        <v>12</v>
      </c>
      <c r="H51" s="18" t="s">
        <v>747</v>
      </c>
      <c r="I51" s="18" t="s">
        <v>749</v>
      </c>
      <c r="J51" s="18" t="s">
        <v>751</v>
      </c>
      <c r="K51" s="18" t="s">
        <v>753</v>
      </c>
      <c r="L51" s="31">
        <v>0.2857142857142857</v>
      </c>
      <c r="M51" s="23" t="s">
        <v>755</v>
      </c>
      <c r="N51" s="23" t="s">
        <v>757</v>
      </c>
      <c r="O51" s="23" t="s">
        <v>759</v>
      </c>
      <c r="P51" s="23" t="s">
        <v>761</v>
      </c>
      <c r="Q51" s="34">
        <v>0.42857142857142855</v>
      </c>
      <c r="S51" s="16"/>
      <c r="U51" s="16"/>
      <c r="W51" s="11" t="s">
        <v>3</v>
      </c>
      <c r="X51" s="12">
        <f>VLOOKUP(LOWER(Z48),experiments_specs!$A:$J,4,FALSE)</f>
        <v>2</v>
      </c>
      <c r="Y51" s="15" t="s">
        <v>162</v>
      </c>
      <c r="Z51" s="6" t="s">
        <v>12</v>
      </c>
      <c r="AA51" s="18" t="s">
        <v>894</v>
      </c>
      <c r="AB51" s="18" t="s">
        <v>896</v>
      </c>
      <c r="AC51" s="18" t="s">
        <v>898</v>
      </c>
      <c r="AD51" s="18" t="s">
        <v>900</v>
      </c>
      <c r="AE51" s="31">
        <v>0.42857142857142855</v>
      </c>
      <c r="AF51" s="23" t="s">
        <v>390</v>
      </c>
      <c r="AG51" s="23" t="s">
        <v>902</v>
      </c>
      <c r="AH51" s="23" t="s">
        <v>904</v>
      </c>
      <c r="AI51" s="23" t="s">
        <v>906</v>
      </c>
      <c r="AJ51" s="34">
        <v>0.42857142857142855</v>
      </c>
      <c r="AL51" s="16"/>
      <c r="AN51" s="16"/>
      <c r="AP51" s="11" t="s">
        <v>3</v>
      </c>
      <c r="AQ51" s="12">
        <f>VLOOKUP(LOWER(AS48),experiments_specs!$A:$J,4,FALSE)</f>
        <v>2</v>
      </c>
      <c r="AR51" s="15" t="s">
        <v>168</v>
      </c>
      <c r="AS51" s="6" t="s">
        <v>12</v>
      </c>
      <c r="AT51" s="18" t="s">
        <v>894</v>
      </c>
      <c r="AU51" s="18" t="s">
        <v>896</v>
      </c>
      <c r="AV51" s="18" t="s">
        <v>898</v>
      </c>
      <c r="AW51" s="18" t="s">
        <v>900</v>
      </c>
      <c r="AX51" s="31">
        <v>0.42857142857142855</v>
      </c>
      <c r="AY51" s="23" t="s">
        <v>390</v>
      </c>
      <c r="AZ51" s="23" t="s">
        <v>902</v>
      </c>
      <c r="BA51" s="23" t="s">
        <v>904</v>
      </c>
      <c r="BB51" s="23" t="s">
        <v>906</v>
      </c>
      <c r="BC51" s="34">
        <v>0.42857142857142855</v>
      </c>
      <c r="BE51" s="16"/>
    </row>
    <row r="52" spans="2:57" x14ac:dyDescent="0.2">
      <c r="B52" s="16"/>
      <c r="D52" s="11" t="s">
        <v>4</v>
      </c>
      <c r="E52" s="12" t="str">
        <f>VLOOKUP(LOWER(G48),experiments_specs!$A:$J,5,FALSE)</f>
        <v>False</v>
      </c>
      <c r="F52" s="15" t="s">
        <v>156</v>
      </c>
      <c r="G52" s="6" t="s">
        <v>13</v>
      </c>
      <c r="H52" s="19" t="s">
        <v>425</v>
      </c>
      <c r="I52" s="19">
        <v>0.1240347</v>
      </c>
      <c r="J52" s="19" t="s">
        <v>426</v>
      </c>
      <c r="K52" s="19">
        <v>1.37894E-2</v>
      </c>
      <c r="L52" s="31" t="s">
        <v>25</v>
      </c>
      <c r="M52" s="22" t="s">
        <v>427</v>
      </c>
      <c r="N52" s="22">
        <v>0.1240347</v>
      </c>
      <c r="O52" s="22" t="s">
        <v>426</v>
      </c>
      <c r="P52" s="22">
        <v>1.45871E-2</v>
      </c>
      <c r="Q52" s="34" t="s">
        <v>25</v>
      </c>
      <c r="S52" s="16"/>
      <c r="U52" s="16"/>
      <c r="W52" s="11" t="s">
        <v>4</v>
      </c>
      <c r="X52" s="12" t="str">
        <f>VLOOKUP(LOWER(Z48),experiments_specs!$A:$J,5,FALSE)</f>
        <v>True</v>
      </c>
      <c r="Y52" s="15" t="s">
        <v>162</v>
      </c>
      <c r="Z52" s="6" t="s">
        <v>13</v>
      </c>
      <c r="AA52" s="19" t="s">
        <v>35</v>
      </c>
      <c r="AB52" s="19">
        <v>0.1290994</v>
      </c>
      <c r="AC52" s="19" t="s">
        <v>908</v>
      </c>
      <c r="AD52" s="19">
        <v>4.65847E-2</v>
      </c>
      <c r="AE52" s="31" t="s">
        <v>25</v>
      </c>
      <c r="AF52" s="22" t="s">
        <v>34</v>
      </c>
      <c r="AG52" s="22">
        <v>0.1290994</v>
      </c>
      <c r="AH52" s="22" t="s">
        <v>908</v>
      </c>
      <c r="AI52" s="22">
        <v>5.5901600000000003E-2</v>
      </c>
      <c r="AJ52" s="34" t="s">
        <v>25</v>
      </c>
      <c r="AL52" s="16"/>
      <c r="AN52" s="16"/>
      <c r="AP52" s="11" t="s">
        <v>4</v>
      </c>
      <c r="AQ52" s="12" t="str">
        <f>VLOOKUP(LOWER(AS48),experiments_specs!$A:$J,5,FALSE)</f>
        <v>True</v>
      </c>
      <c r="AR52" s="15" t="s">
        <v>168</v>
      </c>
      <c r="AS52" s="6" t="s">
        <v>13</v>
      </c>
      <c r="AT52" s="19" t="s">
        <v>35</v>
      </c>
      <c r="AU52" s="19">
        <v>0.12803680000000001</v>
      </c>
      <c r="AV52" s="19" t="s">
        <v>908</v>
      </c>
      <c r="AW52" s="19">
        <v>4.6201300000000001E-2</v>
      </c>
      <c r="AX52" s="31" t="s">
        <v>25</v>
      </c>
      <c r="AY52" s="22" t="s">
        <v>34</v>
      </c>
      <c r="AZ52" s="22">
        <v>0.12803680000000001</v>
      </c>
      <c r="BA52" s="22" t="s">
        <v>908</v>
      </c>
      <c r="BB52" s="22">
        <v>4.6201300000000001E-2</v>
      </c>
      <c r="BC52" s="34" t="s">
        <v>25</v>
      </c>
      <c r="BE52" s="16"/>
    </row>
    <row r="53" spans="2:57" ht="34" x14ac:dyDescent="0.2">
      <c r="B53" s="16"/>
      <c r="D53" s="11" t="s">
        <v>5</v>
      </c>
      <c r="E53" s="12" t="str">
        <f>VLOOKUP(LOWER(G48),experiments_specs!$A:$J,6,FALSE)</f>
        <v>False</v>
      </c>
      <c r="F53" s="15" t="s">
        <v>156</v>
      </c>
      <c r="G53" s="6" t="s">
        <v>14</v>
      </c>
      <c r="H53" s="18" t="s">
        <v>763</v>
      </c>
      <c r="I53" s="18" t="s">
        <v>765</v>
      </c>
      <c r="J53" s="18" t="s">
        <v>767</v>
      </c>
      <c r="K53" s="18" t="s">
        <v>864</v>
      </c>
      <c r="L53" s="31">
        <v>0.25</v>
      </c>
      <c r="M53" s="22" t="s">
        <v>430</v>
      </c>
      <c r="N53" s="22">
        <v>0.1601281</v>
      </c>
      <c r="O53" s="22" t="s">
        <v>429</v>
      </c>
      <c r="P53" s="22">
        <v>1.1008E-2</v>
      </c>
      <c r="Q53" s="34">
        <v>0.125</v>
      </c>
      <c r="S53" s="16"/>
      <c r="U53" s="16"/>
      <c r="W53" s="11" t="s">
        <v>5</v>
      </c>
      <c r="X53" s="12" t="str">
        <f>VLOOKUP(LOWER(Z48),experiments_specs!$A:$J,6,FALSE)</f>
        <v>False</v>
      </c>
      <c r="Y53" s="15" t="s">
        <v>162</v>
      </c>
      <c r="Z53" s="6" t="s">
        <v>14</v>
      </c>
      <c r="AA53" s="18" t="s">
        <v>449</v>
      </c>
      <c r="AB53" s="18">
        <v>0.26919090000000001</v>
      </c>
      <c r="AC53" s="18" t="s">
        <v>450</v>
      </c>
      <c r="AD53" s="18">
        <v>1.7612200000000001E-2</v>
      </c>
      <c r="AE53" s="31">
        <v>0.2857142857142857</v>
      </c>
      <c r="AF53" s="23" t="s">
        <v>451</v>
      </c>
      <c r="AG53" s="23">
        <v>0.1203858</v>
      </c>
      <c r="AH53" s="23" t="s">
        <v>449</v>
      </c>
      <c r="AI53" s="23">
        <v>3.36488E-2</v>
      </c>
      <c r="AJ53" s="34">
        <v>0.30769230769230771</v>
      </c>
      <c r="AL53" s="16"/>
      <c r="AN53" s="16"/>
      <c r="AP53" s="11" t="s">
        <v>5</v>
      </c>
      <c r="AQ53" s="12" t="str">
        <f>VLOOKUP(LOWER(AS48),experiments_specs!$A:$J,6,FALSE)</f>
        <v>False</v>
      </c>
      <c r="AR53" s="15" t="s">
        <v>168</v>
      </c>
      <c r="AS53" s="6" t="s">
        <v>14</v>
      </c>
      <c r="AT53" s="18" t="s">
        <v>449</v>
      </c>
      <c r="AU53" s="18">
        <v>0.27116299999999999</v>
      </c>
      <c r="AV53" s="18" t="s">
        <v>450</v>
      </c>
      <c r="AW53" s="18">
        <v>1.83748E-2</v>
      </c>
      <c r="AX53" s="31">
        <v>0.2857142857142857</v>
      </c>
      <c r="AY53" s="23" t="s">
        <v>451</v>
      </c>
      <c r="AZ53" s="23">
        <v>0.1212678</v>
      </c>
      <c r="BA53" s="23" t="s">
        <v>449</v>
      </c>
      <c r="BB53" s="23">
        <v>3.1288000000000003E-2</v>
      </c>
      <c r="BC53" s="34">
        <v>0.30769230769230771</v>
      </c>
      <c r="BE53" s="16"/>
    </row>
    <row r="54" spans="2:57" ht="51" x14ac:dyDescent="0.2">
      <c r="B54" s="16"/>
      <c r="D54" s="11" t="s">
        <v>6</v>
      </c>
      <c r="E54" s="12" t="str">
        <f>VLOOKUP(LOWER(G48),experiments_specs!$A:$J,7,FALSE)</f>
        <v>False</v>
      </c>
      <c r="F54" s="15" t="s">
        <v>156</v>
      </c>
      <c r="G54" s="6" t="s">
        <v>15</v>
      </c>
      <c r="H54" s="18" t="s">
        <v>771</v>
      </c>
      <c r="I54" s="18" t="s">
        <v>773</v>
      </c>
      <c r="J54" s="18" t="s">
        <v>775</v>
      </c>
      <c r="K54" s="18" t="s">
        <v>866</v>
      </c>
      <c r="L54" s="31">
        <v>0.16666666666666666</v>
      </c>
      <c r="M54" s="23" t="s">
        <v>363</v>
      </c>
      <c r="N54" s="23">
        <v>0.1754116</v>
      </c>
      <c r="O54" s="23" t="s">
        <v>779</v>
      </c>
      <c r="P54" s="23">
        <v>1.28007E-2</v>
      </c>
      <c r="Q54" s="34">
        <v>0.18181818181818182</v>
      </c>
      <c r="S54" s="16"/>
      <c r="U54" s="16"/>
      <c r="W54" s="11" t="s">
        <v>6</v>
      </c>
      <c r="X54" s="12" t="str">
        <f>VLOOKUP(LOWER(Z48),experiments_specs!$A:$J,7,FALSE)</f>
        <v>False</v>
      </c>
      <c r="Y54" s="15" t="s">
        <v>162</v>
      </c>
      <c r="Z54" s="6" t="s">
        <v>15</v>
      </c>
      <c r="AA54" s="18" t="s">
        <v>909</v>
      </c>
      <c r="AB54" s="18" t="s">
        <v>911</v>
      </c>
      <c r="AC54" s="18" t="s">
        <v>913</v>
      </c>
      <c r="AD54" s="18" t="s">
        <v>1082</v>
      </c>
      <c r="AE54" s="31">
        <v>0.16666666666666666</v>
      </c>
      <c r="AF54" s="23" t="s">
        <v>184</v>
      </c>
      <c r="AG54" s="23" t="s">
        <v>917</v>
      </c>
      <c r="AH54" s="23" t="s">
        <v>919</v>
      </c>
      <c r="AI54" s="23" t="s">
        <v>1084</v>
      </c>
      <c r="AJ54" s="34">
        <v>0.18181818181818182</v>
      </c>
      <c r="AL54" s="16"/>
      <c r="AN54" s="16"/>
      <c r="AP54" s="11" t="s">
        <v>6</v>
      </c>
      <c r="AQ54" s="12" t="str">
        <f>VLOOKUP(LOWER(AS48),experiments_specs!$A:$J,7,FALSE)</f>
        <v>False</v>
      </c>
      <c r="AR54" s="15" t="s">
        <v>168</v>
      </c>
      <c r="AS54" s="6" t="s">
        <v>15</v>
      </c>
      <c r="AT54" s="18" t="s">
        <v>909</v>
      </c>
      <c r="AU54" s="18" t="s">
        <v>911</v>
      </c>
      <c r="AV54" s="18" t="s">
        <v>913</v>
      </c>
      <c r="AW54" s="18" t="s">
        <v>915</v>
      </c>
      <c r="AX54" s="31">
        <v>0.16666666666666666</v>
      </c>
      <c r="AY54" s="23" t="s">
        <v>184</v>
      </c>
      <c r="AZ54" s="23" t="s">
        <v>917</v>
      </c>
      <c r="BA54" s="23" t="s">
        <v>919</v>
      </c>
      <c r="BB54" s="23" t="s">
        <v>921</v>
      </c>
      <c r="BC54" s="34">
        <v>0.18181818181818182</v>
      </c>
      <c r="BE54" s="16"/>
    </row>
    <row r="55" spans="2:57" ht="119" x14ac:dyDescent="0.2">
      <c r="B55" s="16"/>
      <c r="D55" s="11" t="s">
        <v>7</v>
      </c>
      <c r="E55" s="12" t="str">
        <f>VLOOKUP(LOWER(G48),experiments_specs!$A:$J,8,FALSE)</f>
        <v>True</v>
      </c>
      <c r="F55" s="15" t="s">
        <v>156</v>
      </c>
      <c r="G55" s="6" t="s">
        <v>16</v>
      </c>
      <c r="H55" s="19" t="s">
        <v>556</v>
      </c>
      <c r="I55" s="19">
        <v>0.16783619999999999</v>
      </c>
      <c r="J55" s="19" t="s">
        <v>780</v>
      </c>
      <c r="K55" s="19">
        <v>4.2282999999999999E-3</v>
      </c>
      <c r="L55" s="31">
        <v>0.46153846153846156</v>
      </c>
      <c r="M55" s="23" t="s">
        <v>388</v>
      </c>
      <c r="N55" s="23">
        <v>0.11867809999999999</v>
      </c>
      <c r="O55" s="23" t="s">
        <v>440</v>
      </c>
      <c r="P55" s="23">
        <v>6.8484000000000001E-3</v>
      </c>
      <c r="Q55" s="34">
        <v>0.14285714285714285</v>
      </c>
      <c r="S55" s="16"/>
      <c r="U55" s="16"/>
      <c r="W55" s="11" t="s">
        <v>7</v>
      </c>
      <c r="X55" s="12" t="str">
        <f>VLOOKUP(LOWER(Z48),experiments_specs!$A:$J,8,FALSE)</f>
        <v>True</v>
      </c>
      <c r="Y55" s="15" t="s">
        <v>162</v>
      </c>
      <c r="Z55" s="6" t="s">
        <v>16</v>
      </c>
      <c r="AA55" s="18" t="s">
        <v>923</v>
      </c>
      <c r="AB55" s="18" t="s">
        <v>1086</v>
      </c>
      <c r="AC55" s="18" t="s">
        <v>927</v>
      </c>
      <c r="AD55" s="18" t="s">
        <v>1088</v>
      </c>
      <c r="AE55" s="31">
        <v>0.2857142857142857</v>
      </c>
      <c r="AF55" s="23" t="s">
        <v>931</v>
      </c>
      <c r="AG55" s="23" t="s">
        <v>1058</v>
      </c>
      <c r="AH55" s="23" t="s">
        <v>935</v>
      </c>
      <c r="AI55" s="23" t="s">
        <v>1090</v>
      </c>
      <c r="AJ55" s="34">
        <v>0.23529411764705882</v>
      </c>
      <c r="AL55" s="16"/>
      <c r="AN55" s="16"/>
      <c r="AP55" s="11" t="s">
        <v>7</v>
      </c>
      <c r="AQ55" s="12" t="str">
        <f>VLOOKUP(LOWER(AS48),experiments_specs!$A:$J,8,FALSE)</f>
        <v>True</v>
      </c>
      <c r="AR55" s="15" t="s">
        <v>168</v>
      </c>
      <c r="AS55" s="6" t="s">
        <v>16</v>
      </c>
      <c r="AT55" s="18" t="s">
        <v>923</v>
      </c>
      <c r="AU55" s="18" t="s">
        <v>925</v>
      </c>
      <c r="AV55" s="18" t="s">
        <v>927</v>
      </c>
      <c r="AW55" s="18" t="s">
        <v>1189</v>
      </c>
      <c r="AX55" s="31">
        <v>0.2857142857142857</v>
      </c>
      <c r="AY55" s="23" t="s">
        <v>931</v>
      </c>
      <c r="AZ55" s="23" t="s">
        <v>933</v>
      </c>
      <c r="BA55" s="23" t="s">
        <v>935</v>
      </c>
      <c r="BB55" s="23" t="s">
        <v>937</v>
      </c>
      <c r="BC55" s="34">
        <v>0.23529411764705882</v>
      </c>
      <c r="BE55" s="16"/>
    </row>
    <row r="56" spans="2:57" ht="34" x14ac:dyDescent="0.2">
      <c r="B56" s="16"/>
      <c r="D56" s="11" t="s">
        <v>8</v>
      </c>
      <c r="E56" s="12" t="str">
        <f>VLOOKUP(LOWER(G48),experiments_specs!$A:$J,9,FALSE)</f>
        <v>wup_similarity</v>
      </c>
      <c r="F56" s="15" t="s">
        <v>156</v>
      </c>
      <c r="G56" s="6" t="s">
        <v>17</v>
      </c>
      <c r="H56" s="19" t="s">
        <v>556</v>
      </c>
      <c r="I56" s="19">
        <v>0.1727736</v>
      </c>
      <c r="J56" s="19" t="s">
        <v>780</v>
      </c>
      <c r="K56" s="19">
        <v>4.2598000000000002E-3</v>
      </c>
      <c r="L56" s="31">
        <v>0.44444444444444442</v>
      </c>
      <c r="M56" s="22" t="s">
        <v>434</v>
      </c>
      <c r="N56" s="22">
        <v>0.1221694</v>
      </c>
      <c r="O56" s="22" t="s">
        <v>780</v>
      </c>
      <c r="P56" s="22">
        <v>8.0879000000000003E-3</v>
      </c>
      <c r="Q56" s="34">
        <v>0.44444444444444442</v>
      </c>
      <c r="S56" s="16"/>
      <c r="U56" s="16"/>
      <c r="W56" s="11" t="s">
        <v>8</v>
      </c>
      <c r="X56" s="12" t="str">
        <f>VLOOKUP(LOWER(Z48),experiments_specs!$A:$J,9,FALSE)</f>
        <v>wup_similarity</v>
      </c>
      <c r="Y56" s="15" t="s">
        <v>162</v>
      </c>
      <c r="Z56" s="6" t="s">
        <v>17</v>
      </c>
      <c r="AA56" s="18" t="s">
        <v>939</v>
      </c>
      <c r="AB56" s="18">
        <v>0.13245319999999999</v>
      </c>
      <c r="AC56" s="18" t="s">
        <v>940</v>
      </c>
      <c r="AD56" s="18">
        <v>1.9311999999999999E-2</v>
      </c>
      <c r="AE56" s="31">
        <v>0.26666666666666666</v>
      </c>
      <c r="AF56" s="23" t="s">
        <v>646</v>
      </c>
      <c r="AG56" s="23" t="s">
        <v>497</v>
      </c>
      <c r="AH56" s="23" t="s">
        <v>941</v>
      </c>
      <c r="AI56" s="23" t="s">
        <v>1092</v>
      </c>
      <c r="AJ56" s="34">
        <v>0.16666666666666666</v>
      </c>
      <c r="AL56" s="16"/>
      <c r="AN56" s="16"/>
      <c r="AP56" s="11" t="s">
        <v>8</v>
      </c>
      <c r="AQ56" s="12" t="str">
        <f>VLOOKUP(LOWER(AS48),experiments_specs!$A:$J,9,FALSE)</f>
        <v>wup_similarity</v>
      </c>
      <c r="AR56" s="15" t="s">
        <v>168</v>
      </c>
      <c r="AS56" s="6" t="s">
        <v>17</v>
      </c>
      <c r="AT56" s="18" t="s">
        <v>939</v>
      </c>
      <c r="AU56" s="18">
        <v>0.13483990000000001</v>
      </c>
      <c r="AV56" s="18" t="s">
        <v>940</v>
      </c>
      <c r="AW56" s="18">
        <v>2.2936700000000001E-2</v>
      </c>
      <c r="AX56" s="31">
        <v>0.26666666666666666</v>
      </c>
      <c r="AY56" s="23" t="s">
        <v>646</v>
      </c>
      <c r="AZ56" s="23" t="s">
        <v>466</v>
      </c>
      <c r="BA56" s="23" t="s">
        <v>941</v>
      </c>
      <c r="BB56" s="23" t="s">
        <v>943</v>
      </c>
      <c r="BC56" s="34">
        <v>0.16666666666666666</v>
      </c>
      <c r="BE56" s="16"/>
    </row>
    <row r="57" spans="2:57" ht="68" x14ac:dyDescent="0.2">
      <c r="B57" s="16"/>
      <c r="D57" s="11" t="s">
        <v>9</v>
      </c>
      <c r="E57" s="12" t="str">
        <f>VLOOKUP(LOWER(G48),experiments_specs!$A:$J,10,FALSE)</f>
        <v>False</v>
      </c>
      <c r="F57" s="15" t="s">
        <v>156</v>
      </c>
      <c r="G57" s="7" t="s">
        <v>18</v>
      </c>
      <c r="H57" s="20" t="s">
        <v>44</v>
      </c>
      <c r="I57" s="20">
        <v>0.1015346</v>
      </c>
      <c r="J57" s="20" t="s">
        <v>781</v>
      </c>
      <c r="K57" s="20">
        <v>2.9551999999999998E-3</v>
      </c>
      <c r="L57" s="32">
        <v>0.21052631578947367</v>
      </c>
      <c r="M57" s="24" t="s">
        <v>388</v>
      </c>
      <c r="N57" s="24">
        <v>0.1015346</v>
      </c>
      <c r="O57" s="24" t="s">
        <v>440</v>
      </c>
      <c r="P57" s="24">
        <v>4.8647999999999999E-3</v>
      </c>
      <c r="Q57" s="35">
        <v>0.11764705882352941</v>
      </c>
      <c r="S57" s="16"/>
      <c r="U57" s="16"/>
      <c r="W57" s="11" t="s">
        <v>9</v>
      </c>
      <c r="X57" s="12" t="str">
        <f>VLOOKUP(LOWER(Z48),experiments_specs!$A:$J,10,FALSE)</f>
        <v>False</v>
      </c>
      <c r="Y57" s="15" t="s">
        <v>162</v>
      </c>
      <c r="Z57" s="7" t="s">
        <v>18</v>
      </c>
      <c r="AA57" s="49" t="s">
        <v>945</v>
      </c>
      <c r="AB57" s="49" t="s">
        <v>947</v>
      </c>
      <c r="AC57" s="49" t="s">
        <v>949</v>
      </c>
      <c r="AD57" s="49" t="s">
        <v>1094</v>
      </c>
      <c r="AE57" s="32">
        <v>0.21052631578947367</v>
      </c>
      <c r="AF57" s="24" t="s">
        <v>46</v>
      </c>
      <c r="AG57" s="24">
        <v>0.1561737</v>
      </c>
      <c r="AH57" s="24" t="s">
        <v>953</v>
      </c>
      <c r="AI57" s="24">
        <v>3.9379699999999997E-2</v>
      </c>
      <c r="AJ57" s="35">
        <v>0.21052631578947367</v>
      </c>
      <c r="AL57" s="16"/>
      <c r="AN57" s="16"/>
      <c r="AP57" s="11" t="s">
        <v>9</v>
      </c>
      <c r="AQ57" s="12" t="str">
        <f>VLOOKUP(LOWER(AS48),experiments_specs!$A:$J,10,FALSE)</f>
        <v>True</v>
      </c>
      <c r="AR57" s="15" t="s">
        <v>168</v>
      </c>
      <c r="AS57" s="7" t="s">
        <v>18</v>
      </c>
      <c r="AT57" s="49" t="s">
        <v>945</v>
      </c>
      <c r="AU57" s="49" t="s">
        <v>947</v>
      </c>
      <c r="AV57" s="49" t="s">
        <v>949</v>
      </c>
      <c r="AW57" s="49" t="s">
        <v>951</v>
      </c>
      <c r="AX57" s="32">
        <v>0.21052631578947367</v>
      </c>
      <c r="AY57" s="24" t="s">
        <v>46</v>
      </c>
      <c r="AZ57" s="24">
        <v>0.1561737</v>
      </c>
      <c r="BA57" s="24" t="s">
        <v>953</v>
      </c>
      <c r="BB57" s="24">
        <v>3.9379699999999997E-2</v>
      </c>
      <c r="BC57" s="35">
        <v>0.21052631578947367</v>
      </c>
      <c r="BE57" s="16"/>
    </row>
    <row r="58" spans="2:57" ht="17" thickBot="1" x14ac:dyDescent="0.25">
      <c r="B58" s="16"/>
      <c r="S58" s="16"/>
      <c r="U58" s="16"/>
      <c r="AL58" s="16"/>
      <c r="AN58" s="16"/>
      <c r="BE58" s="16"/>
    </row>
    <row r="59" spans="2:57" ht="20" thickBot="1" x14ac:dyDescent="0.3">
      <c r="B59" s="16"/>
      <c r="D59" s="13" t="s">
        <v>126</v>
      </c>
      <c r="E59" s="14"/>
      <c r="F59" s="9"/>
      <c r="G59" s="10" t="str">
        <f>"TEST_"&amp;TEXT(RIGHT(G48,2)+1, "00")</f>
        <v>TEST_78</v>
      </c>
      <c r="H59" s="41" t="s">
        <v>124</v>
      </c>
      <c r="I59" s="41"/>
      <c r="J59" s="41"/>
      <c r="K59" s="41"/>
      <c r="L59" s="41"/>
      <c r="M59" s="42" t="s">
        <v>123</v>
      </c>
      <c r="N59" s="42"/>
      <c r="O59" s="42"/>
      <c r="P59" s="42"/>
      <c r="Q59" s="42"/>
      <c r="R59" s="2"/>
      <c r="S59" s="16"/>
      <c r="U59" s="16"/>
      <c r="W59" s="13" t="s">
        <v>126</v>
      </c>
      <c r="X59" s="14"/>
      <c r="Y59" s="9"/>
      <c r="Z59" s="10" t="str">
        <f>"TEST_"&amp;TEXT(RIGHT(Z48,2)+1, "00")</f>
        <v>TEST_84</v>
      </c>
      <c r="AA59" s="41" t="s">
        <v>124</v>
      </c>
      <c r="AB59" s="41"/>
      <c r="AC59" s="41"/>
      <c r="AD59" s="41"/>
      <c r="AE59" s="41"/>
      <c r="AF59" s="42" t="s">
        <v>123</v>
      </c>
      <c r="AG59" s="42"/>
      <c r="AH59" s="42"/>
      <c r="AI59" s="42"/>
      <c r="AJ59" s="42"/>
      <c r="AK59" s="2"/>
      <c r="AL59" s="16"/>
      <c r="AN59" s="16"/>
      <c r="AP59" s="13" t="s">
        <v>126</v>
      </c>
      <c r="AQ59" s="14"/>
      <c r="AR59" s="9"/>
      <c r="AS59" s="10" t="str">
        <f>"TEST_"&amp;TEXT(RIGHT(AS48,2)+1, "00")</f>
        <v>TEST_90</v>
      </c>
      <c r="AT59" s="41" t="s">
        <v>124</v>
      </c>
      <c r="AU59" s="41"/>
      <c r="AV59" s="41"/>
      <c r="AW59" s="41"/>
      <c r="AX59" s="41"/>
      <c r="AY59" s="42" t="s">
        <v>123</v>
      </c>
      <c r="AZ59" s="42"/>
      <c r="BA59" s="42"/>
      <c r="BB59" s="42"/>
      <c r="BC59" s="42"/>
      <c r="BD59" s="2"/>
      <c r="BE59" s="16"/>
    </row>
    <row r="60" spans="2:57" x14ac:dyDescent="0.2">
      <c r="B60" s="16"/>
      <c r="D60" s="11" t="s">
        <v>1</v>
      </c>
      <c r="E60" s="12" t="str">
        <f>VLOOKUP(LOWER(G59),experiments_specs!$A:$J,2,FALSE)</f>
        <v>NN,JJ,VB,VBD,VBG,VBN,VBP,VBZ</v>
      </c>
      <c r="F60" s="15" t="str">
        <f>"{"&amp;LOWER(G59)&amp;".csv}"</f>
        <v>{test_78.csv}</v>
      </c>
      <c r="G60" s="8" t="s">
        <v>118</v>
      </c>
      <c r="H60" s="3" t="s">
        <v>119</v>
      </c>
      <c r="I60" s="3" t="s">
        <v>178</v>
      </c>
      <c r="J60" s="3" t="s">
        <v>120</v>
      </c>
      <c r="K60" s="3" t="s">
        <v>178</v>
      </c>
      <c r="L60" s="3" t="s">
        <v>121</v>
      </c>
      <c r="M60" s="4" t="s">
        <v>122</v>
      </c>
      <c r="N60" s="4" t="s">
        <v>178</v>
      </c>
      <c r="O60" s="4" t="s">
        <v>120</v>
      </c>
      <c r="P60" s="4" t="s">
        <v>178</v>
      </c>
      <c r="Q60" s="4" t="s">
        <v>121</v>
      </c>
      <c r="S60" s="16"/>
      <c r="U60" s="16"/>
      <c r="W60" s="11" t="s">
        <v>1</v>
      </c>
      <c r="X60" s="12" t="str">
        <f>VLOOKUP(LOWER(Z59),experiments_specs!$A:$J,2,FALSE)</f>
        <v>NN,JJ,VB,VBD,VBG,VBN,VBP,VBZ</v>
      </c>
      <c r="Y60" s="15" t="str">
        <f>"{"&amp;LOWER(Z59)&amp;".csv}"</f>
        <v>{test_84.csv}</v>
      </c>
      <c r="Z60" s="8" t="s">
        <v>118</v>
      </c>
      <c r="AA60" s="3" t="s">
        <v>119</v>
      </c>
      <c r="AB60" s="3" t="s">
        <v>178</v>
      </c>
      <c r="AC60" s="3" t="s">
        <v>120</v>
      </c>
      <c r="AD60" s="3" t="s">
        <v>178</v>
      </c>
      <c r="AE60" s="3" t="s">
        <v>121</v>
      </c>
      <c r="AF60" s="4" t="s">
        <v>122</v>
      </c>
      <c r="AG60" s="4" t="s">
        <v>178</v>
      </c>
      <c r="AH60" s="4" t="s">
        <v>120</v>
      </c>
      <c r="AI60" s="4" t="s">
        <v>178</v>
      </c>
      <c r="AJ60" s="4" t="s">
        <v>121</v>
      </c>
      <c r="AL60" s="16"/>
      <c r="AN60" s="16"/>
      <c r="AP60" s="11" t="s">
        <v>1</v>
      </c>
      <c r="AQ60" s="12" t="str">
        <f>VLOOKUP(LOWER(AS59),experiments_specs!$A:$J,2,FALSE)</f>
        <v>NN,JJ,VB,VBD,VBG,VBN,VBP,VBZ</v>
      </c>
      <c r="AR60" s="15" t="str">
        <f>"{"&amp;LOWER(AS59)&amp;".csv}"</f>
        <v>{test_90.csv}</v>
      </c>
      <c r="AS60" s="8" t="s">
        <v>118</v>
      </c>
      <c r="AT60" s="3" t="s">
        <v>119</v>
      </c>
      <c r="AU60" s="3" t="s">
        <v>178</v>
      </c>
      <c r="AV60" s="3" t="s">
        <v>120</v>
      </c>
      <c r="AW60" s="3" t="s">
        <v>178</v>
      </c>
      <c r="AX60" s="3" t="s">
        <v>121</v>
      </c>
      <c r="AY60" s="4" t="s">
        <v>122</v>
      </c>
      <c r="AZ60" s="4" t="s">
        <v>178</v>
      </c>
      <c r="BA60" s="4" t="s">
        <v>120</v>
      </c>
      <c r="BB60" s="4" t="s">
        <v>178</v>
      </c>
      <c r="BC60" s="4" t="s">
        <v>121</v>
      </c>
      <c r="BE60" s="16"/>
    </row>
    <row r="61" spans="2:57" ht="51" x14ac:dyDescent="0.2">
      <c r="B61" s="16"/>
      <c r="D61" s="11" t="s">
        <v>2</v>
      </c>
      <c r="E61" s="12">
        <f>VLOOKUP(LOWER(G59),experiments_specs!$A:$J,3,FALSE)</f>
        <v>1</v>
      </c>
      <c r="F61" s="15" t="s">
        <v>157</v>
      </c>
      <c r="G61" s="5" t="s">
        <v>19</v>
      </c>
      <c r="H61" s="17" t="s">
        <v>868</v>
      </c>
      <c r="I61" s="17" t="s">
        <v>870</v>
      </c>
      <c r="J61" s="17" t="s">
        <v>872</v>
      </c>
      <c r="K61" s="17" t="s">
        <v>874</v>
      </c>
      <c r="L61" s="30">
        <v>0.10526315789473684</v>
      </c>
      <c r="M61" s="47" t="s">
        <v>561</v>
      </c>
      <c r="N61" s="47" t="s">
        <v>876</v>
      </c>
      <c r="O61" s="47" t="s">
        <v>788</v>
      </c>
      <c r="P61" s="47" t="s">
        <v>878</v>
      </c>
      <c r="Q61" s="33">
        <v>0.11764705882352941</v>
      </c>
      <c r="S61" s="16"/>
      <c r="U61" s="16"/>
      <c r="W61" s="11" t="s">
        <v>2</v>
      </c>
      <c r="X61" s="12">
        <f>VLOOKUP(LOWER(Z59),experiments_specs!$A:$J,3,FALSE)</f>
        <v>1</v>
      </c>
      <c r="Y61" s="15" t="s">
        <v>163</v>
      </c>
      <c r="Z61" s="5" t="s">
        <v>19</v>
      </c>
      <c r="AA61" s="17" t="s">
        <v>179</v>
      </c>
      <c r="AB61" s="17" t="s">
        <v>1031</v>
      </c>
      <c r="AC61" s="17" t="s">
        <v>890</v>
      </c>
      <c r="AD61" s="17" t="s">
        <v>1096</v>
      </c>
      <c r="AE61" s="30">
        <v>0.19047619047619047</v>
      </c>
      <c r="AF61" s="21" t="s">
        <v>47</v>
      </c>
      <c r="AG61" s="21">
        <v>0.18569530000000001</v>
      </c>
      <c r="AH61" s="21" t="s">
        <v>746</v>
      </c>
      <c r="AI61" s="21">
        <v>2.5166500000000001E-2</v>
      </c>
      <c r="AJ61" s="33">
        <v>0.2</v>
      </c>
      <c r="AL61" s="16"/>
      <c r="AN61" s="16"/>
      <c r="AP61" s="11" t="s">
        <v>2</v>
      </c>
      <c r="AQ61" s="12">
        <f>VLOOKUP(LOWER(AS59),experiments_specs!$A:$J,3,FALSE)</f>
        <v>1</v>
      </c>
      <c r="AR61" s="15" t="s">
        <v>169</v>
      </c>
      <c r="AS61" s="5" t="s">
        <v>19</v>
      </c>
      <c r="AT61" s="17" t="s">
        <v>179</v>
      </c>
      <c r="AU61" s="17" t="s">
        <v>497</v>
      </c>
      <c r="AV61" s="17" t="s">
        <v>890</v>
      </c>
      <c r="AW61" s="17" t="s">
        <v>1191</v>
      </c>
      <c r="AX61" s="30">
        <v>0.19047619047619047</v>
      </c>
      <c r="AY61" s="21" t="s">
        <v>47</v>
      </c>
      <c r="AZ61" s="21">
        <v>0.18731709999999999</v>
      </c>
      <c r="BA61" s="21" t="s">
        <v>746</v>
      </c>
      <c r="BB61" s="21">
        <v>2.4510899999999999E-2</v>
      </c>
      <c r="BC61" s="33">
        <v>0.2</v>
      </c>
      <c r="BE61" s="16"/>
    </row>
    <row r="62" spans="2:57" ht="204" x14ac:dyDescent="0.2">
      <c r="B62" s="16"/>
      <c r="D62" s="11" t="s">
        <v>3</v>
      </c>
      <c r="E62" s="12">
        <f>VLOOKUP(LOWER(G59),experiments_specs!$A:$J,4,FALSE)</f>
        <v>2</v>
      </c>
      <c r="F62" s="15" t="s">
        <v>157</v>
      </c>
      <c r="G62" s="6" t="s">
        <v>12</v>
      </c>
      <c r="H62" s="18" t="s">
        <v>251</v>
      </c>
      <c r="I62" s="18">
        <v>0.30966169999999998</v>
      </c>
      <c r="J62" s="18" t="s">
        <v>577</v>
      </c>
      <c r="K62" s="18">
        <v>3.0948999999999998E-3</v>
      </c>
      <c r="L62" s="31">
        <v>0.125</v>
      </c>
      <c r="M62" s="22" t="s">
        <v>235</v>
      </c>
      <c r="N62" s="22">
        <v>0.23408219999999999</v>
      </c>
      <c r="O62" s="22" t="s">
        <v>251</v>
      </c>
      <c r="P62" s="22">
        <v>1.08273E-2</v>
      </c>
      <c r="Q62" s="34">
        <v>0.13333333333333333</v>
      </c>
      <c r="S62" s="16"/>
      <c r="U62" s="16"/>
      <c r="W62" s="11" t="s">
        <v>3</v>
      </c>
      <c r="X62" s="12">
        <f>VLOOKUP(LOWER(Z59),experiments_specs!$A:$J,4,FALSE)</f>
        <v>2</v>
      </c>
      <c r="Y62" s="15" t="s">
        <v>163</v>
      </c>
      <c r="Z62" s="6" t="s">
        <v>12</v>
      </c>
      <c r="AA62" s="18" t="s">
        <v>986</v>
      </c>
      <c r="AB62" s="18" t="s">
        <v>1098</v>
      </c>
      <c r="AC62" s="18" t="s">
        <v>990</v>
      </c>
      <c r="AD62" s="18" t="s">
        <v>1100</v>
      </c>
      <c r="AE62" s="31">
        <v>0.42857142857142855</v>
      </c>
      <c r="AF62" s="23" t="s">
        <v>390</v>
      </c>
      <c r="AG62" s="23" t="s">
        <v>1102</v>
      </c>
      <c r="AH62" s="23" t="s">
        <v>904</v>
      </c>
      <c r="AI62" s="23" t="s">
        <v>1104</v>
      </c>
      <c r="AJ62" s="34">
        <v>0.42857142857142855</v>
      </c>
      <c r="AL62" s="16"/>
      <c r="AN62" s="16"/>
      <c r="AP62" s="11" t="s">
        <v>3</v>
      </c>
      <c r="AQ62" s="12">
        <f>VLOOKUP(LOWER(AS59),experiments_specs!$A:$J,4,FALSE)</f>
        <v>2</v>
      </c>
      <c r="AR62" s="15" t="s">
        <v>169</v>
      </c>
      <c r="AS62" s="6" t="s">
        <v>12</v>
      </c>
      <c r="AT62" s="18" t="s">
        <v>986</v>
      </c>
      <c r="AU62" s="18" t="s">
        <v>1165</v>
      </c>
      <c r="AV62" s="18" t="s">
        <v>990</v>
      </c>
      <c r="AW62" s="18" t="s">
        <v>1193</v>
      </c>
      <c r="AX62" s="31">
        <v>0.42857142857142855</v>
      </c>
      <c r="AY62" s="23" t="s">
        <v>390</v>
      </c>
      <c r="AZ62" s="23" t="s">
        <v>960</v>
      </c>
      <c r="BA62" s="23" t="s">
        <v>904</v>
      </c>
      <c r="BB62" s="23" t="s">
        <v>1195</v>
      </c>
      <c r="BC62" s="34">
        <v>0.42857142857142855</v>
      </c>
      <c r="BE62" s="16"/>
    </row>
    <row r="63" spans="2:57" x14ac:dyDescent="0.2">
      <c r="B63" s="16"/>
      <c r="D63" s="11" t="s">
        <v>4</v>
      </c>
      <c r="E63" s="12" t="str">
        <f>VLOOKUP(LOWER(G59),experiments_specs!$A:$J,5,FALSE)</f>
        <v>False</v>
      </c>
      <c r="F63" s="15" t="s">
        <v>157</v>
      </c>
      <c r="G63" s="6" t="s">
        <v>13</v>
      </c>
      <c r="H63" s="19" t="s">
        <v>425</v>
      </c>
      <c r="I63" s="19">
        <v>0.1221694</v>
      </c>
      <c r="J63" s="19" t="s">
        <v>426</v>
      </c>
      <c r="K63" s="19">
        <v>6.3914999999999996E-3</v>
      </c>
      <c r="L63" s="31" t="s">
        <v>25</v>
      </c>
      <c r="M63" s="22" t="s">
        <v>252</v>
      </c>
      <c r="N63" s="22">
        <v>0.1727736</v>
      </c>
      <c r="O63" s="22" t="s">
        <v>812</v>
      </c>
      <c r="P63" s="22">
        <v>1.20339E-2</v>
      </c>
      <c r="Q63" s="34">
        <v>0.4</v>
      </c>
      <c r="S63" s="16"/>
      <c r="U63" s="16"/>
      <c r="W63" s="11" t="s">
        <v>4</v>
      </c>
      <c r="X63" s="12" t="str">
        <f>VLOOKUP(LOWER(Z59),experiments_specs!$A:$J,5,FALSE)</f>
        <v>True</v>
      </c>
      <c r="Y63" s="15" t="s">
        <v>163</v>
      </c>
      <c r="Z63" s="6" t="s">
        <v>13</v>
      </c>
      <c r="AA63" s="19" t="s">
        <v>32</v>
      </c>
      <c r="AB63" s="19">
        <v>0.1740776</v>
      </c>
      <c r="AC63" s="19" t="s">
        <v>473</v>
      </c>
      <c r="AD63" s="19">
        <v>2.7524E-2</v>
      </c>
      <c r="AE63" s="31">
        <v>0.4</v>
      </c>
      <c r="AF63" s="22" t="s">
        <v>34</v>
      </c>
      <c r="AG63" s="22">
        <v>0.1230914</v>
      </c>
      <c r="AH63" s="22" t="s">
        <v>908</v>
      </c>
      <c r="AI63" s="22">
        <v>3.8071500000000001E-2</v>
      </c>
      <c r="AJ63" s="34" t="s">
        <v>25</v>
      </c>
      <c r="AL63" s="16"/>
      <c r="AN63" s="16"/>
      <c r="AP63" s="11" t="s">
        <v>4</v>
      </c>
      <c r="AQ63" s="12" t="str">
        <f>VLOOKUP(LOWER(AS59),experiments_specs!$A:$J,5,FALSE)</f>
        <v>True</v>
      </c>
      <c r="AR63" s="15" t="s">
        <v>169</v>
      </c>
      <c r="AS63" s="6" t="s">
        <v>13</v>
      </c>
      <c r="AT63" s="19" t="s">
        <v>35</v>
      </c>
      <c r="AU63" s="19">
        <v>0.12803680000000001</v>
      </c>
      <c r="AV63" s="19" t="s">
        <v>908</v>
      </c>
      <c r="AW63" s="19">
        <v>3.6961000000000001E-2</v>
      </c>
      <c r="AX63" s="31" t="s">
        <v>25</v>
      </c>
      <c r="AY63" s="22" t="s">
        <v>34</v>
      </c>
      <c r="AZ63" s="22">
        <v>0.12803680000000001</v>
      </c>
      <c r="BA63" s="22" t="s">
        <v>908</v>
      </c>
      <c r="BB63" s="22">
        <v>3.6961000000000001E-2</v>
      </c>
      <c r="BC63" s="34" t="s">
        <v>25</v>
      </c>
      <c r="BE63" s="16"/>
    </row>
    <row r="64" spans="2:57" ht="34" x14ac:dyDescent="0.2">
      <c r="B64" s="16"/>
      <c r="D64" s="11" t="s">
        <v>5</v>
      </c>
      <c r="E64" s="12" t="str">
        <f>VLOOKUP(LOWER(G59),experiments_specs!$A:$J,6,FALSE)</f>
        <v>False</v>
      </c>
      <c r="F64" s="15" t="s">
        <v>157</v>
      </c>
      <c r="G64" s="6" t="s">
        <v>14</v>
      </c>
      <c r="H64" s="18" t="s">
        <v>763</v>
      </c>
      <c r="I64" s="18" t="s">
        <v>796</v>
      </c>
      <c r="J64" s="18" t="s">
        <v>767</v>
      </c>
      <c r="K64" s="18" t="s">
        <v>880</v>
      </c>
      <c r="L64" s="31">
        <v>0.25</v>
      </c>
      <c r="M64" s="23" t="s">
        <v>840</v>
      </c>
      <c r="N64" s="23" t="s">
        <v>882</v>
      </c>
      <c r="O64" s="23" t="s">
        <v>844</v>
      </c>
      <c r="P64" s="23" t="s">
        <v>884</v>
      </c>
      <c r="Q64" s="34">
        <v>0.625</v>
      </c>
      <c r="S64" s="16"/>
      <c r="U64" s="16"/>
      <c r="W64" s="11" t="s">
        <v>5</v>
      </c>
      <c r="X64" s="12" t="str">
        <f>VLOOKUP(LOWER(Z59),experiments_specs!$A:$J,6,FALSE)</f>
        <v>False</v>
      </c>
      <c r="Y64" s="15" t="s">
        <v>163</v>
      </c>
      <c r="Z64" s="6" t="s">
        <v>14</v>
      </c>
      <c r="AA64" s="18" t="s">
        <v>1043</v>
      </c>
      <c r="AB64" s="18" t="s">
        <v>1106</v>
      </c>
      <c r="AC64" s="18" t="s">
        <v>1047</v>
      </c>
      <c r="AD64" s="18" t="s">
        <v>1108</v>
      </c>
      <c r="AE64" s="31">
        <v>0.2857142857142857</v>
      </c>
      <c r="AF64" s="23" t="s">
        <v>451</v>
      </c>
      <c r="AG64" s="23">
        <v>0.11624760000000001</v>
      </c>
      <c r="AH64" s="23" t="s">
        <v>449</v>
      </c>
      <c r="AI64" s="23">
        <v>2.1661400000000001E-2</v>
      </c>
      <c r="AJ64" s="34">
        <v>0.30769230769230771</v>
      </c>
      <c r="AL64" s="16"/>
      <c r="AN64" s="16"/>
      <c r="AP64" s="11" t="s">
        <v>5</v>
      </c>
      <c r="AQ64" s="12" t="str">
        <f>VLOOKUP(LOWER(AS59),experiments_specs!$A:$J,6,FALSE)</f>
        <v>False</v>
      </c>
      <c r="AR64" s="15" t="s">
        <v>169</v>
      </c>
      <c r="AS64" s="6" t="s">
        <v>14</v>
      </c>
      <c r="AT64" s="18" t="s">
        <v>449</v>
      </c>
      <c r="AU64" s="18">
        <v>0.26726119999999998</v>
      </c>
      <c r="AV64" s="18" t="s">
        <v>450</v>
      </c>
      <c r="AW64" s="18">
        <v>1.30023E-2</v>
      </c>
      <c r="AX64" s="31">
        <v>0.2857142857142857</v>
      </c>
      <c r="AY64" s="23" t="s">
        <v>451</v>
      </c>
      <c r="AZ64" s="23">
        <v>0.1195228</v>
      </c>
      <c r="BA64" s="23" t="s">
        <v>449</v>
      </c>
      <c r="BB64" s="23">
        <v>2.1669799999999999E-2</v>
      </c>
      <c r="BC64" s="34">
        <v>0.30769230769230771</v>
      </c>
      <c r="BE64" s="16"/>
    </row>
    <row r="65" spans="2:57" ht="34" x14ac:dyDescent="0.2">
      <c r="B65" s="16"/>
      <c r="D65" s="11" t="s">
        <v>6</v>
      </c>
      <c r="E65" s="12" t="str">
        <f>VLOOKUP(LOWER(G59),experiments_specs!$A:$J,7,FALSE)</f>
        <v>False</v>
      </c>
      <c r="F65" s="15" t="s">
        <v>157</v>
      </c>
      <c r="G65" s="6" t="s">
        <v>15</v>
      </c>
      <c r="H65" s="19" t="s">
        <v>442</v>
      </c>
      <c r="I65" s="19">
        <v>0.1727736</v>
      </c>
      <c r="J65" s="19" t="s">
        <v>443</v>
      </c>
      <c r="K65" s="19">
        <v>3.9822E-3</v>
      </c>
      <c r="L65" s="31">
        <v>0.2</v>
      </c>
      <c r="M65" s="23" t="s">
        <v>383</v>
      </c>
      <c r="N65" s="23">
        <v>0.24433879999999999</v>
      </c>
      <c r="O65" s="23" t="s">
        <v>848</v>
      </c>
      <c r="P65" s="23">
        <v>1.9890999999999999E-2</v>
      </c>
      <c r="Q65" s="34">
        <v>0.2</v>
      </c>
      <c r="S65" s="16"/>
      <c r="U65" s="16"/>
      <c r="W65" s="11" t="s">
        <v>6</v>
      </c>
      <c r="X65" s="12" t="str">
        <f>VLOOKUP(LOWER(Z59),experiments_specs!$A:$J,7,FALSE)</f>
        <v>False</v>
      </c>
      <c r="Y65" s="15" t="s">
        <v>163</v>
      </c>
      <c r="Z65" s="6" t="s">
        <v>15</v>
      </c>
      <c r="AA65" s="18" t="s">
        <v>771</v>
      </c>
      <c r="AB65" s="18" t="s">
        <v>1110</v>
      </c>
      <c r="AC65" s="18" t="s">
        <v>775</v>
      </c>
      <c r="AD65" s="18" t="s">
        <v>1112</v>
      </c>
      <c r="AE65" s="31">
        <v>0.16666666666666666</v>
      </c>
      <c r="AF65" s="23" t="s">
        <v>1052</v>
      </c>
      <c r="AG65" s="23">
        <v>0.12598809999999999</v>
      </c>
      <c r="AH65" s="23" t="s">
        <v>1114</v>
      </c>
      <c r="AI65" s="23">
        <v>3.63507E-2</v>
      </c>
      <c r="AJ65" s="34">
        <v>0.2</v>
      </c>
      <c r="AL65" s="16"/>
      <c r="AN65" s="16"/>
      <c r="AP65" s="11" t="s">
        <v>6</v>
      </c>
      <c r="AQ65" s="12" t="str">
        <f>VLOOKUP(LOWER(AS59),experiments_specs!$A:$J,7,FALSE)</f>
        <v>False</v>
      </c>
      <c r="AR65" s="15" t="s">
        <v>169</v>
      </c>
      <c r="AS65" s="6" t="s">
        <v>15</v>
      </c>
      <c r="AT65" s="18" t="s">
        <v>771</v>
      </c>
      <c r="AU65" s="18" t="s">
        <v>964</v>
      </c>
      <c r="AV65" s="18" t="s">
        <v>775</v>
      </c>
      <c r="AW65" s="18" t="s">
        <v>1197</v>
      </c>
      <c r="AX65" s="31">
        <v>0.16666666666666666</v>
      </c>
      <c r="AY65" s="23" t="s">
        <v>968</v>
      </c>
      <c r="AZ65" s="23" t="s">
        <v>1199</v>
      </c>
      <c r="BA65" s="23" t="s">
        <v>1201</v>
      </c>
      <c r="BB65" s="23" t="s">
        <v>1203</v>
      </c>
      <c r="BC65" s="34">
        <v>0.90909090909090906</v>
      </c>
      <c r="BE65" s="16"/>
    </row>
    <row r="66" spans="2:57" ht="102" x14ac:dyDescent="0.2">
      <c r="B66" s="16"/>
      <c r="D66" s="11" t="s">
        <v>7</v>
      </c>
      <c r="E66" s="12" t="str">
        <f>VLOOKUP(LOWER(G59),experiments_specs!$A:$J,8,FALSE)</f>
        <v>True</v>
      </c>
      <c r="F66" s="15" t="s">
        <v>157</v>
      </c>
      <c r="G66" s="6" t="s">
        <v>16</v>
      </c>
      <c r="H66" s="19" t="s">
        <v>385</v>
      </c>
      <c r="I66" s="19">
        <v>0.1178511</v>
      </c>
      <c r="J66" s="19" t="s">
        <v>849</v>
      </c>
      <c r="K66" s="19">
        <v>2.3568999999999999E-3</v>
      </c>
      <c r="L66" s="31">
        <v>0.14285714285714285</v>
      </c>
      <c r="M66" s="23" t="s">
        <v>561</v>
      </c>
      <c r="N66" s="23" t="s">
        <v>825</v>
      </c>
      <c r="O66" s="23" t="s">
        <v>788</v>
      </c>
      <c r="P66" s="23" t="s">
        <v>886</v>
      </c>
      <c r="Q66" s="34">
        <v>0.15384615384615385</v>
      </c>
      <c r="S66" s="16"/>
      <c r="U66" s="16"/>
      <c r="W66" s="11" t="s">
        <v>7</v>
      </c>
      <c r="X66" s="12" t="str">
        <f>VLOOKUP(LOWER(Z59),experiments_specs!$A:$J,8,FALSE)</f>
        <v>True</v>
      </c>
      <c r="Y66" s="15" t="s">
        <v>163</v>
      </c>
      <c r="Z66" s="6" t="s">
        <v>16</v>
      </c>
      <c r="AA66" s="18" t="s">
        <v>1008</v>
      </c>
      <c r="AB66" s="18" t="s">
        <v>1054</v>
      </c>
      <c r="AC66" s="18" t="s">
        <v>1012</v>
      </c>
      <c r="AD66" s="18" t="s">
        <v>1115</v>
      </c>
      <c r="AE66" s="31">
        <v>0.22222222222222221</v>
      </c>
      <c r="AF66" s="23" t="s">
        <v>931</v>
      </c>
      <c r="AG66" s="23" t="s">
        <v>1058</v>
      </c>
      <c r="AH66" s="23" t="s">
        <v>935</v>
      </c>
      <c r="AI66" s="23" t="s">
        <v>1117</v>
      </c>
      <c r="AJ66" s="34">
        <v>0.23529411764705882</v>
      </c>
      <c r="AL66" s="16"/>
      <c r="AN66" s="16"/>
      <c r="AP66" s="11" t="s">
        <v>7</v>
      </c>
      <c r="AQ66" s="12" t="str">
        <f>VLOOKUP(LOWER(AS59),experiments_specs!$A:$J,8,FALSE)</f>
        <v>True</v>
      </c>
      <c r="AR66" s="15" t="s">
        <v>169</v>
      </c>
      <c r="AS66" s="6" t="s">
        <v>16</v>
      </c>
      <c r="AT66" s="18" t="s">
        <v>1008</v>
      </c>
      <c r="AU66" s="18" t="s">
        <v>1010</v>
      </c>
      <c r="AV66" s="18" t="s">
        <v>1012</v>
      </c>
      <c r="AW66" s="18" t="s">
        <v>1205</v>
      </c>
      <c r="AX66" s="31">
        <v>0.22222222222222221</v>
      </c>
      <c r="AY66" s="23" t="s">
        <v>931</v>
      </c>
      <c r="AZ66" s="23" t="s">
        <v>933</v>
      </c>
      <c r="BA66" s="23" t="s">
        <v>935</v>
      </c>
      <c r="BB66" s="23" t="s">
        <v>1207</v>
      </c>
      <c r="BC66" s="34">
        <v>0.23529411764705882</v>
      </c>
      <c r="BE66" s="16"/>
    </row>
    <row r="67" spans="2:57" ht="34" x14ac:dyDescent="0.2">
      <c r="B67" s="16"/>
      <c r="D67" s="11" t="s">
        <v>8</v>
      </c>
      <c r="E67" s="12" t="str">
        <f>VLOOKUP(LOWER(G59),experiments_specs!$A:$J,9,FALSE)</f>
        <v>wup_similarity</v>
      </c>
      <c r="F67" s="15" t="s">
        <v>157</v>
      </c>
      <c r="G67" s="6" t="s">
        <v>17</v>
      </c>
      <c r="H67" s="18" t="s">
        <v>852</v>
      </c>
      <c r="I67" s="18" t="s">
        <v>854</v>
      </c>
      <c r="J67" s="18" t="s">
        <v>856</v>
      </c>
      <c r="K67" s="18" t="s">
        <v>888</v>
      </c>
      <c r="L67" s="31">
        <v>0.22222222222222221</v>
      </c>
      <c r="M67" s="22" t="s">
        <v>30</v>
      </c>
      <c r="N67" s="22">
        <v>0.1714985</v>
      </c>
      <c r="O67" s="22" t="s">
        <v>446</v>
      </c>
      <c r="P67" s="22">
        <v>1.4746799999999999E-2</v>
      </c>
      <c r="Q67" s="34">
        <v>0.22222222222222221</v>
      </c>
      <c r="S67" s="16"/>
      <c r="U67" s="16"/>
      <c r="W67" s="11" t="s">
        <v>8</v>
      </c>
      <c r="X67" s="12" t="str">
        <f>VLOOKUP(LOWER(Z59),experiments_specs!$A:$J,9,FALSE)</f>
        <v>wup_similarity</v>
      </c>
      <c r="Y67" s="15" t="s">
        <v>163</v>
      </c>
      <c r="Z67" s="6" t="s">
        <v>17</v>
      </c>
      <c r="AA67" s="19" t="s">
        <v>30</v>
      </c>
      <c r="AB67" s="19">
        <v>0.18569530000000001</v>
      </c>
      <c r="AC67" s="19" t="s">
        <v>1018</v>
      </c>
      <c r="AD67" s="19">
        <v>2.67972E-2</v>
      </c>
      <c r="AE67" s="31">
        <v>0.22222222222222221</v>
      </c>
      <c r="AF67" s="23" t="s">
        <v>1062</v>
      </c>
      <c r="AG67" s="23" t="s">
        <v>1064</v>
      </c>
      <c r="AH67" s="23" t="s">
        <v>1066</v>
      </c>
      <c r="AI67" s="23" t="s">
        <v>1119</v>
      </c>
      <c r="AJ67" s="34">
        <v>0.2</v>
      </c>
      <c r="AL67" s="16"/>
      <c r="AN67" s="16"/>
      <c r="AP67" s="11" t="s">
        <v>8</v>
      </c>
      <c r="AQ67" s="12" t="str">
        <f>VLOOKUP(LOWER(AS59),experiments_specs!$A:$J,9,FALSE)</f>
        <v>wup_similarity</v>
      </c>
      <c r="AR67" s="15" t="s">
        <v>169</v>
      </c>
      <c r="AS67" s="6" t="s">
        <v>17</v>
      </c>
      <c r="AT67" s="18" t="s">
        <v>939</v>
      </c>
      <c r="AU67" s="18">
        <v>0.13483990000000001</v>
      </c>
      <c r="AV67" s="18" t="s">
        <v>940</v>
      </c>
      <c r="AW67" s="18">
        <v>1.66812E-2</v>
      </c>
      <c r="AX67" s="31">
        <v>0.26666666666666666</v>
      </c>
      <c r="AY67" s="23" t="s">
        <v>646</v>
      </c>
      <c r="AZ67" s="23" t="s">
        <v>466</v>
      </c>
      <c r="BA67" s="23" t="s">
        <v>941</v>
      </c>
      <c r="BB67" s="23" t="s">
        <v>1209</v>
      </c>
      <c r="BC67" s="34">
        <v>0.16666666666666666</v>
      </c>
      <c r="BE67" s="16"/>
    </row>
    <row r="68" spans="2:57" ht="221" x14ac:dyDescent="0.2">
      <c r="B68" s="16"/>
      <c r="D68" s="11" t="s">
        <v>9</v>
      </c>
      <c r="E68" s="12" t="str">
        <f>VLOOKUP(LOWER(G59),experiments_specs!$A:$J,10,FALSE)</f>
        <v>False</v>
      </c>
      <c r="F68" s="15" t="s">
        <v>157</v>
      </c>
      <c r="G68" s="7" t="s">
        <v>18</v>
      </c>
      <c r="H68" s="20" t="s">
        <v>44</v>
      </c>
      <c r="I68" s="20">
        <v>0.1</v>
      </c>
      <c r="J68" s="20" t="s">
        <v>781</v>
      </c>
      <c r="K68" s="20">
        <v>1.3307E-3</v>
      </c>
      <c r="L68" s="32">
        <v>0.21052631578947367</v>
      </c>
      <c r="M68" s="24" t="s">
        <v>388</v>
      </c>
      <c r="N68" s="24">
        <v>0.1</v>
      </c>
      <c r="O68" s="24" t="s">
        <v>440</v>
      </c>
      <c r="P68" s="24">
        <v>8.4738000000000001E-3</v>
      </c>
      <c r="Q68" s="35">
        <v>0.11764705882352941</v>
      </c>
      <c r="S68" s="16"/>
      <c r="U68" s="16"/>
      <c r="W68" s="11" t="s">
        <v>9</v>
      </c>
      <c r="X68" s="12" t="str">
        <f>VLOOKUP(LOWER(Z59),experiments_specs!$A:$J,10,FALSE)</f>
        <v>False</v>
      </c>
      <c r="Y68" s="15" t="s">
        <v>163</v>
      </c>
      <c r="Z68" s="7" t="s">
        <v>18</v>
      </c>
      <c r="AA68" s="49" t="s">
        <v>1070</v>
      </c>
      <c r="AB68" s="49" t="s">
        <v>1121</v>
      </c>
      <c r="AC68" s="49" t="s">
        <v>1074</v>
      </c>
      <c r="AD68" s="49" t="s">
        <v>1123</v>
      </c>
      <c r="AE68" s="32">
        <v>0.125</v>
      </c>
      <c r="AF68" s="24" t="s">
        <v>46</v>
      </c>
      <c r="AG68" s="24">
        <v>0.14990629999999999</v>
      </c>
      <c r="AH68" s="24" t="s">
        <v>436</v>
      </c>
      <c r="AI68" s="24">
        <v>2.5152399999999998E-2</v>
      </c>
      <c r="AJ68" s="35">
        <v>0.22222222222222221</v>
      </c>
      <c r="AL68" s="16"/>
      <c r="AN68" s="16"/>
      <c r="AP68" s="11" t="s">
        <v>9</v>
      </c>
      <c r="AQ68" s="12" t="str">
        <f>VLOOKUP(LOWER(AS59),experiments_specs!$A:$J,10,FALSE)</f>
        <v>True</v>
      </c>
      <c r="AR68" s="15" t="s">
        <v>169</v>
      </c>
      <c r="AS68" s="7" t="s">
        <v>18</v>
      </c>
      <c r="AT68" s="49" t="s">
        <v>1181</v>
      </c>
      <c r="AU68" s="49" t="s">
        <v>1183</v>
      </c>
      <c r="AV68" s="49" t="s">
        <v>1185</v>
      </c>
      <c r="AW68" s="49" t="s">
        <v>1211</v>
      </c>
      <c r="AX68" s="32">
        <v>0.21052631578947367</v>
      </c>
      <c r="AY68" s="24" t="s">
        <v>46</v>
      </c>
      <c r="AZ68" s="24">
        <v>0.14990629999999999</v>
      </c>
      <c r="BA68" s="24" t="s">
        <v>436</v>
      </c>
      <c r="BB68" s="24">
        <v>2.9679899999999999E-2</v>
      </c>
      <c r="BC68" s="35">
        <v>0.22222222222222221</v>
      </c>
      <c r="BE68" s="16"/>
    </row>
    <row r="69" spans="2:57" x14ac:dyDescent="0.2">
      <c r="B69" s="16"/>
      <c r="S69" s="16"/>
      <c r="U69" s="16"/>
      <c r="AL69" s="16"/>
      <c r="AN69" s="16"/>
      <c r="BE69" s="16"/>
    </row>
    <row r="70" spans="2:57" x14ac:dyDescent="0.2">
      <c r="B70" s="16"/>
      <c r="C70" s="16"/>
      <c r="D70" s="16"/>
      <c r="E70" s="16"/>
      <c r="F70" s="16"/>
      <c r="G70" s="16"/>
      <c r="H70" s="16"/>
      <c r="I70" s="16"/>
      <c r="J70" s="16"/>
      <c r="K70" s="16"/>
      <c r="L70" s="16"/>
      <c r="M70" s="16"/>
      <c r="N70" s="16"/>
      <c r="O70" s="16"/>
      <c r="P70" s="16"/>
      <c r="Q70" s="16"/>
      <c r="R70" s="16"/>
      <c r="S70" s="16"/>
      <c r="U70" s="16"/>
      <c r="V70" s="16"/>
      <c r="W70" s="16"/>
      <c r="X70" s="16"/>
      <c r="Y70" s="16"/>
      <c r="Z70" s="16"/>
      <c r="AA70" s="16"/>
      <c r="AB70" s="16"/>
      <c r="AC70" s="16"/>
      <c r="AD70" s="16"/>
      <c r="AE70" s="16"/>
      <c r="AF70" s="16"/>
      <c r="AG70" s="16"/>
      <c r="AH70" s="16"/>
      <c r="AI70" s="16"/>
      <c r="AJ70" s="16"/>
      <c r="AK70" s="16"/>
      <c r="AL70" s="16"/>
      <c r="AN70" s="16"/>
      <c r="AO70" s="16"/>
      <c r="AP70" s="16"/>
      <c r="AQ70" s="16"/>
      <c r="AR70" s="16"/>
      <c r="AS70" s="16"/>
      <c r="AT70" s="16"/>
      <c r="AU70" s="16"/>
      <c r="AV70" s="16"/>
      <c r="AW70" s="16"/>
      <c r="AX70" s="16"/>
      <c r="AY70" s="16"/>
      <c r="AZ70" s="16"/>
      <c r="BA70" s="16"/>
      <c r="BB70" s="16"/>
      <c r="BC70" s="16"/>
      <c r="BD70" s="16"/>
      <c r="BE70" s="16"/>
    </row>
  </sheetData>
  <mergeCells count="39">
    <mergeCell ref="AY59:BC59"/>
    <mergeCell ref="H48:L48"/>
    <mergeCell ref="M48:Q48"/>
    <mergeCell ref="AA48:AE48"/>
    <mergeCell ref="AF48:AJ48"/>
    <mergeCell ref="AT48:AX48"/>
    <mergeCell ref="AY48:BC48"/>
    <mergeCell ref="H59:L59"/>
    <mergeCell ref="M59:Q59"/>
    <mergeCell ref="AA59:AE59"/>
    <mergeCell ref="AF59:AJ59"/>
    <mergeCell ref="AT59:AX59"/>
    <mergeCell ref="AY37:BC37"/>
    <mergeCell ref="H26:L26"/>
    <mergeCell ref="M26:Q26"/>
    <mergeCell ref="AA26:AE26"/>
    <mergeCell ref="AF26:AJ26"/>
    <mergeCell ref="AT26:AX26"/>
    <mergeCell ref="AY26:BC26"/>
    <mergeCell ref="H37:L37"/>
    <mergeCell ref="M37:Q37"/>
    <mergeCell ref="AA37:AE37"/>
    <mergeCell ref="AF37:AJ37"/>
    <mergeCell ref="AT37:AX37"/>
    <mergeCell ref="AY15:BC15"/>
    <mergeCell ref="D2:Q2"/>
    <mergeCell ref="W2:AJ2"/>
    <mergeCell ref="AP2:BC2"/>
    <mergeCell ref="H4:L4"/>
    <mergeCell ref="M4:Q4"/>
    <mergeCell ref="AA4:AE4"/>
    <mergeCell ref="AF4:AJ4"/>
    <mergeCell ref="AT4:AX4"/>
    <mergeCell ref="AY4:BC4"/>
    <mergeCell ref="H15:L15"/>
    <mergeCell ref="M15:Q15"/>
    <mergeCell ref="AA15:AE15"/>
    <mergeCell ref="AF15:AJ15"/>
    <mergeCell ref="AT15:AX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A7348-3735-E746-801B-610D87A806D8}">
  <sheetPr codeName="Foglio2"/>
  <dimension ref="A1:V722"/>
  <sheetViews>
    <sheetView zoomScale="101" workbookViewId="0">
      <selection activeCell="Q15" sqref="Q15"/>
    </sheetView>
  </sheetViews>
  <sheetFormatPr baseColWidth="10" defaultRowHeight="16" x14ac:dyDescent="0.2"/>
  <cols>
    <col min="1" max="1" width="8.33203125" customWidth="1"/>
    <col min="2" max="2" width="6.5" style="46" customWidth="1"/>
    <col min="3" max="4" width="1.6640625" customWidth="1"/>
    <col min="5" max="5" width="7.6640625" customWidth="1"/>
    <col min="6" max="6" width="10" customWidth="1"/>
    <col min="7" max="7" width="10.33203125" customWidth="1"/>
    <col min="8" max="8" width="9" customWidth="1"/>
    <col min="9" max="9" width="0.83203125" style="46" customWidth="1"/>
    <col min="10" max="10" width="5.83203125" customWidth="1"/>
    <col min="11" max="11" width="10" customWidth="1"/>
    <col min="12" max="12" width="19.1640625" customWidth="1"/>
    <col min="13" max="13" width="11.83203125" customWidth="1"/>
    <col min="14" max="14" width="28" customWidth="1"/>
    <col min="15" max="15" width="11.83203125" customWidth="1"/>
    <col min="16" max="16" width="12.83203125" customWidth="1"/>
    <col min="17" max="17" width="20.33203125" bestFit="1" customWidth="1"/>
    <col min="18" max="18" width="11.83203125" customWidth="1"/>
    <col min="19" max="19" width="28.5" bestFit="1" customWidth="1"/>
    <col min="20" max="20" width="11.83203125" customWidth="1"/>
    <col min="21" max="21" width="11.83203125" style="26" customWidth="1"/>
    <col min="22" max="22" width="19.83203125" style="26" customWidth="1"/>
  </cols>
  <sheetData>
    <row r="1" spans="1:22" s="1" customFormat="1" ht="41" customHeight="1" x14ac:dyDescent="0.2">
      <c r="A1" s="1" t="s">
        <v>0</v>
      </c>
      <c r="B1" s="28" t="s">
        <v>1</v>
      </c>
      <c r="C1" s="1" t="s">
        <v>2</v>
      </c>
      <c r="D1" s="1" t="s">
        <v>3</v>
      </c>
      <c r="E1" s="1" t="s">
        <v>4</v>
      </c>
      <c r="F1" s="1" t="s">
        <v>5</v>
      </c>
      <c r="G1" s="1" t="s">
        <v>6</v>
      </c>
      <c r="H1" s="1" t="s">
        <v>7</v>
      </c>
      <c r="I1" s="28" t="s">
        <v>8</v>
      </c>
      <c r="J1" s="1" t="s">
        <v>9</v>
      </c>
      <c r="K1" s="1" t="s">
        <v>49</v>
      </c>
      <c r="L1" s="1" t="s">
        <v>50</v>
      </c>
      <c r="M1" s="1" t="s">
        <v>190</v>
      </c>
      <c r="N1" s="1" t="s">
        <v>51</v>
      </c>
      <c r="O1" s="39" t="s">
        <v>191</v>
      </c>
      <c r="P1" s="1" t="s">
        <v>54</v>
      </c>
      <c r="Q1" s="1" t="s">
        <v>52</v>
      </c>
      <c r="R1" s="1" t="s">
        <v>192</v>
      </c>
      <c r="S1" s="1" t="s">
        <v>53</v>
      </c>
      <c r="T1" s="1" t="s">
        <v>1428</v>
      </c>
      <c r="U1" s="25" t="s">
        <v>55</v>
      </c>
      <c r="V1" s="25"/>
    </row>
    <row r="2" spans="1:22" x14ac:dyDescent="0.2">
      <c r="A2" s="36"/>
      <c r="B2" s="40" t="e">
        <f>VLOOKUP(Tabella1[[#This Row],[test_id]],experiments_specs!A:J,2,FALSE)</f>
        <v>#N/A</v>
      </c>
      <c r="C2" s="36" t="e">
        <f>VLOOKUP(Tabella1[[#This Row],[test_id]],experiments_specs!A:J,3,FALSE)</f>
        <v>#N/A</v>
      </c>
      <c r="D2" s="36" t="e">
        <f>VLOOKUP(Tabella1[[#This Row],[test_id]],experiments_specs!A:J,4,FALSE)</f>
        <v>#N/A</v>
      </c>
      <c r="E2" s="36" t="e">
        <f>VLOOKUP(Tabella1[[#This Row],[test_id]],experiments_specs!A:J,5,FALSE)</f>
        <v>#N/A</v>
      </c>
      <c r="F2" s="36" t="e">
        <f>VLOOKUP(Tabella1[[#This Row],[test_id]],experiments_specs!A:J,6,FALSE)</f>
        <v>#N/A</v>
      </c>
      <c r="G2" s="36" t="e">
        <f>VLOOKUP(Tabella1[[#This Row],[test_id]],experiments_specs!A:J,7,FALSE)</f>
        <v>#N/A</v>
      </c>
      <c r="H2" s="36" t="e">
        <f>VLOOKUP(Tabella1[[#This Row],[test_id]],experiments_specs!A:J,8,FALSE)</f>
        <v>#N/A</v>
      </c>
      <c r="I2" s="40" t="e">
        <f>VLOOKUP(Tabella1[[#This Row],[test_id]],experiments_specs!A:J,9,FALSE)</f>
        <v>#N/A</v>
      </c>
      <c r="J2" s="36" t="e">
        <f>VLOOKUP(Tabella1[[#This Row],[test_id]],experiments_specs!A:J,10,FALSE)</f>
        <v>#N/A</v>
      </c>
      <c r="K2" s="40"/>
      <c r="L2" s="36"/>
      <c r="M2" s="36"/>
      <c r="N2" s="36"/>
      <c r="O2" s="36"/>
      <c r="P2" s="36"/>
      <c r="Q2" s="36"/>
      <c r="R2" s="36"/>
      <c r="S2" s="36"/>
      <c r="T2" s="36"/>
      <c r="U2" s="37"/>
    </row>
    <row r="3" spans="1:22" ht="34" x14ac:dyDescent="0.2">
      <c r="A3" s="36" t="s">
        <v>10</v>
      </c>
      <c r="B3" s="45" t="str">
        <f>VLOOKUP(Tabella1[[#This Row],[test_id]],experiments_specs!A:J,2,FALSE)</f>
        <v>NN</v>
      </c>
      <c r="C3" s="38">
        <f>VLOOKUP(Tabella1[[#This Row],[test_id]],experiments_specs!A:J,3,FALSE)</f>
        <v>1</v>
      </c>
      <c r="D3" s="38">
        <f>VLOOKUP(Tabella1[[#This Row],[test_id]],experiments_specs!A:J,4,FALSE)</f>
        <v>2</v>
      </c>
      <c r="E3" s="38" t="str">
        <f>VLOOKUP(Tabella1[[#This Row],[test_id]],experiments_specs!A:J,5,FALSE)</f>
        <v>False</v>
      </c>
      <c r="F3" s="38" t="str">
        <f>VLOOKUP(Tabella1[[#This Row],[test_id]],experiments_specs!A:J,6,FALSE)</f>
        <v>True</v>
      </c>
      <c r="G3" s="38" t="str">
        <f>VLOOKUP(Tabella1[[#This Row],[test_id]],experiments_specs!A:J,7,FALSE)</f>
        <v>False</v>
      </c>
      <c r="H3" s="38" t="str">
        <f>VLOOKUP(Tabella1[[#This Row],[test_id]],experiments_specs!A:J,8,FALSE)</f>
        <v>False</v>
      </c>
      <c r="I3" s="45" t="str">
        <f>VLOOKUP(Tabella1[[#This Row],[test_id]],experiments_specs!A:J,9,FALSE)</f>
        <v>wup_similarity</v>
      </c>
      <c r="J3" s="38" t="str">
        <f>VLOOKUP(Tabella1[[#This Row],[test_id]],experiments_specs!A:J,10,FALSE)</f>
        <v>False</v>
      </c>
      <c r="K3" s="40" t="s">
        <v>19</v>
      </c>
      <c r="L3" s="36" t="s">
        <v>20</v>
      </c>
      <c r="M3" s="36" t="s">
        <v>194</v>
      </c>
      <c r="N3" s="36" t="s">
        <v>21</v>
      </c>
      <c r="O3" s="36" t="s">
        <v>196</v>
      </c>
      <c r="P3" s="36">
        <v>0.19047619047619047</v>
      </c>
      <c r="Q3" s="36" t="s">
        <v>197</v>
      </c>
      <c r="R3" s="36">
        <v>0</v>
      </c>
      <c r="S3" s="36" t="s">
        <v>198</v>
      </c>
      <c r="T3" s="36">
        <v>4.3544999999999999E-3</v>
      </c>
      <c r="U3" s="37">
        <v>9.5238095238095233E-2</v>
      </c>
      <c r="V3"/>
    </row>
    <row r="4" spans="1:22" ht="17" x14ac:dyDescent="0.2">
      <c r="A4" s="36" t="s">
        <v>10</v>
      </c>
      <c r="B4" s="45" t="str">
        <f>VLOOKUP(Tabella1[[#This Row],[test_id]],experiments_specs!A:J,2,FALSE)</f>
        <v>NN</v>
      </c>
      <c r="C4" s="38">
        <f>VLOOKUP(Tabella1[[#This Row],[test_id]],experiments_specs!A:J,3,FALSE)</f>
        <v>1</v>
      </c>
      <c r="D4" s="38">
        <f>VLOOKUP(Tabella1[[#This Row],[test_id]],experiments_specs!A:J,4,FALSE)</f>
        <v>2</v>
      </c>
      <c r="E4" s="38" t="str">
        <f>VLOOKUP(Tabella1[[#This Row],[test_id]],experiments_specs!A:J,5,FALSE)</f>
        <v>False</v>
      </c>
      <c r="F4" s="38" t="str">
        <f>VLOOKUP(Tabella1[[#This Row],[test_id]],experiments_specs!A:J,6,FALSE)</f>
        <v>True</v>
      </c>
      <c r="G4" s="38" t="str">
        <f>VLOOKUP(Tabella1[[#This Row],[test_id]],experiments_specs!A:J,7,FALSE)</f>
        <v>False</v>
      </c>
      <c r="H4" s="38" t="str">
        <f>VLOOKUP(Tabella1[[#This Row],[test_id]],experiments_specs!A:J,8,FALSE)</f>
        <v>False</v>
      </c>
      <c r="I4" s="45" t="str">
        <f>VLOOKUP(Tabella1[[#This Row],[test_id]],experiments_specs!A:J,9,FALSE)</f>
        <v>wup_similarity</v>
      </c>
      <c r="J4" s="38" t="str">
        <f>VLOOKUP(Tabella1[[#This Row],[test_id]],experiments_specs!A:J,10,FALSE)</f>
        <v>False</v>
      </c>
      <c r="K4" s="40" t="s">
        <v>12</v>
      </c>
      <c r="L4" s="36" t="s">
        <v>22</v>
      </c>
      <c r="M4" s="36">
        <v>0.1102635</v>
      </c>
      <c r="N4" s="36" t="s">
        <v>23</v>
      </c>
      <c r="O4" s="36">
        <v>1.0621200000000001E-2</v>
      </c>
      <c r="P4" s="36">
        <v>0.42857142857142855</v>
      </c>
      <c r="Q4" s="36" t="s">
        <v>24</v>
      </c>
      <c r="R4" s="36">
        <v>5.5131699999999999E-2</v>
      </c>
      <c r="S4" s="36" t="s">
        <v>23</v>
      </c>
      <c r="T4" s="36">
        <v>1.0831500000000001E-2</v>
      </c>
      <c r="U4" s="37">
        <v>0.42857142857142855</v>
      </c>
      <c r="V4"/>
    </row>
    <row r="5" spans="1:22" ht="17" x14ac:dyDescent="0.2">
      <c r="A5" s="36" t="s">
        <v>10</v>
      </c>
      <c r="B5" s="45" t="str">
        <f>VLOOKUP(Tabella1[[#This Row],[test_id]],experiments_specs!A:J,2,FALSE)</f>
        <v>NN</v>
      </c>
      <c r="C5" s="38">
        <f>VLOOKUP(Tabella1[[#This Row],[test_id]],experiments_specs!A:J,3,FALSE)</f>
        <v>1</v>
      </c>
      <c r="D5" s="38">
        <f>VLOOKUP(Tabella1[[#This Row],[test_id]],experiments_specs!A:J,4,FALSE)</f>
        <v>2</v>
      </c>
      <c r="E5" s="38" t="str">
        <f>VLOOKUP(Tabella1[[#This Row],[test_id]],experiments_specs!A:J,5,FALSE)</f>
        <v>False</v>
      </c>
      <c r="F5" s="38" t="str">
        <f>VLOOKUP(Tabella1[[#This Row],[test_id]],experiments_specs!A:J,6,FALSE)</f>
        <v>True</v>
      </c>
      <c r="G5" s="38" t="str">
        <f>VLOOKUP(Tabella1[[#This Row],[test_id]],experiments_specs!A:J,7,FALSE)</f>
        <v>False</v>
      </c>
      <c r="H5" s="38" t="str">
        <f>VLOOKUP(Tabella1[[#This Row],[test_id]],experiments_specs!A:J,8,FALSE)</f>
        <v>False</v>
      </c>
      <c r="I5" s="45" t="str">
        <f>VLOOKUP(Tabella1[[#This Row],[test_id]],experiments_specs!A:J,9,FALSE)</f>
        <v>wup_similarity</v>
      </c>
      <c r="J5" s="38" t="str">
        <f>VLOOKUP(Tabella1[[#This Row],[test_id]],experiments_specs!A:J,10,FALSE)</f>
        <v>False</v>
      </c>
      <c r="K5" s="40" t="s">
        <v>13</v>
      </c>
      <c r="L5" s="36" t="s">
        <v>199</v>
      </c>
      <c r="M5" s="36">
        <v>0.17025129999999999</v>
      </c>
      <c r="N5" s="36" t="s">
        <v>200</v>
      </c>
      <c r="O5" s="36">
        <v>8.7422000000000003E-3</v>
      </c>
      <c r="P5" s="36" t="s">
        <v>25</v>
      </c>
      <c r="Q5" s="36" t="s">
        <v>201</v>
      </c>
      <c r="R5" s="36">
        <v>0</v>
      </c>
      <c r="S5" s="36" t="s">
        <v>200</v>
      </c>
      <c r="T5" s="36">
        <v>9.2478999999999999E-3</v>
      </c>
      <c r="U5" s="37" t="s">
        <v>25</v>
      </c>
      <c r="V5"/>
    </row>
    <row r="6" spans="1:22" ht="17" x14ac:dyDescent="0.2">
      <c r="A6" s="36" t="s">
        <v>10</v>
      </c>
      <c r="B6" s="45" t="str">
        <f>VLOOKUP(Tabella1[[#This Row],[test_id]],experiments_specs!A:J,2,FALSE)</f>
        <v>NN</v>
      </c>
      <c r="C6" s="38">
        <f>VLOOKUP(Tabella1[[#This Row],[test_id]],experiments_specs!A:J,3,FALSE)</f>
        <v>1</v>
      </c>
      <c r="D6" s="38">
        <f>VLOOKUP(Tabella1[[#This Row],[test_id]],experiments_specs!A:J,4,FALSE)</f>
        <v>2</v>
      </c>
      <c r="E6" s="38" t="str">
        <f>VLOOKUP(Tabella1[[#This Row],[test_id]],experiments_specs!A:J,5,FALSE)</f>
        <v>False</v>
      </c>
      <c r="F6" s="38" t="str">
        <f>VLOOKUP(Tabella1[[#This Row],[test_id]],experiments_specs!A:J,6,FALSE)</f>
        <v>True</v>
      </c>
      <c r="G6" s="38" t="str">
        <f>VLOOKUP(Tabella1[[#This Row],[test_id]],experiments_specs!A:J,7,FALSE)</f>
        <v>False</v>
      </c>
      <c r="H6" s="38" t="str">
        <f>VLOOKUP(Tabella1[[#This Row],[test_id]],experiments_specs!A:J,8,FALSE)</f>
        <v>False</v>
      </c>
      <c r="I6" s="45" t="str">
        <f>VLOOKUP(Tabella1[[#This Row],[test_id]],experiments_specs!A:J,9,FALSE)</f>
        <v>wup_similarity</v>
      </c>
      <c r="J6" s="38" t="str">
        <f>VLOOKUP(Tabella1[[#This Row],[test_id]],experiments_specs!A:J,10,FALSE)</f>
        <v>False</v>
      </c>
      <c r="K6" s="40" t="s">
        <v>14</v>
      </c>
      <c r="L6" s="36" t="s">
        <v>202</v>
      </c>
      <c r="M6" s="36">
        <v>7.5485099999999999E-2</v>
      </c>
      <c r="N6" s="36" t="s">
        <v>203</v>
      </c>
      <c r="O6" s="36">
        <v>5.5317999999999999E-3</v>
      </c>
      <c r="P6" s="36">
        <v>0.14285714285714285</v>
      </c>
      <c r="Q6" s="36" t="s">
        <v>204</v>
      </c>
      <c r="R6" s="36">
        <v>0</v>
      </c>
      <c r="S6" s="36" t="s">
        <v>205</v>
      </c>
      <c r="T6" s="36">
        <v>6.6150000000000002E-3</v>
      </c>
      <c r="U6" s="37">
        <v>0.625</v>
      </c>
      <c r="V6"/>
    </row>
    <row r="7" spans="1:22" ht="34" x14ac:dyDescent="0.2">
      <c r="A7" s="36" t="s">
        <v>10</v>
      </c>
      <c r="B7" s="45" t="str">
        <f>VLOOKUP(Tabella1[[#This Row],[test_id]],experiments_specs!A:J,2,FALSE)</f>
        <v>NN</v>
      </c>
      <c r="C7" s="38">
        <f>VLOOKUP(Tabella1[[#This Row],[test_id]],experiments_specs!A:J,3,FALSE)</f>
        <v>1</v>
      </c>
      <c r="D7" s="38">
        <f>VLOOKUP(Tabella1[[#This Row],[test_id]],experiments_specs!A:J,4,FALSE)</f>
        <v>2</v>
      </c>
      <c r="E7" s="38" t="str">
        <f>VLOOKUP(Tabella1[[#This Row],[test_id]],experiments_specs!A:J,5,FALSE)</f>
        <v>False</v>
      </c>
      <c r="F7" s="38" t="str">
        <f>VLOOKUP(Tabella1[[#This Row],[test_id]],experiments_specs!A:J,6,FALSE)</f>
        <v>True</v>
      </c>
      <c r="G7" s="38" t="str">
        <f>VLOOKUP(Tabella1[[#This Row],[test_id]],experiments_specs!A:J,7,FALSE)</f>
        <v>False</v>
      </c>
      <c r="H7" s="38" t="str">
        <f>VLOOKUP(Tabella1[[#This Row],[test_id]],experiments_specs!A:J,8,FALSE)</f>
        <v>False</v>
      </c>
      <c r="I7" s="45" t="str">
        <f>VLOOKUP(Tabella1[[#This Row],[test_id]],experiments_specs!A:J,9,FALSE)</f>
        <v>wup_similarity</v>
      </c>
      <c r="J7" s="38" t="str">
        <f>VLOOKUP(Tabella1[[#This Row],[test_id]],experiments_specs!A:J,10,FALSE)</f>
        <v>False</v>
      </c>
      <c r="K7" s="40" t="s">
        <v>15</v>
      </c>
      <c r="L7" s="36" t="s">
        <v>26</v>
      </c>
      <c r="M7" s="36">
        <v>0.1561737</v>
      </c>
      <c r="N7" s="36" t="s">
        <v>27</v>
      </c>
      <c r="O7" s="36">
        <v>4.1098000000000003E-3</v>
      </c>
      <c r="P7" s="36">
        <v>0.16666666666666666</v>
      </c>
      <c r="Q7" s="36" t="s">
        <v>28</v>
      </c>
      <c r="R7" s="36" t="s">
        <v>186</v>
      </c>
      <c r="S7" s="36" t="s">
        <v>29</v>
      </c>
      <c r="T7" s="36" t="s">
        <v>207</v>
      </c>
      <c r="U7" s="37">
        <v>0.18181818181818182</v>
      </c>
      <c r="V7"/>
    </row>
    <row r="8" spans="1:22" ht="34" x14ac:dyDescent="0.2">
      <c r="A8" s="36" t="s">
        <v>10</v>
      </c>
      <c r="B8" s="45" t="str">
        <f>VLOOKUP(Tabella1[[#This Row],[test_id]],experiments_specs!A:J,2,FALSE)</f>
        <v>NN</v>
      </c>
      <c r="C8" s="38">
        <f>VLOOKUP(Tabella1[[#This Row],[test_id]],experiments_specs!A:J,3,FALSE)</f>
        <v>1</v>
      </c>
      <c r="D8" s="38">
        <f>VLOOKUP(Tabella1[[#This Row],[test_id]],experiments_specs!A:J,4,FALSE)</f>
        <v>2</v>
      </c>
      <c r="E8" s="38" t="str">
        <f>VLOOKUP(Tabella1[[#This Row],[test_id]],experiments_specs!A:J,5,FALSE)</f>
        <v>False</v>
      </c>
      <c r="F8" s="38" t="str">
        <f>VLOOKUP(Tabella1[[#This Row],[test_id]],experiments_specs!A:J,6,FALSE)</f>
        <v>True</v>
      </c>
      <c r="G8" s="38" t="str">
        <f>VLOOKUP(Tabella1[[#This Row],[test_id]],experiments_specs!A:J,7,FALSE)</f>
        <v>False</v>
      </c>
      <c r="H8" s="38" t="str">
        <f>VLOOKUP(Tabella1[[#This Row],[test_id]],experiments_specs!A:J,8,FALSE)</f>
        <v>False</v>
      </c>
      <c r="I8" s="45" t="str">
        <f>VLOOKUP(Tabella1[[#This Row],[test_id]],experiments_specs!A:J,9,FALSE)</f>
        <v>wup_similarity</v>
      </c>
      <c r="J8" s="38" t="str">
        <f>VLOOKUP(Tabella1[[#This Row],[test_id]],experiments_specs!A:J,10,FALSE)</f>
        <v>False</v>
      </c>
      <c r="K8" s="40" t="s">
        <v>16</v>
      </c>
      <c r="L8" s="36" t="s">
        <v>208</v>
      </c>
      <c r="M8" s="36">
        <v>0.1666666</v>
      </c>
      <c r="N8" s="36" t="s">
        <v>209</v>
      </c>
      <c r="O8" s="36">
        <v>3.7204E-3</v>
      </c>
      <c r="P8" s="36">
        <v>0.55555555555555558</v>
      </c>
      <c r="Q8" s="36" t="s">
        <v>211</v>
      </c>
      <c r="R8" s="36" t="s">
        <v>213</v>
      </c>
      <c r="S8" s="36" t="s">
        <v>215</v>
      </c>
      <c r="T8" s="36" t="s">
        <v>217</v>
      </c>
      <c r="U8" s="37">
        <v>0.13333333333333333</v>
      </c>
      <c r="V8"/>
    </row>
    <row r="9" spans="1:22" ht="17" x14ac:dyDescent="0.2">
      <c r="A9" s="36" t="s">
        <v>10</v>
      </c>
      <c r="B9" s="45" t="str">
        <f>VLOOKUP(Tabella1[[#This Row],[test_id]],experiments_specs!A:J,2,FALSE)</f>
        <v>NN</v>
      </c>
      <c r="C9" s="38">
        <f>VLOOKUP(Tabella1[[#This Row],[test_id]],experiments_specs!A:J,3,FALSE)</f>
        <v>1</v>
      </c>
      <c r="D9" s="38">
        <f>VLOOKUP(Tabella1[[#This Row],[test_id]],experiments_specs!A:J,4,FALSE)</f>
        <v>2</v>
      </c>
      <c r="E9" s="38" t="str">
        <f>VLOOKUP(Tabella1[[#This Row],[test_id]],experiments_specs!A:J,5,FALSE)</f>
        <v>False</v>
      </c>
      <c r="F9" s="38" t="str">
        <f>VLOOKUP(Tabella1[[#This Row],[test_id]],experiments_specs!A:J,6,FALSE)</f>
        <v>True</v>
      </c>
      <c r="G9" s="38" t="str">
        <f>VLOOKUP(Tabella1[[#This Row],[test_id]],experiments_specs!A:J,7,FALSE)</f>
        <v>False</v>
      </c>
      <c r="H9" s="38" t="str">
        <f>VLOOKUP(Tabella1[[#This Row],[test_id]],experiments_specs!A:J,8,FALSE)</f>
        <v>False</v>
      </c>
      <c r="I9" s="45" t="str">
        <f>VLOOKUP(Tabella1[[#This Row],[test_id]],experiments_specs!A:J,9,FALSE)</f>
        <v>wup_similarity</v>
      </c>
      <c r="J9" s="38" t="str">
        <f>VLOOKUP(Tabella1[[#This Row],[test_id]],experiments_specs!A:J,10,FALSE)</f>
        <v>False</v>
      </c>
      <c r="K9" s="40" t="s">
        <v>17</v>
      </c>
      <c r="L9" s="36" t="s">
        <v>218</v>
      </c>
      <c r="M9" s="36">
        <v>0.18898219999999999</v>
      </c>
      <c r="N9" s="36" t="s">
        <v>219</v>
      </c>
      <c r="O9" s="36">
        <v>2.9648999999999999E-3</v>
      </c>
      <c r="P9" s="36">
        <v>0.13333333333333333</v>
      </c>
      <c r="Q9" s="36" t="s">
        <v>220</v>
      </c>
      <c r="R9" s="36">
        <v>7.7151600000000001E-2</v>
      </c>
      <c r="S9" s="36" t="s">
        <v>221</v>
      </c>
      <c r="T9" s="36">
        <v>5.6293999999999997E-3</v>
      </c>
      <c r="U9" s="37">
        <v>0.33333333333333331</v>
      </c>
      <c r="V9"/>
    </row>
    <row r="10" spans="1:22" ht="17" x14ac:dyDescent="0.2">
      <c r="A10" s="36" t="s">
        <v>10</v>
      </c>
      <c r="B10" s="45" t="str">
        <f>VLOOKUP(Tabella1[[#This Row],[test_id]],experiments_specs!A:J,2,FALSE)</f>
        <v>NN</v>
      </c>
      <c r="C10" s="38">
        <f>VLOOKUP(Tabella1[[#This Row],[test_id]],experiments_specs!A:J,3,FALSE)</f>
        <v>1</v>
      </c>
      <c r="D10" s="38">
        <f>VLOOKUP(Tabella1[[#This Row],[test_id]],experiments_specs!A:J,4,FALSE)</f>
        <v>2</v>
      </c>
      <c r="E10" s="38" t="str">
        <f>VLOOKUP(Tabella1[[#This Row],[test_id]],experiments_specs!A:J,5,FALSE)</f>
        <v>False</v>
      </c>
      <c r="F10" s="38" t="str">
        <f>VLOOKUP(Tabella1[[#This Row],[test_id]],experiments_specs!A:J,6,FALSE)</f>
        <v>True</v>
      </c>
      <c r="G10" s="38" t="str">
        <f>VLOOKUP(Tabella1[[#This Row],[test_id]],experiments_specs!A:J,7,FALSE)</f>
        <v>False</v>
      </c>
      <c r="H10" s="38" t="str">
        <f>VLOOKUP(Tabella1[[#This Row],[test_id]],experiments_specs!A:J,8,FALSE)</f>
        <v>False</v>
      </c>
      <c r="I10" s="45" t="str">
        <f>VLOOKUP(Tabella1[[#This Row],[test_id]],experiments_specs!A:J,9,FALSE)</f>
        <v>wup_similarity</v>
      </c>
      <c r="J10" s="38" t="str">
        <f>VLOOKUP(Tabella1[[#This Row],[test_id]],experiments_specs!A:J,10,FALSE)</f>
        <v>False</v>
      </c>
      <c r="K10" s="40" t="s">
        <v>18</v>
      </c>
      <c r="L10" s="36" t="s">
        <v>222</v>
      </c>
      <c r="M10" s="36">
        <v>0.1105064</v>
      </c>
      <c r="N10" s="36" t="s">
        <v>223</v>
      </c>
      <c r="O10" s="36">
        <v>3.13E-3</v>
      </c>
      <c r="P10" s="36">
        <v>0.21052631578947367</v>
      </c>
      <c r="Q10" s="36" t="s">
        <v>224</v>
      </c>
      <c r="R10" s="36">
        <v>7.7266699999999994E-2</v>
      </c>
      <c r="S10" s="36" t="s">
        <v>223</v>
      </c>
      <c r="T10" s="36">
        <v>3.4231999999999999E-3</v>
      </c>
      <c r="U10" s="37">
        <v>0.21052631578947367</v>
      </c>
      <c r="V10"/>
    </row>
    <row r="11" spans="1:22" ht="17" x14ac:dyDescent="0.2">
      <c r="A11" s="36" t="s">
        <v>60</v>
      </c>
      <c r="B11" s="45" t="str">
        <f>VLOOKUP(Tabella1[[#This Row],[test_id]],experiments_specs!A:J,2,FALSE)</f>
        <v>NN,JJ</v>
      </c>
      <c r="C11" s="38">
        <f>VLOOKUP(Tabella1[[#This Row],[test_id]],experiments_specs!A:J,3,FALSE)</f>
        <v>1</v>
      </c>
      <c r="D11" s="38">
        <f>VLOOKUP(Tabella1[[#This Row],[test_id]],experiments_specs!A:J,4,FALSE)</f>
        <v>2</v>
      </c>
      <c r="E11" s="38" t="str">
        <f>VLOOKUP(Tabella1[[#This Row],[test_id]],experiments_specs!A:J,5,FALSE)</f>
        <v>False</v>
      </c>
      <c r="F11" s="38" t="str">
        <f>VLOOKUP(Tabella1[[#This Row],[test_id]],experiments_specs!A:J,6,FALSE)</f>
        <v>True</v>
      </c>
      <c r="G11" s="38" t="str">
        <f>VLOOKUP(Tabella1[[#This Row],[test_id]],experiments_specs!A:J,7,FALSE)</f>
        <v>False</v>
      </c>
      <c r="H11" s="38" t="str">
        <f>VLOOKUP(Tabella1[[#This Row],[test_id]],experiments_specs!A:J,8,FALSE)</f>
        <v>False</v>
      </c>
      <c r="I11" s="45" t="str">
        <f>VLOOKUP(Tabella1[[#This Row],[test_id]],experiments_specs!A:J,9,FALSE)</f>
        <v>wup_similarity</v>
      </c>
      <c r="J11" s="38" t="str">
        <f>VLOOKUP(Tabella1[[#This Row],[test_id]],experiments_specs!A:J,10,FALSE)</f>
        <v>False</v>
      </c>
      <c r="K11" s="40" t="s">
        <v>19</v>
      </c>
      <c r="L11" s="36" t="s">
        <v>225</v>
      </c>
      <c r="M11" s="36">
        <v>0.14126440000000001</v>
      </c>
      <c r="N11" s="36" t="s">
        <v>226</v>
      </c>
      <c r="O11" s="36">
        <v>2.8078999999999999E-3</v>
      </c>
      <c r="P11" s="36">
        <v>0.17391304347826086</v>
      </c>
      <c r="Q11" s="36" t="s">
        <v>227</v>
      </c>
      <c r="R11" s="36">
        <v>0</v>
      </c>
      <c r="S11" s="36" t="s">
        <v>228</v>
      </c>
      <c r="T11" s="36">
        <v>5.4796999999999997E-3</v>
      </c>
      <c r="U11" s="37">
        <v>0.11764705882352941</v>
      </c>
      <c r="V11"/>
    </row>
    <row r="12" spans="1:22" ht="17" x14ac:dyDescent="0.2">
      <c r="A12" s="36" t="s">
        <v>60</v>
      </c>
      <c r="B12" s="45" t="str">
        <f>VLOOKUP(Tabella1[[#This Row],[test_id]],experiments_specs!A:J,2,FALSE)</f>
        <v>NN,JJ</v>
      </c>
      <c r="C12" s="38">
        <f>VLOOKUP(Tabella1[[#This Row],[test_id]],experiments_specs!A:J,3,FALSE)</f>
        <v>1</v>
      </c>
      <c r="D12" s="38">
        <f>VLOOKUP(Tabella1[[#This Row],[test_id]],experiments_specs!A:J,4,FALSE)</f>
        <v>2</v>
      </c>
      <c r="E12" s="38" t="str">
        <f>VLOOKUP(Tabella1[[#This Row],[test_id]],experiments_specs!A:J,5,FALSE)</f>
        <v>False</v>
      </c>
      <c r="F12" s="38" t="str">
        <f>VLOOKUP(Tabella1[[#This Row],[test_id]],experiments_specs!A:J,6,FALSE)</f>
        <v>True</v>
      </c>
      <c r="G12" s="38" t="str">
        <f>VLOOKUP(Tabella1[[#This Row],[test_id]],experiments_specs!A:J,7,FALSE)</f>
        <v>False</v>
      </c>
      <c r="H12" s="38" t="str">
        <f>VLOOKUP(Tabella1[[#This Row],[test_id]],experiments_specs!A:J,8,FALSE)</f>
        <v>False</v>
      </c>
      <c r="I12" s="45" t="str">
        <f>VLOOKUP(Tabella1[[#This Row],[test_id]],experiments_specs!A:J,9,FALSE)</f>
        <v>wup_similarity</v>
      </c>
      <c r="J12" s="38" t="str">
        <f>VLOOKUP(Tabella1[[#This Row],[test_id]],experiments_specs!A:J,10,FALSE)</f>
        <v>False</v>
      </c>
      <c r="K12" s="40" t="s">
        <v>12</v>
      </c>
      <c r="L12" s="36" t="s">
        <v>22</v>
      </c>
      <c r="M12" s="36">
        <v>0.1102635</v>
      </c>
      <c r="N12" s="36" t="s">
        <v>23</v>
      </c>
      <c r="O12" s="36">
        <v>5.2849000000000004E-3</v>
      </c>
      <c r="P12" s="36">
        <v>0.42857142857142855</v>
      </c>
      <c r="Q12" s="36" t="s">
        <v>24</v>
      </c>
      <c r="R12" s="36">
        <v>5.5131699999999999E-2</v>
      </c>
      <c r="S12" s="36" t="s">
        <v>23</v>
      </c>
      <c r="T12" s="36">
        <v>8.8223999999999993E-3</v>
      </c>
      <c r="U12" s="37">
        <v>0.42857142857142855</v>
      </c>
      <c r="V12"/>
    </row>
    <row r="13" spans="1:22" ht="17" x14ac:dyDescent="0.2">
      <c r="A13" s="36" t="s">
        <v>60</v>
      </c>
      <c r="B13" s="45" t="str">
        <f>VLOOKUP(Tabella1[[#This Row],[test_id]],experiments_specs!A:J,2,FALSE)</f>
        <v>NN,JJ</v>
      </c>
      <c r="C13" s="38">
        <f>VLOOKUP(Tabella1[[#This Row],[test_id]],experiments_specs!A:J,3,FALSE)</f>
        <v>1</v>
      </c>
      <c r="D13" s="38">
        <f>VLOOKUP(Tabella1[[#This Row],[test_id]],experiments_specs!A:J,4,FALSE)</f>
        <v>2</v>
      </c>
      <c r="E13" s="38" t="str">
        <f>VLOOKUP(Tabella1[[#This Row],[test_id]],experiments_specs!A:J,5,FALSE)</f>
        <v>False</v>
      </c>
      <c r="F13" s="38" t="str">
        <f>VLOOKUP(Tabella1[[#This Row],[test_id]],experiments_specs!A:J,6,FALSE)</f>
        <v>True</v>
      </c>
      <c r="G13" s="38" t="str">
        <f>VLOOKUP(Tabella1[[#This Row],[test_id]],experiments_specs!A:J,7,FALSE)</f>
        <v>False</v>
      </c>
      <c r="H13" s="38" t="str">
        <f>VLOOKUP(Tabella1[[#This Row],[test_id]],experiments_specs!A:J,8,FALSE)</f>
        <v>False</v>
      </c>
      <c r="I13" s="45" t="str">
        <f>VLOOKUP(Tabella1[[#This Row],[test_id]],experiments_specs!A:J,9,FALSE)</f>
        <v>wup_similarity</v>
      </c>
      <c r="J13" s="38" t="str">
        <f>VLOOKUP(Tabella1[[#This Row],[test_id]],experiments_specs!A:J,10,FALSE)</f>
        <v>False</v>
      </c>
      <c r="K13" s="40" t="s">
        <v>13</v>
      </c>
      <c r="L13" s="36" t="s">
        <v>199</v>
      </c>
      <c r="M13" s="36">
        <v>0.17025129999999999</v>
      </c>
      <c r="N13" s="36" t="s">
        <v>200</v>
      </c>
      <c r="O13" s="36">
        <v>6.6213000000000001E-3</v>
      </c>
      <c r="P13" s="36" t="s">
        <v>25</v>
      </c>
      <c r="Q13" s="36" t="s">
        <v>201</v>
      </c>
      <c r="R13" s="36">
        <v>0</v>
      </c>
      <c r="S13" s="36" t="s">
        <v>200</v>
      </c>
      <c r="T13" s="36">
        <v>9.2478999999999999E-3</v>
      </c>
      <c r="U13" s="37" t="s">
        <v>25</v>
      </c>
      <c r="V13"/>
    </row>
    <row r="14" spans="1:22" ht="17" x14ac:dyDescent="0.2">
      <c r="A14" s="36" t="s">
        <v>60</v>
      </c>
      <c r="B14" s="45" t="str">
        <f>VLOOKUP(Tabella1[[#This Row],[test_id]],experiments_specs!A:J,2,FALSE)</f>
        <v>NN,JJ</v>
      </c>
      <c r="C14" s="38">
        <f>VLOOKUP(Tabella1[[#This Row],[test_id]],experiments_specs!A:J,3,FALSE)</f>
        <v>1</v>
      </c>
      <c r="D14" s="38">
        <f>VLOOKUP(Tabella1[[#This Row],[test_id]],experiments_specs!A:J,4,FALSE)</f>
        <v>2</v>
      </c>
      <c r="E14" s="38" t="str">
        <f>VLOOKUP(Tabella1[[#This Row],[test_id]],experiments_specs!A:J,5,FALSE)</f>
        <v>False</v>
      </c>
      <c r="F14" s="38" t="str">
        <f>VLOOKUP(Tabella1[[#This Row],[test_id]],experiments_specs!A:J,6,FALSE)</f>
        <v>True</v>
      </c>
      <c r="G14" s="38" t="str">
        <f>VLOOKUP(Tabella1[[#This Row],[test_id]],experiments_specs!A:J,7,FALSE)</f>
        <v>False</v>
      </c>
      <c r="H14" s="38" t="str">
        <f>VLOOKUP(Tabella1[[#This Row],[test_id]],experiments_specs!A:J,8,FALSE)</f>
        <v>False</v>
      </c>
      <c r="I14" s="45" t="str">
        <f>VLOOKUP(Tabella1[[#This Row],[test_id]],experiments_specs!A:J,9,FALSE)</f>
        <v>wup_similarity</v>
      </c>
      <c r="J14" s="38" t="str">
        <f>VLOOKUP(Tabella1[[#This Row],[test_id]],experiments_specs!A:J,10,FALSE)</f>
        <v>False</v>
      </c>
      <c r="K14" s="40" t="s">
        <v>14</v>
      </c>
      <c r="L14" s="36" t="s">
        <v>202</v>
      </c>
      <c r="M14" s="36">
        <v>7.5485099999999999E-2</v>
      </c>
      <c r="N14" s="36" t="s">
        <v>203</v>
      </c>
      <c r="O14" s="36">
        <v>4.2995999999999998E-3</v>
      </c>
      <c r="P14" s="36">
        <v>0.14285714285714285</v>
      </c>
      <c r="Q14" s="36" t="s">
        <v>204</v>
      </c>
      <c r="R14" s="36">
        <v>0</v>
      </c>
      <c r="S14" s="36" t="s">
        <v>205</v>
      </c>
      <c r="T14" s="36">
        <v>6.0454999999999997E-3</v>
      </c>
      <c r="U14" s="37">
        <v>0.625</v>
      </c>
      <c r="V14"/>
    </row>
    <row r="15" spans="1:22" ht="34" x14ac:dyDescent="0.2">
      <c r="A15" s="36" t="s">
        <v>60</v>
      </c>
      <c r="B15" s="45" t="str">
        <f>VLOOKUP(Tabella1[[#This Row],[test_id]],experiments_specs!A:J,2,FALSE)</f>
        <v>NN,JJ</v>
      </c>
      <c r="C15" s="38">
        <f>VLOOKUP(Tabella1[[#This Row],[test_id]],experiments_specs!A:J,3,FALSE)</f>
        <v>1</v>
      </c>
      <c r="D15" s="38">
        <f>VLOOKUP(Tabella1[[#This Row],[test_id]],experiments_specs!A:J,4,FALSE)</f>
        <v>2</v>
      </c>
      <c r="E15" s="38" t="str">
        <f>VLOOKUP(Tabella1[[#This Row],[test_id]],experiments_specs!A:J,5,FALSE)</f>
        <v>False</v>
      </c>
      <c r="F15" s="38" t="str">
        <f>VLOOKUP(Tabella1[[#This Row],[test_id]],experiments_specs!A:J,6,FALSE)</f>
        <v>True</v>
      </c>
      <c r="G15" s="38" t="str">
        <f>VLOOKUP(Tabella1[[#This Row],[test_id]],experiments_specs!A:J,7,FALSE)</f>
        <v>False</v>
      </c>
      <c r="H15" s="38" t="str">
        <f>VLOOKUP(Tabella1[[#This Row],[test_id]],experiments_specs!A:J,8,FALSE)</f>
        <v>False</v>
      </c>
      <c r="I15" s="45" t="str">
        <f>VLOOKUP(Tabella1[[#This Row],[test_id]],experiments_specs!A:J,9,FALSE)</f>
        <v>wup_similarity</v>
      </c>
      <c r="J15" s="38" t="str">
        <f>VLOOKUP(Tabella1[[#This Row],[test_id]],experiments_specs!A:J,10,FALSE)</f>
        <v>False</v>
      </c>
      <c r="K15" s="40" t="s">
        <v>15</v>
      </c>
      <c r="L15" s="36" t="s">
        <v>26</v>
      </c>
      <c r="M15" s="36">
        <v>0.1561737</v>
      </c>
      <c r="N15" s="36" t="s">
        <v>27</v>
      </c>
      <c r="O15" s="36">
        <v>4.0458999999999998E-3</v>
      </c>
      <c r="P15" s="36">
        <v>0.16666666666666666</v>
      </c>
      <c r="Q15" s="36" t="s">
        <v>28</v>
      </c>
      <c r="R15" s="36" t="s">
        <v>186</v>
      </c>
      <c r="S15" s="36" t="s">
        <v>29</v>
      </c>
      <c r="T15" s="36" t="s">
        <v>230</v>
      </c>
      <c r="U15" s="37">
        <v>0.18181818181818182</v>
      </c>
      <c r="V15"/>
    </row>
    <row r="16" spans="1:22" ht="34" x14ac:dyDescent="0.2">
      <c r="A16" s="36" t="s">
        <v>60</v>
      </c>
      <c r="B16" s="45" t="str">
        <f>VLOOKUP(Tabella1[[#This Row],[test_id]],experiments_specs!A:J,2,FALSE)</f>
        <v>NN,JJ</v>
      </c>
      <c r="C16" s="38">
        <f>VLOOKUP(Tabella1[[#This Row],[test_id]],experiments_specs!A:J,3,FALSE)</f>
        <v>1</v>
      </c>
      <c r="D16" s="38">
        <f>VLOOKUP(Tabella1[[#This Row],[test_id]],experiments_specs!A:J,4,FALSE)</f>
        <v>2</v>
      </c>
      <c r="E16" s="38" t="str">
        <f>VLOOKUP(Tabella1[[#This Row],[test_id]],experiments_specs!A:J,5,FALSE)</f>
        <v>False</v>
      </c>
      <c r="F16" s="38" t="str">
        <f>VLOOKUP(Tabella1[[#This Row],[test_id]],experiments_specs!A:J,6,FALSE)</f>
        <v>True</v>
      </c>
      <c r="G16" s="38" t="str">
        <f>VLOOKUP(Tabella1[[#This Row],[test_id]],experiments_specs!A:J,7,FALSE)</f>
        <v>False</v>
      </c>
      <c r="H16" s="38" t="str">
        <f>VLOOKUP(Tabella1[[#This Row],[test_id]],experiments_specs!A:J,8,FALSE)</f>
        <v>False</v>
      </c>
      <c r="I16" s="45" t="str">
        <f>VLOOKUP(Tabella1[[#This Row],[test_id]],experiments_specs!A:J,9,FALSE)</f>
        <v>wup_similarity</v>
      </c>
      <c r="J16" s="38" t="str">
        <f>VLOOKUP(Tabella1[[#This Row],[test_id]],experiments_specs!A:J,10,FALSE)</f>
        <v>False</v>
      </c>
      <c r="K16" s="40" t="s">
        <v>16</v>
      </c>
      <c r="L16" s="36" t="s">
        <v>208</v>
      </c>
      <c r="M16" s="36">
        <v>0.1666666</v>
      </c>
      <c r="N16" s="36" t="s">
        <v>209</v>
      </c>
      <c r="O16" s="36">
        <v>2.9521999999999999E-3</v>
      </c>
      <c r="P16" s="36">
        <v>0.55555555555555558</v>
      </c>
      <c r="Q16" s="36" t="s">
        <v>211</v>
      </c>
      <c r="R16" s="36" t="s">
        <v>213</v>
      </c>
      <c r="S16" s="36" t="s">
        <v>215</v>
      </c>
      <c r="T16" s="36" t="s">
        <v>232</v>
      </c>
      <c r="U16" s="37">
        <v>0.13333333333333333</v>
      </c>
      <c r="V16"/>
    </row>
    <row r="17" spans="1:22" ht="17" x14ac:dyDescent="0.2">
      <c r="A17" s="36" t="s">
        <v>60</v>
      </c>
      <c r="B17" s="45" t="str">
        <f>VLOOKUP(Tabella1[[#This Row],[test_id]],experiments_specs!A:J,2,FALSE)</f>
        <v>NN,JJ</v>
      </c>
      <c r="C17" s="38">
        <f>VLOOKUP(Tabella1[[#This Row],[test_id]],experiments_specs!A:J,3,FALSE)</f>
        <v>1</v>
      </c>
      <c r="D17" s="38">
        <f>VLOOKUP(Tabella1[[#This Row],[test_id]],experiments_specs!A:J,4,FALSE)</f>
        <v>2</v>
      </c>
      <c r="E17" s="38" t="str">
        <f>VLOOKUP(Tabella1[[#This Row],[test_id]],experiments_specs!A:J,5,FALSE)</f>
        <v>False</v>
      </c>
      <c r="F17" s="38" t="str">
        <f>VLOOKUP(Tabella1[[#This Row],[test_id]],experiments_specs!A:J,6,FALSE)</f>
        <v>True</v>
      </c>
      <c r="G17" s="38" t="str">
        <f>VLOOKUP(Tabella1[[#This Row],[test_id]],experiments_specs!A:J,7,FALSE)</f>
        <v>False</v>
      </c>
      <c r="H17" s="38" t="str">
        <f>VLOOKUP(Tabella1[[#This Row],[test_id]],experiments_specs!A:J,8,FALSE)</f>
        <v>False</v>
      </c>
      <c r="I17" s="45" t="str">
        <f>VLOOKUP(Tabella1[[#This Row],[test_id]],experiments_specs!A:J,9,FALSE)</f>
        <v>wup_similarity</v>
      </c>
      <c r="J17" s="38" t="str">
        <f>VLOOKUP(Tabella1[[#This Row],[test_id]],experiments_specs!A:J,10,FALSE)</f>
        <v>False</v>
      </c>
      <c r="K17" s="40" t="s">
        <v>17</v>
      </c>
      <c r="L17" s="36" t="s">
        <v>218</v>
      </c>
      <c r="M17" s="36">
        <v>0.18898219999999999</v>
      </c>
      <c r="N17" s="36" t="s">
        <v>219</v>
      </c>
      <c r="O17" s="36">
        <v>2.7277E-3</v>
      </c>
      <c r="P17" s="36">
        <v>0.13333333333333333</v>
      </c>
      <c r="Q17" s="36" t="s">
        <v>220</v>
      </c>
      <c r="R17" s="36">
        <v>7.7151600000000001E-2</v>
      </c>
      <c r="S17" s="36" t="s">
        <v>221</v>
      </c>
      <c r="T17" s="36">
        <v>5.5649000000000002E-3</v>
      </c>
      <c r="U17" s="37">
        <v>0.33333333333333331</v>
      </c>
      <c r="V17"/>
    </row>
    <row r="18" spans="1:22" ht="17" x14ac:dyDescent="0.2">
      <c r="A18" s="36" t="s">
        <v>60</v>
      </c>
      <c r="B18" s="45" t="str">
        <f>VLOOKUP(Tabella1[[#This Row],[test_id]],experiments_specs!A:J,2,FALSE)</f>
        <v>NN,JJ</v>
      </c>
      <c r="C18" s="38">
        <f>VLOOKUP(Tabella1[[#This Row],[test_id]],experiments_specs!A:J,3,FALSE)</f>
        <v>1</v>
      </c>
      <c r="D18" s="38">
        <f>VLOOKUP(Tabella1[[#This Row],[test_id]],experiments_specs!A:J,4,FALSE)</f>
        <v>2</v>
      </c>
      <c r="E18" s="38" t="str">
        <f>VLOOKUP(Tabella1[[#This Row],[test_id]],experiments_specs!A:J,5,FALSE)</f>
        <v>False</v>
      </c>
      <c r="F18" s="38" t="str">
        <f>VLOOKUP(Tabella1[[#This Row],[test_id]],experiments_specs!A:J,6,FALSE)</f>
        <v>True</v>
      </c>
      <c r="G18" s="38" t="str">
        <f>VLOOKUP(Tabella1[[#This Row],[test_id]],experiments_specs!A:J,7,FALSE)</f>
        <v>False</v>
      </c>
      <c r="H18" s="38" t="str">
        <f>VLOOKUP(Tabella1[[#This Row],[test_id]],experiments_specs!A:J,8,FALSE)</f>
        <v>False</v>
      </c>
      <c r="I18" s="45" t="str">
        <f>VLOOKUP(Tabella1[[#This Row],[test_id]],experiments_specs!A:J,9,FALSE)</f>
        <v>wup_similarity</v>
      </c>
      <c r="J18" s="38" t="str">
        <f>VLOOKUP(Tabella1[[#This Row],[test_id]],experiments_specs!A:J,10,FALSE)</f>
        <v>False</v>
      </c>
      <c r="K18" s="40" t="s">
        <v>18</v>
      </c>
      <c r="L18" s="36" t="s">
        <v>222</v>
      </c>
      <c r="M18" s="36">
        <v>0.1105064</v>
      </c>
      <c r="N18" s="36" t="s">
        <v>223</v>
      </c>
      <c r="O18" s="36">
        <v>2.2725000000000002E-3</v>
      </c>
      <c r="P18" s="36">
        <v>0.21052631578947367</v>
      </c>
      <c r="Q18" s="36" t="s">
        <v>224</v>
      </c>
      <c r="R18" s="36">
        <v>7.7266699999999994E-2</v>
      </c>
      <c r="S18" s="36" t="s">
        <v>223</v>
      </c>
      <c r="T18" s="36">
        <v>2.8830000000000001E-3</v>
      </c>
      <c r="U18" s="37">
        <v>0.21052631578947367</v>
      </c>
      <c r="V18"/>
    </row>
    <row r="19" spans="1:22" ht="34" x14ac:dyDescent="0.2">
      <c r="A19" s="36" t="s">
        <v>62</v>
      </c>
      <c r="B19" s="45" t="str">
        <f>VLOOKUP(Tabella1[[#This Row],[test_id]],experiments_specs!A:J,2,FALSE)</f>
        <v>NN,VB</v>
      </c>
      <c r="C19" s="38">
        <f>VLOOKUP(Tabella1[[#This Row],[test_id]],experiments_specs!A:J,3,FALSE)</f>
        <v>1</v>
      </c>
      <c r="D19" s="38">
        <f>VLOOKUP(Tabella1[[#This Row],[test_id]],experiments_specs!A:J,4,FALSE)</f>
        <v>2</v>
      </c>
      <c r="E19" s="38" t="str">
        <f>VLOOKUP(Tabella1[[#This Row],[test_id]],experiments_specs!A:J,5,FALSE)</f>
        <v>False</v>
      </c>
      <c r="F19" s="38" t="str">
        <f>VLOOKUP(Tabella1[[#This Row],[test_id]],experiments_specs!A:J,6,FALSE)</f>
        <v>True</v>
      </c>
      <c r="G19" s="38" t="str">
        <f>VLOOKUP(Tabella1[[#This Row],[test_id]],experiments_specs!A:J,7,FALSE)</f>
        <v>False</v>
      </c>
      <c r="H19" s="38" t="str">
        <f>VLOOKUP(Tabella1[[#This Row],[test_id]],experiments_specs!A:J,8,FALSE)</f>
        <v>False</v>
      </c>
      <c r="I19" s="45" t="str">
        <f>VLOOKUP(Tabella1[[#This Row],[test_id]],experiments_specs!A:J,9,FALSE)</f>
        <v>wup_similarity</v>
      </c>
      <c r="J19" s="38" t="str">
        <f>VLOOKUP(Tabella1[[#This Row],[test_id]],experiments_specs!A:J,10,FALSE)</f>
        <v>False</v>
      </c>
      <c r="K19" s="40" t="s">
        <v>19</v>
      </c>
      <c r="L19" s="36" t="s">
        <v>20</v>
      </c>
      <c r="M19" s="36" t="s">
        <v>194</v>
      </c>
      <c r="N19" s="36" t="s">
        <v>21</v>
      </c>
      <c r="O19" s="36" t="s">
        <v>234</v>
      </c>
      <c r="P19" s="36">
        <v>0.19047619047619047</v>
      </c>
      <c r="Q19" s="36" t="s">
        <v>197</v>
      </c>
      <c r="R19" s="36">
        <v>0</v>
      </c>
      <c r="S19" s="36" t="s">
        <v>198</v>
      </c>
      <c r="T19" s="36">
        <v>5.4070999999999998E-3</v>
      </c>
      <c r="U19" s="37">
        <v>9.5238095238095233E-2</v>
      </c>
      <c r="V19"/>
    </row>
    <row r="20" spans="1:22" ht="17" x14ac:dyDescent="0.2">
      <c r="A20" s="36" t="s">
        <v>62</v>
      </c>
      <c r="B20" s="45" t="str">
        <f>VLOOKUP(Tabella1[[#This Row],[test_id]],experiments_specs!A:J,2,FALSE)</f>
        <v>NN,VB</v>
      </c>
      <c r="C20" s="38">
        <f>VLOOKUP(Tabella1[[#This Row],[test_id]],experiments_specs!A:J,3,FALSE)</f>
        <v>1</v>
      </c>
      <c r="D20" s="38">
        <f>VLOOKUP(Tabella1[[#This Row],[test_id]],experiments_specs!A:J,4,FALSE)</f>
        <v>2</v>
      </c>
      <c r="E20" s="38" t="str">
        <f>VLOOKUP(Tabella1[[#This Row],[test_id]],experiments_specs!A:J,5,FALSE)</f>
        <v>False</v>
      </c>
      <c r="F20" s="38" t="str">
        <f>VLOOKUP(Tabella1[[#This Row],[test_id]],experiments_specs!A:J,6,FALSE)</f>
        <v>True</v>
      </c>
      <c r="G20" s="38" t="str">
        <f>VLOOKUP(Tabella1[[#This Row],[test_id]],experiments_specs!A:J,7,FALSE)</f>
        <v>False</v>
      </c>
      <c r="H20" s="38" t="str">
        <f>VLOOKUP(Tabella1[[#This Row],[test_id]],experiments_specs!A:J,8,FALSE)</f>
        <v>False</v>
      </c>
      <c r="I20" s="45" t="str">
        <f>VLOOKUP(Tabella1[[#This Row],[test_id]],experiments_specs!A:J,9,FALSE)</f>
        <v>wup_similarity</v>
      </c>
      <c r="J20" s="38" t="str">
        <f>VLOOKUP(Tabella1[[#This Row],[test_id]],experiments_specs!A:J,10,FALSE)</f>
        <v>False</v>
      </c>
      <c r="K20" s="40" t="s">
        <v>12</v>
      </c>
      <c r="L20" s="36" t="s">
        <v>22</v>
      </c>
      <c r="M20" s="36">
        <v>0.1102635</v>
      </c>
      <c r="N20" s="36" t="s">
        <v>23</v>
      </c>
      <c r="O20" s="36">
        <v>4.7980999999999996E-3</v>
      </c>
      <c r="P20" s="36">
        <v>0.42857142857142855</v>
      </c>
      <c r="Q20" s="36" t="s">
        <v>235</v>
      </c>
      <c r="R20" s="36">
        <v>0</v>
      </c>
      <c r="S20" s="36" t="s">
        <v>236</v>
      </c>
      <c r="T20" s="36">
        <v>8.6350999999999997E-3</v>
      </c>
      <c r="U20" s="37">
        <v>0.125</v>
      </c>
      <c r="V20"/>
    </row>
    <row r="21" spans="1:22" ht="17" x14ac:dyDescent="0.2">
      <c r="A21" s="36" t="s">
        <v>62</v>
      </c>
      <c r="B21" s="45" t="str">
        <f>VLOOKUP(Tabella1[[#This Row],[test_id]],experiments_specs!A:J,2,FALSE)</f>
        <v>NN,VB</v>
      </c>
      <c r="C21" s="38">
        <f>VLOOKUP(Tabella1[[#This Row],[test_id]],experiments_specs!A:J,3,FALSE)</f>
        <v>1</v>
      </c>
      <c r="D21" s="38">
        <f>VLOOKUP(Tabella1[[#This Row],[test_id]],experiments_specs!A:J,4,FALSE)</f>
        <v>2</v>
      </c>
      <c r="E21" s="38" t="str">
        <f>VLOOKUP(Tabella1[[#This Row],[test_id]],experiments_specs!A:J,5,FALSE)</f>
        <v>False</v>
      </c>
      <c r="F21" s="38" t="str">
        <f>VLOOKUP(Tabella1[[#This Row],[test_id]],experiments_specs!A:J,6,FALSE)</f>
        <v>True</v>
      </c>
      <c r="G21" s="38" t="str">
        <f>VLOOKUP(Tabella1[[#This Row],[test_id]],experiments_specs!A:J,7,FALSE)</f>
        <v>False</v>
      </c>
      <c r="H21" s="38" t="str">
        <f>VLOOKUP(Tabella1[[#This Row],[test_id]],experiments_specs!A:J,8,FALSE)</f>
        <v>False</v>
      </c>
      <c r="I21" s="45" t="str">
        <f>VLOOKUP(Tabella1[[#This Row],[test_id]],experiments_specs!A:J,9,FALSE)</f>
        <v>wup_similarity</v>
      </c>
      <c r="J21" s="38" t="str">
        <f>VLOOKUP(Tabella1[[#This Row],[test_id]],experiments_specs!A:J,10,FALSE)</f>
        <v>False</v>
      </c>
      <c r="K21" s="40" t="s">
        <v>13</v>
      </c>
      <c r="L21" s="36" t="s">
        <v>199</v>
      </c>
      <c r="M21" s="36">
        <v>0.17025129999999999</v>
      </c>
      <c r="N21" s="36" t="s">
        <v>200</v>
      </c>
      <c r="O21" s="36">
        <v>6.9245000000000001E-3</v>
      </c>
      <c r="P21" s="36" t="s">
        <v>25</v>
      </c>
      <c r="Q21" s="36" t="s">
        <v>201</v>
      </c>
      <c r="R21" s="36">
        <v>0</v>
      </c>
      <c r="S21" s="36" t="s">
        <v>200</v>
      </c>
      <c r="T21" s="36">
        <v>7.6854000000000002E-3</v>
      </c>
      <c r="U21" s="37" t="s">
        <v>25</v>
      </c>
      <c r="V21"/>
    </row>
    <row r="22" spans="1:22" ht="17" x14ac:dyDescent="0.2">
      <c r="A22" s="36" t="s">
        <v>62</v>
      </c>
      <c r="B22" s="45" t="str">
        <f>VLOOKUP(Tabella1[[#This Row],[test_id]],experiments_specs!A:J,2,FALSE)</f>
        <v>NN,VB</v>
      </c>
      <c r="C22" s="38">
        <f>VLOOKUP(Tabella1[[#This Row],[test_id]],experiments_specs!A:J,3,FALSE)</f>
        <v>1</v>
      </c>
      <c r="D22" s="38">
        <f>VLOOKUP(Tabella1[[#This Row],[test_id]],experiments_specs!A:J,4,FALSE)</f>
        <v>2</v>
      </c>
      <c r="E22" s="38" t="str">
        <f>VLOOKUP(Tabella1[[#This Row],[test_id]],experiments_specs!A:J,5,FALSE)</f>
        <v>False</v>
      </c>
      <c r="F22" s="38" t="str">
        <f>VLOOKUP(Tabella1[[#This Row],[test_id]],experiments_specs!A:J,6,FALSE)</f>
        <v>True</v>
      </c>
      <c r="G22" s="38" t="str">
        <f>VLOOKUP(Tabella1[[#This Row],[test_id]],experiments_specs!A:J,7,FALSE)</f>
        <v>False</v>
      </c>
      <c r="H22" s="38" t="str">
        <f>VLOOKUP(Tabella1[[#This Row],[test_id]],experiments_specs!A:J,8,FALSE)</f>
        <v>False</v>
      </c>
      <c r="I22" s="45" t="str">
        <f>VLOOKUP(Tabella1[[#This Row],[test_id]],experiments_specs!A:J,9,FALSE)</f>
        <v>wup_similarity</v>
      </c>
      <c r="J22" s="38" t="str">
        <f>VLOOKUP(Tabella1[[#This Row],[test_id]],experiments_specs!A:J,10,FALSE)</f>
        <v>False</v>
      </c>
      <c r="K22" s="40" t="s">
        <v>14</v>
      </c>
      <c r="L22" s="36" t="s">
        <v>202</v>
      </c>
      <c r="M22" s="36">
        <v>7.5485099999999999E-2</v>
      </c>
      <c r="N22" s="36" t="s">
        <v>203</v>
      </c>
      <c r="O22" s="36">
        <v>4.9037999999999998E-3</v>
      </c>
      <c r="P22" s="36">
        <v>0.14285714285714285</v>
      </c>
      <c r="Q22" s="36" t="s">
        <v>204</v>
      </c>
      <c r="R22" s="36">
        <v>0</v>
      </c>
      <c r="S22" s="36" t="s">
        <v>205</v>
      </c>
      <c r="T22" s="36">
        <v>5.7775999999999999E-3</v>
      </c>
      <c r="U22" s="37">
        <v>0.625</v>
      </c>
      <c r="V22"/>
    </row>
    <row r="23" spans="1:22" ht="34" x14ac:dyDescent="0.2">
      <c r="A23" s="36" t="s">
        <v>62</v>
      </c>
      <c r="B23" s="45" t="str">
        <f>VLOOKUP(Tabella1[[#This Row],[test_id]],experiments_specs!A:J,2,FALSE)</f>
        <v>NN,VB</v>
      </c>
      <c r="C23" s="38">
        <f>VLOOKUP(Tabella1[[#This Row],[test_id]],experiments_specs!A:J,3,FALSE)</f>
        <v>1</v>
      </c>
      <c r="D23" s="38">
        <f>VLOOKUP(Tabella1[[#This Row],[test_id]],experiments_specs!A:J,4,FALSE)</f>
        <v>2</v>
      </c>
      <c r="E23" s="38" t="str">
        <f>VLOOKUP(Tabella1[[#This Row],[test_id]],experiments_specs!A:J,5,FALSE)</f>
        <v>False</v>
      </c>
      <c r="F23" s="38" t="str">
        <f>VLOOKUP(Tabella1[[#This Row],[test_id]],experiments_specs!A:J,6,FALSE)</f>
        <v>True</v>
      </c>
      <c r="G23" s="38" t="str">
        <f>VLOOKUP(Tabella1[[#This Row],[test_id]],experiments_specs!A:J,7,FALSE)</f>
        <v>False</v>
      </c>
      <c r="H23" s="38" t="str">
        <f>VLOOKUP(Tabella1[[#This Row],[test_id]],experiments_specs!A:J,8,FALSE)</f>
        <v>False</v>
      </c>
      <c r="I23" s="45" t="str">
        <f>VLOOKUP(Tabella1[[#This Row],[test_id]],experiments_specs!A:J,9,FALSE)</f>
        <v>wup_similarity</v>
      </c>
      <c r="J23" s="38" t="str">
        <f>VLOOKUP(Tabella1[[#This Row],[test_id]],experiments_specs!A:J,10,FALSE)</f>
        <v>False</v>
      </c>
      <c r="K23" s="40" t="s">
        <v>15</v>
      </c>
      <c r="L23" s="36" t="s">
        <v>237</v>
      </c>
      <c r="M23" s="36">
        <v>0</v>
      </c>
      <c r="N23" s="36" t="s">
        <v>238</v>
      </c>
      <c r="O23" s="36">
        <v>2.8833999999999999E-3</v>
      </c>
      <c r="P23" s="36">
        <v>0.2</v>
      </c>
      <c r="Q23" s="36" t="s">
        <v>240</v>
      </c>
      <c r="R23" s="36" t="s">
        <v>186</v>
      </c>
      <c r="S23" s="36" t="s">
        <v>242</v>
      </c>
      <c r="T23" s="36" t="s">
        <v>244</v>
      </c>
      <c r="U23" s="37">
        <v>0.2</v>
      </c>
      <c r="V23"/>
    </row>
    <row r="24" spans="1:22" ht="17" x14ac:dyDescent="0.2">
      <c r="A24" s="36" t="s">
        <v>62</v>
      </c>
      <c r="B24" s="45" t="str">
        <f>VLOOKUP(Tabella1[[#This Row],[test_id]],experiments_specs!A:J,2,FALSE)</f>
        <v>NN,VB</v>
      </c>
      <c r="C24" s="38">
        <f>VLOOKUP(Tabella1[[#This Row],[test_id]],experiments_specs!A:J,3,FALSE)</f>
        <v>1</v>
      </c>
      <c r="D24" s="38">
        <f>VLOOKUP(Tabella1[[#This Row],[test_id]],experiments_specs!A:J,4,FALSE)</f>
        <v>2</v>
      </c>
      <c r="E24" s="38" t="str">
        <f>VLOOKUP(Tabella1[[#This Row],[test_id]],experiments_specs!A:J,5,FALSE)</f>
        <v>False</v>
      </c>
      <c r="F24" s="38" t="str">
        <f>VLOOKUP(Tabella1[[#This Row],[test_id]],experiments_specs!A:J,6,FALSE)</f>
        <v>True</v>
      </c>
      <c r="G24" s="38" t="str">
        <f>VLOOKUP(Tabella1[[#This Row],[test_id]],experiments_specs!A:J,7,FALSE)</f>
        <v>False</v>
      </c>
      <c r="H24" s="38" t="str">
        <f>VLOOKUP(Tabella1[[#This Row],[test_id]],experiments_specs!A:J,8,FALSE)</f>
        <v>False</v>
      </c>
      <c r="I24" s="45" t="str">
        <f>VLOOKUP(Tabella1[[#This Row],[test_id]],experiments_specs!A:J,9,FALSE)</f>
        <v>wup_similarity</v>
      </c>
      <c r="J24" s="38" t="str">
        <f>VLOOKUP(Tabella1[[#This Row],[test_id]],experiments_specs!A:J,10,FALSE)</f>
        <v>False</v>
      </c>
      <c r="K24" s="40" t="s">
        <v>16</v>
      </c>
      <c r="L24" s="36" t="s">
        <v>208</v>
      </c>
      <c r="M24" s="36">
        <v>0.1666666</v>
      </c>
      <c r="N24" s="36" t="s">
        <v>209</v>
      </c>
      <c r="O24" s="36">
        <v>3.4708999999999999E-3</v>
      </c>
      <c r="P24" s="36">
        <v>0.55555555555555558</v>
      </c>
      <c r="Q24" s="36" t="s">
        <v>227</v>
      </c>
      <c r="R24" s="36">
        <v>0</v>
      </c>
      <c r="S24" s="36" t="s">
        <v>245</v>
      </c>
      <c r="T24" s="36">
        <v>5.7819999999999998E-3</v>
      </c>
      <c r="U24" s="37">
        <v>0.14285714285714285</v>
      </c>
      <c r="V24"/>
    </row>
    <row r="25" spans="1:22" ht="17" x14ac:dyDescent="0.2">
      <c r="A25" s="36" t="s">
        <v>62</v>
      </c>
      <c r="B25" s="45" t="str">
        <f>VLOOKUP(Tabella1[[#This Row],[test_id]],experiments_specs!A:J,2,FALSE)</f>
        <v>NN,VB</v>
      </c>
      <c r="C25" s="38">
        <f>VLOOKUP(Tabella1[[#This Row],[test_id]],experiments_specs!A:J,3,FALSE)</f>
        <v>1</v>
      </c>
      <c r="D25" s="38">
        <f>VLOOKUP(Tabella1[[#This Row],[test_id]],experiments_specs!A:J,4,FALSE)</f>
        <v>2</v>
      </c>
      <c r="E25" s="38" t="str">
        <f>VLOOKUP(Tabella1[[#This Row],[test_id]],experiments_specs!A:J,5,FALSE)</f>
        <v>False</v>
      </c>
      <c r="F25" s="38" t="str">
        <f>VLOOKUP(Tabella1[[#This Row],[test_id]],experiments_specs!A:J,6,FALSE)</f>
        <v>True</v>
      </c>
      <c r="G25" s="38" t="str">
        <f>VLOOKUP(Tabella1[[#This Row],[test_id]],experiments_specs!A:J,7,FALSE)</f>
        <v>False</v>
      </c>
      <c r="H25" s="38" t="str">
        <f>VLOOKUP(Tabella1[[#This Row],[test_id]],experiments_specs!A:J,8,FALSE)</f>
        <v>False</v>
      </c>
      <c r="I25" s="45" t="str">
        <f>VLOOKUP(Tabella1[[#This Row],[test_id]],experiments_specs!A:J,9,FALSE)</f>
        <v>wup_similarity</v>
      </c>
      <c r="J25" s="38" t="str">
        <f>VLOOKUP(Tabella1[[#This Row],[test_id]],experiments_specs!A:J,10,FALSE)</f>
        <v>False</v>
      </c>
      <c r="K25" s="40" t="s">
        <v>17</v>
      </c>
      <c r="L25" s="36" t="s">
        <v>218</v>
      </c>
      <c r="M25" s="36">
        <v>0.18898219999999999</v>
      </c>
      <c r="N25" s="36" t="s">
        <v>219</v>
      </c>
      <c r="O25" s="36">
        <v>3.7780000000000001E-3</v>
      </c>
      <c r="P25" s="36">
        <v>0.13333333333333333</v>
      </c>
      <c r="Q25" s="36" t="s">
        <v>246</v>
      </c>
      <c r="R25" s="36">
        <v>0</v>
      </c>
      <c r="S25" s="36" t="s">
        <v>247</v>
      </c>
      <c r="T25" s="36">
        <v>7.7631999999999996E-3</v>
      </c>
      <c r="U25" s="37">
        <v>0.14285714285714285</v>
      </c>
      <c r="V25"/>
    </row>
    <row r="26" spans="1:22" ht="17" x14ac:dyDescent="0.2">
      <c r="A26" s="36" t="s">
        <v>62</v>
      </c>
      <c r="B26" s="45" t="str">
        <f>VLOOKUP(Tabella1[[#This Row],[test_id]],experiments_specs!A:J,2,FALSE)</f>
        <v>NN,VB</v>
      </c>
      <c r="C26" s="38">
        <f>VLOOKUP(Tabella1[[#This Row],[test_id]],experiments_specs!A:J,3,FALSE)</f>
        <v>1</v>
      </c>
      <c r="D26" s="38">
        <f>VLOOKUP(Tabella1[[#This Row],[test_id]],experiments_specs!A:J,4,FALSE)</f>
        <v>2</v>
      </c>
      <c r="E26" s="38" t="str">
        <f>VLOOKUP(Tabella1[[#This Row],[test_id]],experiments_specs!A:J,5,FALSE)</f>
        <v>False</v>
      </c>
      <c r="F26" s="38" t="str">
        <f>VLOOKUP(Tabella1[[#This Row],[test_id]],experiments_specs!A:J,6,FALSE)</f>
        <v>True</v>
      </c>
      <c r="G26" s="38" t="str">
        <f>VLOOKUP(Tabella1[[#This Row],[test_id]],experiments_specs!A:J,7,FALSE)</f>
        <v>False</v>
      </c>
      <c r="H26" s="38" t="str">
        <f>VLOOKUP(Tabella1[[#This Row],[test_id]],experiments_specs!A:J,8,FALSE)</f>
        <v>False</v>
      </c>
      <c r="I26" s="45" t="str">
        <f>VLOOKUP(Tabella1[[#This Row],[test_id]],experiments_specs!A:J,9,FALSE)</f>
        <v>wup_similarity</v>
      </c>
      <c r="J26" s="38" t="str">
        <f>VLOOKUP(Tabella1[[#This Row],[test_id]],experiments_specs!A:J,10,FALSE)</f>
        <v>False</v>
      </c>
      <c r="K26" s="40" t="s">
        <v>18</v>
      </c>
      <c r="L26" s="36" t="s">
        <v>222</v>
      </c>
      <c r="M26" s="36">
        <v>0.1105064</v>
      </c>
      <c r="N26" s="36" t="s">
        <v>223</v>
      </c>
      <c r="O26" s="36">
        <v>2.284E-3</v>
      </c>
      <c r="P26" s="36">
        <v>0.21052631578947367</v>
      </c>
      <c r="Q26" s="36" t="s">
        <v>227</v>
      </c>
      <c r="R26" s="36">
        <v>0</v>
      </c>
      <c r="S26" s="36" t="s">
        <v>248</v>
      </c>
      <c r="T26" s="36">
        <v>3.2089000000000002E-3</v>
      </c>
      <c r="U26" s="37">
        <v>0.11764705882352941</v>
      </c>
      <c r="V26"/>
    </row>
    <row r="27" spans="1:22" ht="34" x14ac:dyDescent="0.2">
      <c r="A27" s="36" t="s">
        <v>64</v>
      </c>
      <c r="B27" s="45" t="str">
        <f>VLOOKUP(Tabella1[[#This Row],[test_id]],experiments_specs!A:J,2,FALSE)</f>
        <v>NN,VB,VBD,VBG,VBN,VBP,VBZ</v>
      </c>
      <c r="C27" s="38">
        <f>VLOOKUP(Tabella1[[#This Row],[test_id]],experiments_specs!A:J,3,FALSE)</f>
        <v>1</v>
      </c>
      <c r="D27" s="38">
        <f>VLOOKUP(Tabella1[[#This Row],[test_id]],experiments_specs!A:J,4,FALSE)</f>
        <v>2</v>
      </c>
      <c r="E27" s="38" t="str">
        <f>VLOOKUP(Tabella1[[#This Row],[test_id]],experiments_specs!A:J,5,FALSE)</f>
        <v>False</v>
      </c>
      <c r="F27" s="38" t="str">
        <f>VLOOKUP(Tabella1[[#This Row],[test_id]],experiments_specs!A:J,6,FALSE)</f>
        <v>True</v>
      </c>
      <c r="G27" s="38" t="str">
        <f>VLOOKUP(Tabella1[[#This Row],[test_id]],experiments_specs!A:J,7,FALSE)</f>
        <v>False</v>
      </c>
      <c r="H27" s="38" t="str">
        <f>VLOOKUP(Tabella1[[#This Row],[test_id]],experiments_specs!A:J,8,FALSE)</f>
        <v>False</v>
      </c>
      <c r="I27" s="45" t="str">
        <f>VLOOKUP(Tabella1[[#This Row],[test_id]],experiments_specs!A:J,9,FALSE)</f>
        <v>wup_similarity</v>
      </c>
      <c r="J27" s="38" t="str">
        <f>VLOOKUP(Tabella1[[#This Row],[test_id]],experiments_specs!A:J,10,FALSE)</f>
        <v>False</v>
      </c>
      <c r="K27" s="40" t="s">
        <v>19</v>
      </c>
      <c r="L27" s="36" t="s">
        <v>20</v>
      </c>
      <c r="M27" s="36" t="s">
        <v>194</v>
      </c>
      <c r="N27" s="36" t="s">
        <v>21</v>
      </c>
      <c r="O27" s="36" t="s">
        <v>250</v>
      </c>
      <c r="P27" s="36">
        <v>0.19047619047619047</v>
      </c>
      <c r="Q27" s="36" t="s">
        <v>197</v>
      </c>
      <c r="R27" s="36">
        <v>0</v>
      </c>
      <c r="S27" s="36" t="s">
        <v>198</v>
      </c>
      <c r="T27" s="36">
        <v>4.0708999999999997E-3</v>
      </c>
      <c r="U27" s="37">
        <v>9.5238095238095233E-2</v>
      </c>
      <c r="V27"/>
    </row>
    <row r="28" spans="1:22" ht="17" x14ac:dyDescent="0.2">
      <c r="A28" s="36" t="s">
        <v>64</v>
      </c>
      <c r="B28" s="45" t="str">
        <f>VLOOKUP(Tabella1[[#This Row],[test_id]],experiments_specs!A:J,2,FALSE)</f>
        <v>NN,VB,VBD,VBG,VBN,VBP,VBZ</v>
      </c>
      <c r="C28" s="38">
        <f>VLOOKUP(Tabella1[[#This Row],[test_id]],experiments_specs!A:J,3,FALSE)</f>
        <v>1</v>
      </c>
      <c r="D28" s="38">
        <f>VLOOKUP(Tabella1[[#This Row],[test_id]],experiments_specs!A:J,4,FALSE)</f>
        <v>2</v>
      </c>
      <c r="E28" s="38" t="str">
        <f>VLOOKUP(Tabella1[[#This Row],[test_id]],experiments_specs!A:J,5,FALSE)</f>
        <v>False</v>
      </c>
      <c r="F28" s="38" t="str">
        <f>VLOOKUP(Tabella1[[#This Row],[test_id]],experiments_specs!A:J,6,FALSE)</f>
        <v>True</v>
      </c>
      <c r="G28" s="38" t="str">
        <f>VLOOKUP(Tabella1[[#This Row],[test_id]],experiments_specs!A:J,7,FALSE)</f>
        <v>False</v>
      </c>
      <c r="H28" s="38" t="str">
        <f>VLOOKUP(Tabella1[[#This Row],[test_id]],experiments_specs!A:J,8,FALSE)</f>
        <v>False</v>
      </c>
      <c r="I28" s="45" t="str">
        <f>VLOOKUP(Tabella1[[#This Row],[test_id]],experiments_specs!A:J,9,FALSE)</f>
        <v>wup_similarity</v>
      </c>
      <c r="J28" s="38" t="str">
        <f>VLOOKUP(Tabella1[[#This Row],[test_id]],experiments_specs!A:J,10,FALSE)</f>
        <v>False</v>
      </c>
      <c r="K28" s="40" t="s">
        <v>12</v>
      </c>
      <c r="L28" s="36" t="s">
        <v>251</v>
      </c>
      <c r="M28" s="36">
        <v>0.14586489999999999</v>
      </c>
      <c r="N28" s="36" t="s">
        <v>236</v>
      </c>
      <c r="O28" s="36">
        <v>4.2827000000000004E-3</v>
      </c>
      <c r="P28" s="36">
        <v>0.125</v>
      </c>
      <c r="Q28" s="36" t="s">
        <v>235</v>
      </c>
      <c r="R28" s="36">
        <v>0</v>
      </c>
      <c r="S28" s="36" t="s">
        <v>236</v>
      </c>
      <c r="T28" s="36">
        <v>7.8434999999999998E-3</v>
      </c>
      <c r="U28" s="37">
        <v>0.125</v>
      </c>
      <c r="V28"/>
    </row>
    <row r="29" spans="1:22" ht="17" x14ac:dyDescent="0.2">
      <c r="A29" s="36" t="s">
        <v>64</v>
      </c>
      <c r="B29" s="45" t="str">
        <f>VLOOKUP(Tabella1[[#This Row],[test_id]],experiments_specs!A:J,2,FALSE)</f>
        <v>NN,VB,VBD,VBG,VBN,VBP,VBZ</v>
      </c>
      <c r="C29" s="38">
        <f>VLOOKUP(Tabella1[[#This Row],[test_id]],experiments_specs!A:J,3,FALSE)</f>
        <v>1</v>
      </c>
      <c r="D29" s="38">
        <f>VLOOKUP(Tabella1[[#This Row],[test_id]],experiments_specs!A:J,4,FALSE)</f>
        <v>2</v>
      </c>
      <c r="E29" s="38" t="str">
        <f>VLOOKUP(Tabella1[[#This Row],[test_id]],experiments_specs!A:J,5,FALSE)</f>
        <v>False</v>
      </c>
      <c r="F29" s="38" t="str">
        <f>VLOOKUP(Tabella1[[#This Row],[test_id]],experiments_specs!A:J,6,FALSE)</f>
        <v>True</v>
      </c>
      <c r="G29" s="38" t="str">
        <f>VLOOKUP(Tabella1[[#This Row],[test_id]],experiments_specs!A:J,7,FALSE)</f>
        <v>False</v>
      </c>
      <c r="H29" s="38" t="str">
        <f>VLOOKUP(Tabella1[[#This Row],[test_id]],experiments_specs!A:J,8,FALSE)</f>
        <v>False</v>
      </c>
      <c r="I29" s="45" t="str">
        <f>VLOOKUP(Tabella1[[#This Row],[test_id]],experiments_specs!A:J,9,FALSE)</f>
        <v>wup_similarity</v>
      </c>
      <c r="J29" s="38" t="str">
        <f>VLOOKUP(Tabella1[[#This Row],[test_id]],experiments_specs!A:J,10,FALSE)</f>
        <v>False</v>
      </c>
      <c r="K29" s="40" t="s">
        <v>13</v>
      </c>
      <c r="L29" s="36" t="s">
        <v>199</v>
      </c>
      <c r="M29" s="36">
        <v>0.17025129999999999</v>
      </c>
      <c r="N29" s="36" t="s">
        <v>200</v>
      </c>
      <c r="O29" s="36">
        <v>6.0552000000000002E-3</v>
      </c>
      <c r="P29" s="36" t="s">
        <v>25</v>
      </c>
      <c r="Q29" s="36" t="s">
        <v>252</v>
      </c>
      <c r="R29" s="36">
        <v>0.13187599999999999</v>
      </c>
      <c r="S29" s="36" t="s">
        <v>253</v>
      </c>
      <c r="T29" s="36">
        <v>7.7020999999999999E-3</v>
      </c>
      <c r="U29" s="37">
        <v>0.4</v>
      </c>
      <c r="V29"/>
    </row>
    <row r="30" spans="1:22" ht="17" x14ac:dyDescent="0.2">
      <c r="A30" s="36" t="s">
        <v>64</v>
      </c>
      <c r="B30" s="45" t="str">
        <f>VLOOKUP(Tabella1[[#This Row],[test_id]],experiments_specs!A:J,2,FALSE)</f>
        <v>NN,VB,VBD,VBG,VBN,VBP,VBZ</v>
      </c>
      <c r="C30" s="38">
        <f>VLOOKUP(Tabella1[[#This Row],[test_id]],experiments_specs!A:J,3,FALSE)</f>
        <v>1</v>
      </c>
      <c r="D30" s="38">
        <f>VLOOKUP(Tabella1[[#This Row],[test_id]],experiments_specs!A:J,4,FALSE)</f>
        <v>2</v>
      </c>
      <c r="E30" s="38" t="str">
        <f>VLOOKUP(Tabella1[[#This Row],[test_id]],experiments_specs!A:J,5,FALSE)</f>
        <v>False</v>
      </c>
      <c r="F30" s="38" t="str">
        <f>VLOOKUP(Tabella1[[#This Row],[test_id]],experiments_specs!A:J,6,FALSE)</f>
        <v>True</v>
      </c>
      <c r="G30" s="38" t="str">
        <f>VLOOKUP(Tabella1[[#This Row],[test_id]],experiments_specs!A:J,7,FALSE)</f>
        <v>False</v>
      </c>
      <c r="H30" s="38" t="str">
        <f>VLOOKUP(Tabella1[[#This Row],[test_id]],experiments_specs!A:J,8,FALSE)</f>
        <v>False</v>
      </c>
      <c r="I30" s="45" t="str">
        <f>VLOOKUP(Tabella1[[#This Row],[test_id]],experiments_specs!A:J,9,FALSE)</f>
        <v>wup_similarity</v>
      </c>
      <c r="J30" s="38" t="str">
        <f>VLOOKUP(Tabella1[[#This Row],[test_id]],experiments_specs!A:J,10,FALSE)</f>
        <v>False</v>
      </c>
      <c r="K30" s="40" t="s">
        <v>14</v>
      </c>
      <c r="L30" s="36" t="s">
        <v>202</v>
      </c>
      <c r="M30" s="36">
        <v>7.5485099999999999E-2</v>
      </c>
      <c r="N30" s="36" t="s">
        <v>203</v>
      </c>
      <c r="O30" s="36">
        <v>3.7028999999999999E-3</v>
      </c>
      <c r="P30" s="36">
        <v>0.14285714285714285</v>
      </c>
      <c r="Q30" s="36" t="s">
        <v>204</v>
      </c>
      <c r="R30" s="36">
        <v>0</v>
      </c>
      <c r="S30" s="36" t="s">
        <v>205</v>
      </c>
      <c r="T30" s="36">
        <v>5.2413E-3</v>
      </c>
      <c r="U30" s="37">
        <v>0.625</v>
      </c>
      <c r="V30"/>
    </row>
    <row r="31" spans="1:22" ht="34" x14ac:dyDescent="0.2">
      <c r="A31" s="36" t="s">
        <v>64</v>
      </c>
      <c r="B31" s="45" t="str">
        <f>VLOOKUP(Tabella1[[#This Row],[test_id]],experiments_specs!A:J,2,FALSE)</f>
        <v>NN,VB,VBD,VBG,VBN,VBP,VBZ</v>
      </c>
      <c r="C31" s="38">
        <f>VLOOKUP(Tabella1[[#This Row],[test_id]],experiments_specs!A:J,3,FALSE)</f>
        <v>1</v>
      </c>
      <c r="D31" s="38">
        <f>VLOOKUP(Tabella1[[#This Row],[test_id]],experiments_specs!A:J,4,FALSE)</f>
        <v>2</v>
      </c>
      <c r="E31" s="38" t="str">
        <f>VLOOKUP(Tabella1[[#This Row],[test_id]],experiments_specs!A:J,5,FALSE)</f>
        <v>False</v>
      </c>
      <c r="F31" s="38" t="str">
        <f>VLOOKUP(Tabella1[[#This Row],[test_id]],experiments_specs!A:J,6,FALSE)</f>
        <v>True</v>
      </c>
      <c r="G31" s="38" t="str">
        <f>VLOOKUP(Tabella1[[#This Row],[test_id]],experiments_specs!A:J,7,FALSE)</f>
        <v>False</v>
      </c>
      <c r="H31" s="38" t="str">
        <f>VLOOKUP(Tabella1[[#This Row],[test_id]],experiments_specs!A:J,8,FALSE)</f>
        <v>False</v>
      </c>
      <c r="I31" s="45" t="str">
        <f>VLOOKUP(Tabella1[[#This Row],[test_id]],experiments_specs!A:J,9,FALSE)</f>
        <v>wup_similarity</v>
      </c>
      <c r="J31" s="38" t="str">
        <f>VLOOKUP(Tabella1[[#This Row],[test_id]],experiments_specs!A:J,10,FALSE)</f>
        <v>False</v>
      </c>
      <c r="K31" s="40" t="s">
        <v>15</v>
      </c>
      <c r="L31" s="36" t="s">
        <v>237</v>
      </c>
      <c r="M31" s="36">
        <v>0</v>
      </c>
      <c r="N31" s="36" t="s">
        <v>238</v>
      </c>
      <c r="O31" s="36">
        <v>2.7751999999999998E-3</v>
      </c>
      <c r="P31" s="36">
        <v>0.2</v>
      </c>
      <c r="Q31" s="36" t="s">
        <v>255</v>
      </c>
      <c r="R31" s="36" t="s">
        <v>186</v>
      </c>
      <c r="S31" s="36" t="s">
        <v>257</v>
      </c>
      <c r="T31" s="36" t="s">
        <v>259</v>
      </c>
      <c r="U31" s="37">
        <v>0.22222222222222221</v>
      </c>
      <c r="V31"/>
    </row>
    <row r="32" spans="1:22" ht="17" x14ac:dyDescent="0.2">
      <c r="A32" s="36" t="s">
        <v>64</v>
      </c>
      <c r="B32" s="45" t="str">
        <f>VLOOKUP(Tabella1[[#This Row],[test_id]],experiments_specs!A:J,2,FALSE)</f>
        <v>NN,VB,VBD,VBG,VBN,VBP,VBZ</v>
      </c>
      <c r="C32" s="38">
        <f>VLOOKUP(Tabella1[[#This Row],[test_id]],experiments_specs!A:J,3,FALSE)</f>
        <v>1</v>
      </c>
      <c r="D32" s="38">
        <f>VLOOKUP(Tabella1[[#This Row],[test_id]],experiments_specs!A:J,4,FALSE)</f>
        <v>2</v>
      </c>
      <c r="E32" s="38" t="str">
        <f>VLOOKUP(Tabella1[[#This Row],[test_id]],experiments_specs!A:J,5,FALSE)</f>
        <v>False</v>
      </c>
      <c r="F32" s="38" t="str">
        <f>VLOOKUP(Tabella1[[#This Row],[test_id]],experiments_specs!A:J,6,FALSE)</f>
        <v>True</v>
      </c>
      <c r="G32" s="38" t="str">
        <f>VLOOKUP(Tabella1[[#This Row],[test_id]],experiments_specs!A:J,7,FALSE)</f>
        <v>False</v>
      </c>
      <c r="H32" s="38" t="str">
        <f>VLOOKUP(Tabella1[[#This Row],[test_id]],experiments_specs!A:J,8,FALSE)</f>
        <v>False</v>
      </c>
      <c r="I32" s="45" t="str">
        <f>VLOOKUP(Tabella1[[#This Row],[test_id]],experiments_specs!A:J,9,FALSE)</f>
        <v>wup_similarity</v>
      </c>
      <c r="J32" s="38" t="str">
        <f>VLOOKUP(Tabella1[[#This Row],[test_id]],experiments_specs!A:J,10,FALSE)</f>
        <v>False</v>
      </c>
      <c r="K32" s="40" t="s">
        <v>16</v>
      </c>
      <c r="L32" s="36" t="s">
        <v>208</v>
      </c>
      <c r="M32" s="36">
        <v>0.1666666</v>
      </c>
      <c r="N32" s="36" t="s">
        <v>209</v>
      </c>
      <c r="O32" s="36">
        <v>3.2967000000000001E-3</v>
      </c>
      <c r="P32" s="36">
        <v>0.55555555555555558</v>
      </c>
      <c r="Q32" s="36" t="s">
        <v>227</v>
      </c>
      <c r="R32" s="36">
        <v>0</v>
      </c>
      <c r="S32" s="36" t="s">
        <v>245</v>
      </c>
      <c r="T32" s="36">
        <v>6.0599E-3</v>
      </c>
      <c r="U32" s="37">
        <v>0.14285714285714285</v>
      </c>
      <c r="V32"/>
    </row>
    <row r="33" spans="1:22" ht="17" x14ac:dyDescent="0.2">
      <c r="A33" s="36" t="s">
        <v>64</v>
      </c>
      <c r="B33" s="45" t="str">
        <f>VLOOKUP(Tabella1[[#This Row],[test_id]],experiments_specs!A:J,2,FALSE)</f>
        <v>NN,VB,VBD,VBG,VBN,VBP,VBZ</v>
      </c>
      <c r="C33" s="38">
        <f>VLOOKUP(Tabella1[[#This Row],[test_id]],experiments_specs!A:J,3,FALSE)</f>
        <v>1</v>
      </c>
      <c r="D33" s="38">
        <f>VLOOKUP(Tabella1[[#This Row],[test_id]],experiments_specs!A:J,4,FALSE)</f>
        <v>2</v>
      </c>
      <c r="E33" s="38" t="str">
        <f>VLOOKUP(Tabella1[[#This Row],[test_id]],experiments_specs!A:J,5,FALSE)</f>
        <v>False</v>
      </c>
      <c r="F33" s="38" t="str">
        <f>VLOOKUP(Tabella1[[#This Row],[test_id]],experiments_specs!A:J,6,FALSE)</f>
        <v>True</v>
      </c>
      <c r="G33" s="38" t="str">
        <f>VLOOKUP(Tabella1[[#This Row],[test_id]],experiments_specs!A:J,7,FALSE)</f>
        <v>False</v>
      </c>
      <c r="H33" s="38" t="str">
        <f>VLOOKUP(Tabella1[[#This Row],[test_id]],experiments_specs!A:J,8,FALSE)</f>
        <v>False</v>
      </c>
      <c r="I33" s="45" t="str">
        <f>VLOOKUP(Tabella1[[#This Row],[test_id]],experiments_specs!A:J,9,FALSE)</f>
        <v>wup_similarity</v>
      </c>
      <c r="J33" s="38" t="str">
        <f>VLOOKUP(Tabella1[[#This Row],[test_id]],experiments_specs!A:J,10,FALSE)</f>
        <v>False</v>
      </c>
      <c r="K33" s="40" t="s">
        <v>17</v>
      </c>
      <c r="L33" s="36" t="s">
        <v>30</v>
      </c>
      <c r="M33" s="36">
        <v>0.1028688</v>
      </c>
      <c r="N33" s="36" t="s">
        <v>31</v>
      </c>
      <c r="O33" s="36">
        <v>2.9729999999999999E-3</v>
      </c>
      <c r="P33" s="36">
        <v>0.22222222222222221</v>
      </c>
      <c r="Q33" s="36" t="s">
        <v>30</v>
      </c>
      <c r="R33" s="36">
        <v>0.1028688</v>
      </c>
      <c r="S33" s="36" t="s">
        <v>31</v>
      </c>
      <c r="T33" s="36">
        <v>1.5430299999999999E-2</v>
      </c>
      <c r="U33" s="37">
        <v>0.22222222222222221</v>
      </c>
      <c r="V33"/>
    </row>
    <row r="34" spans="1:22" ht="17" x14ac:dyDescent="0.2">
      <c r="A34" s="36" t="s">
        <v>64</v>
      </c>
      <c r="B34" s="45" t="str">
        <f>VLOOKUP(Tabella1[[#This Row],[test_id]],experiments_specs!A:J,2,FALSE)</f>
        <v>NN,VB,VBD,VBG,VBN,VBP,VBZ</v>
      </c>
      <c r="C34" s="38">
        <f>VLOOKUP(Tabella1[[#This Row],[test_id]],experiments_specs!A:J,3,FALSE)</f>
        <v>1</v>
      </c>
      <c r="D34" s="38">
        <f>VLOOKUP(Tabella1[[#This Row],[test_id]],experiments_specs!A:J,4,FALSE)</f>
        <v>2</v>
      </c>
      <c r="E34" s="38" t="str">
        <f>VLOOKUP(Tabella1[[#This Row],[test_id]],experiments_specs!A:J,5,FALSE)</f>
        <v>False</v>
      </c>
      <c r="F34" s="38" t="str">
        <f>VLOOKUP(Tabella1[[#This Row],[test_id]],experiments_specs!A:J,6,FALSE)</f>
        <v>True</v>
      </c>
      <c r="G34" s="38" t="str">
        <f>VLOOKUP(Tabella1[[#This Row],[test_id]],experiments_specs!A:J,7,FALSE)</f>
        <v>False</v>
      </c>
      <c r="H34" s="38" t="str">
        <f>VLOOKUP(Tabella1[[#This Row],[test_id]],experiments_specs!A:J,8,FALSE)</f>
        <v>False</v>
      </c>
      <c r="I34" s="45" t="str">
        <f>VLOOKUP(Tabella1[[#This Row],[test_id]],experiments_specs!A:J,9,FALSE)</f>
        <v>wup_similarity</v>
      </c>
      <c r="J34" s="38" t="str">
        <f>VLOOKUP(Tabella1[[#This Row],[test_id]],experiments_specs!A:J,10,FALSE)</f>
        <v>False</v>
      </c>
      <c r="K34" s="40" t="s">
        <v>18</v>
      </c>
      <c r="L34" s="36" t="s">
        <v>222</v>
      </c>
      <c r="M34" s="36">
        <v>0.1105064</v>
      </c>
      <c r="N34" s="36" t="s">
        <v>223</v>
      </c>
      <c r="O34" s="36">
        <v>1.5208999999999999E-3</v>
      </c>
      <c r="P34" s="36">
        <v>0.21052631578947367</v>
      </c>
      <c r="Q34" s="36" t="s">
        <v>227</v>
      </c>
      <c r="R34" s="36">
        <v>0</v>
      </c>
      <c r="S34" s="36" t="s">
        <v>248</v>
      </c>
      <c r="T34" s="36">
        <v>2.6167E-3</v>
      </c>
      <c r="U34" s="37">
        <v>0.11764705882352941</v>
      </c>
      <c r="V34"/>
    </row>
    <row r="35" spans="1:22" ht="34" x14ac:dyDescent="0.2">
      <c r="A35" s="36" t="s">
        <v>66</v>
      </c>
      <c r="B35" s="45" t="str">
        <f>VLOOKUP(Tabella1[[#This Row],[test_id]],experiments_specs!A:J,2,FALSE)</f>
        <v>NN,RB</v>
      </c>
      <c r="C35" s="38">
        <f>VLOOKUP(Tabella1[[#This Row],[test_id]],experiments_specs!A:J,3,FALSE)</f>
        <v>1</v>
      </c>
      <c r="D35" s="38">
        <f>VLOOKUP(Tabella1[[#This Row],[test_id]],experiments_specs!A:J,4,FALSE)</f>
        <v>2</v>
      </c>
      <c r="E35" s="38" t="str">
        <f>VLOOKUP(Tabella1[[#This Row],[test_id]],experiments_specs!A:J,5,FALSE)</f>
        <v>False</v>
      </c>
      <c r="F35" s="38" t="str">
        <f>VLOOKUP(Tabella1[[#This Row],[test_id]],experiments_specs!A:J,6,FALSE)</f>
        <v>True</v>
      </c>
      <c r="G35" s="38" t="str">
        <f>VLOOKUP(Tabella1[[#This Row],[test_id]],experiments_specs!A:J,7,FALSE)</f>
        <v>False</v>
      </c>
      <c r="H35" s="38" t="str">
        <f>VLOOKUP(Tabella1[[#This Row],[test_id]],experiments_specs!A:J,8,FALSE)</f>
        <v>False</v>
      </c>
      <c r="I35" s="45" t="str">
        <f>VLOOKUP(Tabella1[[#This Row],[test_id]],experiments_specs!A:J,9,FALSE)</f>
        <v>wup_similarity</v>
      </c>
      <c r="J35" s="38" t="str">
        <f>VLOOKUP(Tabella1[[#This Row],[test_id]],experiments_specs!A:J,10,FALSE)</f>
        <v>False</v>
      </c>
      <c r="K35" s="40" t="s">
        <v>19</v>
      </c>
      <c r="L35" s="36" t="s">
        <v>20</v>
      </c>
      <c r="M35" s="36" t="s">
        <v>194</v>
      </c>
      <c r="N35" s="36" t="s">
        <v>21</v>
      </c>
      <c r="O35" s="36" t="s">
        <v>261</v>
      </c>
      <c r="P35" s="36">
        <v>0.19047619047619047</v>
      </c>
      <c r="Q35" s="36" t="s">
        <v>197</v>
      </c>
      <c r="R35" s="36">
        <v>0</v>
      </c>
      <c r="S35" s="36" t="s">
        <v>198</v>
      </c>
      <c r="T35" s="36">
        <v>4.3544999999999999E-3</v>
      </c>
      <c r="U35" s="37">
        <v>9.5238095238095233E-2</v>
      </c>
      <c r="V35"/>
    </row>
    <row r="36" spans="1:22" ht="17" x14ac:dyDescent="0.2">
      <c r="A36" s="36" t="s">
        <v>66</v>
      </c>
      <c r="B36" s="45" t="str">
        <f>VLOOKUP(Tabella1[[#This Row],[test_id]],experiments_specs!A:J,2,FALSE)</f>
        <v>NN,RB</v>
      </c>
      <c r="C36" s="38">
        <f>VLOOKUP(Tabella1[[#This Row],[test_id]],experiments_specs!A:J,3,FALSE)</f>
        <v>1</v>
      </c>
      <c r="D36" s="38">
        <f>VLOOKUP(Tabella1[[#This Row],[test_id]],experiments_specs!A:J,4,FALSE)</f>
        <v>2</v>
      </c>
      <c r="E36" s="38" t="str">
        <f>VLOOKUP(Tabella1[[#This Row],[test_id]],experiments_specs!A:J,5,FALSE)</f>
        <v>False</v>
      </c>
      <c r="F36" s="38" t="str">
        <f>VLOOKUP(Tabella1[[#This Row],[test_id]],experiments_specs!A:J,6,FALSE)</f>
        <v>True</v>
      </c>
      <c r="G36" s="38" t="str">
        <f>VLOOKUP(Tabella1[[#This Row],[test_id]],experiments_specs!A:J,7,FALSE)</f>
        <v>False</v>
      </c>
      <c r="H36" s="38" t="str">
        <f>VLOOKUP(Tabella1[[#This Row],[test_id]],experiments_specs!A:J,8,FALSE)</f>
        <v>False</v>
      </c>
      <c r="I36" s="45" t="str">
        <f>VLOOKUP(Tabella1[[#This Row],[test_id]],experiments_specs!A:J,9,FALSE)</f>
        <v>wup_similarity</v>
      </c>
      <c r="J36" s="38" t="str">
        <f>VLOOKUP(Tabella1[[#This Row],[test_id]],experiments_specs!A:J,10,FALSE)</f>
        <v>False</v>
      </c>
      <c r="K36" s="40" t="s">
        <v>12</v>
      </c>
      <c r="L36" s="36" t="s">
        <v>22</v>
      </c>
      <c r="M36" s="36">
        <v>0.1102635</v>
      </c>
      <c r="N36" s="36" t="s">
        <v>23</v>
      </c>
      <c r="O36" s="36">
        <v>1.0621200000000001E-2</v>
      </c>
      <c r="P36" s="36">
        <v>0.42857142857142855</v>
      </c>
      <c r="Q36" s="36" t="s">
        <v>24</v>
      </c>
      <c r="R36" s="36">
        <v>5.5131699999999999E-2</v>
      </c>
      <c r="S36" s="36" t="s">
        <v>23</v>
      </c>
      <c r="T36" s="36">
        <v>1.0831500000000001E-2</v>
      </c>
      <c r="U36" s="37">
        <v>0.42857142857142855</v>
      </c>
      <c r="V36"/>
    </row>
    <row r="37" spans="1:22" ht="17" x14ac:dyDescent="0.2">
      <c r="A37" s="36" t="s">
        <v>66</v>
      </c>
      <c r="B37" s="45" t="str">
        <f>VLOOKUP(Tabella1[[#This Row],[test_id]],experiments_specs!A:J,2,FALSE)</f>
        <v>NN,RB</v>
      </c>
      <c r="C37" s="38">
        <f>VLOOKUP(Tabella1[[#This Row],[test_id]],experiments_specs!A:J,3,FALSE)</f>
        <v>1</v>
      </c>
      <c r="D37" s="38">
        <f>VLOOKUP(Tabella1[[#This Row],[test_id]],experiments_specs!A:J,4,FALSE)</f>
        <v>2</v>
      </c>
      <c r="E37" s="38" t="str">
        <f>VLOOKUP(Tabella1[[#This Row],[test_id]],experiments_specs!A:J,5,FALSE)</f>
        <v>False</v>
      </c>
      <c r="F37" s="38" t="str">
        <f>VLOOKUP(Tabella1[[#This Row],[test_id]],experiments_specs!A:J,6,FALSE)</f>
        <v>True</v>
      </c>
      <c r="G37" s="38" t="str">
        <f>VLOOKUP(Tabella1[[#This Row],[test_id]],experiments_specs!A:J,7,FALSE)</f>
        <v>False</v>
      </c>
      <c r="H37" s="38" t="str">
        <f>VLOOKUP(Tabella1[[#This Row],[test_id]],experiments_specs!A:J,8,FALSE)</f>
        <v>False</v>
      </c>
      <c r="I37" s="45" t="str">
        <f>VLOOKUP(Tabella1[[#This Row],[test_id]],experiments_specs!A:J,9,FALSE)</f>
        <v>wup_similarity</v>
      </c>
      <c r="J37" s="38" t="str">
        <f>VLOOKUP(Tabella1[[#This Row],[test_id]],experiments_specs!A:J,10,FALSE)</f>
        <v>False</v>
      </c>
      <c r="K37" s="40" t="s">
        <v>13</v>
      </c>
      <c r="L37" s="36" t="s">
        <v>199</v>
      </c>
      <c r="M37" s="36">
        <v>0.17025129999999999</v>
      </c>
      <c r="N37" s="36" t="s">
        <v>200</v>
      </c>
      <c r="O37" s="36">
        <v>8.7422000000000003E-3</v>
      </c>
      <c r="P37" s="36" t="s">
        <v>25</v>
      </c>
      <c r="Q37" s="36" t="s">
        <v>201</v>
      </c>
      <c r="R37" s="36">
        <v>0</v>
      </c>
      <c r="S37" s="36" t="s">
        <v>200</v>
      </c>
      <c r="T37" s="36">
        <v>9.2478999999999999E-3</v>
      </c>
      <c r="U37" s="37" t="s">
        <v>25</v>
      </c>
      <c r="V37"/>
    </row>
    <row r="38" spans="1:22" ht="17" x14ac:dyDescent="0.2">
      <c r="A38" s="36" t="s">
        <v>66</v>
      </c>
      <c r="B38" s="45" t="str">
        <f>VLOOKUP(Tabella1[[#This Row],[test_id]],experiments_specs!A:J,2,FALSE)</f>
        <v>NN,RB</v>
      </c>
      <c r="C38" s="38">
        <f>VLOOKUP(Tabella1[[#This Row],[test_id]],experiments_specs!A:J,3,FALSE)</f>
        <v>1</v>
      </c>
      <c r="D38" s="38">
        <f>VLOOKUP(Tabella1[[#This Row],[test_id]],experiments_specs!A:J,4,FALSE)</f>
        <v>2</v>
      </c>
      <c r="E38" s="38" t="str">
        <f>VLOOKUP(Tabella1[[#This Row],[test_id]],experiments_specs!A:J,5,FALSE)</f>
        <v>False</v>
      </c>
      <c r="F38" s="38" t="str">
        <f>VLOOKUP(Tabella1[[#This Row],[test_id]],experiments_specs!A:J,6,FALSE)</f>
        <v>True</v>
      </c>
      <c r="G38" s="38" t="str">
        <f>VLOOKUP(Tabella1[[#This Row],[test_id]],experiments_specs!A:J,7,FALSE)</f>
        <v>False</v>
      </c>
      <c r="H38" s="38" t="str">
        <f>VLOOKUP(Tabella1[[#This Row],[test_id]],experiments_specs!A:J,8,FALSE)</f>
        <v>False</v>
      </c>
      <c r="I38" s="45" t="str">
        <f>VLOOKUP(Tabella1[[#This Row],[test_id]],experiments_specs!A:J,9,FALSE)</f>
        <v>wup_similarity</v>
      </c>
      <c r="J38" s="38" t="str">
        <f>VLOOKUP(Tabella1[[#This Row],[test_id]],experiments_specs!A:J,10,FALSE)</f>
        <v>False</v>
      </c>
      <c r="K38" s="40" t="s">
        <v>14</v>
      </c>
      <c r="L38" s="36" t="s">
        <v>202</v>
      </c>
      <c r="M38" s="36">
        <v>7.5485099999999999E-2</v>
      </c>
      <c r="N38" s="36" t="s">
        <v>203</v>
      </c>
      <c r="O38" s="36">
        <v>5.4650999999999996E-3</v>
      </c>
      <c r="P38" s="36">
        <v>0.14285714285714285</v>
      </c>
      <c r="Q38" s="36" t="s">
        <v>204</v>
      </c>
      <c r="R38" s="36">
        <v>0</v>
      </c>
      <c r="S38" s="36" t="s">
        <v>205</v>
      </c>
      <c r="T38" s="36">
        <v>6.6150000000000002E-3</v>
      </c>
      <c r="U38" s="37">
        <v>0.625</v>
      </c>
      <c r="V38"/>
    </row>
    <row r="39" spans="1:22" ht="34" x14ac:dyDescent="0.2">
      <c r="A39" s="36" t="s">
        <v>66</v>
      </c>
      <c r="B39" s="45" t="str">
        <f>VLOOKUP(Tabella1[[#This Row],[test_id]],experiments_specs!A:J,2,FALSE)</f>
        <v>NN,RB</v>
      </c>
      <c r="C39" s="38">
        <f>VLOOKUP(Tabella1[[#This Row],[test_id]],experiments_specs!A:J,3,FALSE)</f>
        <v>1</v>
      </c>
      <c r="D39" s="38">
        <f>VLOOKUP(Tabella1[[#This Row],[test_id]],experiments_specs!A:J,4,FALSE)</f>
        <v>2</v>
      </c>
      <c r="E39" s="38" t="str">
        <f>VLOOKUP(Tabella1[[#This Row],[test_id]],experiments_specs!A:J,5,FALSE)</f>
        <v>False</v>
      </c>
      <c r="F39" s="38" t="str">
        <f>VLOOKUP(Tabella1[[#This Row],[test_id]],experiments_specs!A:J,6,FALSE)</f>
        <v>True</v>
      </c>
      <c r="G39" s="38" t="str">
        <f>VLOOKUP(Tabella1[[#This Row],[test_id]],experiments_specs!A:J,7,FALSE)</f>
        <v>False</v>
      </c>
      <c r="H39" s="38" t="str">
        <f>VLOOKUP(Tabella1[[#This Row],[test_id]],experiments_specs!A:J,8,FALSE)</f>
        <v>False</v>
      </c>
      <c r="I39" s="45" t="str">
        <f>VLOOKUP(Tabella1[[#This Row],[test_id]],experiments_specs!A:J,9,FALSE)</f>
        <v>wup_similarity</v>
      </c>
      <c r="J39" s="38" t="str">
        <f>VLOOKUP(Tabella1[[#This Row],[test_id]],experiments_specs!A:J,10,FALSE)</f>
        <v>False</v>
      </c>
      <c r="K39" s="40" t="s">
        <v>15</v>
      </c>
      <c r="L39" s="36" t="s">
        <v>26</v>
      </c>
      <c r="M39" s="36">
        <v>0.1561737</v>
      </c>
      <c r="N39" s="36" t="s">
        <v>27</v>
      </c>
      <c r="O39" s="36">
        <v>3.8800000000000002E-3</v>
      </c>
      <c r="P39" s="36">
        <v>0.16666666666666666</v>
      </c>
      <c r="Q39" s="36" t="s">
        <v>28</v>
      </c>
      <c r="R39" s="36" t="s">
        <v>186</v>
      </c>
      <c r="S39" s="36" t="s">
        <v>29</v>
      </c>
      <c r="T39" s="36" t="s">
        <v>263</v>
      </c>
      <c r="U39" s="37">
        <v>0.18181818181818182</v>
      </c>
      <c r="V39"/>
    </row>
    <row r="40" spans="1:22" ht="34" x14ac:dyDescent="0.2">
      <c r="A40" s="36" t="s">
        <v>66</v>
      </c>
      <c r="B40" s="45" t="str">
        <f>VLOOKUP(Tabella1[[#This Row],[test_id]],experiments_specs!A:J,2,FALSE)</f>
        <v>NN,RB</v>
      </c>
      <c r="C40" s="38">
        <f>VLOOKUP(Tabella1[[#This Row],[test_id]],experiments_specs!A:J,3,FALSE)</f>
        <v>1</v>
      </c>
      <c r="D40" s="38">
        <f>VLOOKUP(Tabella1[[#This Row],[test_id]],experiments_specs!A:J,4,FALSE)</f>
        <v>2</v>
      </c>
      <c r="E40" s="38" t="str">
        <f>VLOOKUP(Tabella1[[#This Row],[test_id]],experiments_specs!A:J,5,FALSE)</f>
        <v>False</v>
      </c>
      <c r="F40" s="38" t="str">
        <f>VLOOKUP(Tabella1[[#This Row],[test_id]],experiments_specs!A:J,6,FALSE)</f>
        <v>True</v>
      </c>
      <c r="G40" s="38" t="str">
        <f>VLOOKUP(Tabella1[[#This Row],[test_id]],experiments_specs!A:J,7,FALSE)</f>
        <v>False</v>
      </c>
      <c r="H40" s="38" t="str">
        <f>VLOOKUP(Tabella1[[#This Row],[test_id]],experiments_specs!A:J,8,FALSE)</f>
        <v>False</v>
      </c>
      <c r="I40" s="45" t="str">
        <f>VLOOKUP(Tabella1[[#This Row],[test_id]],experiments_specs!A:J,9,FALSE)</f>
        <v>wup_similarity</v>
      </c>
      <c r="J40" s="38" t="str">
        <f>VLOOKUP(Tabella1[[#This Row],[test_id]],experiments_specs!A:J,10,FALSE)</f>
        <v>False</v>
      </c>
      <c r="K40" s="40" t="s">
        <v>16</v>
      </c>
      <c r="L40" s="36" t="s">
        <v>208</v>
      </c>
      <c r="M40" s="36">
        <v>0.1666666</v>
      </c>
      <c r="N40" s="36" t="s">
        <v>209</v>
      </c>
      <c r="O40" s="36">
        <v>3.6392E-3</v>
      </c>
      <c r="P40" s="36">
        <v>0.55555555555555558</v>
      </c>
      <c r="Q40" s="36" t="s">
        <v>211</v>
      </c>
      <c r="R40" s="36" t="s">
        <v>213</v>
      </c>
      <c r="S40" s="36" t="s">
        <v>215</v>
      </c>
      <c r="T40" s="36" t="s">
        <v>217</v>
      </c>
      <c r="U40" s="37">
        <v>0.13333333333333333</v>
      </c>
      <c r="V40"/>
    </row>
    <row r="41" spans="1:22" ht="17" x14ac:dyDescent="0.2">
      <c r="A41" s="36" t="s">
        <v>66</v>
      </c>
      <c r="B41" s="45" t="str">
        <f>VLOOKUP(Tabella1[[#This Row],[test_id]],experiments_specs!A:J,2,FALSE)</f>
        <v>NN,RB</v>
      </c>
      <c r="C41" s="38">
        <f>VLOOKUP(Tabella1[[#This Row],[test_id]],experiments_specs!A:J,3,FALSE)</f>
        <v>1</v>
      </c>
      <c r="D41" s="38">
        <f>VLOOKUP(Tabella1[[#This Row],[test_id]],experiments_specs!A:J,4,FALSE)</f>
        <v>2</v>
      </c>
      <c r="E41" s="38" t="str">
        <f>VLOOKUP(Tabella1[[#This Row],[test_id]],experiments_specs!A:J,5,FALSE)</f>
        <v>False</v>
      </c>
      <c r="F41" s="38" t="str">
        <f>VLOOKUP(Tabella1[[#This Row],[test_id]],experiments_specs!A:J,6,FALSE)</f>
        <v>True</v>
      </c>
      <c r="G41" s="38" t="str">
        <f>VLOOKUP(Tabella1[[#This Row],[test_id]],experiments_specs!A:J,7,FALSE)</f>
        <v>False</v>
      </c>
      <c r="H41" s="38" t="str">
        <f>VLOOKUP(Tabella1[[#This Row],[test_id]],experiments_specs!A:J,8,FALSE)</f>
        <v>False</v>
      </c>
      <c r="I41" s="45" t="str">
        <f>VLOOKUP(Tabella1[[#This Row],[test_id]],experiments_specs!A:J,9,FALSE)</f>
        <v>wup_similarity</v>
      </c>
      <c r="J41" s="38" t="str">
        <f>VLOOKUP(Tabella1[[#This Row],[test_id]],experiments_specs!A:J,10,FALSE)</f>
        <v>False</v>
      </c>
      <c r="K41" s="40" t="s">
        <v>17</v>
      </c>
      <c r="L41" s="36" t="s">
        <v>218</v>
      </c>
      <c r="M41" s="36">
        <v>0.18898219999999999</v>
      </c>
      <c r="N41" s="36" t="s">
        <v>219</v>
      </c>
      <c r="O41" s="36">
        <v>2.9120999999999999E-3</v>
      </c>
      <c r="P41" s="36">
        <v>0.13333333333333333</v>
      </c>
      <c r="Q41" s="36" t="s">
        <v>220</v>
      </c>
      <c r="R41" s="36">
        <v>7.7151600000000001E-2</v>
      </c>
      <c r="S41" s="36" t="s">
        <v>221</v>
      </c>
      <c r="T41" s="36">
        <v>5.6293999999999997E-3</v>
      </c>
      <c r="U41" s="37">
        <v>0.33333333333333331</v>
      </c>
      <c r="V41"/>
    </row>
    <row r="42" spans="1:22" ht="17" x14ac:dyDescent="0.2">
      <c r="A42" s="36" t="s">
        <v>66</v>
      </c>
      <c r="B42" s="45" t="str">
        <f>VLOOKUP(Tabella1[[#This Row],[test_id]],experiments_specs!A:J,2,FALSE)</f>
        <v>NN,RB</v>
      </c>
      <c r="C42" s="38">
        <f>VLOOKUP(Tabella1[[#This Row],[test_id]],experiments_specs!A:J,3,FALSE)</f>
        <v>1</v>
      </c>
      <c r="D42" s="38">
        <f>VLOOKUP(Tabella1[[#This Row],[test_id]],experiments_specs!A:J,4,FALSE)</f>
        <v>2</v>
      </c>
      <c r="E42" s="38" t="str">
        <f>VLOOKUP(Tabella1[[#This Row],[test_id]],experiments_specs!A:J,5,FALSE)</f>
        <v>False</v>
      </c>
      <c r="F42" s="38" t="str">
        <f>VLOOKUP(Tabella1[[#This Row],[test_id]],experiments_specs!A:J,6,FALSE)</f>
        <v>True</v>
      </c>
      <c r="G42" s="38" t="str">
        <f>VLOOKUP(Tabella1[[#This Row],[test_id]],experiments_specs!A:J,7,FALSE)</f>
        <v>False</v>
      </c>
      <c r="H42" s="38" t="str">
        <f>VLOOKUP(Tabella1[[#This Row],[test_id]],experiments_specs!A:J,8,FALSE)</f>
        <v>False</v>
      </c>
      <c r="I42" s="45" t="str">
        <f>VLOOKUP(Tabella1[[#This Row],[test_id]],experiments_specs!A:J,9,FALSE)</f>
        <v>wup_similarity</v>
      </c>
      <c r="J42" s="38" t="str">
        <f>VLOOKUP(Tabella1[[#This Row],[test_id]],experiments_specs!A:J,10,FALSE)</f>
        <v>False</v>
      </c>
      <c r="K42" s="40" t="s">
        <v>18</v>
      </c>
      <c r="L42" s="36" t="s">
        <v>222</v>
      </c>
      <c r="M42" s="36">
        <v>0.1105064</v>
      </c>
      <c r="N42" s="36" t="s">
        <v>223</v>
      </c>
      <c r="O42" s="36">
        <v>2.8111E-3</v>
      </c>
      <c r="P42" s="36">
        <v>0.21052631578947367</v>
      </c>
      <c r="Q42" s="36" t="s">
        <v>224</v>
      </c>
      <c r="R42" s="36">
        <v>7.7266699999999994E-2</v>
      </c>
      <c r="S42" s="36" t="s">
        <v>223</v>
      </c>
      <c r="T42" s="36">
        <v>3.4145E-3</v>
      </c>
      <c r="U42" s="37">
        <v>0.21052631578947367</v>
      </c>
      <c r="V42"/>
    </row>
    <row r="43" spans="1:22" ht="17" x14ac:dyDescent="0.2">
      <c r="A43" s="36" t="s">
        <v>68</v>
      </c>
      <c r="B43" s="45" t="str">
        <f>VLOOKUP(Tabella1[[#This Row],[test_id]],experiments_specs!A:J,2,FALSE)</f>
        <v>NN,JJ,VB,VBD,VBG,VBN,VBP,VBZ</v>
      </c>
      <c r="C43" s="38">
        <f>VLOOKUP(Tabella1[[#This Row],[test_id]],experiments_specs!A:J,3,FALSE)</f>
        <v>1</v>
      </c>
      <c r="D43" s="38">
        <f>VLOOKUP(Tabella1[[#This Row],[test_id]],experiments_specs!A:J,4,FALSE)</f>
        <v>2</v>
      </c>
      <c r="E43" s="38" t="str">
        <f>VLOOKUP(Tabella1[[#This Row],[test_id]],experiments_specs!A:J,5,FALSE)</f>
        <v>False</v>
      </c>
      <c r="F43" s="38" t="str">
        <f>VLOOKUP(Tabella1[[#This Row],[test_id]],experiments_specs!A:J,6,FALSE)</f>
        <v>True</v>
      </c>
      <c r="G43" s="38" t="str">
        <f>VLOOKUP(Tabella1[[#This Row],[test_id]],experiments_specs!A:J,7,FALSE)</f>
        <v>False</v>
      </c>
      <c r="H43" s="38" t="str">
        <f>VLOOKUP(Tabella1[[#This Row],[test_id]],experiments_specs!A:J,8,FALSE)</f>
        <v>False</v>
      </c>
      <c r="I43" s="45" t="str">
        <f>VLOOKUP(Tabella1[[#This Row],[test_id]],experiments_specs!A:J,9,FALSE)</f>
        <v>wup_similarity</v>
      </c>
      <c r="J43" s="38" t="str">
        <f>VLOOKUP(Tabella1[[#This Row],[test_id]],experiments_specs!A:J,10,FALSE)</f>
        <v>False</v>
      </c>
      <c r="K43" s="40" t="s">
        <v>19</v>
      </c>
      <c r="L43" s="36" t="s">
        <v>225</v>
      </c>
      <c r="M43" s="36">
        <v>0.14126440000000001</v>
      </c>
      <c r="N43" s="36" t="s">
        <v>226</v>
      </c>
      <c r="O43" s="36">
        <v>2.2051000000000002E-3</v>
      </c>
      <c r="P43" s="36">
        <v>0.17391304347826086</v>
      </c>
      <c r="Q43" s="36" t="s">
        <v>227</v>
      </c>
      <c r="R43" s="36">
        <v>0</v>
      </c>
      <c r="S43" s="36" t="s">
        <v>228</v>
      </c>
      <c r="T43" s="36">
        <v>5.6026000000000001E-3</v>
      </c>
      <c r="U43" s="37">
        <v>0.11764705882352941</v>
      </c>
      <c r="V43"/>
    </row>
    <row r="44" spans="1:22" ht="17" x14ac:dyDescent="0.2">
      <c r="A44" s="36" t="s">
        <v>68</v>
      </c>
      <c r="B44" s="45" t="str">
        <f>VLOOKUP(Tabella1[[#This Row],[test_id]],experiments_specs!A:J,2,FALSE)</f>
        <v>NN,JJ,VB,VBD,VBG,VBN,VBP,VBZ</v>
      </c>
      <c r="C44" s="38">
        <f>VLOOKUP(Tabella1[[#This Row],[test_id]],experiments_specs!A:J,3,FALSE)</f>
        <v>1</v>
      </c>
      <c r="D44" s="38">
        <f>VLOOKUP(Tabella1[[#This Row],[test_id]],experiments_specs!A:J,4,FALSE)</f>
        <v>2</v>
      </c>
      <c r="E44" s="38" t="str">
        <f>VLOOKUP(Tabella1[[#This Row],[test_id]],experiments_specs!A:J,5,FALSE)</f>
        <v>False</v>
      </c>
      <c r="F44" s="38" t="str">
        <f>VLOOKUP(Tabella1[[#This Row],[test_id]],experiments_specs!A:J,6,FALSE)</f>
        <v>True</v>
      </c>
      <c r="G44" s="38" t="str">
        <f>VLOOKUP(Tabella1[[#This Row],[test_id]],experiments_specs!A:J,7,FALSE)</f>
        <v>False</v>
      </c>
      <c r="H44" s="38" t="str">
        <f>VLOOKUP(Tabella1[[#This Row],[test_id]],experiments_specs!A:J,8,FALSE)</f>
        <v>False</v>
      </c>
      <c r="I44" s="45" t="str">
        <f>VLOOKUP(Tabella1[[#This Row],[test_id]],experiments_specs!A:J,9,FALSE)</f>
        <v>wup_similarity</v>
      </c>
      <c r="J44" s="38" t="str">
        <f>VLOOKUP(Tabella1[[#This Row],[test_id]],experiments_specs!A:J,10,FALSE)</f>
        <v>False</v>
      </c>
      <c r="K44" s="40" t="s">
        <v>12</v>
      </c>
      <c r="L44" s="36" t="s">
        <v>251</v>
      </c>
      <c r="M44" s="36">
        <v>0.14586489999999999</v>
      </c>
      <c r="N44" s="36" t="s">
        <v>236</v>
      </c>
      <c r="O44" s="36">
        <v>3.1492999999999998E-3</v>
      </c>
      <c r="P44" s="36">
        <v>0.125</v>
      </c>
      <c r="Q44" s="36" t="s">
        <v>235</v>
      </c>
      <c r="R44" s="36">
        <v>0</v>
      </c>
      <c r="S44" s="36" t="s">
        <v>236</v>
      </c>
      <c r="T44" s="36">
        <v>7.2126999999999998E-3</v>
      </c>
      <c r="U44" s="37">
        <v>0.125</v>
      </c>
      <c r="V44"/>
    </row>
    <row r="45" spans="1:22" ht="17" x14ac:dyDescent="0.2">
      <c r="A45" s="36" t="s">
        <v>68</v>
      </c>
      <c r="B45" s="45" t="str">
        <f>VLOOKUP(Tabella1[[#This Row],[test_id]],experiments_specs!A:J,2,FALSE)</f>
        <v>NN,JJ,VB,VBD,VBG,VBN,VBP,VBZ</v>
      </c>
      <c r="C45" s="38">
        <f>VLOOKUP(Tabella1[[#This Row],[test_id]],experiments_specs!A:J,3,FALSE)</f>
        <v>1</v>
      </c>
      <c r="D45" s="38">
        <f>VLOOKUP(Tabella1[[#This Row],[test_id]],experiments_specs!A:J,4,FALSE)</f>
        <v>2</v>
      </c>
      <c r="E45" s="38" t="str">
        <f>VLOOKUP(Tabella1[[#This Row],[test_id]],experiments_specs!A:J,5,FALSE)</f>
        <v>False</v>
      </c>
      <c r="F45" s="38" t="str">
        <f>VLOOKUP(Tabella1[[#This Row],[test_id]],experiments_specs!A:J,6,FALSE)</f>
        <v>True</v>
      </c>
      <c r="G45" s="38" t="str">
        <f>VLOOKUP(Tabella1[[#This Row],[test_id]],experiments_specs!A:J,7,FALSE)</f>
        <v>False</v>
      </c>
      <c r="H45" s="38" t="str">
        <f>VLOOKUP(Tabella1[[#This Row],[test_id]],experiments_specs!A:J,8,FALSE)</f>
        <v>False</v>
      </c>
      <c r="I45" s="45" t="str">
        <f>VLOOKUP(Tabella1[[#This Row],[test_id]],experiments_specs!A:J,9,FALSE)</f>
        <v>wup_similarity</v>
      </c>
      <c r="J45" s="38" t="str">
        <f>VLOOKUP(Tabella1[[#This Row],[test_id]],experiments_specs!A:J,10,FALSE)</f>
        <v>False</v>
      </c>
      <c r="K45" s="40" t="s">
        <v>13</v>
      </c>
      <c r="L45" s="36" t="s">
        <v>199</v>
      </c>
      <c r="M45" s="36">
        <v>0.17025129999999999</v>
      </c>
      <c r="N45" s="36" t="s">
        <v>200</v>
      </c>
      <c r="O45" s="36">
        <v>5.1424000000000001E-3</v>
      </c>
      <c r="P45" s="36" t="s">
        <v>25</v>
      </c>
      <c r="Q45" s="36" t="s">
        <v>252</v>
      </c>
      <c r="R45" s="36">
        <v>0.13187599999999999</v>
      </c>
      <c r="S45" s="36" t="s">
        <v>253</v>
      </c>
      <c r="T45" s="36">
        <v>7.7020999999999999E-3</v>
      </c>
      <c r="U45" s="37">
        <v>0.4</v>
      </c>
      <c r="V45"/>
    </row>
    <row r="46" spans="1:22" ht="17" x14ac:dyDescent="0.2">
      <c r="A46" s="36" t="s">
        <v>68</v>
      </c>
      <c r="B46" s="45" t="str">
        <f>VLOOKUP(Tabella1[[#This Row],[test_id]],experiments_specs!A:J,2,FALSE)</f>
        <v>NN,JJ,VB,VBD,VBG,VBN,VBP,VBZ</v>
      </c>
      <c r="C46" s="38">
        <f>VLOOKUP(Tabella1[[#This Row],[test_id]],experiments_specs!A:J,3,FALSE)</f>
        <v>1</v>
      </c>
      <c r="D46" s="38">
        <f>VLOOKUP(Tabella1[[#This Row],[test_id]],experiments_specs!A:J,4,FALSE)</f>
        <v>2</v>
      </c>
      <c r="E46" s="38" t="str">
        <f>VLOOKUP(Tabella1[[#This Row],[test_id]],experiments_specs!A:J,5,FALSE)</f>
        <v>False</v>
      </c>
      <c r="F46" s="38" t="str">
        <f>VLOOKUP(Tabella1[[#This Row],[test_id]],experiments_specs!A:J,6,FALSE)</f>
        <v>True</v>
      </c>
      <c r="G46" s="38" t="str">
        <f>VLOOKUP(Tabella1[[#This Row],[test_id]],experiments_specs!A:J,7,FALSE)</f>
        <v>False</v>
      </c>
      <c r="H46" s="38" t="str">
        <f>VLOOKUP(Tabella1[[#This Row],[test_id]],experiments_specs!A:J,8,FALSE)</f>
        <v>False</v>
      </c>
      <c r="I46" s="45" t="str">
        <f>VLOOKUP(Tabella1[[#This Row],[test_id]],experiments_specs!A:J,9,FALSE)</f>
        <v>wup_similarity</v>
      </c>
      <c r="J46" s="38" t="str">
        <f>VLOOKUP(Tabella1[[#This Row],[test_id]],experiments_specs!A:J,10,FALSE)</f>
        <v>False</v>
      </c>
      <c r="K46" s="40" t="s">
        <v>14</v>
      </c>
      <c r="L46" s="36" t="s">
        <v>202</v>
      </c>
      <c r="M46" s="36">
        <v>7.5485099999999999E-2</v>
      </c>
      <c r="N46" s="36" t="s">
        <v>203</v>
      </c>
      <c r="O46" s="36">
        <v>3.1069000000000001E-3</v>
      </c>
      <c r="P46" s="36">
        <v>0.14285714285714285</v>
      </c>
      <c r="Q46" s="36" t="s">
        <v>204</v>
      </c>
      <c r="R46" s="36">
        <v>0</v>
      </c>
      <c r="S46" s="36" t="s">
        <v>205</v>
      </c>
      <c r="T46" s="36">
        <v>4.9344000000000002E-3</v>
      </c>
      <c r="U46" s="37">
        <v>0.625</v>
      </c>
      <c r="V46"/>
    </row>
    <row r="47" spans="1:22" ht="34" x14ac:dyDescent="0.2">
      <c r="A47" s="36" t="s">
        <v>68</v>
      </c>
      <c r="B47" s="45" t="str">
        <f>VLOOKUP(Tabella1[[#This Row],[test_id]],experiments_specs!A:J,2,FALSE)</f>
        <v>NN,JJ,VB,VBD,VBG,VBN,VBP,VBZ</v>
      </c>
      <c r="C47" s="38">
        <f>VLOOKUP(Tabella1[[#This Row],[test_id]],experiments_specs!A:J,3,FALSE)</f>
        <v>1</v>
      </c>
      <c r="D47" s="38">
        <f>VLOOKUP(Tabella1[[#This Row],[test_id]],experiments_specs!A:J,4,FALSE)</f>
        <v>2</v>
      </c>
      <c r="E47" s="38" t="str">
        <f>VLOOKUP(Tabella1[[#This Row],[test_id]],experiments_specs!A:J,5,FALSE)</f>
        <v>False</v>
      </c>
      <c r="F47" s="38" t="str">
        <f>VLOOKUP(Tabella1[[#This Row],[test_id]],experiments_specs!A:J,6,FALSE)</f>
        <v>True</v>
      </c>
      <c r="G47" s="38" t="str">
        <f>VLOOKUP(Tabella1[[#This Row],[test_id]],experiments_specs!A:J,7,FALSE)</f>
        <v>False</v>
      </c>
      <c r="H47" s="38" t="str">
        <f>VLOOKUP(Tabella1[[#This Row],[test_id]],experiments_specs!A:J,8,FALSE)</f>
        <v>False</v>
      </c>
      <c r="I47" s="45" t="str">
        <f>VLOOKUP(Tabella1[[#This Row],[test_id]],experiments_specs!A:J,9,FALSE)</f>
        <v>wup_similarity</v>
      </c>
      <c r="J47" s="38" t="str">
        <f>VLOOKUP(Tabella1[[#This Row],[test_id]],experiments_specs!A:J,10,FALSE)</f>
        <v>False</v>
      </c>
      <c r="K47" s="40" t="s">
        <v>15</v>
      </c>
      <c r="L47" s="36" t="s">
        <v>237</v>
      </c>
      <c r="M47" s="36">
        <v>0</v>
      </c>
      <c r="N47" s="36" t="s">
        <v>238</v>
      </c>
      <c r="O47" s="36">
        <v>2.4434000000000001E-3</v>
      </c>
      <c r="P47" s="36">
        <v>0.2</v>
      </c>
      <c r="Q47" s="36" t="s">
        <v>255</v>
      </c>
      <c r="R47" s="36" t="s">
        <v>186</v>
      </c>
      <c r="S47" s="36" t="s">
        <v>257</v>
      </c>
      <c r="T47" s="36" t="s">
        <v>265</v>
      </c>
      <c r="U47" s="37">
        <v>0.22222222222222221</v>
      </c>
      <c r="V47"/>
    </row>
    <row r="48" spans="1:22" ht="17" x14ac:dyDescent="0.2">
      <c r="A48" s="36" t="s">
        <v>68</v>
      </c>
      <c r="B48" s="45" t="str">
        <f>VLOOKUP(Tabella1[[#This Row],[test_id]],experiments_specs!A:J,2,FALSE)</f>
        <v>NN,JJ,VB,VBD,VBG,VBN,VBP,VBZ</v>
      </c>
      <c r="C48" s="38">
        <f>VLOOKUP(Tabella1[[#This Row],[test_id]],experiments_specs!A:J,3,FALSE)</f>
        <v>1</v>
      </c>
      <c r="D48" s="38">
        <f>VLOOKUP(Tabella1[[#This Row],[test_id]],experiments_specs!A:J,4,FALSE)</f>
        <v>2</v>
      </c>
      <c r="E48" s="38" t="str">
        <f>VLOOKUP(Tabella1[[#This Row],[test_id]],experiments_specs!A:J,5,FALSE)</f>
        <v>False</v>
      </c>
      <c r="F48" s="38" t="str">
        <f>VLOOKUP(Tabella1[[#This Row],[test_id]],experiments_specs!A:J,6,FALSE)</f>
        <v>True</v>
      </c>
      <c r="G48" s="38" t="str">
        <f>VLOOKUP(Tabella1[[#This Row],[test_id]],experiments_specs!A:J,7,FALSE)</f>
        <v>False</v>
      </c>
      <c r="H48" s="38" t="str">
        <f>VLOOKUP(Tabella1[[#This Row],[test_id]],experiments_specs!A:J,8,FALSE)</f>
        <v>False</v>
      </c>
      <c r="I48" s="45" t="str">
        <f>VLOOKUP(Tabella1[[#This Row],[test_id]],experiments_specs!A:J,9,FALSE)</f>
        <v>wup_similarity</v>
      </c>
      <c r="J48" s="38" t="str">
        <f>VLOOKUP(Tabella1[[#This Row],[test_id]],experiments_specs!A:J,10,FALSE)</f>
        <v>False</v>
      </c>
      <c r="K48" s="40" t="s">
        <v>16</v>
      </c>
      <c r="L48" s="36" t="s">
        <v>208</v>
      </c>
      <c r="M48" s="36">
        <v>0.1666666</v>
      </c>
      <c r="N48" s="36" t="s">
        <v>209</v>
      </c>
      <c r="O48" s="36">
        <v>2.8305000000000001E-3</v>
      </c>
      <c r="P48" s="36">
        <v>0.55555555555555558</v>
      </c>
      <c r="Q48" s="36" t="s">
        <v>227</v>
      </c>
      <c r="R48" s="36">
        <v>0</v>
      </c>
      <c r="S48" s="36" t="s">
        <v>245</v>
      </c>
      <c r="T48" s="36">
        <v>6.0140000000000002E-3</v>
      </c>
      <c r="U48" s="37">
        <v>0.14285714285714285</v>
      </c>
      <c r="V48"/>
    </row>
    <row r="49" spans="1:22" ht="17" x14ac:dyDescent="0.2">
      <c r="A49" s="36" t="s">
        <v>68</v>
      </c>
      <c r="B49" s="45" t="str">
        <f>VLOOKUP(Tabella1[[#This Row],[test_id]],experiments_specs!A:J,2,FALSE)</f>
        <v>NN,JJ,VB,VBD,VBG,VBN,VBP,VBZ</v>
      </c>
      <c r="C49" s="38">
        <f>VLOOKUP(Tabella1[[#This Row],[test_id]],experiments_specs!A:J,3,FALSE)</f>
        <v>1</v>
      </c>
      <c r="D49" s="38">
        <f>VLOOKUP(Tabella1[[#This Row],[test_id]],experiments_specs!A:J,4,FALSE)</f>
        <v>2</v>
      </c>
      <c r="E49" s="38" t="str">
        <f>VLOOKUP(Tabella1[[#This Row],[test_id]],experiments_specs!A:J,5,FALSE)</f>
        <v>False</v>
      </c>
      <c r="F49" s="38" t="str">
        <f>VLOOKUP(Tabella1[[#This Row],[test_id]],experiments_specs!A:J,6,FALSE)</f>
        <v>True</v>
      </c>
      <c r="G49" s="38" t="str">
        <f>VLOOKUP(Tabella1[[#This Row],[test_id]],experiments_specs!A:J,7,FALSE)</f>
        <v>False</v>
      </c>
      <c r="H49" s="38" t="str">
        <f>VLOOKUP(Tabella1[[#This Row],[test_id]],experiments_specs!A:J,8,FALSE)</f>
        <v>False</v>
      </c>
      <c r="I49" s="45" t="str">
        <f>VLOOKUP(Tabella1[[#This Row],[test_id]],experiments_specs!A:J,9,FALSE)</f>
        <v>wup_similarity</v>
      </c>
      <c r="J49" s="38" t="str">
        <f>VLOOKUP(Tabella1[[#This Row],[test_id]],experiments_specs!A:J,10,FALSE)</f>
        <v>False</v>
      </c>
      <c r="K49" s="40" t="s">
        <v>17</v>
      </c>
      <c r="L49" s="36" t="s">
        <v>30</v>
      </c>
      <c r="M49" s="36">
        <v>0.1028688</v>
      </c>
      <c r="N49" s="36" t="s">
        <v>31</v>
      </c>
      <c r="O49" s="36">
        <v>2.8416000000000001E-3</v>
      </c>
      <c r="P49" s="36">
        <v>0.22222222222222221</v>
      </c>
      <c r="Q49" s="36" t="s">
        <v>30</v>
      </c>
      <c r="R49" s="36">
        <v>0.1028688</v>
      </c>
      <c r="S49" s="36" t="s">
        <v>31</v>
      </c>
      <c r="T49" s="36">
        <v>1.5320800000000001E-2</v>
      </c>
      <c r="U49" s="37">
        <v>0.22222222222222221</v>
      </c>
      <c r="V49"/>
    </row>
    <row r="50" spans="1:22" ht="17" x14ac:dyDescent="0.2">
      <c r="A50" s="36" t="s">
        <v>68</v>
      </c>
      <c r="B50" s="45" t="str">
        <f>VLOOKUP(Tabella1[[#This Row],[test_id]],experiments_specs!A:J,2,FALSE)</f>
        <v>NN,JJ,VB,VBD,VBG,VBN,VBP,VBZ</v>
      </c>
      <c r="C50" s="38">
        <f>VLOOKUP(Tabella1[[#This Row],[test_id]],experiments_specs!A:J,3,FALSE)</f>
        <v>1</v>
      </c>
      <c r="D50" s="38">
        <f>VLOOKUP(Tabella1[[#This Row],[test_id]],experiments_specs!A:J,4,FALSE)</f>
        <v>2</v>
      </c>
      <c r="E50" s="38" t="str">
        <f>VLOOKUP(Tabella1[[#This Row],[test_id]],experiments_specs!A:J,5,FALSE)</f>
        <v>False</v>
      </c>
      <c r="F50" s="38" t="str">
        <f>VLOOKUP(Tabella1[[#This Row],[test_id]],experiments_specs!A:J,6,FALSE)</f>
        <v>True</v>
      </c>
      <c r="G50" s="38" t="str">
        <f>VLOOKUP(Tabella1[[#This Row],[test_id]],experiments_specs!A:J,7,FALSE)</f>
        <v>False</v>
      </c>
      <c r="H50" s="38" t="str">
        <f>VLOOKUP(Tabella1[[#This Row],[test_id]],experiments_specs!A:J,8,FALSE)</f>
        <v>False</v>
      </c>
      <c r="I50" s="45" t="str">
        <f>VLOOKUP(Tabella1[[#This Row],[test_id]],experiments_specs!A:J,9,FALSE)</f>
        <v>wup_similarity</v>
      </c>
      <c r="J50" s="38" t="str">
        <f>VLOOKUP(Tabella1[[#This Row],[test_id]],experiments_specs!A:J,10,FALSE)</f>
        <v>False</v>
      </c>
      <c r="K50" s="40" t="s">
        <v>18</v>
      </c>
      <c r="L50" s="36" t="s">
        <v>222</v>
      </c>
      <c r="M50" s="36">
        <v>0.1105064</v>
      </c>
      <c r="N50" s="36" t="s">
        <v>223</v>
      </c>
      <c r="O50" s="36">
        <v>1.2853000000000001E-3</v>
      </c>
      <c r="P50" s="36">
        <v>0.21052631578947367</v>
      </c>
      <c r="Q50" s="36" t="s">
        <v>227</v>
      </c>
      <c r="R50" s="36">
        <v>0</v>
      </c>
      <c r="S50" s="36" t="s">
        <v>248</v>
      </c>
      <c r="T50" s="36">
        <v>2.9761000000000002E-3</v>
      </c>
      <c r="U50" s="37">
        <v>0.11764705882352941</v>
      </c>
      <c r="V50"/>
    </row>
    <row r="51" spans="1:22" ht="34" x14ac:dyDescent="0.2">
      <c r="A51" s="36" t="s">
        <v>70</v>
      </c>
      <c r="B51" s="45" t="str">
        <f>VLOOKUP(Tabella1[[#This Row],[test_id]],experiments_specs!A:J,2,FALSE)</f>
        <v>NN</v>
      </c>
      <c r="C51" s="38">
        <f>VLOOKUP(Tabella1[[#This Row],[test_id]],experiments_specs!A:J,3,FALSE)</f>
        <v>1</v>
      </c>
      <c r="D51" s="38">
        <f>VLOOKUP(Tabella1[[#This Row],[test_id]],experiments_specs!A:J,4,FALSE)</f>
        <v>2</v>
      </c>
      <c r="E51" s="38" t="str">
        <f>VLOOKUP(Tabella1[[#This Row],[test_id]],experiments_specs!A:J,5,FALSE)</f>
        <v>True</v>
      </c>
      <c r="F51" s="38" t="str">
        <f>VLOOKUP(Tabella1[[#This Row],[test_id]],experiments_specs!A:J,6,FALSE)</f>
        <v>True</v>
      </c>
      <c r="G51" s="38" t="str">
        <f>VLOOKUP(Tabella1[[#This Row],[test_id]],experiments_specs!A:J,7,FALSE)</f>
        <v>False</v>
      </c>
      <c r="H51" s="38" t="str">
        <f>VLOOKUP(Tabella1[[#This Row],[test_id]],experiments_specs!A:J,8,FALSE)</f>
        <v>False</v>
      </c>
      <c r="I51" s="45" t="str">
        <f>VLOOKUP(Tabella1[[#This Row],[test_id]],experiments_specs!A:J,9,FALSE)</f>
        <v>wup_similarity</v>
      </c>
      <c r="J51" s="38" t="str">
        <f>VLOOKUP(Tabella1[[#This Row],[test_id]],experiments_specs!A:J,10,FALSE)</f>
        <v>False</v>
      </c>
      <c r="K51" s="40" t="s">
        <v>19</v>
      </c>
      <c r="L51" s="36" t="s">
        <v>20</v>
      </c>
      <c r="M51" s="36" t="s">
        <v>194</v>
      </c>
      <c r="N51" s="36" t="s">
        <v>21</v>
      </c>
      <c r="O51" s="36" t="s">
        <v>267</v>
      </c>
      <c r="P51" s="36">
        <v>0.19047619047619047</v>
      </c>
      <c r="Q51" s="36" t="s">
        <v>47</v>
      </c>
      <c r="R51" s="36">
        <v>0</v>
      </c>
      <c r="S51" s="36" t="s">
        <v>48</v>
      </c>
      <c r="T51" s="36">
        <v>2.4659E-2</v>
      </c>
      <c r="U51" s="37">
        <v>0.2</v>
      </c>
      <c r="V51"/>
    </row>
    <row r="52" spans="1:22" ht="17" x14ac:dyDescent="0.2">
      <c r="A52" s="36" t="s">
        <v>70</v>
      </c>
      <c r="B52" s="45" t="str">
        <f>VLOOKUP(Tabella1[[#This Row],[test_id]],experiments_specs!A:J,2,FALSE)</f>
        <v>NN</v>
      </c>
      <c r="C52" s="38">
        <f>VLOOKUP(Tabella1[[#This Row],[test_id]],experiments_specs!A:J,3,FALSE)</f>
        <v>1</v>
      </c>
      <c r="D52" s="38">
        <f>VLOOKUP(Tabella1[[#This Row],[test_id]],experiments_specs!A:J,4,FALSE)</f>
        <v>2</v>
      </c>
      <c r="E52" s="38" t="str">
        <f>VLOOKUP(Tabella1[[#This Row],[test_id]],experiments_specs!A:J,5,FALSE)</f>
        <v>True</v>
      </c>
      <c r="F52" s="38" t="str">
        <f>VLOOKUP(Tabella1[[#This Row],[test_id]],experiments_specs!A:J,6,FALSE)</f>
        <v>True</v>
      </c>
      <c r="G52" s="38" t="str">
        <f>VLOOKUP(Tabella1[[#This Row],[test_id]],experiments_specs!A:J,7,FALSE)</f>
        <v>False</v>
      </c>
      <c r="H52" s="38" t="str">
        <f>VLOOKUP(Tabella1[[#This Row],[test_id]],experiments_specs!A:J,8,FALSE)</f>
        <v>False</v>
      </c>
      <c r="I52" s="45" t="str">
        <f>VLOOKUP(Tabella1[[#This Row],[test_id]],experiments_specs!A:J,9,FALSE)</f>
        <v>wup_similarity</v>
      </c>
      <c r="J52" s="38" t="str">
        <f>VLOOKUP(Tabella1[[#This Row],[test_id]],experiments_specs!A:J,10,FALSE)</f>
        <v>False</v>
      </c>
      <c r="K52" s="40" t="s">
        <v>12</v>
      </c>
      <c r="L52" s="36" t="s">
        <v>22</v>
      </c>
      <c r="M52" s="36">
        <v>0.1102635</v>
      </c>
      <c r="N52" s="36" t="s">
        <v>23</v>
      </c>
      <c r="O52" s="36">
        <v>6.0776999999999998E-2</v>
      </c>
      <c r="P52" s="36">
        <v>0.42857142857142855</v>
      </c>
      <c r="Q52" s="36" t="s">
        <v>24</v>
      </c>
      <c r="R52" s="36">
        <v>5.5131699999999999E-2</v>
      </c>
      <c r="S52" s="36" t="s">
        <v>23</v>
      </c>
      <c r="T52" s="36">
        <v>6.0776999999999998E-2</v>
      </c>
      <c r="U52" s="37">
        <v>0.42857142857142855</v>
      </c>
      <c r="V52"/>
    </row>
    <row r="53" spans="1:22" ht="17" x14ac:dyDescent="0.2">
      <c r="A53" s="36" t="s">
        <v>70</v>
      </c>
      <c r="B53" s="45" t="str">
        <f>VLOOKUP(Tabella1[[#This Row],[test_id]],experiments_specs!A:J,2,FALSE)</f>
        <v>NN</v>
      </c>
      <c r="C53" s="38">
        <f>VLOOKUP(Tabella1[[#This Row],[test_id]],experiments_specs!A:J,3,FALSE)</f>
        <v>1</v>
      </c>
      <c r="D53" s="38">
        <f>VLOOKUP(Tabella1[[#This Row],[test_id]],experiments_specs!A:J,4,FALSE)</f>
        <v>2</v>
      </c>
      <c r="E53" s="38" t="str">
        <f>VLOOKUP(Tabella1[[#This Row],[test_id]],experiments_specs!A:J,5,FALSE)</f>
        <v>True</v>
      </c>
      <c r="F53" s="38" t="str">
        <f>VLOOKUP(Tabella1[[#This Row],[test_id]],experiments_specs!A:J,6,FALSE)</f>
        <v>True</v>
      </c>
      <c r="G53" s="38" t="str">
        <f>VLOOKUP(Tabella1[[#This Row],[test_id]],experiments_specs!A:J,7,FALSE)</f>
        <v>False</v>
      </c>
      <c r="H53" s="38" t="str">
        <f>VLOOKUP(Tabella1[[#This Row],[test_id]],experiments_specs!A:J,8,FALSE)</f>
        <v>False</v>
      </c>
      <c r="I53" s="45" t="str">
        <f>VLOOKUP(Tabella1[[#This Row],[test_id]],experiments_specs!A:J,9,FALSE)</f>
        <v>wup_similarity</v>
      </c>
      <c r="J53" s="38" t="str">
        <f>VLOOKUP(Tabella1[[#This Row],[test_id]],experiments_specs!A:J,10,FALSE)</f>
        <v>False</v>
      </c>
      <c r="K53" s="40" t="s">
        <v>13</v>
      </c>
      <c r="L53" s="36" t="s">
        <v>32</v>
      </c>
      <c r="M53" s="36">
        <v>0.14744189999999999</v>
      </c>
      <c r="N53" s="36" t="s">
        <v>33</v>
      </c>
      <c r="O53" s="36">
        <v>3.6860400000000001E-2</v>
      </c>
      <c r="P53" s="36">
        <v>0.4</v>
      </c>
      <c r="Q53" s="36" t="s">
        <v>34</v>
      </c>
      <c r="R53" s="36">
        <v>0</v>
      </c>
      <c r="S53" s="36" t="s">
        <v>35</v>
      </c>
      <c r="T53" s="36">
        <v>3.6860400000000001E-2</v>
      </c>
      <c r="U53" s="37" t="s">
        <v>25</v>
      </c>
      <c r="V53"/>
    </row>
    <row r="54" spans="1:22" ht="34" x14ac:dyDescent="0.2">
      <c r="A54" s="36" t="s">
        <v>70</v>
      </c>
      <c r="B54" s="45" t="str">
        <f>VLOOKUP(Tabella1[[#This Row],[test_id]],experiments_specs!A:J,2,FALSE)</f>
        <v>NN</v>
      </c>
      <c r="C54" s="38">
        <f>VLOOKUP(Tabella1[[#This Row],[test_id]],experiments_specs!A:J,3,FALSE)</f>
        <v>1</v>
      </c>
      <c r="D54" s="38">
        <f>VLOOKUP(Tabella1[[#This Row],[test_id]],experiments_specs!A:J,4,FALSE)</f>
        <v>2</v>
      </c>
      <c r="E54" s="38" t="str">
        <f>VLOOKUP(Tabella1[[#This Row],[test_id]],experiments_specs!A:J,5,FALSE)</f>
        <v>True</v>
      </c>
      <c r="F54" s="38" t="str">
        <f>VLOOKUP(Tabella1[[#This Row],[test_id]],experiments_specs!A:J,6,FALSE)</f>
        <v>True</v>
      </c>
      <c r="G54" s="38" t="str">
        <f>VLOOKUP(Tabella1[[#This Row],[test_id]],experiments_specs!A:J,7,FALSE)</f>
        <v>False</v>
      </c>
      <c r="H54" s="38" t="str">
        <f>VLOOKUP(Tabella1[[#This Row],[test_id]],experiments_specs!A:J,8,FALSE)</f>
        <v>False</v>
      </c>
      <c r="I54" s="45" t="str">
        <f>VLOOKUP(Tabella1[[#This Row],[test_id]],experiments_specs!A:J,9,FALSE)</f>
        <v>wup_similarity</v>
      </c>
      <c r="J54" s="38" t="str">
        <f>VLOOKUP(Tabella1[[#This Row],[test_id]],experiments_specs!A:J,10,FALSE)</f>
        <v>False</v>
      </c>
      <c r="K54" s="40" t="s">
        <v>14</v>
      </c>
      <c r="L54" s="36" t="s">
        <v>36</v>
      </c>
      <c r="M54" s="36" t="s">
        <v>269</v>
      </c>
      <c r="N54" s="36" t="s">
        <v>37</v>
      </c>
      <c r="O54" s="36" t="s">
        <v>271</v>
      </c>
      <c r="P54" s="36">
        <v>0.33333333333333331</v>
      </c>
      <c r="Q54" s="36" t="s">
        <v>38</v>
      </c>
      <c r="R54" s="36" t="s">
        <v>273</v>
      </c>
      <c r="S54" s="36" t="s">
        <v>37</v>
      </c>
      <c r="T54" s="36" t="s">
        <v>275</v>
      </c>
      <c r="U54" s="37">
        <v>0.33333333333333331</v>
      </c>
      <c r="V54"/>
    </row>
    <row r="55" spans="1:22" ht="34" x14ac:dyDescent="0.2">
      <c r="A55" s="36" t="s">
        <v>70</v>
      </c>
      <c r="B55" s="45" t="str">
        <f>VLOOKUP(Tabella1[[#This Row],[test_id]],experiments_specs!A:J,2,FALSE)</f>
        <v>NN</v>
      </c>
      <c r="C55" s="38">
        <f>VLOOKUP(Tabella1[[#This Row],[test_id]],experiments_specs!A:J,3,FALSE)</f>
        <v>1</v>
      </c>
      <c r="D55" s="38">
        <f>VLOOKUP(Tabella1[[#This Row],[test_id]],experiments_specs!A:J,4,FALSE)</f>
        <v>2</v>
      </c>
      <c r="E55" s="38" t="str">
        <f>VLOOKUP(Tabella1[[#This Row],[test_id]],experiments_specs!A:J,5,FALSE)</f>
        <v>True</v>
      </c>
      <c r="F55" s="38" t="str">
        <f>VLOOKUP(Tabella1[[#This Row],[test_id]],experiments_specs!A:J,6,FALSE)</f>
        <v>True</v>
      </c>
      <c r="G55" s="38" t="str">
        <f>VLOOKUP(Tabella1[[#This Row],[test_id]],experiments_specs!A:J,7,FALSE)</f>
        <v>False</v>
      </c>
      <c r="H55" s="38" t="str">
        <f>VLOOKUP(Tabella1[[#This Row],[test_id]],experiments_specs!A:J,8,FALSE)</f>
        <v>False</v>
      </c>
      <c r="I55" s="45" t="str">
        <f>VLOOKUP(Tabella1[[#This Row],[test_id]],experiments_specs!A:J,9,FALSE)</f>
        <v>wup_similarity</v>
      </c>
      <c r="J55" s="38" t="str">
        <f>VLOOKUP(Tabella1[[#This Row],[test_id]],experiments_specs!A:J,10,FALSE)</f>
        <v>False</v>
      </c>
      <c r="K55" s="40" t="s">
        <v>15</v>
      </c>
      <c r="L55" s="36" t="s">
        <v>26</v>
      </c>
      <c r="M55" s="36">
        <v>0.1561737</v>
      </c>
      <c r="N55" s="36" t="s">
        <v>27</v>
      </c>
      <c r="O55" s="36">
        <v>2.23105E-2</v>
      </c>
      <c r="P55" s="36">
        <v>0.16666666666666666</v>
      </c>
      <c r="Q55" s="36" t="s">
        <v>28</v>
      </c>
      <c r="R55" s="36" t="s">
        <v>186</v>
      </c>
      <c r="S55" s="36" t="s">
        <v>29</v>
      </c>
      <c r="T55" s="36" t="s">
        <v>277</v>
      </c>
      <c r="U55" s="37">
        <v>0.18181818181818182</v>
      </c>
      <c r="V55"/>
    </row>
    <row r="56" spans="1:22" ht="17" x14ac:dyDescent="0.2">
      <c r="A56" s="36" t="s">
        <v>70</v>
      </c>
      <c r="B56" s="45" t="str">
        <f>VLOOKUP(Tabella1[[#This Row],[test_id]],experiments_specs!A:J,2,FALSE)</f>
        <v>NN</v>
      </c>
      <c r="C56" s="38">
        <f>VLOOKUP(Tabella1[[#This Row],[test_id]],experiments_specs!A:J,3,FALSE)</f>
        <v>1</v>
      </c>
      <c r="D56" s="38">
        <f>VLOOKUP(Tabella1[[#This Row],[test_id]],experiments_specs!A:J,4,FALSE)</f>
        <v>2</v>
      </c>
      <c r="E56" s="38" t="str">
        <f>VLOOKUP(Tabella1[[#This Row],[test_id]],experiments_specs!A:J,5,FALSE)</f>
        <v>True</v>
      </c>
      <c r="F56" s="38" t="str">
        <f>VLOOKUP(Tabella1[[#This Row],[test_id]],experiments_specs!A:J,6,FALSE)</f>
        <v>True</v>
      </c>
      <c r="G56" s="38" t="str">
        <f>VLOOKUP(Tabella1[[#This Row],[test_id]],experiments_specs!A:J,7,FALSE)</f>
        <v>False</v>
      </c>
      <c r="H56" s="38" t="str">
        <f>VLOOKUP(Tabella1[[#This Row],[test_id]],experiments_specs!A:J,8,FALSE)</f>
        <v>False</v>
      </c>
      <c r="I56" s="45" t="str">
        <f>VLOOKUP(Tabella1[[#This Row],[test_id]],experiments_specs!A:J,9,FALSE)</f>
        <v>wup_similarity</v>
      </c>
      <c r="J56" s="38" t="str">
        <f>VLOOKUP(Tabella1[[#This Row],[test_id]],experiments_specs!A:J,10,FALSE)</f>
        <v>False</v>
      </c>
      <c r="K56" s="40" t="s">
        <v>16</v>
      </c>
      <c r="L56" s="36" t="s">
        <v>39</v>
      </c>
      <c r="M56" s="36">
        <v>6.4549700000000002E-2</v>
      </c>
      <c r="N56" s="36" t="s">
        <v>40</v>
      </c>
      <c r="O56" s="36">
        <v>1.91366E-2</v>
      </c>
      <c r="P56" s="36">
        <v>0.22222222222222221</v>
      </c>
      <c r="Q56" s="36" t="s">
        <v>41</v>
      </c>
      <c r="R56" s="36">
        <v>4.1666599999999998E-2</v>
      </c>
      <c r="S56" s="36" t="s">
        <v>40</v>
      </c>
      <c r="T56" s="36">
        <v>1.8556699999999999E-2</v>
      </c>
      <c r="U56" s="37">
        <v>0.22222222222222221</v>
      </c>
      <c r="V56"/>
    </row>
    <row r="57" spans="1:22" ht="68" x14ac:dyDescent="0.2">
      <c r="A57" s="36" t="s">
        <v>70</v>
      </c>
      <c r="B57" s="45" t="str">
        <f>VLOOKUP(Tabella1[[#This Row],[test_id]],experiments_specs!A:J,2,FALSE)</f>
        <v>NN</v>
      </c>
      <c r="C57" s="38">
        <f>VLOOKUP(Tabella1[[#This Row],[test_id]],experiments_specs!A:J,3,FALSE)</f>
        <v>1</v>
      </c>
      <c r="D57" s="38">
        <f>VLOOKUP(Tabella1[[#This Row],[test_id]],experiments_specs!A:J,4,FALSE)</f>
        <v>2</v>
      </c>
      <c r="E57" s="38" t="str">
        <f>VLOOKUP(Tabella1[[#This Row],[test_id]],experiments_specs!A:J,5,FALSE)</f>
        <v>True</v>
      </c>
      <c r="F57" s="38" t="str">
        <f>VLOOKUP(Tabella1[[#This Row],[test_id]],experiments_specs!A:J,6,FALSE)</f>
        <v>True</v>
      </c>
      <c r="G57" s="38" t="str">
        <f>VLOOKUP(Tabella1[[#This Row],[test_id]],experiments_specs!A:J,7,FALSE)</f>
        <v>False</v>
      </c>
      <c r="H57" s="38" t="str">
        <f>VLOOKUP(Tabella1[[#This Row],[test_id]],experiments_specs!A:J,8,FALSE)</f>
        <v>False</v>
      </c>
      <c r="I57" s="45" t="str">
        <f>VLOOKUP(Tabella1[[#This Row],[test_id]],experiments_specs!A:J,9,FALSE)</f>
        <v>wup_similarity</v>
      </c>
      <c r="J57" s="38" t="str">
        <f>VLOOKUP(Tabella1[[#This Row],[test_id]],experiments_specs!A:J,10,FALSE)</f>
        <v>False</v>
      </c>
      <c r="K57" s="40" t="s">
        <v>17</v>
      </c>
      <c r="L57" s="36" t="s">
        <v>279</v>
      </c>
      <c r="M57" s="36" t="s">
        <v>281</v>
      </c>
      <c r="N57" s="36" t="s">
        <v>42</v>
      </c>
      <c r="O57" s="36" t="s">
        <v>283</v>
      </c>
      <c r="P57" s="36">
        <v>0.30769230769230771</v>
      </c>
      <c r="Q57" s="36" t="s">
        <v>43</v>
      </c>
      <c r="R57" s="36" t="s">
        <v>285</v>
      </c>
      <c r="S57" s="36" t="s">
        <v>42</v>
      </c>
      <c r="T57" s="36" t="s">
        <v>287</v>
      </c>
      <c r="U57" s="37">
        <v>0.30769230769230771</v>
      </c>
      <c r="V57"/>
    </row>
    <row r="58" spans="1:22" ht="34" x14ac:dyDescent="0.2">
      <c r="A58" s="36" t="s">
        <v>70</v>
      </c>
      <c r="B58" s="45" t="str">
        <f>VLOOKUP(Tabella1[[#This Row],[test_id]],experiments_specs!A:J,2,FALSE)</f>
        <v>NN</v>
      </c>
      <c r="C58" s="38">
        <f>VLOOKUP(Tabella1[[#This Row],[test_id]],experiments_specs!A:J,3,FALSE)</f>
        <v>1</v>
      </c>
      <c r="D58" s="38">
        <f>VLOOKUP(Tabella1[[#This Row],[test_id]],experiments_specs!A:J,4,FALSE)</f>
        <v>2</v>
      </c>
      <c r="E58" s="38" t="str">
        <f>VLOOKUP(Tabella1[[#This Row],[test_id]],experiments_specs!A:J,5,FALSE)</f>
        <v>True</v>
      </c>
      <c r="F58" s="38" t="str">
        <f>VLOOKUP(Tabella1[[#This Row],[test_id]],experiments_specs!A:J,6,FALSE)</f>
        <v>True</v>
      </c>
      <c r="G58" s="38" t="str">
        <f>VLOOKUP(Tabella1[[#This Row],[test_id]],experiments_specs!A:J,7,FALSE)</f>
        <v>False</v>
      </c>
      <c r="H58" s="38" t="str">
        <f>VLOOKUP(Tabella1[[#This Row],[test_id]],experiments_specs!A:J,8,FALSE)</f>
        <v>False</v>
      </c>
      <c r="I58" s="45" t="str">
        <f>VLOOKUP(Tabella1[[#This Row],[test_id]],experiments_specs!A:J,9,FALSE)</f>
        <v>wup_similarity</v>
      </c>
      <c r="J58" s="38" t="str">
        <f>VLOOKUP(Tabella1[[#This Row],[test_id]],experiments_specs!A:J,10,FALSE)</f>
        <v>False</v>
      </c>
      <c r="K58" s="40" t="s">
        <v>18</v>
      </c>
      <c r="L58" s="36" t="s">
        <v>44</v>
      </c>
      <c r="M58" s="36">
        <v>3.5267199999999999E-2</v>
      </c>
      <c r="N58" s="36" t="s">
        <v>45</v>
      </c>
      <c r="O58" s="36">
        <v>1.8864300000000001E-2</v>
      </c>
      <c r="P58" s="36">
        <v>0.21052631578947367</v>
      </c>
      <c r="Q58" s="36" t="s">
        <v>46</v>
      </c>
      <c r="R58" s="36">
        <v>0</v>
      </c>
      <c r="S58" s="36" t="s">
        <v>45</v>
      </c>
      <c r="T58" s="36">
        <v>1.8864300000000001E-2</v>
      </c>
      <c r="U58" s="37">
        <v>0.21052631578947367</v>
      </c>
      <c r="V58"/>
    </row>
    <row r="59" spans="1:22" ht="17" x14ac:dyDescent="0.2">
      <c r="A59" s="36" t="s">
        <v>71</v>
      </c>
      <c r="B59" s="45" t="str">
        <f>VLOOKUP(Tabella1[[#This Row],[test_id]],experiments_specs!A:J,2,FALSE)</f>
        <v>NN,JJ</v>
      </c>
      <c r="C59" s="38">
        <f>VLOOKUP(Tabella1[[#This Row],[test_id]],experiments_specs!A:J,3,FALSE)</f>
        <v>1</v>
      </c>
      <c r="D59" s="38">
        <f>VLOOKUP(Tabella1[[#This Row],[test_id]],experiments_specs!A:J,4,FALSE)</f>
        <v>2</v>
      </c>
      <c r="E59" s="38" t="str">
        <f>VLOOKUP(Tabella1[[#This Row],[test_id]],experiments_specs!A:J,5,FALSE)</f>
        <v>True</v>
      </c>
      <c r="F59" s="38" t="str">
        <f>VLOOKUP(Tabella1[[#This Row],[test_id]],experiments_specs!A:J,6,FALSE)</f>
        <v>True</v>
      </c>
      <c r="G59" s="38" t="str">
        <f>VLOOKUP(Tabella1[[#This Row],[test_id]],experiments_specs!A:J,7,FALSE)</f>
        <v>False</v>
      </c>
      <c r="H59" s="38" t="str">
        <f>VLOOKUP(Tabella1[[#This Row],[test_id]],experiments_specs!A:J,8,FALSE)</f>
        <v>False</v>
      </c>
      <c r="I59" s="45" t="str">
        <f>VLOOKUP(Tabella1[[#This Row],[test_id]],experiments_specs!A:J,9,FALSE)</f>
        <v>wup_similarity</v>
      </c>
      <c r="J59" s="38" t="str">
        <f>VLOOKUP(Tabella1[[#This Row],[test_id]],experiments_specs!A:J,10,FALSE)</f>
        <v>False</v>
      </c>
      <c r="K59" s="40" t="s">
        <v>19</v>
      </c>
      <c r="L59" s="36" t="s">
        <v>225</v>
      </c>
      <c r="M59" s="36">
        <v>0.14126440000000001</v>
      </c>
      <c r="N59" s="36" t="s">
        <v>226</v>
      </c>
      <c r="O59" s="36">
        <v>2.6177499999999999E-2</v>
      </c>
      <c r="P59" s="36">
        <v>0.17391304347826086</v>
      </c>
      <c r="Q59" s="36" t="s">
        <v>288</v>
      </c>
      <c r="R59" s="36">
        <v>0.139686</v>
      </c>
      <c r="S59" s="36" t="s">
        <v>226</v>
      </c>
      <c r="T59" s="36">
        <v>3.68864E-2</v>
      </c>
      <c r="U59" s="37">
        <v>0.17391304347826086</v>
      </c>
      <c r="V59"/>
    </row>
    <row r="60" spans="1:22" ht="17" x14ac:dyDescent="0.2">
      <c r="A60" s="36" t="s">
        <v>71</v>
      </c>
      <c r="B60" s="45" t="str">
        <f>VLOOKUP(Tabella1[[#This Row],[test_id]],experiments_specs!A:J,2,FALSE)</f>
        <v>NN,JJ</v>
      </c>
      <c r="C60" s="38">
        <f>VLOOKUP(Tabella1[[#This Row],[test_id]],experiments_specs!A:J,3,FALSE)</f>
        <v>1</v>
      </c>
      <c r="D60" s="38">
        <f>VLOOKUP(Tabella1[[#This Row],[test_id]],experiments_specs!A:J,4,FALSE)</f>
        <v>2</v>
      </c>
      <c r="E60" s="38" t="str">
        <f>VLOOKUP(Tabella1[[#This Row],[test_id]],experiments_specs!A:J,5,FALSE)</f>
        <v>True</v>
      </c>
      <c r="F60" s="38" t="str">
        <f>VLOOKUP(Tabella1[[#This Row],[test_id]],experiments_specs!A:J,6,FALSE)</f>
        <v>True</v>
      </c>
      <c r="G60" s="38" t="str">
        <f>VLOOKUP(Tabella1[[#This Row],[test_id]],experiments_specs!A:J,7,FALSE)</f>
        <v>False</v>
      </c>
      <c r="H60" s="38" t="str">
        <f>VLOOKUP(Tabella1[[#This Row],[test_id]],experiments_specs!A:J,8,FALSE)</f>
        <v>False</v>
      </c>
      <c r="I60" s="45" t="str">
        <f>VLOOKUP(Tabella1[[#This Row],[test_id]],experiments_specs!A:J,9,FALSE)</f>
        <v>wup_similarity</v>
      </c>
      <c r="J60" s="38" t="str">
        <f>VLOOKUP(Tabella1[[#This Row],[test_id]],experiments_specs!A:J,10,FALSE)</f>
        <v>False</v>
      </c>
      <c r="K60" s="40" t="s">
        <v>12</v>
      </c>
      <c r="L60" s="36" t="s">
        <v>22</v>
      </c>
      <c r="M60" s="36">
        <v>0.1102635</v>
      </c>
      <c r="N60" s="36" t="s">
        <v>23</v>
      </c>
      <c r="O60" s="36">
        <v>3.6466199999999997E-2</v>
      </c>
      <c r="P60" s="36">
        <v>0.42857142857142855</v>
      </c>
      <c r="Q60" s="36" t="s">
        <v>24</v>
      </c>
      <c r="R60" s="36">
        <v>5.5131699999999999E-2</v>
      </c>
      <c r="S60" s="36" t="s">
        <v>23</v>
      </c>
      <c r="T60" s="36">
        <v>5.7578200000000003E-2</v>
      </c>
      <c r="U60" s="37">
        <v>0.42857142857142855</v>
      </c>
      <c r="V60"/>
    </row>
    <row r="61" spans="1:22" ht="17" x14ac:dyDescent="0.2">
      <c r="A61" s="36" t="s">
        <v>71</v>
      </c>
      <c r="B61" s="45" t="str">
        <f>VLOOKUP(Tabella1[[#This Row],[test_id]],experiments_specs!A:J,2,FALSE)</f>
        <v>NN,JJ</v>
      </c>
      <c r="C61" s="38">
        <f>VLOOKUP(Tabella1[[#This Row],[test_id]],experiments_specs!A:J,3,FALSE)</f>
        <v>1</v>
      </c>
      <c r="D61" s="38">
        <f>VLOOKUP(Tabella1[[#This Row],[test_id]],experiments_specs!A:J,4,FALSE)</f>
        <v>2</v>
      </c>
      <c r="E61" s="38" t="str">
        <f>VLOOKUP(Tabella1[[#This Row],[test_id]],experiments_specs!A:J,5,FALSE)</f>
        <v>True</v>
      </c>
      <c r="F61" s="38" t="str">
        <f>VLOOKUP(Tabella1[[#This Row],[test_id]],experiments_specs!A:J,6,FALSE)</f>
        <v>True</v>
      </c>
      <c r="G61" s="38" t="str">
        <f>VLOOKUP(Tabella1[[#This Row],[test_id]],experiments_specs!A:J,7,FALSE)</f>
        <v>False</v>
      </c>
      <c r="H61" s="38" t="str">
        <f>VLOOKUP(Tabella1[[#This Row],[test_id]],experiments_specs!A:J,8,FALSE)</f>
        <v>False</v>
      </c>
      <c r="I61" s="45" t="str">
        <f>VLOOKUP(Tabella1[[#This Row],[test_id]],experiments_specs!A:J,9,FALSE)</f>
        <v>wup_similarity</v>
      </c>
      <c r="J61" s="38" t="str">
        <f>VLOOKUP(Tabella1[[#This Row],[test_id]],experiments_specs!A:J,10,FALSE)</f>
        <v>False</v>
      </c>
      <c r="K61" s="40" t="s">
        <v>13</v>
      </c>
      <c r="L61" s="36" t="s">
        <v>32</v>
      </c>
      <c r="M61" s="36">
        <v>0.14744189999999999</v>
      </c>
      <c r="N61" s="36" t="s">
        <v>33</v>
      </c>
      <c r="O61" s="36">
        <v>2.4573600000000001E-2</v>
      </c>
      <c r="P61" s="36">
        <v>0.4</v>
      </c>
      <c r="Q61" s="36" t="s">
        <v>34</v>
      </c>
      <c r="R61" s="36">
        <v>0</v>
      </c>
      <c r="S61" s="36" t="s">
        <v>35</v>
      </c>
      <c r="T61" s="36">
        <v>3.6860400000000001E-2</v>
      </c>
      <c r="U61" s="37" t="s">
        <v>25</v>
      </c>
      <c r="V61"/>
    </row>
    <row r="62" spans="1:22" ht="34" x14ac:dyDescent="0.2">
      <c r="A62" s="36" t="s">
        <v>71</v>
      </c>
      <c r="B62" s="45" t="str">
        <f>VLOOKUP(Tabella1[[#This Row],[test_id]],experiments_specs!A:J,2,FALSE)</f>
        <v>NN,JJ</v>
      </c>
      <c r="C62" s="38">
        <f>VLOOKUP(Tabella1[[#This Row],[test_id]],experiments_specs!A:J,3,FALSE)</f>
        <v>1</v>
      </c>
      <c r="D62" s="38">
        <f>VLOOKUP(Tabella1[[#This Row],[test_id]],experiments_specs!A:J,4,FALSE)</f>
        <v>2</v>
      </c>
      <c r="E62" s="38" t="str">
        <f>VLOOKUP(Tabella1[[#This Row],[test_id]],experiments_specs!A:J,5,FALSE)</f>
        <v>True</v>
      </c>
      <c r="F62" s="38" t="str">
        <f>VLOOKUP(Tabella1[[#This Row],[test_id]],experiments_specs!A:J,6,FALSE)</f>
        <v>True</v>
      </c>
      <c r="G62" s="38" t="str">
        <f>VLOOKUP(Tabella1[[#This Row],[test_id]],experiments_specs!A:J,7,FALSE)</f>
        <v>False</v>
      </c>
      <c r="H62" s="38" t="str">
        <f>VLOOKUP(Tabella1[[#This Row],[test_id]],experiments_specs!A:J,8,FALSE)</f>
        <v>False</v>
      </c>
      <c r="I62" s="45" t="str">
        <f>VLOOKUP(Tabella1[[#This Row],[test_id]],experiments_specs!A:J,9,FALSE)</f>
        <v>wup_similarity</v>
      </c>
      <c r="J62" s="38" t="str">
        <f>VLOOKUP(Tabella1[[#This Row],[test_id]],experiments_specs!A:J,10,FALSE)</f>
        <v>False</v>
      </c>
      <c r="K62" s="40" t="s">
        <v>14</v>
      </c>
      <c r="L62" s="36" t="s">
        <v>36</v>
      </c>
      <c r="M62" s="36" t="s">
        <v>269</v>
      </c>
      <c r="N62" s="36" t="s">
        <v>37</v>
      </c>
      <c r="O62" s="36" t="s">
        <v>290</v>
      </c>
      <c r="P62" s="36">
        <v>0.33333333333333331</v>
      </c>
      <c r="Q62" s="36" t="s">
        <v>38</v>
      </c>
      <c r="R62" s="36" t="s">
        <v>273</v>
      </c>
      <c r="S62" s="36" t="s">
        <v>37</v>
      </c>
      <c r="T62" s="36" t="s">
        <v>292</v>
      </c>
      <c r="U62" s="37">
        <v>0.33333333333333331</v>
      </c>
      <c r="V62"/>
    </row>
    <row r="63" spans="1:22" ht="17" x14ac:dyDescent="0.2">
      <c r="A63" s="36" t="s">
        <v>71</v>
      </c>
      <c r="B63" s="45" t="str">
        <f>VLOOKUP(Tabella1[[#This Row],[test_id]],experiments_specs!A:J,2,FALSE)</f>
        <v>NN,JJ</v>
      </c>
      <c r="C63" s="38">
        <f>VLOOKUP(Tabella1[[#This Row],[test_id]],experiments_specs!A:J,3,FALSE)</f>
        <v>1</v>
      </c>
      <c r="D63" s="38">
        <f>VLOOKUP(Tabella1[[#This Row],[test_id]],experiments_specs!A:J,4,FALSE)</f>
        <v>2</v>
      </c>
      <c r="E63" s="38" t="str">
        <f>VLOOKUP(Tabella1[[#This Row],[test_id]],experiments_specs!A:J,5,FALSE)</f>
        <v>True</v>
      </c>
      <c r="F63" s="38" t="str">
        <f>VLOOKUP(Tabella1[[#This Row],[test_id]],experiments_specs!A:J,6,FALSE)</f>
        <v>True</v>
      </c>
      <c r="G63" s="38" t="str">
        <f>VLOOKUP(Tabella1[[#This Row],[test_id]],experiments_specs!A:J,7,FALSE)</f>
        <v>False</v>
      </c>
      <c r="H63" s="38" t="str">
        <f>VLOOKUP(Tabella1[[#This Row],[test_id]],experiments_specs!A:J,8,FALSE)</f>
        <v>False</v>
      </c>
      <c r="I63" s="45" t="str">
        <f>VLOOKUP(Tabella1[[#This Row],[test_id]],experiments_specs!A:J,9,FALSE)</f>
        <v>wup_similarity</v>
      </c>
      <c r="J63" s="38" t="str">
        <f>VLOOKUP(Tabella1[[#This Row],[test_id]],experiments_specs!A:J,10,FALSE)</f>
        <v>False</v>
      </c>
      <c r="K63" s="40" t="s">
        <v>15</v>
      </c>
      <c r="L63" s="36" t="s">
        <v>26</v>
      </c>
      <c r="M63" s="36">
        <v>0.1561737</v>
      </c>
      <c r="N63" s="36" t="s">
        <v>27</v>
      </c>
      <c r="O63" s="36">
        <v>2.03704E-2</v>
      </c>
      <c r="P63" s="36">
        <v>0.16666666666666666</v>
      </c>
      <c r="Q63" s="36" t="s">
        <v>15</v>
      </c>
      <c r="R63" s="36">
        <v>0.1770844</v>
      </c>
      <c r="S63" s="36" t="s">
        <v>293</v>
      </c>
      <c r="T63" s="36">
        <v>3.9910300000000003E-2</v>
      </c>
      <c r="U63" s="37">
        <v>0.90909090909090906</v>
      </c>
      <c r="V63"/>
    </row>
    <row r="64" spans="1:22" ht="17" x14ac:dyDescent="0.2">
      <c r="A64" s="36" t="s">
        <v>71</v>
      </c>
      <c r="B64" s="45" t="str">
        <f>VLOOKUP(Tabella1[[#This Row],[test_id]],experiments_specs!A:J,2,FALSE)</f>
        <v>NN,JJ</v>
      </c>
      <c r="C64" s="38">
        <f>VLOOKUP(Tabella1[[#This Row],[test_id]],experiments_specs!A:J,3,FALSE)</f>
        <v>1</v>
      </c>
      <c r="D64" s="38">
        <f>VLOOKUP(Tabella1[[#This Row],[test_id]],experiments_specs!A:J,4,FALSE)</f>
        <v>2</v>
      </c>
      <c r="E64" s="38" t="str">
        <f>VLOOKUP(Tabella1[[#This Row],[test_id]],experiments_specs!A:J,5,FALSE)</f>
        <v>True</v>
      </c>
      <c r="F64" s="38" t="str">
        <f>VLOOKUP(Tabella1[[#This Row],[test_id]],experiments_specs!A:J,6,FALSE)</f>
        <v>True</v>
      </c>
      <c r="G64" s="38" t="str">
        <f>VLOOKUP(Tabella1[[#This Row],[test_id]],experiments_specs!A:J,7,FALSE)</f>
        <v>False</v>
      </c>
      <c r="H64" s="38" t="str">
        <f>VLOOKUP(Tabella1[[#This Row],[test_id]],experiments_specs!A:J,8,FALSE)</f>
        <v>False</v>
      </c>
      <c r="I64" s="45" t="str">
        <f>VLOOKUP(Tabella1[[#This Row],[test_id]],experiments_specs!A:J,9,FALSE)</f>
        <v>wup_similarity</v>
      </c>
      <c r="J64" s="38" t="str">
        <f>VLOOKUP(Tabella1[[#This Row],[test_id]],experiments_specs!A:J,10,FALSE)</f>
        <v>False</v>
      </c>
      <c r="K64" s="40" t="s">
        <v>16</v>
      </c>
      <c r="L64" s="36" t="s">
        <v>39</v>
      </c>
      <c r="M64" s="36">
        <v>6.4549700000000002E-2</v>
      </c>
      <c r="N64" s="36" t="s">
        <v>40</v>
      </c>
      <c r="O64" s="36">
        <v>1.7010299999999999E-2</v>
      </c>
      <c r="P64" s="36">
        <v>0.22222222222222221</v>
      </c>
      <c r="Q64" s="36" t="s">
        <v>41</v>
      </c>
      <c r="R64" s="36">
        <v>4.1666599999999998E-2</v>
      </c>
      <c r="S64" s="36" t="s">
        <v>40</v>
      </c>
      <c r="T64" s="36">
        <v>1.80109E-2</v>
      </c>
      <c r="U64" s="37">
        <v>0.22222222222222221</v>
      </c>
      <c r="V64"/>
    </row>
    <row r="65" spans="1:22" ht="68" x14ac:dyDescent="0.2">
      <c r="A65" s="36" t="s">
        <v>71</v>
      </c>
      <c r="B65" s="45" t="str">
        <f>VLOOKUP(Tabella1[[#This Row],[test_id]],experiments_specs!A:J,2,FALSE)</f>
        <v>NN,JJ</v>
      </c>
      <c r="C65" s="38">
        <f>VLOOKUP(Tabella1[[#This Row],[test_id]],experiments_specs!A:J,3,FALSE)</f>
        <v>1</v>
      </c>
      <c r="D65" s="38">
        <f>VLOOKUP(Tabella1[[#This Row],[test_id]],experiments_specs!A:J,4,FALSE)</f>
        <v>2</v>
      </c>
      <c r="E65" s="38" t="str">
        <f>VLOOKUP(Tabella1[[#This Row],[test_id]],experiments_specs!A:J,5,FALSE)</f>
        <v>True</v>
      </c>
      <c r="F65" s="38" t="str">
        <f>VLOOKUP(Tabella1[[#This Row],[test_id]],experiments_specs!A:J,6,FALSE)</f>
        <v>True</v>
      </c>
      <c r="G65" s="38" t="str">
        <f>VLOOKUP(Tabella1[[#This Row],[test_id]],experiments_specs!A:J,7,FALSE)</f>
        <v>False</v>
      </c>
      <c r="H65" s="38" t="str">
        <f>VLOOKUP(Tabella1[[#This Row],[test_id]],experiments_specs!A:J,8,FALSE)</f>
        <v>False</v>
      </c>
      <c r="I65" s="45" t="str">
        <f>VLOOKUP(Tabella1[[#This Row],[test_id]],experiments_specs!A:J,9,FALSE)</f>
        <v>wup_similarity</v>
      </c>
      <c r="J65" s="38" t="str">
        <f>VLOOKUP(Tabella1[[#This Row],[test_id]],experiments_specs!A:J,10,FALSE)</f>
        <v>False</v>
      </c>
      <c r="K65" s="40" t="s">
        <v>17</v>
      </c>
      <c r="L65" s="36" t="s">
        <v>279</v>
      </c>
      <c r="M65" s="36" t="s">
        <v>281</v>
      </c>
      <c r="N65" s="36" t="s">
        <v>42</v>
      </c>
      <c r="O65" s="36" t="s">
        <v>295</v>
      </c>
      <c r="P65" s="36">
        <v>0.30769230769230771</v>
      </c>
      <c r="Q65" s="36" t="s">
        <v>43</v>
      </c>
      <c r="R65" s="36" t="s">
        <v>285</v>
      </c>
      <c r="S65" s="36" t="s">
        <v>42</v>
      </c>
      <c r="T65" s="36" t="s">
        <v>283</v>
      </c>
      <c r="U65" s="37">
        <v>0.30769230769230771</v>
      </c>
      <c r="V65"/>
    </row>
    <row r="66" spans="1:22" ht="34" x14ac:dyDescent="0.2">
      <c r="A66" s="36" t="s">
        <v>71</v>
      </c>
      <c r="B66" s="45" t="str">
        <f>VLOOKUP(Tabella1[[#This Row],[test_id]],experiments_specs!A:J,2,FALSE)</f>
        <v>NN,JJ</v>
      </c>
      <c r="C66" s="38">
        <f>VLOOKUP(Tabella1[[#This Row],[test_id]],experiments_specs!A:J,3,FALSE)</f>
        <v>1</v>
      </c>
      <c r="D66" s="38">
        <f>VLOOKUP(Tabella1[[#This Row],[test_id]],experiments_specs!A:J,4,FALSE)</f>
        <v>2</v>
      </c>
      <c r="E66" s="38" t="str">
        <f>VLOOKUP(Tabella1[[#This Row],[test_id]],experiments_specs!A:J,5,FALSE)</f>
        <v>True</v>
      </c>
      <c r="F66" s="38" t="str">
        <f>VLOOKUP(Tabella1[[#This Row],[test_id]],experiments_specs!A:J,6,FALSE)</f>
        <v>True</v>
      </c>
      <c r="G66" s="38" t="str">
        <f>VLOOKUP(Tabella1[[#This Row],[test_id]],experiments_specs!A:J,7,FALSE)</f>
        <v>False</v>
      </c>
      <c r="H66" s="38" t="str">
        <f>VLOOKUP(Tabella1[[#This Row],[test_id]],experiments_specs!A:J,8,FALSE)</f>
        <v>False</v>
      </c>
      <c r="I66" s="45" t="str">
        <f>VLOOKUP(Tabella1[[#This Row],[test_id]],experiments_specs!A:J,9,FALSE)</f>
        <v>wup_similarity</v>
      </c>
      <c r="J66" s="38" t="str">
        <f>VLOOKUP(Tabella1[[#This Row],[test_id]],experiments_specs!A:J,10,FALSE)</f>
        <v>False</v>
      </c>
      <c r="K66" s="40" t="s">
        <v>18</v>
      </c>
      <c r="L66" s="36" t="s">
        <v>44</v>
      </c>
      <c r="M66" s="36">
        <v>3.5267199999999999E-2</v>
      </c>
      <c r="N66" s="36" t="s">
        <v>45</v>
      </c>
      <c r="O66" s="36">
        <v>1.30895E-2</v>
      </c>
      <c r="P66" s="36">
        <v>0.21052631578947367</v>
      </c>
      <c r="Q66" s="36" t="s">
        <v>46</v>
      </c>
      <c r="R66" s="36">
        <v>0</v>
      </c>
      <c r="S66" s="36" t="s">
        <v>45</v>
      </c>
      <c r="T66" s="36">
        <v>1.6878600000000001E-2</v>
      </c>
      <c r="U66" s="37">
        <v>0.21052631578947367</v>
      </c>
      <c r="V66"/>
    </row>
    <row r="67" spans="1:22" ht="34" x14ac:dyDescent="0.2">
      <c r="A67" s="36" t="s">
        <v>72</v>
      </c>
      <c r="B67" s="45" t="str">
        <f>VLOOKUP(Tabella1[[#This Row],[test_id]],experiments_specs!A:J,2,FALSE)</f>
        <v>NN,VB</v>
      </c>
      <c r="C67" s="38">
        <f>VLOOKUP(Tabella1[[#This Row],[test_id]],experiments_specs!A:J,3,FALSE)</f>
        <v>1</v>
      </c>
      <c r="D67" s="38">
        <f>VLOOKUP(Tabella1[[#This Row],[test_id]],experiments_specs!A:J,4,FALSE)</f>
        <v>2</v>
      </c>
      <c r="E67" s="38" t="str">
        <f>VLOOKUP(Tabella1[[#This Row],[test_id]],experiments_specs!A:J,5,FALSE)</f>
        <v>True</v>
      </c>
      <c r="F67" s="38" t="str">
        <f>VLOOKUP(Tabella1[[#This Row],[test_id]],experiments_specs!A:J,6,FALSE)</f>
        <v>True</v>
      </c>
      <c r="G67" s="38" t="str">
        <f>VLOOKUP(Tabella1[[#This Row],[test_id]],experiments_specs!A:J,7,FALSE)</f>
        <v>False</v>
      </c>
      <c r="H67" s="38" t="str">
        <f>VLOOKUP(Tabella1[[#This Row],[test_id]],experiments_specs!A:J,8,FALSE)</f>
        <v>False</v>
      </c>
      <c r="I67" s="45" t="str">
        <f>VLOOKUP(Tabella1[[#This Row],[test_id]],experiments_specs!A:J,9,FALSE)</f>
        <v>wup_similarity</v>
      </c>
      <c r="J67" s="38" t="str">
        <f>VLOOKUP(Tabella1[[#This Row],[test_id]],experiments_specs!A:J,10,FALSE)</f>
        <v>False</v>
      </c>
      <c r="K67" s="40" t="s">
        <v>19</v>
      </c>
      <c r="L67" s="36" t="s">
        <v>20</v>
      </c>
      <c r="M67" s="36" t="s">
        <v>194</v>
      </c>
      <c r="N67" s="36" t="s">
        <v>21</v>
      </c>
      <c r="O67" s="36" t="s">
        <v>297</v>
      </c>
      <c r="P67" s="36">
        <v>0.19047619047619047</v>
      </c>
      <c r="Q67" s="36" t="s">
        <v>47</v>
      </c>
      <c r="R67" s="36">
        <v>0</v>
      </c>
      <c r="S67" s="36" t="s">
        <v>48</v>
      </c>
      <c r="T67" s="36">
        <v>2.3425999999999999E-2</v>
      </c>
      <c r="U67" s="37">
        <v>0.2</v>
      </c>
      <c r="V67"/>
    </row>
    <row r="68" spans="1:22" ht="17" x14ac:dyDescent="0.2">
      <c r="A68" s="36" t="s">
        <v>72</v>
      </c>
      <c r="B68" s="45" t="str">
        <f>VLOOKUP(Tabella1[[#This Row],[test_id]],experiments_specs!A:J,2,FALSE)</f>
        <v>NN,VB</v>
      </c>
      <c r="C68" s="38">
        <f>VLOOKUP(Tabella1[[#This Row],[test_id]],experiments_specs!A:J,3,FALSE)</f>
        <v>1</v>
      </c>
      <c r="D68" s="38">
        <f>VLOOKUP(Tabella1[[#This Row],[test_id]],experiments_specs!A:J,4,FALSE)</f>
        <v>2</v>
      </c>
      <c r="E68" s="38" t="str">
        <f>VLOOKUP(Tabella1[[#This Row],[test_id]],experiments_specs!A:J,5,FALSE)</f>
        <v>True</v>
      </c>
      <c r="F68" s="38" t="str">
        <f>VLOOKUP(Tabella1[[#This Row],[test_id]],experiments_specs!A:J,6,FALSE)</f>
        <v>True</v>
      </c>
      <c r="G68" s="38" t="str">
        <f>VLOOKUP(Tabella1[[#This Row],[test_id]],experiments_specs!A:J,7,FALSE)</f>
        <v>False</v>
      </c>
      <c r="H68" s="38" t="str">
        <f>VLOOKUP(Tabella1[[#This Row],[test_id]],experiments_specs!A:J,8,FALSE)</f>
        <v>False</v>
      </c>
      <c r="I68" s="45" t="str">
        <f>VLOOKUP(Tabella1[[#This Row],[test_id]],experiments_specs!A:J,9,FALSE)</f>
        <v>wup_similarity</v>
      </c>
      <c r="J68" s="38" t="str">
        <f>VLOOKUP(Tabella1[[#This Row],[test_id]],experiments_specs!A:J,10,FALSE)</f>
        <v>False</v>
      </c>
      <c r="K68" s="40" t="s">
        <v>12</v>
      </c>
      <c r="L68" s="36" t="s">
        <v>22</v>
      </c>
      <c r="M68" s="36">
        <v>0.1102635</v>
      </c>
      <c r="N68" s="36" t="s">
        <v>23</v>
      </c>
      <c r="O68" s="36">
        <v>3.6466199999999997E-2</v>
      </c>
      <c r="P68" s="36">
        <v>0.42857142857142855</v>
      </c>
      <c r="Q68" s="36" t="s">
        <v>24</v>
      </c>
      <c r="R68" s="36">
        <v>5.5131699999999999E-2</v>
      </c>
      <c r="S68" s="36" t="s">
        <v>23</v>
      </c>
      <c r="T68" s="36">
        <v>4.0517999999999998E-2</v>
      </c>
      <c r="U68" s="37">
        <v>0.42857142857142855</v>
      </c>
      <c r="V68"/>
    </row>
    <row r="69" spans="1:22" ht="17" x14ac:dyDescent="0.2">
      <c r="A69" s="36" t="s">
        <v>72</v>
      </c>
      <c r="B69" s="45" t="str">
        <f>VLOOKUP(Tabella1[[#This Row],[test_id]],experiments_specs!A:J,2,FALSE)</f>
        <v>NN,VB</v>
      </c>
      <c r="C69" s="38">
        <f>VLOOKUP(Tabella1[[#This Row],[test_id]],experiments_specs!A:J,3,FALSE)</f>
        <v>1</v>
      </c>
      <c r="D69" s="38">
        <f>VLOOKUP(Tabella1[[#This Row],[test_id]],experiments_specs!A:J,4,FALSE)</f>
        <v>2</v>
      </c>
      <c r="E69" s="38" t="str">
        <f>VLOOKUP(Tabella1[[#This Row],[test_id]],experiments_specs!A:J,5,FALSE)</f>
        <v>True</v>
      </c>
      <c r="F69" s="38" t="str">
        <f>VLOOKUP(Tabella1[[#This Row],[test_id]],experiments_specs!A:J,6,FALSE)</f>
        <v>True</v>
      </c>
      <c r="G69" s="38" t="str">
        <f>VLOOKUP(Tabella1[[#This Row],[test_id]],experiments_specs!A:J,7,FALSE)</f>
        <v>False</v>
      </c>
      <c r="H69" s="38" t="str">
        <f>VLOOKUP(Tabella1[[#This Row],[test_id]],experiments_specs!A:J,8,FALSE)</f>
        <v>False</v>
      </c>
      <c r="I69" s="45" t="str">
        <f>VLOOKUP(Tabella1[[#This Row],[test_id]],experiments_specs!A:J,9,FALSE)</f>
        <v>wup_similarity</v>
      </c>
      <c r="J69" s="38" t="str">
        <f>VLOOKUP(Tabella1[[#This Row],[test_id]],experiments_specs!A:J,10,FALSE)</f>
        <v>False</v>
      </c>
      <c r="K69" s="40" t="s">
        <v>13</v>
      </c>
      <c r="L69" s="36" t="s">
        <v>32</v>
      </c>
      <c r="M69" s="36">
        <v>0.14744189999999999</v>
      </c>
      <c r="N69" s="36" t="s">
        <v>33</v>
      </c>
      <c r="O69" s="36">
        <v>3.3509499999999998E-2</v>
      </c>
      <c r="P69" s="36">
        <v>0.4</v>
      </c>
      <c r="Q69" s="36" t="s">
        <v>34</v>
      </c>
      <c r="R69" s="36">
        <v>0</v>
      </c>
      <c r="S69" s="36" t="s">
        <v>35</v>
      </c>
      <c r="T69" s="36">
        <v>2.83542E-2</v>
      </c>
      <c r="U69" s="37" t="s">
        <v>25</v>
      </c>
      <c r="V69"/>
    </row>
    <row r="70" spans="1:22" ht="34" x14ac:dyDescent="0.2">
      <c r="A70" s="36" t="s">
        <v>72</v>
      </c>
      <c r="B70" s="45" t="str">
        <f>VLOOKUP(Tabella1[[#This Row],[test_id]],experiments_specs!A:J,2,FALSE)</f>
        <v>NN,VB</v>
      </c>
      <c r="C70" s="38">
        <f>VLOOKUP(Tabella1[[#This Row],[test_id]],experiments_specs!A:J,3,FALSE)</f>
        <v>1</v>
      </c>
      <c r="D70" s="38">
        <f>VLOOKUP(Tabella1[[#This Row],[test_id]],experiments_specs!A:J,4,FALSE)</f>
        <v>2</v>
      </c>
      <c r="E70" s="38" t="str">
        <f>VLOOKUP(Tabella1[[#This Row],[test_id]],experiments_specs!A:J,5,FALSE)</f>
        <v>True</v>
      </c>
      <c r="F70" s="38" t="str">
        <f>VLOOKUP(Tabella1[[#This Row],[test_id]],experiments_specs!A:J,6,FALSE)</f>
        <v>True</v>
      </c>
      <c r="G70" s="38" t="str">
        <f>VLOOKUP(Tabella1[[#This Row],[test_id]],experiments_specs!A:J,7,FALSE)</f>
        <v>False</v>
      </c>
      <c r="H70" s="38" t="str">
        <f>VLOOKUP(Tabella1[[#This Row],[test_id]],experiments_specs!A:J,8,FALSE)</f>
        <v>False</v>
      </c>
      <c r="I70" s="45" t="str">
        <f>VLOOKUP(Tabella1[[#This Row],[test_id]],experiments_specs!A:J,9,FALSE)</f>
        <v>wup_similarity</v>
      </c>
      <c r="J70" s="38" t="str">
        <f>VLOOKUP(Tabella1[[#This Row],[test_id]],experiments_specs!A:J,10,FALSE)</f>
        <v>False</v>
      </c>
      <c r="K70" s="40" t="s">
        <v>14</v>
      </c>
      <c r="L70" s="36" t="s">
        <v>36</v>
      </c>
      <c r="M70" s="36" t="s">
        <v>269</v>
      </c>
      <c r="N70" s="36" t="s">
        <v>37</v>
      </c>
      <c r="O70" s="36" t="s">
        <v>299</v>
      </c>
      <c r="P70" s="36">
        <v>0.33333333333333331</v>
      </c>
      <c r="Q70" s="36" t="s">
        <v>38</v>
      </c>
      <c r="R70" s="36" t="s">
        <v>273</v>
      </c>
      <c r="S70" s="36" t="s">
        <v>37</v>
      </c>
      <c r="T70" s="36" t="s">
        <v>301</v>
      </c>
      <c r="U70" s="37">
        <v>0.33333333333333331</v>
      </c>
      <c r="V70"/>
    </row>
    <row r="71" spans="1:22" ht="34" x14ac:dyDescent="0.2">
      <c r="A71" s="36" t="s">
        <v>72</v>
      </c>
      <c r="B71" s="45" t="str">
        <f>VLOOKUP(Tabella1[[#This Row],[test_id]],experiments_specs!A:J,2,FALSE)</f>
        <v>NN,VB</v>
      </c>
      <c r="C71" s="38">
        <f>VLOOKUP(Tabella1[[#This Row],[test_id]],experiments_specs!A:J,3,FALSE)</f>
        <v>1</v>
      </c>
      <c r="D71" s="38">
        <f>VLOOKUP(Tabella1[[#This Row],[test_id]],experiments_specs!A:J,4,FALSE)</f>
        <v>2</v>
      </c>
      <c r="E71" s="38" t="str">
        <f>VLOOKUP(Tabella1[[#This Row],[test_id]],experiments_specs!A:J,5,FALSE)</f>
        <v>True</v>
      </c>
      <c r="F71" s="38" t="str">
        <f>VLOOKUP(Tabella1[[#This Row],[test_id]],experiments_specs!A:J,6,FALSE)</f>
        <v>True</v>
      </c>
      <c r="G71" s="38" t="str">
        <f>VLOOKUP(Tabella1[[#This Row],[test_id]],experiments_specs!A:J,7,FALSE)</f>
        <v>False</v>
      </c>
      <c r="H71" s="38" t="str">
        <f>VLOOKUP(Tabella1[[#This Row],[test_id]],experiments_specs!A:J,8,FALSE)</f>
        <v>False</v>
      </c>
      <c r="I71" s="45" t="str">
        <f>VLOOKUP(Tabella1[[#This Row],[test_id]],experiments_specs!A:J,9,FALSE)</f>
        <v>wup_similarity</v>
      </c>
      <c r="J71" s="38" t="str">
        <f>VLOOKUP(Tabella1[[#This Row],[test_id]],experiments_specs!A:J,10,FALSE)</f>
        <v>False</v>
      </c>
      <c r="K71" s="40" t="s">
        <v>15</v>
      </c>
      <c r="L71" s="36" t="s">
        <v>26</v>
      </c>
      <c r="M71" s="36">
        <v>0.1561737</v>
      </c>
      <c r="N71" s="36" t="s">
        <v>27</v>
      </c>
      <c r="O71" s="36">
        <v>1.5617300000000001E-2</v>
      </c>
      <c r="P71" s="36">
        <v>0.16666666666666666</v>
      </c>
      <c r="Q71" s="36" t="s">
        <v>28</v>
      </c>
      <c r="R71" s="36" t="s">
        <v>186</v>
      </c>
      <c r="S71" s="36" t="s">
        <v>29</v>
      </c>
      <c r="T71" s="36" t="s">
        <v>303</v>
      </c>
      <c r="U71" s="37">
        <v>0.18181818181818182</v>
      </c>
      <c r="V71"/>
    </row>
    <row r="72" spans="1:22" ht="17" x14ac:dyDescent="0.2">
      <c r="A72" s="36" t="s">
        <v>72</v>
      </c>
      <c r="B72" s="45" t="str">
        <f>VLOOKUP(Tabella1[[#This Row],[test_id]],experiments_specs!A:J,2,FALSE)</f>
        <v>NN,VB</v>
      </c>
      <c r="C72" s="38">
        <f>VLOOKUP(Tabella1[[#This Row],[test_id]],experiments_specs!A:J,3,FALSE)</f>
        <v>1</v>
      </c>
      <c r="D72" s="38">
        <f>VLOOKUP(Tabella1[[#This Row],[test_id]],experiments_specs!A:J,4,FALSE)</f>
        <v>2</v>
      </c>
      <c r="E72" s="38" t="str">
        <f>VLOOKUP(Tabella1[[#This Row],[test_id]],experiments_specs!A:J,5,FALSE)</f>
        <v>True</v>
      </c>
      <c r="F72" s="38" t="str">
        <f>VLOOKUP(Tabella1[[#This Row],[test_id]],experiments_specs!A:J,6,FALSE)</f>
        <v>True</v>
      </c>
      <c r="G72" s="38" t="str">
        <f>VLOOKUP(Tabella1[[#This Row],[test_id]],experiments_specs!A:J,7,FALSE)</f>
        <v>False</v>
      </c>
      <c r="H72" s="38" t="str">
        <f>VLOOKUP(Tabella1[[#This Row],[test_id]],experiments_specs!A:J,8,FALSE)</f>
        <v>False</v>
      </c>
      <c r="I72" s="45" t="str">
        <f>VLOOKUP(Tabella1[[#This Row],[test_id]],experiments_specs!A:J,9,FALSE)</f>
        <v>wup_similarity</v>
      </c>
      <c r="J72" s="38" t="str">
        <f>VLOOKUP(Tabella1[[#This Row],[test_id]],experiments_specs!A:J,10,FALSE)</f>
        <v>False</v>
      </c>
      <c r="K72" s="40" t="s">
        <v>16</v>
      </c>
      <c r="L72" s="36" t="s">
        <v>39</v>
      </c>
      <c r="M72" s="36">
        <v>6.4549700000000002E-2</v>
      </c>
      <c r="N72" s="36" t="s">
        <v>40</v>
      </c>
      <c r="O72" s="36">
        <v>2.01438E-2</v>
      </c>
      <c r="P72" s="36">
        <v>0.22222222222222221</v>
      </c>
      <c r="Q72" s="36" t="s">
        <v>41</v>
      </c>
      <c r="R72" s="36">
        <v>4.1666599999999998E-2</v>
      </c>
      <c r="S72" s="36" t="s">
        <v>40</v>
      </c>
      <c r="T72" s="36">
        <v>2.01438E-2</v>
      </c>
      <c r="U72" s="37">
        <v>0.22222222222222221</v>
      </c>
      <c r="V72"/>
    </row>
    <row r="73" spans="1:22" ht="34" x14ac:dyDescent="0.2">
      <c r="A73" s="36" t="s">
        <v>72</v>
      </c>
      <c r="B73" s="45" t="str">
        <f>VLOOKUP(Tabella1[[#This Row],[test_id]],experiments_specs!A:J,2,FALSE)</f>
        <v>NN,VB</v>
      </c>
      <c r="C73" s="38">
        <f>VLOOKUP(Tabella1[[#This Row],[test_id]],experiments_specs!A:J,3,FALSE)</f>
        <v>1</v>
      </c>
      <c r="D73" s="38">
        <f>VLOOKUP(Tabella1[[#This Row],[test_id]],experiments_specs!A:J,4,FALSE)</f>
        <v>2</v>
      </c>
      <c r="E73" s="38" t="str">
        <f>VLOOKUP(Tabella1[[#This Row],[test_id]],experiments_specs!A:J,5,FALSE)</f>
        <v>True</v>
      </c>
      <c r="F73" s="38" t="str">
        <f>VLOOKUP(Tabella1[[#This Row],[test_id]],experiments_specs!A:J,6,FALSE)</f>
        <v>True</v>
      </c>
      <c r="G73" s="38" t="str">
        <f>VLOOKUP(Tabella1[[#This Row],[test_id]],experiments_specs!A:J,7,FALSE)</f>
        <v>False</v>
      </c>
      <c r="H73" s="38" t="str">
        <f>VLOOKUP(Tabella1[[#This Row],[test_id]],experiments_specs!A:J,8,FALSE)</f>
        <v>False</v>
      </c>
      <c r="I73" s="45" t="str">
        <f>VLOOKUP(Tabella1[[#This Row],[test_id]],experiments_specs!A:J,9,FALSE)</f>
        <v>wup_similarity</v>
      </c>
      <c r="J73" s="38" t="str">
        <f>VLOOKUP(Tabella1[[#This Row],[test_id]],experiments_specs!A:J,10,FALSE)</f>
        <v>False</v>
      </c>
      <c r="K73" s="40" t="s">
        <v>17</v>
      </c>
      <c r="L73" s="36" t="s">
        <v>30</v>
      </c>
      <c r="M73" s="36">
        <v>0.1028688</v>
      </c>
      <c r="N73" s="36" t="s">
        <v>31</v>
      </c>
      <c r="O73" s="36">
        <v>3.0860599999999998E-2</v>
      </c>
      <c r="P73" s="36">
        <v>0.22222222222222221</v>
      </c>
      <c r="Q73" s="36" t="s">
        <v>43</v>
      </c>
      <c r="R73" s="36" t="s">
        <v>285</v>
      </c>
      <c r="S73" s="36" t="s">
        <v>42</v>
      </c>
      <c r="T73" s="36" t="s">
        <v>305</v>
      </c>
      <c r="U73" s="37">
        <v>0.30769230769230771</v>
      </c>
      <c r="V73"/>
    </row>
    <row r="74" spans="1:22" ht="34" x14ac:dyDescent="0.2">
      <c r="A74" s="36" t="s">
        <v>72</v>
      </c>
      <c r="B74" s="45" t="str">
        <f>VLOOKUP(Tabella1[[#This Row],[test_id]],experiments_specs!A:J,2,FALSE)</f>
        <v>NN,VB</v>
      </c>
      <c r="C74" s="38">
        <f>VLOOKUP(Tabella1[[#This Row],[test_id]],experiments_specs!A:J,3,FALSE)</f>
        <v>1</v>
      </c>
      <c r="D74" s="38">
        <f>VLOOKUP(Tabella1[[#This Row],[test_id]],experiments_specs!A:J,4,FALSE)</f>
        <v>2</v>
      </c>
      <c r="E74" s="38" t="str">
        <f>VLOOKUP(Tabella1[[#This Row],[test_id]],experiments_specs!A:J,5,FALSE)</f>
        <v>True</v>
      </c>
      <c r="F74" s="38" t="str">
        <f>VLOOKUP(Tabella1[[#This Row],[test_id]],experiments_specs!A:J,6,FALSE)</f>
        <v>True</v>
      </c>
      <c r="G74" s="38" t="str">
        <f>VLOOKUP(Tabella1[[#This Row],[test_id]],experiments_specs!A:J,7,FALSE)</f>
        <v>False</v>
      </c>
      <c r="H74" s="38" t="str">
        <f>VLOOKUP(Tabella1[[#This Row],[test_id]],experiments_specs!A:J,8,FALSE)</f>
        <v>False</v>
      </c>
      <c r="I74" s="45" t="str">
        <f>VLOOKUP(Tabella1[[#This Row],[test_id]],experiments_specs!A:J,9,FALSE)</f>
        <v>wup_similarity</v>
      </c>
      <c r="J74" s="38" t="str">
        <f>VLOOKUP(Tabella1[[#This Row],[test_id]],experiments_specs!A:J,10,FALSE)</f>
        <v>False</v>
      </c>
      <c r="K74" s="40" t="s">
        <v>18</v>
      </c>
      <c r="L74" s="36" t="s">
        <v>44</v>
      </c>
      <c r="M74" s="36">
        <v>3.5267199999999999E-2</v>
      </c>
      <c r="N74" s="36" t="s">
        <v>45</v>
      </c>
      <c r="O74" s="36">
        <v>1.4253099999999999E-2</v>
      </c>
      <c r="P74" s="36">
        <v>0.21052631578947367</v>
      </c>
      <c r="Q74" s="36" t="s">
        <v>46</v>
      </c>
      <c r="R74" s="36">
        <v>0</v>
      </c>
      <c r="S74" s="36" t="s">
        <v>45</v>
      </c>
      <c r="T74" s="36">
        <v>1.4253099999999999E-2</v>
      </c>
      <c r="U74" s="37">
        <v>0.21052631578947367</v>
      </c>
      <c r="V74"/>
    </row>
    <row r="75" spans="1:22" ht="34" x14ac:dyDescent="0.2">
      <c r="A75" s="36" t="s">
        <v>73</v>
      </c>
      <c r="B75" s="45" t="str">
        <f>VLOOKUP(Tabella1[[#This Row],[test_id]],experiments_specs!A:J,2,FALSE)</f>
        <v>NN,VB,VBD,VBG,VBN,VBP,VBZ</v>
      </c>
      <c r="C75" s="38">
        <f>VLOOKUP(Tabella1[[#This Row],[test_id]],experiments_specs!A:J,3,FALSE)</f>
        <v>1</v>
      </c>
      <c r="D75" s="38">
        <f>VLOOKUP(Tabella1[[#This Row],[test_id]],experiments_specs!A:J,4,FALSE)</f>
        <v>2</v>
      </c>
      <c r="E75" s="38" t="str">
        <f>VLOOKUP(Tabella1[[#This Row],[test_id]],experiments_specs!A:J,5,FALSE)</f>
        <v>True</v>
      </c>
      <c r="F75" s="38" t="str">
        <f>VLOOKUP(Tabella1[[#This Row],[test_id]],experiments_specs!A:J,6,FALSE)</f>
        <v>True</v>
      </c>
      <c r="G75" s="38" t="str">
        <f>VLOOKUP(Tabella1[[#This Row],[test_id]],experiments_specs!A:J,7,FALSE)</f>
        <v>False</v>
      </c>
      <c r="H75" s="38" t="str">
        <f>VLOOKUP(Tabella1[[#This Row],[test_id]],experiments_specs!A:J,8,FALSE)</f>
        <v>False</v>
      </c>
      <c r="I75" s="45" t="str">
        <f>VLOOKUP(Tabella1[[#This Row],[test_id]],experiments_specs!A:J,9,FALSE)</f>
        <v>wup_similarity</v>
      </c>
      <c r="J75" s="38" t="str">
        <f>VLOOKUP(Tabella1[[#This Row],[test_id]],experiments_specs!A:J,10,FALSE)</f>
        <v>False</v>
      </c>
      <c r="K75" s="40" t="s">
        <v>19</v>
      </c>
      <c r="L75" s="36" t="s">
        <v>20</v>
      </c>
      <c r="M75" s="36" t="s">
        <v>194</v>
      </c>
      <c r="N75" s="36" t="s">
        <v>21</v>
      </c>
      <c r="O75" s="36" t="s">
        <v>307</v>
      </c>
      <c r="P75" s="36">
        <v>0.19047619047619047</v>
      </c>
      <c r="Q75" s="36" t="s">
        <v>47</v>
      </c>
      <c r="R75" s="36">
        <v>0</v>
      </c>
      <c r="S75" s="36" t="s">
        <v>48</v>
      </c>
      <c r="T75" s="36">
        <v>1.8740799999999998E-2</v>
      </c>
      <c r="U75" s="37">
        <v>0.2</v>
      </c>
      <c r="V75"/>
    </row>
    <row r="76" spans="1:22" ht="17" x14ac:dyDescent="0.2">
      <c r="A76" s="36" t="s">
        <v>73</v>
      </c>
      <c r="B76" s="45" t="str">
        <f>VLOOKUP(Tabella1[[#This Row],[test_id]],experiments_specs!A:J,2,FALSE)</f>
        <v>NN,VB,VBD,VBG,VBN,VBP,VBZ</v>
      </c>
      <c r="C76" s="38">
        <f>VLOOKUP(Tabella1[[#This Row],[test_id]],experiments_specs!A:J,3,FALSE)</f>
        <v>1</v>
      </c>
      <c r="D76" s="38">
        <f>VLOOKUP(Tabella1[[#This Row],[test_id]],experiments_specs!A:J,4,FALSE)</f>
        <v>2</v>
      </c>
      <c r="E76" s="38" t="str">
        <f>VLOOKUP(Tabella1[[#This Row],[test_id]],experiments_specs!A:J,5,FALSE)</f>
        <v>True</v>
      </c>
      <c r="F76" s="38" t="str">
        <f>VLOOKUP(Tabella1[[#This Row],[test_id]],experiments_specs!A:J,6,FALSE)</f>
        <v>True</v>
      </c>
      <c r="G76" s="38" t="str">
        <f>VLOOKUP(Tabella1[[#This Row],[test_id]],experiments_specs!A:J,7,FALSE)</f>
        <v>False</v>
      </c>
      <c r="H76" s="38" t="str">
        <f>VLOOKUP(Tabella1[[#This Row],[test_id]],experiments_specs!A:J,8,FALSE)</f>
        <v>False</v>
      </c>
      <c r="I76" s="45" t="str">
        <f>VLOOKUP(Tabella1[[#This Row],[test_id]],experiments_specs!A:J,9,FALSE)</f>
        <v>wup_similarity</v>
      </c>
      <c r="J76" s="38" t="str">
        <f>VLOOKUP(Tabella1[[#This Row],[test_id]],experiments_specs!A:J,10,FALSE)</f>
        <v>False</v>
      </c>
      <c r="K76" s="40" t="s">
        <v>12</v>
      </c>
      <c r="L76" s="36" t="s">
        <v>22</v>
      </c>
      <c r="M76" s="36">
        <v>0.1102635</v>
      </c>
      <c r="N76" s="36" t="s">
        <v>23</v>
      </c>
      <c r="O76" s="36">
        <v>3.0388499999999999E-2</v>
      </c>
      <c r="P76" s="36">
        <v>0.42857142857142855</v>
      </c>
      <c r="Q76" s="36" t="s">
        <v>24</v>
      </c>
      <c r="R76" s="36">
        <v>5.5131699999999999E-2</v>
      </c>
      <c r="S76" s="36" t="s">
        <v>23</v>
      </c>
      <c r="T76" s="36">
        <v>3.5289899999999999E-2</v>
      </c>
      <c r="U76" s="37">
        <v>0.42857142857142855</v>
      </c>
      <c r="V76"/>
    </row>
    <row r="77" spans="1:22" ht="17" x14ac:dyDescent="0.2">
      <c r="A77" s="36" t="s">
        <v>73</v>
      </c>
      <c r="B77" s="45" t="str">
        <f>VLOOKUP(Tabella1[[#This Row],[test_id]],experiments_specs!A:J,2,FALSE)</f>
        <v>NN,VB,VBD,VBG,VBN,VBP,VBZ</v>
      </c>
      <c r="C77" s="38">
        <f>VLOOKUP(Tabella1[[#This Row],[test_id]],experiments_specs!A:J,3,FALSE)</f>
        <v>1</v>
      </c>
      <c r="D77" s="38">
        <f>VLOOKUP(Tabella1[[#This Row],[test_id]],experiments_specs!A:J,4,FALSE)</f>
        <v>2</v>
      </c>
      <c r="E77" s="38" t="str">
        <f>VLOOKUP(Tabella1[[#This Row],[test_id]],experiments_specs!A:J,5,FALSE)</f>
        <v>True</v>
      </c>
      <c r="F77" s="38" t="str">
        <f>VLOOKUP(Tabella1[[#This Row],[test_id]],experiments_specs!A:J,6,FALSE)</f>
        <v>True</v>
      </c>
      <c r="G77" s="38" t="str">
        <f>VLOOKUP(Tabella1[[#This Row],[test_id]],experiments_specs!A:J,7,FALSE)</f>
        <v>False</v>
      </c>
      <c r="H77" s="38" t="str">
        <f>VLOOKUP(Tabella1[[#This Row],[test_id]],experiments_specs!A:J,8,FALSE)</f>
        <v>False</v>
      </c>
      <c r="I77" s="45" t="str">
        <f>VLOOKUP(Tabella1[[#This Row],[test_id]],experiments_specs!A:J,9,FALSE)</f>
        <v>wup_similarity</v>
      </c>
      <c r="J77" s="38" t="str">
        <f>VLOOKUP(Tabella1[[#This Row],[test_id]],experiments_specs!A:J,10,FALSE)</f>
        <v>False</v>
      </c>
      <c r="K77" s="40" t="s">
        <v>13</v>
      </c>
      <c r="L77" s="36" t="s">
        <v>32</v>
      </c>
      <c r="M77" s="36">
        <v>0.14744189999999999</v>
      </c>
      <c r="N77" s="36" t="s">
        <v>33</v>
      </c>
      <c r="O77" s="36">
        <v>2.9100299999999999E-2</v>
      </c>
      <c r="P77" s="36">
        <v>0.4</v>
      </c>
      <c r="Q77" s="36" t="s">
        <v>34</v>
      </c>
      <c r="R77" s="36">
        <v>0</v>
      </c>
      <c r="S77" s="36" t="s">
        <v>35</v>
      </c>
      <c r="T77" s="36">
        <v>2.6328899999999999E-2</v>
      </c>
      <c r="U77" s="37" t="s">
        <v>25</v>
      </c>
      <c r="V77"/>
    </row>
    <row r="78" spans="1:22" ht="34" x14ac:dyDescent="0.2">
      <c r="A78" s="36" t="s">
        <v>73</v>
      </c>
      <c r="B78" s="45" t="str">
        <f>VLOOKUP(Tabella1[[#This Row],[test_id]],experiments_specs!A:J,2,FALSE)</f>
        <v>NN,VB,VBD,VBG,VBN,VBP,VBZ</v>
      </c>
      <c r="C78" s="38">
        <f>VLOOKUP(Tabella1[[#This Row],[test_id]],experiments_specs!A:J,3,FALSE)</f>
        <v>1</v>
      </c>
      <c r="D78" s="38">
        <f>VLOOKUP(Tabella1[[#This Row],[test_id]],experiments_specs!A:J,4,FALSE)</f>
        <v>2</v>
      </c>
      <c r="E78" s="38" t="str">
        <f>VLOOKUP(Tabella1[[#This Row],[test_id]],experiments_specs!A:J,5,FALSE)</f>
        <v>True</v>
      </c>
      <c r="F78" s="38" t="str">
        <f>VLOOKUP(Tabella1[[#This Row],[test_id]],experiments_specs!A:J,6,FALSE)</f>
        <v>True</v>
      </c>
      <c r="G78" s="38" t="str">
        <f>VLOOKUP(Tabella1[[#This Row],[test_id]],experiments_specs!A:J,7,FALSE)</f>
        <v>False</v>
      </c>
      <c r="H78" s="38" t="str">
        <f>VLOOKUP(Tabella1[[#This Row],[test_id]],experiments_specs!A:J,8,FALSE)</f>
        <v>False</v>
      </c>
      <c r="I78" s="45" t="str">
        <f>VLOOKUP(Tabella1[[#This Row],[test_id]],experiments_specs!A:J,9,FALSE)</f>
        <v>wup_similarity</v>
      </c>
      <c r="J78" s="38" t="str">
        <f>VLOOKUP(Tabella1[[#This Row],[test_id]],experiments_specs!A:J,10,FALSE)</f>
        <v>False</v>
      </c>
      <c r="K78" s="40" t="s">
        <v>14</v>
      </c>
      <c r="L78" s="36" t="s">
        <v>36</v>
      </c>
      <c r="M78" s="36" t="s">
        <v>269</v>
      </c>
      <c r="N78" s="36" t="s">
        <v>37</v>
      </c>
      <c r="O78" s="36" t="s">
        <v>309</v>
      </c>
      <c r="P78" s="36">
        <v>0.33333333333333331</v>
      </c>
      <c r="Q78" s="36" t="s">
        <v>38</v>
      </c>
      <c r="R78" s="36" t="s">
        <v>273</v>
      </c>
      <c r="S78" s="36" t="s">
        <v>37</v>
      </c>
      <c r="T78" s="36" t="s">
        <v>311</v>
      </c>
      <c r="U78" s="37">
        <v>0.33333333333333331</v>
      </c>
      <c r="V78"/>
    </row>
    <row r="79" spans="1:22" ht="34" x14ac:dyDescent="0.2">
      <c r="A79" s="36" t="s">
        <v>73</v>
      </c>
      <c r="B79" s="45" t="str">
        <f>VLOOKUP(Tabella1[[#This Row],[test_id]],experiments_specs!A:J,2,FALSE)</f>
        <v>NN,VB,VBD,VBG,VBN,VBP,VBZ</v>
      </c>
      <c r="C79" s="38">
        <f>VLOOKUP(Tabella1[[#This Row],[test_id]],experiments_specs!A:J,3,FALSE)</f>
        <v>1</v>
      </c>
      <c r="D79" s="38">
        <f>VLOOKUP(Tabella1[[#This Row],[test_id]],experiments_specs!A:J,4,FALSE)</f>
        <v>2</v>
      </c>
      <c r="E79" s="38" t="str">
        <f>VLOOKUP(Tabella1[[#This Row],[test_id]],experiments_specs!A:J,5,FALSE)</f>
        <v>True</v>
      </c>
      <c r="F79" s="38" t="str">
        <f>VLOOKUP(Tabella1[[#This Row],[test_id]],experiments_specs!A:J,6,FALSE)</f>
        <v>True</v>
      </c>
      <c r="G79" s="38" t="str">
        <f>VLOOKUP(Tabella1[[#This Row],[test_id]],experiments_specs!A:J,7,FALSE)</f>
        <v>False</v>
      </c>
      <c r="H79" s="38" t="str">
        <f>VLOOKUP(Tabella1[[#This Row],[test_id]],experiments_specs!A:J,8,FALSE)</f>
        <v>False</v>
      </c>
      <c r="I79" s="45" t="str">
        <f>VLOOKUP(Tabella1[[#This Row],[test_id]],experiments_specs!A:J,9,FALSE)</f>
        <v>wup_similarity</v>
      </c>
      <c r="J79" s="38" t="str">
        <f>VLOOKUP(Tabella1[[#This Row],[test_id]],experiments_specs!A:J,10,FALSE)</f>
        <v>False</v>
      </c>
      <c r="K79" s="40" t="s">
        <v>15</v>
      </c>
      <c r="L79" s="36" t="s">
        <v>26</v>
      </c>
      <c r="M79" s="36">
        <v>0.1561737</v>
      </c>
      <c r="N79" s="36" t="s">
        <v>27</v>
      </c>
      <c r="O79" s="36">
        <v>1.00757E-2</v>
      </c>
      <c r="P79" s="36">
        <v>0.16666666666666666</v>
      </c>
      <c r="Q79" s="36" t="s">
        <v>28</v>
      </c>
      <c r="R79" s="36" t="s">
        <v>186</v>
      </c>
      <c r="S79" s="36" t="s">
        <v>29</v>
      </c>
      <c r="T79" s="36" t="s">
        <v>313</v>
      </c>
      <c r="U79" s="37">
        <v>0.18181818181818182</v>
      </c>
      <c r="V79"/>
    </row>
    <row r="80" spans="1:22" ht="17" x14ac:dyDescent="0.2">
      <c r="A80" s="36" t="s">
        <v>73</v>
      </c>
      <c r="B80" s="45" t="str">
        <f>VLOOKUP(Tabella1[[#This Row],[test_id]],experiments_specs!A:J,2,FALSE)</f>
        <v>NN,VB,VBD,VBG,VBN,VBP,VBZ</v>
      </c>
      <c r="C80" s="38">
        <f>VLOOKUP(Tabella1[[#This Row],[test_id]],experiments_specs!A:J,3,FALSE)</f>
        <v>1</v>
      </c>
      <c r="D80" s="38">
        <f>VLOOKUP(Tabella1[[#This Row],[test_id]],experiments_specs!A:J,4,FALSE)</f>
        <v>2</v>
      </c>
      <c r="E80" s="38" t="str">
        <f>VLOOKUP(Tabella1[[#This Row],[test_id]],experiments_specs!A:J,5,FALSE)</f>
        <v>True</v>
      </c>
      <c r="F80" s="38" t="str">
        <f>VLOOKUP(Tabella1[[#This Row],[test_id]],experiments_specs!A:J,6,FALSE)</f>
        <v>True</v>
      </c>
      <c r="G80" s="38" t="str">
        <f>VLOOKUP(Tabella1[[#This Row],[test_id]],experiments_specs!A:J,7,FALSE)</f>
        <v>False</v>
      </c>
      <c r="H80" s="38" t="str">
        <f>VLOOKUP(Tabella1[[#This Row],[test_id]],experiments_specs!A:J,8,FALSE)</f>
        <v>False</v>
      </c>
      <c r="I80" s="45" t="str">
        <f>VLOOKUP(Tabella1[[#This Row],[test_id]],experiments_specs!A:J,9,FALSE)</f>
        <v>wup_similarity</v>
      </c>
      <c r="J80" s="38" t="str">
        <f>VLOOKUP(Tabella1[[#This Row],[test_id]],experiments_specs!A:J,10,FALSE)</f>
        <v>False</v>
      </c>
      <c r="K80" s="40" t="s">
        <v>16</v>
      </c>
      <c r="L80" s="36" t="s">
        <v>39</v>
      </c>
      <c r="M80" s="36">
        <v>6.4549700000000002E-2</v>
      </c>
      <c r="N80" s="36" t="s">
        <v>40</v>
      </c>
      <c r="O80" s="36">
        <v>1.91366E-2</v>
      </c>
      <c r="P80" s="36">
        <v>0.22222222222222221</v>
      </c>
      <c r="Q80" s="36" t="s">
        <v>41</v>
      </c>
      <c r="R80" s="36">
        <v>4.1666599999999998E-2</v>
      </c>
      <c r="S80" s="36" t="s">
        <v>40</v>
      </c>
      <c r="T80" s="36">
        <v>1.99686E-2</v>
      </c>
      <c r="U80" s="37">
        <v>0.22222222222222221</v>
      </c>
      <c r="V80"/>
    </row>
    <row r="81" spans="1:22" ht="17" x14ac:dyDescent="0.2">
      <c r="A81" s="36" t="s">
        <v>73</v>
      </c>
      <c r="B81" s="45" t="str">
        <f>VLOOKUP(Tabella1[[#This Row],[test_id]],experiments_specs!A:J,2,FALSE)</f>
        <v>NN,VB,VBD,VBG,VBN,VBP,VBZ</v>
      </c>
      <c r="C81" s="38">
        <f>VLOOKUP(Tabella1[[#This Row],[test_id]],experiments_specs!A:J,3,FALSE)</f>
        <v>1</v>
      </c>
      <c r="D81" s="38">
        <f>VLOOKUP(Tabella1[[#This Row],[test_id]],experiments_specs!A:J,4,FALSE)</f>
        <v>2</v>
      </c>
      <c r="E81" s="38" t="str">
        <f>VLOOKUP(Tabella1[[#This Row],[test_id]],experiments_specs!A:J,5,FALSE)</f>
        <v>True</v>
      </c>
      <c r="F81" s="38" t="str">
        <f>VLOOKUP(Tabella1[[#This Row],[test_id]],experiments_specs!A:J,6,FALSE)</f>
        <v>True</v>
      </c>
      <c r="G81" s="38" t="str">
        <f>VLOOKUP(Tabella1[[#This Row],[test_id]],experiments_specs!A:J,7,FALSE)</f>
        <v>False</v>
      </c>
      <c r="H81" s="38" t="str">
        <f>VLOOKUP(Tabella1[[#This Row],[test_id]],experiments_specs!A:J,8,FALSE)</f>
        <v>False</v>
      </c>
      <c r="I81" s="45" t="str">
        <f>VLOOKUP(Tabella1[[#This Row],[test_id]],experiments_specs!A:J,9,FALSE)</f>
        <v>wup_similarity</v>
      </c>
      <c r="J81" s="38" t="str">
        <f>VLOOKUP(Tabella1[[#This Row],[test_id]],experiments_specs!A:J,10,FALSE)</f>
        <v>False</v>
      </c>
      <c r="K81" s="40" t="s">
        <v>17</v>
      </c>
      <c r="L81" s="36" t="s">
        <v>30</v>
      </c>
      <c r="M81" s="36">
        <v>0.1028688</v>
      </c>
      <c r="N81" s="36" t="s">
        <v>31</v>
      </c>
      <c r="O81" s="36">
        <v>3.50689E-2</v>
      </c>
      <c r="P81" s="36">
        <v>0.22222222222222221</v>
      </c>
      <c r="Q81" s="36" t="s">
        <v>30</v>
      </c>
      <c r="R81" s="36">
        <v>0.1028688</v>
      </c>
      <c r="S81" s="36" t="s">
        <v>31</v>
      </c>
      <c r="T81" s="36">
        <v>3.2484899999999997E-2</v>
      </c>
      <c r="U81" s="37">
        <v>0.22222222222222221</v>
      </c>
      <c r="V81"/>
    </row>
    <row r="82" spans="1:22" ht="34" x14ac:dyDescent="0.2">
      <c r="A82" s="36" t="s">
        <v>73</v>
      </c>
      <c r="B82" s="45" t="str">
        <f>VLOOKUP(Tabella1[[#This Row],[test_id]],experiments_specs!A:J,2,FALSE)</f>
        <v>NN,VB,VBD,VBG,VBN,VBP,VBZ</v>
      </c>
      <c r="C82" s="38">
        <f>VLOOKUP(Tabella1[[#This Row],[test_id]],experiments_specs!A:J,3,FALSE)</f>
        <v>1</v>
      </c>
      <c r="D82" s="38">
        <f>VLOOKUP(Tabella1[[#This Row],[test_id]],experiments_specs!A:J,4,FALSE)</f>
        <v>2</v>
      </c>
      <c r="E82" s="38" t="str">
        <f>VLOOKUP(Tabella1[[#This Row],[test_id]],experiments_specs!A:J,5,FALSE)</f>
        <v>True</v>
      </c>
      <c r="F82" s="38" t="str">
        <f>VLOOKUP(Tabella1[[#This Row],[test_id]],experiments_specs!A:J,6,FALSE)</f>
        <v>True</v>
      </c>
      <c r="G82" s="38" t="str">
        <f>VLOOKUP(Tabella1[[#This Row],[test_id]],experiments_specs!A:J,7,FALSE)</f>
        <v>False</v>
      </c>
      <c r="H82" s="38" t="str">
        <f>VLOOKUP(Tabella1[[#This Row],[test_id]],experiments_specs!A:J,8,FALSE)</f>
        <v>False</v>
      </c>
      <c r="I82" s="45" t="str">
        <f>VLOOKUP(Tabella1[[#This Row],[test_id]],experiments_specs!A:J,9,FALSE)</f>
        <v>wup_similarity</v>
      </c>
      <c r="J82" s="38" t="str">
        <f>VLOOKUP(Tabella1[[#This Row],[test_id]],experiments_specs!A:J,10,FALSE)</f>
        <v>False</v>
      </c>
      <c r="K82" s="40" t="s">
        <v>18</v>
      </c>
      <c r="L82" s="36" t="s">
        <v>44</v>
      </c>
      <c r="M82" s="36">
        <v>3.5267199999999999E-2</v>
      </c>
      <c r="N82" s="36" t="s">
        <v>45</v>
      </c>
      <c r="O82" s="36">
        <v>1.00217E-2</v>
      </c>
      <c r="P82" s="36">
        <v>0.21052631578947367</v>
      </c>
      <c r="Q82" s="36" t="s">
        <v>46</v>
      </c>
      <c r="R82" s="36">
        <v>0</v>
      </c>
      <c r="S82" s="36" t="s">
        <v>45</v>
      </c>
      <c r="T82" s="36">
        <v>1.1661599999999999E-2</v>
      </c>
      <c r="U82" s="37">
        <v>0.21052631578947367</v>
      </c>
      <c r="V82"/>
    </row>
    <row r="83" spans="1:22" ht="34" x14ac:dyDescent="0.2">
      <c r="A83" s="36" t="s">
        <v>74</v>
      </c>
      <c r="B83" s="45" t="str">
        <f>VLOOKUP(Tabella1[[#This Row],[test_id]],experiments_specs!A:J,2,FALSE)</f>
        <v>NN,RB</v>
      </c>
      <c r="C83" s="38">
        <f>VLOOKUP(Tabella1[[#This Row],[test_id]],experiments_specs!A:J,3,FALSE)</f>
        <v>1</v>
      </c>
      <c r="D83" s="38">
        <f>VLOOKUP(Tabella1[[#This Row],[test_id]],experiments_specs!A:J,4,FALSE)</f>
        <v>2</v>
      </c>
      <c r="E83" s="38" t="str">
        <f>VLOOKUP(Tabella1[[#This Row],[test_id]],experiments_specs!A:J,5,FALSE)</f>
        <v>True</v>
      </c>
      <c r="F83" s="38" t="str">
        <f>VLOOKUP(Tabella1[[#This Row],[test_id]],experiments_specs!A:J,6,FALSE)</f>
        <v>True</v>
      </c>
      <c r="G83" s="38" t="str">
        <f>VLOOKUP(Tabella1[[#This Row],[test_id]],experiments_specs!A:J,7,FALSE)</f>
        <v>False</v>
      </c>
      <c r="H83" s="38" t="str">
        <f>VLOOKUP(Tabella1[[#This Row],[test_id]],experiments_specs!A:J,8,FALSE)</f>
        <v>False</v>
      </c>
      <c r="I83" s="45" t="str">
        <f>VLOOKUP(Tabella1[[#This Row],[test_id]],experiments_specs!A:J,9,FALSE)</f>
        <v>wup_similarity</v>
      </c>
      <c r="J83" s="38" t="str">
        <f>VLOOKUP(Tabella1[[#This Row],[test_id]],experiments_specs!A:J,10,FALSE)</f>
        <v>False</v>
      </c>
      <c r="K83" s="40" t="s">
        <v>19</v>
      </c>
      <c r="L83" s="36" t="s">
        <v>20</v>
      </c>
      <c r="M83" s="36" t="s">
        <v>194</v>
      </c>
      <c r="N83" s="36" t="s">
        <v>21</v>
      </c>
      <c r="O83" s="36" t="s">
        <v>315</v>
      </c>
      <c r="P83" s="36">
        <v>0.19047619047619047</v>
      </c>
      <c r="Q83" s="36" t="s">
        <v>47</v>
      </c>
      <c r="R83" s="36">
        <v>0</v>
      </c>
      <c r="S83" s="36" t="s">
        <v>48</v>
      </c>
      <c r="T83" s="36">
        <v>2.4659E-2</v>
      </c>
      <c r="U83" s="37">
        <v>0.2</v>
      </c>
      <c r="V83"/>
    </row>
    <row r="84" spans="1:22" ht="17" x14ac:dyDescent="0.2">
      <c r="A84" s="36" t="s">
        <v>74</v>
      </c>
      <c r="B84" s="45" t="str">
        <f>VLOOKUP(Tabella1[[#This Row],[test_id]],experiments_specs!A:J,2,FALSE)</f>
        <v>NN,RB</v>
      </c>
      <c r="C84" s="38">
        <f>VLOOKUP(Tabella1[[#This Row],[test_id]],experiments_specs!A:J,3,FALSE)</f>
        <v>1</v>
      </c>
      <c r="D84" s="38">
        <f>VLOOKUP(Tabella1[[#This Row],[test_id]],experiments_specs!A:J,4,FALSE)</f>
        <v>2</v>
      </c>
      <c r="E84" s="38" t="str">
        <f>VLOOKUP(Tabella1[[#This Row],[test_id]],experiments_specs!A:J,5,FALSE)</f>
        <v>True</v>
      </c>
      <c r="F84" s="38" t="str">
        <f>VLOOKUP(Tabella1[[#This Row],[test_id]],experiments_specs!A:J,6,FALSE)</f>
        <v>True</v>
      </c>
      <c r="G84" s="38" t="str">
        <f>VLOOKUP(Tabella1[[#This Row],[test_id]],experiments_specs!A:J,7,FALSE)</f>
        <v>False</v>
      </c>
      <c r="H84" s="38" t="str">
        <f>VLOOKUP(Tabella1[[#This Row],[test_id]],experiments_specs!A:J,8,FALSE)</f>
        <v>False</v>
      </c>
      <c r="I84" s="45" t="str">
        <f>VLOOKUP(Tabella1[[#This Row],[test_id]],experiments_specs!A:J,9,FALSE)</f>
        <v>wup_similarity</v>
      </c>
      <c r="J84" s="38" t="str">
        <f>VLOOKUP(Tabella1[[#This Row],[test_id]],experiments_specs!A:J,10,FALSE)</f>
        <v>False</v>
      </c>
      <c r="K84" s="40" t="s">
        <v>12</v>
      </c>
      <c r="L84" s="36" t="s">
        <v>22</v>
      </c>
      <c r="M84" s="36">
        <v>0.1102635</v>
      </c>
      <c r="N84" s="36" t="s">
        <v>23</v>
      </c>
      <c r="O84" s="36">
        <v>6.0776999999999998E-2</v>
      </c>
      <c r="P84" s="36">
        <v>0.42857142857142855</v>
      </c>
      <c r="Q84" s="36" t="s">
        <v>24</v>
      </c>
      <c r="R84" s="36">
        <v>5.5131699999999999E-2</v>
      </c>
      <c r="S84" s="36" t="s">
        <v>23</v>
      </c>
      <c r="T84" s="36">
        <v>6.0776999999999998E-2</v>
      </c>
      <c r="U84" s="37">
        <v>0.42857142857142855</v>
      </c>
      <c r="V84"/>
    </row>
    <row r="85" spans="1:22" ht="17" x14ac:dyDescent="0.2">
      <c r="A85" s="36" t="s">
        <v>74</v>
      </c>
      <c r="B85" s="45" t="str">
        <f>VLOOKUP(Tabella1[[#This Row],[test_id]],experiments_specs!A:J,2,FALSE)</f>
        <v>NN,RB</v>
      </c>
      <c r="C85" s="38">
        <f>VLOOKUP(Tabella1[[#This Row],[test_id]],experiments_specs!A:J,3,FALSE)</f>
        <v>1</v>
      </c>
      <c r="D85" s="38">
        <f>VLOOKUP(Tabella1[[#This Row],[test_id]],experiments_specs!A:J,4,FALSE)</f>
        <v>2</v>
      </c>
      <c r="E85" s="38" t="str">
        <f>VLOOKUP(Tabella1[[#This Row],[test_id]],experiments_specs!A:J,5,FALSE)</f>
        <v>True</v>
      </c>
      <c r="F85" s="38" t="str">
        <f>VLOOKUP(Tabella1[[#This Row],[test_id]],experiments_specs!A:J,6,FALSE)</f>
        <v>True</v>
      </c>
      <c r="G85" s="38" t="str">
        <f>VLOOKUP(Tabella1[[#This Row],[test_id]],experiments_specs!A:J,7,FALSE)</f>
        <v>False</v>
      </c>
      <c r="H85" s="38" t="str">
        <f>VLOOKUP(Tabella1[[#This Row],[test_id]],experiments_specs!A:J,8,FALSE)</f>
        <v>False</v>
      </c>
      <c r="I85" s="45" t="str">
        <f>VLOOKUP(Tabella1[[#This Row],[test_id]],experiments_specs!A:J,9,FALSE)</f>
        <v>wup_similarity</v>
      </c>
      <c r="J85" s="38" t="str">
        <f>VLOOKUP(Tabella1[[#This Row],[test_id]],experiments_specs!A:J,10,FALSE)</f>
        <v>False</v>
      </c>
      <c r="K85" s="40" t="s">
        <v>13</v>
      </c>
      <c r="L85" s="36" t="s">
        <v>32</v>
      </c>
      <c r="M85" s="36">
        <v>0.14744189999999999</v>
      </c>
      <c r="N85" s="36" t="s">
        <v>33</v>
      </c>
      <c r="O85" s="36">
        <v>3.6860400000000001E-2</v>
      </c>
      <c r="P85" s="36">
        <v>0.4</v>
      </c>
      <c r="Q85" s="36" t="s">
        <v>34</v>
      </c>
      <c r="R85" s="36">
        <v>0</v>
      </c>
      <c r="S85" s="36" t="s">
        <v>35</v>
      </c>
      <c r="T85" s="36">
        <v>3.6860400000000001E-2</v>
      </c>
      <c r="U85" s="37" t="s">
        <v>25</v>
      </c>
      <c r="V85"/>
    </row>
    <row r="86" spans="1:22" ht="34" x14ac:dyDescent="0.2">
      <c r="A86" s="36" t="s">
        <v>74</v>
      </c>
      <c r="B86" s="45" t="str">
        <f>VLOOKUP(Tabella1[[#This Row],[test_id]],experiments_specs!A:J,2,FALSE)</f>
        <v>NN,RB</v>
      </c>
      <c r="C86" s="38">
        <f>VLOOKUP(Tabella1[[#This Row],[test_id]],experiments_specs!A:J,3,FALSE)</f>
        <v>1</v>
      </c>
      <c r="D86" s="38">
        <f>VLOOKUP(Tabella1[[#This Row],[test_id]],experiments_specs!A:J,4,FALSE)</f>
        <v>2</v>
      </c>
      <c r="E86" s="38" t="str">
        <f>VLOOKUP(Tabella1[[#This Row],[test_id]],experiments_specs!A:J,5,FALSE)</f>
        <v>True</v>
      </c>
      <c r="F86" s="38" t="str">
        <f>VLOOKUP(Tabella1[[#This Row],[test_id]],experiments_specs!A:J,6,FALSE)</f>
        <v>True</v>
      </c>
      <c r="G86" s="38" t="str">
        <f>VLOOKUP(Tabella1[[#This Row],[test_id]],experiments_specs!A:J,7,FALSE)</f>
        <v>False</v>
      </c>
      <c r="H86" s="38" t="str">
        <f>VLOOKUP(Tabella1[[#This Row],[test_id]],experiments_specs!A:J,8,FALSE)</f>
        <v>False</v>
      </c>
      <c r="I86" s="45" t="str">
        <f>VLOOKUP(Tabella1[[#This Row],[test_id]],experiments_specs!A:J,9,FALSE)</f>
        <v>wup_similarity</v>
      </c>
      <c r="J86" s="38" t="str">
        <f>VLOOKUP(Tabella1[[#This Row],[test_id]],experiments_specs!A:J,10,FALSE)</f>
        <v>False</v>
      </c>
      <c r="K86" s="40" t="s">
        <v>14</v>
      </c>
      <c r="L86" s="36" t="s">
        <v>36</v>
      </c>
      <c r="M86" s="36" t="s">
        <v>269</v>
      </c>
      <c r="N86" s="36" t="s">
        <v>37</v>
      </c>
      <c r="O86" s="36" t="s">
        <v>317</v>
      </c>
      <c r="P86" s="36">
        <v>0.33333333333333331</v>
      </c>
      <c r="Q86" s="36" t="s">
        <v>38</v>
      </c>
      <c r="R86" s="36" t="s">
        <v>273</v>
      </c>
      <c r="S86" s="36" t="s">
        <v>37</v>
      </c>
      <c r="T86" s="36" t="s">
        <v>275</v>
      </c>
      <c r="U86" s="37">
        <v>0.33333333333333331</v>
      </c>
      <c r="V86"/>
    </row>
    <row r="87" spans="1:22" ht="34" x14ac:dyDescent="0.2">
      <c r="A87" s="36" t="s">
        <v>74</v>
      </c>
      <c r="B87" s="45" t="str">
        <f>VLOOKUP(Tabella1[[#This Row],[test_id]],experiments_specs!A:J,2,FALSE)</f>
        <v>NN,RB</v>
      </c>
      <c r="C87" s="38">
        <f>VLOOKUP(Tabella1[[#This Row],[test_id]],experiments_specs!A:J,3,FALSE)</f>
        <v>1</v>
      </c>
      <c r="D87" s="38">
        <f>VLOOKUP(Tabella1[[#This Row],[test_id]],experiments_specs!A:J,4,FALSE)</f>
        <v>2</v>
      </c>
      <c r="E87" s="38" t="str">
        <f>VLOOKUP(Tabella1[[#This Row],[test_id]],experiments_specs!A:J,5,FALSE)</f>
        <v>True</v>
      </c>
      <c r="F87" s="38" t="str">
        <f>VLOOKUP(Tabella1[[#This Row],[test_id]],experiments_specs!A:J,6,FALSE)</f>
        <v>True</v>
      </c>
      <c r="G87" s="38" t="str">
        <f>VLOOKUP(Tabella1[[#This Row],[test_id]],experiments_specs!A:J,7,FALSE)</f>
        <v>False</v>
      </c>
      <c r="H87" s="38" t="str">
        <f>VLOOKUP(Tabella1[[#This Row],[test_id]],experiments_specs!A:J,8,FALSE)</f>
        <v>False</v>
      </c>
      <c r="I87" s="45" t="str">
        <f>VLOOKUP(Tabella1[[#This Row],[test_id]],experiments_specs!A:J,9,FALSE)</f>
        <v>wup_similarity</v>
      </c>
      <c r="J87" s="38" t="str">
        <f>VLOOKUP(Tabella1[[#This Row],[test_id]],experiments_specs!A:J,10,FALSE)</f>
        <v>False</v>
      </c>
      <c r="K87" s="40" t="s">
        <v>15</v>
      </c>
      <c r="L87" s="36" t="s">
        <v>26</v>
      </c>
      <c r="M87" s="36">
        <v>0.1561737</v>
      </c>
      <c r="N87" s="36" t="s">
        <v>27</v>
      </c>
      <c r="O87" s="36">
        <v>2.0823100000000001E-2</v>
      </c>
      <c r="P87" s="36">
        <v>0.16666666666666666</v>
      </c>
      <c r="Q87" s="36" t="s">
        <v>28</v>
      </c>
      <c r="R87" s="36" t="s">
        <v>186</v>
      </c>
      <c r="S87" s="36" t="s">
        <v>29</v>
      </c>
      <c r="T87" s="36" t="s">
        <v>319</v>
      </c>
      <c r="U87" s="37">
        <v>0.18181818181818182</v>
      </c>
      <c r="V87"/>
    </row>
    <row r="88" spans="1:22" ht="17" x14ac:dyDescent="0.2">
      <c r="A88" s="36" t="s">
        <v>74</v>
      </c>
      <c r="B88" s="45" t="str">
        <f>VLOOKUP(Tabella1[[#This Row],[test_id]],experiments_specs!A:J,2,FALSE)</f>
        <v>NN,RB</v>
      </c>
      <c r="C88" s="38">
        <f>VLOOKUP(Tabella1[[#This Row],[test_id]],experiments_specs!A:J,3,FALSE)</f>
        <v>1</v>
      </c>
      <c r="D88" s="38">
        <f>VLOOKUP(Tabella1[[#This Row],[test_id]],experiments_specs!A:J,4,FALSE)</f>
        <v>2</v>
      </c>
      <c r="E88" s="38" t="str">
        <f>VLOOKUP(Tabella1[[#This Row],[test_id]],experiments_specs!A:J,5,FALSE)</f>
        <v>True</v>
      </c>
      <c r="F88" s="38" t="str">
        <f>VLOOKUP(Tabella1[[#This Row],[test_id]],experiments_specs!A:J,6,FALSE)</f>
        <v>True</v>
      </c>
      <c r="G88" s="38" t="str">
        <f>VLOOKUP(Tabella1[[#This Row],[test_id]],experiments_specs!A:J,7,FALSE)</f>
        <v>False</v>
      </c>
      <c r="H88" s="38" t="str">
        <f>VLOOKUP(Tabella1[[#This Row],[test_id]],experiments_specs!A:J,8,FALSE)</f>
        <v>False</v>
      </c>
      <c r="I88" s="45" t="str">
        <f>VLOOKUP(Tabella1[[#This Row],[test_id]],experiments_specs!A:J,9,FALSE)</f>
        <v>wup_similarity</v>
      </c>
      <c r="J88" s="38" t="str">
        <f>VLOOKUP(Tabella1[[#This Row],[test_id]],experiments_specs!A:J,10,FALSE)</f>
        <v>False</v>
      </c>
      <c r="K88" s="40" t="s">
        <v>16</v>
      </c>
      <c r="L88" s="36" t="s">
        <v>39</v>
      </c>
      <c r="M88" s="36">
        <v>6.4549700000000002E-2</v>
      </c>
      <c r="N88" s="36" t="s">
        <v>40</v>
      </c>
      <c r="O88" s="36">
        <v>1.7496299999999999E-2</v>
      </c>
      <c r="P88" s="36">
        <v>0.22222222222222221</v>
      </c>
      <c r="Q88" s="36" t="s">
        <v>41</v>
      </c>
      <c r="R88" s="36">
        <v>4.1666599999999998E-2</v>
      </c>
      <c r="S88" s="36" t="s">
        <v>40</v>
      </c>
      <c r="T88" s="36">
        <v>1.8556699999999999E-2</v>
      </c>
      <c r="U88" s="37">
        <v>0.22222222222222221</v>
      </c>
      <c r="V88"/>
    </row>
    <row r="89" spans="1:22" ht="68" x14ac:dyDescent="0.2">
      <c r="A89" s="36" t="s">
        <v>74</v>
      </c>
      <c r="B89" s="45" t="str">
        <f>VLOOKUP(Tabella1[[#This Row],[test_id]],experiments_specs!A:J,2,FALSE)</f>
        <v>NN,RB</v>
      </c>
      <c r="C89" s="38">
        <f>VLOOKUP(Tabella1[[#This Row],[test_id]],experiments_specs!A:J,3,FALSE)</f>
        <v>1</v>
      </c>
      <c r="D89" s="38">
        <f>VLOOKUP(Tabella1[[#This Row],[test_id]],experiments_specs!A:J,4,FALSE)</f>
        <v>2</v>
      </c>
      <c r="E89" s="38" t="str">
        <f>VLOOKUP(Tabella1[[#This Row],[test_id]],experiments_specs!A:J,5,FALSE)</f>
        <v>True</v>
      </c>
      <c r="F89" s="38" t="str">
        <f>VLOOKUP(Tabella1[[#This Row],[test_id]],experiments_specs!A:J,6,FALSE)</f>
        <v>True</v>
      </c>
      <c r="G89" s="38" t="str">
        <f>VLOOKUP(Tabella1[[#This Row],[test_id]],experiments_specs!A:J,7,FALSE)</f>
        <v>False</v>
      </c>
      <c r="H89" s="38" t="str">
        <f>VLOOKUP(Tabella1[[#This Row],[test_id]],experiments_specs!A:J,8,FALSE)</f>
        <v>False</v>
      </c>
      <c r="I89" s="45" t="str">
        <f>VLOOKUP(Tabella1[[#This Row],[test_id]],experiments_specs!A:J,9,FALSE)</f>
        <v>wup_similarity</v>
      </c>
      <c r="J89" s="38" t="str">
        <f>VLOOKUP(Tabella1[[#This Row],[test_id]],experiments_specs!A:J,10,FALSE)</f>
        <v>False</v>
      </c>
      <c r="K89" s="40" t="s">
        <v>17</v>
      </c>
      <c r="L89" s="36" t="s">
        <v>279</v>
      </c>
      <c r="M89" s="36" t="s">
        <v>281</v>
      </c>
      <c r="N89" s="36" t="s">
        <v>42</v>
      </c>
      <c r="O89" s="36" t="s">
        <v>321</v>
      </c>
      <c r="P89" s="36">
        <v>0.30769230769230771</v>
      </c>
      <c r="Q89" s="36" t="s">
        <v>43</v>
      </c>
      <c r="R89" s="36" t="s">
        <v>285</v>
      </c>
      <c r="S89" s="36" t="s">
        <v>42</v>
      </c>
      <c r="T89" s="36" t="s">
        <v>287</v>
      </c>
      <c r="U89" s="37">
        <v>0.30769230769230771</v>
      </c>
      <c r="V89"/>
    </row>
    <row r="90" spans="1:22" ht="34" x14ac:dyDescent="0.2">
      <c r="A90" s="36" t="s">
        <v>74</v>
      </c>
      <c r="B90" s="45" t="str">
        <f>VLOOKUP(Tabella1[[#This Row],[test_id]],experiments_specs!A:J,2,FALSE)</f>
        <v>NN,RB</v>
      </c>
      <c r="C90" s="38">
        <f>VLOOKUP(Tabella1[[#This Row],[test_id]],experiments_specs!A:J,3,FALSE)</f>
        <v>1</v>
      </c>
      <c r="D90" s="38">
        <f>VLOOKUP(Tabella1[[#This Row],[test_id]],experiments_specs!A:J,4,FALSE)</f>
        <v>2</v>
      </c>
      <c r="E90" s="38" t="str">
        <f>VLOOKUP(Tabella1[[#This Row],[test_id]],experiments_specs!A:J,5,FALSE)</f>
        <v>True</v>
      </c>
      <c r="F90" s="38" t="str">
        <f>VLOOKUP(Tabella1[[#This Row],[test_id]],experiments_specs!A:J,6,FALSE)</f>
        <v>True</v>
      </c>
      <c r="G90" s="38" t="str">
        <f>VLOOKUP(Tabella1[[#This Row],[test_id]],experiments_specs!A:J,7,FALSE)</f>
        <v>False</v>
      </c>
      <c r="H90" s="38" t="str">
        <f>VLOOKUP(Tabella1[[#This Row],[test_id]],experiments_specs!A:J,8,FALSE)</f>
        <v>False</v>
      </c>
      <c r="I90" s="45" t="str">
        <f>VLOOKUP(Tabella1[[#This Row],[test_id]],experiments_specs!A:J,9,FALSE)</f>
        <v>wup_similarity</v>
      </c>
      <c r="J90" s="38" t="str">
        <f>VLOOKUP(Tabella1[[#This Row],[test_id]],experiments_specs!A:J,10,FALSE)</f>
        <v>False</v>
      </c>
      <c r="K90" s="40" t="s">
        <v>18</v>
      </c>
      <c r="L90" s="36" t="s">
        <v>44</v>
      </c>
      <c r="M90" s="36">
        <v>3.5267199999999999E-2</v>
      </c>
      <c r="N90" s="36" t="s">
        <v>45</v>
      </c>
      <c r="O90" s="36">
        <v>1.5643600000000001E-2</v>
      </c>
      <c r="P90" s="36">
        <v>0.21052631578947367</v>
      </c>
      <c r="Q90" s="36" t="s">
        <v>46</v>
      </c>
      <c r="R90" s="36">
        <v>0</v>
      </c>
      <c r="S90" s="36" t="s">
        <v>45</v>
      </c>
      <c r="T90" s="36">
        <v>1.8864300000000001E-2</v>
      </c>
      <c r="U90" s="37">
        <v>0.21052631578947367</v>
      </c>
      <c r="V90"/>
    </row>
    <row r="91" spans="1:22" ht="17" x14ac:dyDescent="0.2">
      <c r="A91" s="36" t="s">
        <v>75</v>
      </c>
      <c r="B91" s="45" t="str">
        <f>VLOOKUP(Tabella1[[#This Row],[test_id]],experiments_specs!A:J,2,FALSE)</f>
        <v>NN,JJ,VB,VBD,VBG,VBN,VBP,VBZ</v>
      </c>
      <c r="C91" s="38">
        <f>VLOOKUP(Tabella1[[#This Row],[test_id]],experiments_specs!A:J,3,FALSE)</f>
        <v>1</v>
      </c>
      <c r="D91" s="38">
        <f>VLOOKUP(Tabella1[[#This Row],[test_id]],experiments_specs!A:J,4,FALSE)</f>
        <v>2</v>
      </c>
      <c r="E91" s="38" t="str">
        <f>VLOOKUP(Tabella1[[#This Row],[test_id]],experiments_specs!A:J,5,FALSE)</f>
        <v>True</v>
      </c>
      <c r="F91" s="38" t="str">
        <f>VLOOKUP(Tabella1[[#This Row],[test_id]],experiments_specs!A:J,6,FALSE)</f>
        <v>True</v>
      </c>
      <c r="G91" s="38" t="str">
        <f>VLOOKUP(Tabella1[[#This Row],[test_id]],experiments_specs!A:J,7,FALSE)</f>
        <v>False</v>
      </c>
      <c r="H91" s="38" t="str">
        <f>VLOOKUP(Tabella1[[#This Row],[test_id]],experiments_specs!A:J,8,FALSE)</f>
        <v>False</v>
      </c>
      <c r="I91" s="45" t="str">
        <f>VLOOKUP(Tabella1[[#This Row],[test_id]],experiments_specs!A:J,9,FALSE)</f>
        <v>wup_similarity</v>
      </c>
      <c r="J91" s="38" t="str">
        <f>VLOOKUP(Tabella1[[#This Row],[test_id]],experiments_specs!A:J,10,FALSE)</f>
        <v>False</v>
      </c>
      <c r="K91" s="40" t="s">
        <v>19</v>
      </c>
      <c r="L91" s="36" t="s">
        <v>225</v>
      </c>
      <c r="M91" s="36">
        <v>0.14126440000000001</v>
      </c>
      <c r="N91" s="36" t="s">
        <v>226</v>
      </c>
      <c r="O91" s="36">
        <v>1.97927E-2</v>
      </c>
      <c r="P91" s="36">
        <v>0.17391304347826086</v>
      </c>
      <c r="Q91" s="36" t="s">
        <v>288</v>
      </c>
      <c r="R91" s="36">
        <v>0.139686</v>
      </c>
      <c r="S91" s="36" t="s">
        <v>226</v>
      </c>
      <c r="T91" s="36">
        <v>2.89822E-2</v>
      </c>
      <c r="U91" s="37">
        <v>0.17391304347826086</v>
      </c>
      <c r="V91"/>
    </row>
    <row r="92" spans="1:22" ht="17" x14ac:dyDescent="0.2">
      <c r="A92" s="36" t="s">
        <v>75</v>
      </c>
      <c r="B92" s="45" t="str">
        <f>VLOOKUP(Tabella1[[#This Row],[test_id]],experiments_specs!A:J,2,FALSE)</f>
        <v>NN,JJ,VB,VBD,VBG,VBN,VBP,VBZ</v>
      </c>
      <c r="C92" s="38">
        <f>VLOOKUP(Tabella1[[#This Row],[test_id]],experiments_specs!A:J,3,FALSE)</f>
        <v>1</v>
      </c>
      <c r="D92" s="38">
        <f>VLOOKUP(Tabella1[[#This Row],[test_id]],experiments_specs!A:J,4,FALSE)</f>
        <v>2</v>
      </c>
      <c r="E92" s="38" t="str">
        <f>VLOOKUP(Tabella1[[#This Row],[test_id]],experiments_specs!A:J,5,FALSE)</f>
        <v>True</v>
      </c>
      <c r="F92" s="38" t="str">
        <f>VLOOKUP(Tabella1[[#This Row],[test_id]],experiments_specs!A:J,6,FALSE)</f>
        <v>True</v>
      </c>
      <c r="G92" s="38" t="str">
        <f>VLOOKUP(Tabella1[[#This Row],[test_id]],experiments_specs!A:J,7,FALSE)</f>
        <v>False</v>
      </c>
      <c r="H92" s="38" t="str">
        <f>VLOOKUP(Tabella1[[#This Row],[test_id]],experiments_specs!A:J,8,FALSE)</f>
        <v>False</v>
      </c>
      <c r="I92" s="45" t="str">
        <f>VLOOKUP(Tabella1[[#This Row],[test_id]],experiments_specs!A:J,9,FALSE)</f>
        <v>wup_similarity</v>
      </c>
      <c r="J92" s="38" t="str">
        <f>VLOOKUP(Tabella1[[#This Row],[test_id]],experiments_specs!A:J,10,FALSE)</f>
        <v>False</v>
      </c>
      <c r="K92" s="40" t="s">
        <v>12</v>
      </c>
      <c r="L92" s="36" t="s">
        <v>22</v>
      </c>
      <c r="M92" s="36">
        <v>0.1102635</v>
      </c>
      <c r="N92" s="36" t="s">
        <v>23</v>
      </c>
      <c r="O92" s="36">
        <v>2.27914E-2</v>
      </c>
      <c r="P92" s="36">
        <v>0.42857142857142855</v>
      </c>
      <c r="Q92" s="36" t="s">
        <v>24</v>
      </c>
      <c r="R92" s="36">
        <v>5.5131699999999999E-2</v>
      </c>
      <c r="S92" s="36" t="s">
        <v>23</v>
      </c>
      <c r="T92" s="36">
        <v>3.4187099999999998E-2</v>
      </c>
      <c r="U92" s="37">
        <v>0.42857142857142855</v>
      </c>
      <c r="V92"/>
    </row>
    <row r="93" spans="1:22" ht="17" x14ac:dyDescent="0.2">
      <c r="A93" s="36" t="s">
        <v>75</v>
      </c>
      <c r="B93" s="45" t="str">
        <f>VLOOKUP(Tabella1[[#This Row],[test_id]],experiments_specs!A:J,2,FALSE)</f>
        <v>NN,JJ,VB,VBD,VBG,VBN,VBP,VBZ</v>
      </c>
      <c r="C93" s="38">
        <f>VLOOKUP(Tabella1[[#This Row],[test_id]],experiments_specs!A:J,3,FALSE)</f>
        <v>1</v>
      </c>
      <c r="D93" s="38">
        <f>VLOOKUP(Tabella1[[#This Row],[test_id]],experiments_specs!A:J,4,FALSE)</f>
        <v>2</v>
      </c>
      <c r="E93" s="38" t="str">
        <f>VLOOKUP(Tabella1[[#This Row],[test_id]],experiments_specs!A:J,5,FALSE)</f>
        <v>True</v>
      </c>
      <c r="F93" s="38" t="str">
        <f>VLOOKUP(Tabella1[[#This Row],[test_id]],experiments_specs!A:J,6,FALSE)</f>
        <v>True</v>
      </c>
      <c r="G93" s="38" t="str">
        <f>VLOOKUP(Tabella1[[#This Row],[test_id]],experiments_specs!A:J,7,FALSE)</f>
        <v>False</v>
      </c>
      <c r="H93" s="38" t="str">
        <f>VLOOKUP(Tabella1[[#This Row],[test_id]],experiments_specs!A:J,8,FALSE)</f>
        <v>False</v>
      </c>
      <c r="I93" s="45" t="str">
        <f>VLOOKUP(Tabella1[[#This Row],[test_id]],experiments_specs!A:J,9,FALSE)</f>
        <v>wup_similarity</v>
      </c>
      <c r="J93" s="38" t="str">
        <f>VLOOKUP(Tabella1[[#This Row],[test_id]],experiments_specs!A:J,10,FALSE)</f>
        <v>False</v>
      </c>
      <c r="K93" s="40" t="s">
        <v>13</v>
      </c>
      <c r="L93" s="36" t="s">
        <v>32</v>
      </c>
      <c r="M93" s="36">
        <v>0.14744189999999999</v>
      </c>
      <c r="N93" s="36" t="s">
        <v>33</v>
      </c>
      <c r="O93" s="36">
        <v>2.2116199999999999E-2</v>
      </c>
      <c r="P93" s="36">
        <v>0.4</v>
      </c>
      <c r="Q93" s="36" t="s">
        <v>34</v>
      </c>
      <c r="R93" s="36">
        <v>0</v>
      </c>
      <c r="S93" s="36" t="s">
        <v>35</v>
      </c>
      <c r="T93" s="36">
        <v>2.6328899999999999E-2</v>
      </c>
      <c r="U93" s="37" t="s">
        <v>25</v>
      </c>
      <c r="V93"/>
    </row>
    <row r="94" spans="1:22" ht="34" x14ac:dyDescent="0.2">
      <c r="A94" s="36" t="s">
        <v>75</v>
      </c>
      <c r="B94" s="45" t="str">
        <f>VLOOKUP(Tabella1[[#This Row],[test_id]],experiments_specs!A:J,2,FALSE)</f>
        <v>NN,JJ,VB,VBD,VBG,VBN,VBP,VBZ</v>
      </c>
      <c r="C94" s="38">
        <f>VLOOKUP(Tabella1[[#This Row],[test_id]],experiments_specs!A:J,3,FALSE)</f>
        <v>1</v>
      </c>
      <c r="D94" s="38">
        <f>VLOOKUP(Tabella1[[#This Row],[test_id]],experiments_specs!A:J,4,FALSE)</f>
        <v>2</v>
      </c>
      <c r="E94" s="38" t="str">
        <f>VLOOKUP(Tabella1[[#This Row],[test_id]],experiments_specs!A:J,5,FALSE)</f>
        <v>True</v>
      </c>
      <c r="F94" s="38" t="str">
        <f>VLOOKUP(Tabella1[[#This Row],[test_id]],experiments_specs!A:J,6,FALSE)</f>
        <v>True</v>
      </c>
      <c r="G94" s="38" t="str">
        <f>VLOOKUP(Tabella1[[#This Row],[test_id]],experiments_specs!A:J,7,FALSE)</f>
        <v>False</v>
      </c>
      <c r="H94" s="38" t="str">
        <f>VLOOKUP(Tabella1[[#This Row],[test_id]],experiments_specs!A:J,8,FALSE)</f>
        <v>False</v>
      </c>
      <c r="I94" s="45" t="str">
        <f>VLOOKUP(Tabella1[[#This Row],[test_id]],experiments_specs!A:J,9,FALSE)</f>
        <v>wup_similarity</v>
      </c>
      <c r="J94" s="38" t="str">
        <f>VLOOKUP(Tabella1[[#This Row],[test_id]],experiments_specs!A:J,10,FALSE)</f>
        <v>False</v>
      </c>
      <c r="K94" s="40" t="s">
        <v>14</v>
      </c>
      <c r="L94" s="36" t="s">
        <v>36</v>
      </c>
      <c r="M94" s="36" t="s">
        <v>269</v>
      </c>
      <c r="N94" s="36" t="s">
        <v>37</v>
      </c>
      <c r="O94" s="36" t="s">
        <v>323</v>
      </c>
      <c r="P94" s="36">
        <v>0.33333333333333331</v>
      </c>
      <c r="Q94" s="36" t="s">
        <v>38</v>
      </c>
      <c r="R94" s="36" t="s">
        <v>273</v>
      </c>
      <c r="S94" s="36" t="s">
        <v>37</v>
      </c>
      <c r="T94" s="36" t="s">
        <v>325</v>
      </c>
      <c r="U94" s="37">
        <v>0.33333333333333331</v>
      </c>
      <c r="V94"/>
    </row>
    <row r="95" spans="1:22" ht="17" x14ac:dyDescent="0.2">
      <c r="A95" s="36" t="s">
        <v>75</v>
      </c>
      <c r="B95" s="45" t="str">
        <f>VLOOKUP(Tabella1[[#This Row],[test_id]],experiments_specs!A:J,2,FALSE)</f>
        <v>NN,JJ,VB,VBD,VBG,VBN,VBP,VBZ</v>
      </c>
      <c r="C95" s="38">
        <f>VLOOKUP(Tabella1[[#This Row],[test_id]],experiments_specs!A:J,3,FALSE)</f>
        <v>1</v>
      </c>
      <c r="D95" s="38">
        <f>VLOOKUP(Tabella1[[#This Row],[test_id]],experiments_specs!A:J,4,FALSE)</f>
        <v>2</v>
      </c>
      <c r="E95" s="38" t="str">
        <f>VLOOKUP(Tabella1[[#This Row],[test_id]],experiments_specs!A:J,5,FALSE)</f>
        <v>True</v>
      </c>
      <c r="F95" s="38" t="str">
        <f>VLOOKUP(Tabella1[[#This Row],[test_id]],experiments_specs!A:J,6,FALSE)</f>
        <v>True</v>
      </c>
      <c r="G95" s="38" t="str">
        <f>VLOOKUP(Tabella1[[#This Row],[test_id]],experiments_specs!A:J,7,FALSE)</f>
        <v>False</v>
      </c>
      <c r="H95" s="38" t="str">
        <f>VLOOKUP(Tabella1[[#This Row],[test_id]],experiments_specs!A:J,8,FALSE)</f>
        <v>False</v>
      </c>
      <c r="I95" s="45" t="str">
        <f>VLOOKUP(Tabella1[[#This Row],[test_id]],experiments_specs!A:J,9,FALSE)</f>
        <v>wup_similarity</v>
      </c>
      <c r="J95" s="38" t="str">
        <f>VLOOKUP(Tabella1[[#This Row],[test_id]],experiments_specs!A:J,10,FALSE)</f>
        <v>False</v>
      </c>
      <c r="K95" s="40" t="s">
        <v>15</v>
      </c>
      <c r="L95" s="36" t="s">
        <v>26</v>
      </c>
      <c r="M95" s="36">
        <v>0.1561737</v>
      </c>
      <c r="N95" s="36" t="s">
        <v>27</v>
      </c>
      <c r="O95" s="36">
        <v>1.1712999999999999E-2</v>
      </c>
      <c r="P95" s="36">
        <v>0.16666666666666666</v>
      </c>
      <c r="Q95" s="36" t="s">
        <v>15</v>
      </c>
      <c r="R95" s="36">
        <v>0.1770844</v>
      </c>
      <c r="S95" s="36" t="s">
        <v>293</v>
      </c>
      <c r="T95" s="36">
        <v>2.7036000000000001E-2</v>
      </c>
      <c r="U95" s="37">
        <v>0.90909090909090906</v>
      </c>
      <c r="V95"/>
    </row>
    <row r="96" spans="1:22" ht="17" x14ac:dyDescent="0.2">
      <c r="A96" s="36" t="s">
        <v>75</v>
      </c>
      <c r="B96" s="45" t="str">
        <f>VLOOKUP(Tabella1[[#This Row],[test_id]],experiments_specs!A:J,2,FALSE)</f>
        <v>NN,JJ,VB,VBD,VBG,VBN,VBP,VBZ</v>
      </c>
      <c r="C96" s="38">
        <f>VLOOKUP(Tabella1[[#This Row],[test_id]],experiments_specs!A:J,3,FALSE)</f>
        <v>1</v>
      </c>
      <c r="D96" s="38">
        <f>VLOOKUP(Tabella1[[#This Row],[test_id]],experiments_specs!A:J,4,FALSE)</f>
        <v>2</v>
      </c>
      <c r="E96" s="38" t="str">
        <f>VLOOKUP(Tabella1[[#This Row],[test_id]],experiments_specs!A:J,5,FALSE)</f>
        <v>True</v>
      </c>
      <c r="F96" s="38" t="str">
        <f>VLOOKUP(Tabella1[[#This Row],[test_id]],experiments_specs!A:J,6,FALSE)</f>
        <v>True</v>
      </c>
      <c r="G96" s="38" t="str">
        <f>VLOOKUP(Tabella1[[#This Row],[test_id]],experiments_specs!A:J,7,FALSE)</f>
        <v>False</v>
      </c>
      <c r="H96" s="38" t="str">
        <f>VLOOKUP(Tabella1[[#This Row],[test_id]],experiments_specs!A:J,8,FALSE)</f>
        <v>False</v>
      </c>
      <c r="I96" s="45" t="str">
        <f>VLOOKUP(Tabella1[[#This Row],[test_id]],experiments_specs!A:J,9,FALSE)</f>
        <v>wup_similarity</v>
      </c>
      <c r="J96" s="38" t="str">
        <f>VLOOKUP(Tabella1[[#This Row],[test_id]],experiments_specs!A:J,10,FALSE)</f>
        <v>False</v>
      </c>
      <c r="K96" s="40" t="s">
        <v>16</v>
      </c>
      <c r="L96" s="36" t="s">
        <v>39</v>
      </c>
      <c r="M96" s="36">
        <v>6.4549700000000002E-2</v>
      </c>
      <c r="N96" s="36" t="s">
        <v>40</v>
      </c>
      <c r="O96" s="36">
        <v>1.76645E-2</v>
      </c>
      <c r="P96" s="36">
        <v>0.22222222222222221</v>
      </c>
      <c r="Q96" s="36" t="s">
        <v>41</v>
      </c>
      <c r="R96" s="36">
        <v>4.1666599999999998E-2</v>
      </c>
      <c r="S96" s="36" t="s">
        <v>40</v>
      </c>
      <c r="T96" s="36">
        <v>1.95438E-2</v>
      </c>
      <c r="U96" s="37">
        <v>0.22222222222222221</v>
      </c>
      <c r="V96"/>
    </row>
    <row r="97" spans="1:22" ht="17" x14ac:dyDescent="0.2">
      <c r="A97" s="36" t="s">
        <v>75</v>
      </c>
      <c r="B97" s="45" t="str">
        <f>VLOOKUP(Tabella1[[#This Row],[test_id]],experiments_specs!A:J,2,FALSE)</f>
        <v>NN,JJ,VB,VBD,VBG,VBN,VBP,VBZ</v>
      </c>
      <c r="C97" s="38">
        <f>VLOOKUP(Tabella1[[#This Row],[test_id]],experiments_specs!A:J,3,FALSE)</f>
        <v>1</v>
      </c>
      <c r="D97" s="38">
        <f>VLOOKUP(Tabella1[[#This Row],[test_id]],experiments_specs!A:J,4,FALSE)</f>
        <v>2</v>
      </c>
      <c r="E97" s="38" t="str">
        <f>VLOOKUP(Tabella1[[#This Row],[test_id]],experiments_specs!A:J,5,FALSE)</f>
        <v>True</v>
      </c>
      <c r="F97" s="38" t="str">
        <f>VLOOKUP(Tabella1[[#This Row],[test_id]],experiments_specs!A:J,6,FALSE)</f>
        <v>True</v>
      </c>
      <c r="G97" s="38" t="str">
        <f>VLOOKUP(Tabella1[[#This Row],[test_id]],experiments_specs!A:J,7,FALSE)</f>
        <v>False</v>
      </c>
      <c r="H97" s="38" t="str">
        <f>VLOOKUP(Tabella1[[#This Row],[test_id]],experiments_specs!A:J,8,FALSE)</f>
        <v>False</v>
      </c>
      <c r="I97" s="45" t="str">
        <f>VLOOKUP(Tabella1[[#This Row],[test_id]],experiments_specs!A:J,9,FALSE)</f>
        <v>wup_similarity</v>
      </c>
      <c r="J97" s="38" t="str">
        <f>VLOOKUP(Tabella1[[#This Row],[test_id]],experiments_specs!A:J,10,FALSE)</f>
        <v>False</v>
      </c>
      <c r="K97" s="40" t="s">
        <v>17</v>
      </c>
      <c r="L97" s="36" t="s">
        <v>30</v>
      </c>
      <c r="M97" s="36">
        <v>0.1028688</v>
      </c>
      <c r="N97" s="36" t="s">
        <v>31</v>
      </c>
      <c r="O97" s="36">
        <v>3.1490400000000002E-2</v>
      </c>
      <c r="P97" s="36">
        <v>0.22222222222222221</v>
      </c>
      <c r="Q97" s="36" t="s">
        <v>30</v>
      </c>
      <c r="R97" s="36">
        <v>0.1028688</v>
      </c>
      <c r="S97" s="36" t="s">
        <v>31</v>
      </c>
      <c r="T97" s="36">
        <v>3.1651899999999997E-2</v>
      </c>
      <c r="U97" s="37">
        <v>0.22222222222222221</v>
      </c>
      <c r="V97"/>
    </row>
    <row r="98" spans="1:22" ht="34" x14ac:dyDescent="0.2">
      <c r="A98" s="36" t="s">
        <v>75</v>
      </c>
      <c r="B98" s="45" t="str">
        <f>VLOOKUP(Tabella1[[#This Row],[test_id]],experiments_specs!A:J,2,FALSE)</f>
        <v>NN,JJ,VB,VBD,VBG,VBN,VBP,VBZ</v>
      </c>
      <c r="C98" s="38">
        <f>VLOOKUP(Tabella1[[#This Row],[test_id]],experiments_specs!A:J,3,FALSE)</f>
        <v>1</v>
      </c>
      <c r="D98" s="38">
        <f>VLOOKUP(Tabella1[[#This Row],[test_id]],experiments_specs!A:J,4,FALSE)</f>
        <v>2</v>
      </c>
      <c r="E98" s="38" t="str">
        <f>VLOOKUP(Tabella1[[#This Row],[test_id]],experiments_specs!A:J,5,FALSE)</f>
        <v>True</v>
      </c>
      <c r="F98" s="38" t="str">
        <f>VLOOKUP(Tabella1[[#This Row],[test_id]],experiments_specs!A:J,6,FALSE)</f>
        <v>True</v>
      </c>
      <c r="G98" s="38" t="str">
        <f>VLOOKUP(Tabella1[[#This Row],[test_id]],experiments_specs!A:J,7,FALSE)</f>
        <v>False</v>
      </c>
      <c r="H98" s="38" t="str">
        <f>VLOOKUP(Tabella1[[#This Row],[test_id]],experiments_specs!A:J,8,FALSE)</f>
        <v>False</v>
      </c>
      <c r="I98" s="45" t="str">
        <f>VLOOKUP(Tabella1[[#This Row],[test_id]],experiments_specs!A:J,9,FALSE)</f>
        <v>wup_similarity</v>
      </c>
      <c r="J98" s="38" t="str">
        <f>VLOOKUP(Tabella1[[#This Row],[test_id]],experiments_specs!A:J,10,FALSE)</f>
        <v>False</v>
      </c>
      <c r="K98" s="40" t="s">
        <v>18</v>
      </c>
      <c r="L98" s="36" t="s">
        <v>44</v>
      </c>
      <c r="M98" s="36">
        <v>3.5267199999999999E-2</v>
      </c>
      <c r="N98" s="36" t="s">
        <v>45</v>
      </c>
      <c r="O98" s="36">
        <v>8.1188000000000007E-3</v>
      </c>
      <c r="P98" s="36">
        <v>0.21052631578947367</v>
      </c>
      <c r="Q98" s="36" t="s">
        <v>46</v>
      </c>
      <c r="R98" s="36">
        <v>0</v>
      </c>
      <c r="S98" s="36" t="s">
        <v>45</v>
      </c>
      <c r="T98" s="36">
        <v>1.0871E-2</v>
      </c>
      <c r="U98" s="37">
        <v>0.21052631578947367</v>
      </c>
      <c r="V98"/>
    </row>
    <row r="99" spans="1:22" ht="34" x14ac:dyDescent="0.2">
      <c r="A99" s="36" t="s">
        <v>76</v>
      </c>
      <c r="B99" s="45" t="str">
        <f>VLOOKUP(Tabella1[[#This Row],[test_id]],experiments_specs!A:J,2,FALSE)</f>
        <v>NN</v>
      </c>
      <c r="C99" s="38">
        <f>VLOOKUP(Tabella1[[#This Row],[test_id]],experiments_specs!A:J,3,FALSE)</f>
        <v>1</v>
      </c>
      <c r="D99" s="38">
        <f>VLOOKUP(Tabella1[[#This Row],[test_id]],experiments_specs!A:J,4,FALSE)</f>
        <v>2</v>
      </c>
      <c r="E99" s="38" t="str">
        <f>VLOOKUP(Tabella1[[#This Row],[test_id]],experiments_specs!A:J,5,FALSE)</f>
        <v>True</v>
      </c>
      <c r="F99" s="38" t="str">
        <f>VLOOKUP(Tabella1[[#This Row],[test_id]],experiments_specs!A:J,6,FALSE)</f>
        <v>True</v>
      </c>
      <c r="G99" s="38" t="str">
        <f>VLOOKUP(Tabella1[[#This Row],[test_id]],experiments_specs!A:J,7,FALSE)</f>
        <v>False</v>
      </c>
      <c r="H99" s="38" t="str">
        <f>VLOOKUP(Tabella1[[#This Row],[test_id]],experiments_specs!A:J,8,FALSE)</f>
        <v>False</v>
      </c>
      <c r="I99" s="45" t="str">
        <f>VLOOKUP(Tabella1[[#This Row],[test_id]],experiments_specs!A:J,9,FALSE)</f>
        <v>wup_similarity</v>
      </c>
      <c r="J99" s="38" t="str">
        <f>VLOOKUP(Tabella1[[#This Row],[test_id]],experiments_specs!A:J,10,FALSE)</f>
        <v>True</v>
      </c>
      <c r="K99" s="40" t="s">
        <v>19</v>
      </c>
      <c r="L99" s="36" t="s">
        <v>20</v>
      </c>
      <c r="M99" s="36" t="s">
        <v>194</v>
      </c>
      <c r="N99" s="36" t="s">
        <v>21</v>
      </c>
      <c r="O99" s="36" t="s">
        <v>267</v>
      </c>
      <c r="P99" s="36">
        <v>0.19047619047619047</v>
      </c>
      <c r="Q99" s="36" t="s">
        <v>47</v>
      </c>
      <c r="R99" s="36">
        <v>0</v>
      </c>
      <c r="S99" s="36" t="s">
        <v>48</v>
      </c>
      <c r="T99" s="36">
        <v>2.23105E-2</v>
      </c>
      <c r="U99" s="37">
        <v>0.2</v>
      </c>
      <c r="V99"/>
    </row>
    <row r="100" spans="1:22" ht="17" x14ac:dyDescent="0.2">
      <c r="A100" s="36" t="s">
        <v>76</v>
      </c>
      <c r="B100" s="45" t="str">
        <f>VLOOKUP(Tabella1[[#This Row],[test_id]],experiments_specs!A:J,2,FALSE)</f>
        <v>NN</v>
      </c>
      <c r="C100" s="38">
        <f>VLOOKUP(Tabella1[[#This Row],[test_id]],experiments_specs!A:J,3,FALSE)</f>
        <v>1</v>
      </c>
      <c r="D100" s="38">
        <f>VLOOKUP(Tabella1[[#This Row],[test_id]],experiments_specs!A:J,4,FALSE)</f>
        <v>2</v>
      </c>
      <c r="E100" s="38" t="str">
        <f>VLOOKUP(Tabella1[[#This Row],[test_id]],experiments_specs!A:J,5,FALSE)</f>
        <v>True</v>
      </c>
      <c r="F100" s="38" t="str">
        <f>VLOOKUP(Tabella1[[#This Row],[test_id]],experiments_specs!A:J,6,FALSE)</f>
        <v>True</v>
      </c>
      <c r="G100" s="38" t="str">
        <f>VLOOKUP(Tabella1[[#This Row],[test_id]],experiments_specs!A:J,7,FALSE)</f>
        <v>False</v>
      </c>
      <c r="H100" s="38" t="str">
        <f>VLOOKUP(Tabella1[[#This Row],[test_id]],experiments_specs!A:J,8,FALSE)</f>
        <v>False</v>
      </c>
      <c r="I100" s="45" t="str">
        <f>VLOOKUP(Tabella1[[#This Row],[test_id]],experiments_specs!A:J,9,FALSE)</f>
        <v>wup_similarity</v>
      </c>
      <c r="J100" s="38" t="str">
        <f>VLOOKUP(Tabella1[[#This Row],[test_id]],experiments_specs!A:J,10,FALSE)</f>
        <v>True</v>
      </c>
      <c r="K100" s="40" t="s">
        <v>12</v>
      </c>
      <c r="L100" s="36" t="s">
        <v>22</v>
      </c>
      <c r="M100" s="36">
        <v>0.1102635</v>
      </c>
      <c r="N100" s="36" t="s">
        <v>23</v>
      </c>
      <c r="O100" s="36">
        <v>6.0776999999999998E-2</v>
      </c>
      <c r="P100" s="36">
        <v>0.42857142857142855</v>
      </c>
      <c r="Q100" s="36" t="s">
        <v>24</v>
      </c>
      <c r="R100" s="36">
        <v>5.5131699999999999E-2</v>
      </c>
      <c r="S100" s="36" t="s">
        <v>23</v>
      </c>
      <c r="T100" s="36">
        <v>6.0776999999999998E-2</v>
      </c>
      <c r="U100" s="37">
        <v>0.42857142857142855</v>
      </c>
      <c r="V100"/>
    </row>
    <row r="101" spans="1:22" ht="17" x14ac:dyDescent="0.2">
      <c r="A101" s="36" t="s">
        <v>76</v>
      </c>
      <c r="B101" s="45" t="str">
        <f>VLOOKUP(Tabella1[[#This Row],[test_id]],experiments_specs!A:J,2,FALSE)</f>
        <v>NN</v>
      </c>
      <c r="C101" s="38">
        <f>VLOOKUP(Tabella1[[#This Row],[test_id]],experiments_specs!A:J,3,FALSE)</f>
        <v>1</v>
      </c>
      <c r="D101" s="38">
        <f>VLOOKUP(Tabella1[[#This Row],[test_id]],experiments_specs!A:J,4,FALSE)</f>
        <v>2</v>
      </c>
      <c r="E101" s="38" t="str">
        <f>VLOOKUP(Tabella1[[#This Row],[test_id]],experiments_specs!A:J,5,FALSE)</f>
        <v>True</v>
      </c>
      <c r="F101" s="38" t="str">
        <f>VLOOKUP(Tabella1[[#This Row],[test_id]],experiments_specs!A:J,6,FALSE)</f>
        <v>True</v>
      </c>
      <c r="G101" s="38" t="str">
        <f>VLOOKUP(Tabella1[[#This Row],[test_id]],experiments_specs!A:J,7,FALSE)</f>
        <v>False</v>
      </c>
      <c r="H101" s="38" t="str">
        <f>VLOOKUP(Tabella1[[#This Row],[test_id]],experiments_specs!A:J,8,FALSE)</f>
        <v>False</v>
      </c>
      <c r="I101" s="45" t="str">
        <f>VLOOKUP(Tabella1[[#This Row],[test_id]],experiments_specs!A:J,9,FALSE)</f>
        <v>wup_similarity</v>
      </c>
      <c r="J101" s="38" t="str">
        <f>VLOOKUP(Tabella1[[#This Row],[test_id]],experiments_specs!A:J,10,FALSE)</f>
        <v>True</v>
      </c>
      <c r="K101" s="40" t="s">
        <v>13</v>
      </c>
      <c r="L101" s="36" t="s">
        <v>326</v>
      </c>
      <c r="M101" s="36">
        <v>0.10425719999999999</v>
      </c>
      <c r="N101" s="36" t="s">
        <v>327</v>
      </c>
      <c r="O101" s="36">
        <v>2.4573600000000001E-2</v>
      </c>
      <c r="P101" s="36" t="s">
        <v>25</v>
      </c>
      <c r="Q101" s="36" t="s">
        <v>34</v>
      </c>
      <c r="R101" s="36">
        <v>0</v>
      </c>
      <c r="S101" s="36" t="s">
        <v>35</v>
      </c>
      <c r="T101" s="36">
        <v>3.0717000000000001E-2</v>
      </c>
      <c r="U101" s="37" t="s">
        <v>25</v>
      </c>
      <c r="V101"/>
    </row>
    <row r="102" spans="1:22" ht="34" x14ac:dyDescent="0.2">
      <c r="A102" s="36" t="s">
        <v>76</v>
      </c>
      <c r="B102" s="45" t="str">
        <f>VLOOKUP(Tabella1[[#This Row],[test_id]],experiments_specs!A:J,2,FALSE)</f>
        <v>NN</v>
      </c>
      <c r="C102" s="38">
        <f>VLOOKUP(Tabella1[[#This Row],[test_id]],experiments_specs!A:J,3,FALSE)</f>
        <v>1</v>
      </c>
      <c r="D102" s="38">
        <f>VLOOKUP(Tabella1[[#This Row],[test_id]],experiments_specs!A:J,4,FALSE)</f>
        <v>2</v>
      </c>
      <c r="E102" s="38" t="str">
        <f>VLOOKUP(Tabella1[[#This Row],[test_id]],experiments_specs!A:J,5,FALSE)</f>
        <v>True</v>
      </c>
      <c r="F102" s="38" t="str">
        <f>VLOOKUP(Tabella1[[#This Row],[test_id]],experiments_specs!A:J,6,FALSE)</f>
        <v>True</v>
      </c>
      <c r="G102" s="38" t="str">
        <f>VLOOKUP(Tabella1[[#This Row],[test_id]],experiments_specs!A:J,7,FALSE)</f>
        <v>False</v>
      </c>
      <c r="H102" s="38" t="str">
        <f>VLOOKUP(Tabella1[[#This Row],[test_id]],experiments_specs!A:J,8,FALSE)</f>
        <v>False</v>
      </c>
      <c r="I102" s="45" t="str">
        <f>VLOOKUP(Tabella1[[#This Row],[test_id]],experiments_specs!A:J,9,FALSE)</f>
        <v>wup_similarity</v>
      </c>
      <c r="J102" s="38" t="str">
        <f>VLOOKUP(Tabella1[[#This Row],[test_id]],experiments_specs!A:J,10,FALSE)</f>
        <v>True</v>
      </c>
      <c r="K102" s="40" t="s">
        <v>14</v>
      </c>
      <c r="L102" s="36" t="s">
        <v>36</v>
      </c>
      <c r="M102" s="36" t="s">
        <v>269</v>
      </c>
      <c r="N102" s="36" t="s">
        <v>37</v>
      </c>
      <c r="O102" s="36" t="s">
        <v>271</v>
      </c>
      <c r="P102" s="36">
        <v>0.33333333333333331</v>
      </c>
      <c r="Q102" s="36" t="s">
        <v>38</v>
      </c>
      <c r="R102" s="36" t="s">
        <v>273</v>
      </c>
      <c r="S102" s="36" t="s">
        <v>37</v>
      </c>
      <c r="T102" s="36" t="s">
        <v>292</v>
      </c>
      <c r="U102" s="37">
        <v>0.33333333333333331</v>
      </c>
      <c r="V102"/>
    </row>
    <row r="103" spans="1:22" ht="34" x14ac:dyDescent="0.2">
      <c r="A103" s="36" t="s">
        <v>76</v>
      </c>
      <c r="B103" s="45" t="str">
        <f>VLOOKUP(Tabella1[[#This Row],[test_id]],experiments_specs!A:J,2,FALSE)</f>
        <v>NN</v>
      </c>
      <c r="C103" s="38">
        <f>VLOOKUP(Tabella1[[#This Row],[test_id]],experiments_specs!A:J,3,FALSE)</f>
        <v>1</v>
      </c>
      <c r="D103" s="38">
        <f>VLOOKUP(Tabella1[[#This Row],[test_id]],experiments_specs!A:J,4,FALSE)</f>
        <v>2</v>
      </c>
      <c r="E103" s="38" t="str">
        <f>VLOOKUP(Tabella1[[#This Row],[test_id]],experiments_specs!A:J,5,FALSE)</f>
        <v>True</v>
      </c>
      <c r="F103" s="38" t="str">
        <f>VLOOKUP(Tabella1[[#This Row],[test_id]],experiments_specs!A:J,6,FALSE)</f>
        <v>True</v>
      </c>
      <c r="G103" s="38" t="str">
        <f>VLOOKUP(Tabella1[[#This Row],[test_id]],experiments_specs!A:J,7,FALSE)</f>
        <v>False</v>
      </c>
      <c r="H103" s="38" t="str">
        <f>VLOOKUP(Tabella1[[#This Row],[test_id]],experiments_specs!A:J,8,FALSE)</f>
        <v>False</v>
      </c>
      <c r="I103" s="45" t="str">
        <f>VLOOKUP(Tabella1[[#This Row],[test_id]],experiments_specs!A:J,9,FALSE)</f>
        <v>wup_similarity</v>
      </c>
      <c r="J103" s="38" t="str">
        <f>VLOOKUP(Tabella1[[#This Row],[test_id]],experiments_specs!A:J,10,FALSE)</f>
        <v>True</v>
      </c>
      <c r="K103" s="40" t="s">
        <v>15</v>
      </c>
      <c r="L103" s="36" t="s">
        <v>26</v>
      </c>
      <c r="M103" s="36">
        <v>0.1561737</v>
      </c>
      <c r="N103" s="36" t="s">
        <v>27</v>
      </c>
      <c r="O103" s="36">
        <v>2.23105E-2</v>
      </c>
      <c r="P103" s="36">
        <v>0.16666666666666666</v>
      </c>
      <c r="Q103" s="36" t="s">
        <v>28</v>
      </c>
      <c r="R103" s="36" t="s">
        <v>186</v>
      </c>
      <c r="S103" s="36" t="s">
        <v>29</v>
      </c>
      <c r="T103" s="36" t="s">
        <v>277</v>
      </c>
      <c r="U103" s="37">
        <v>0.18181818181818182</v>
      </c>
      <c r="V103"/>
    </row>
    <row r="104" spans="1:22" ht="17" x14ac:dyDescent="0.2">
      <c r="A104" s="36" t="s">
        <v>76</v>
      </c>
      <c r="B104" s="45" t="str">
        <f>VLOOKUP(Tabella1[[#This Row],[test_id]],experiments_specs!A:J,2,FALSE)</f>
        <v>NN</v>
      </c>
      <c r="C104" s="38">
        <f>VLOOKUP(Tabella1[[#This Row],[test_id]],experiments_specs!A:J,3,FALSE)</f>
        <v>1</v>
      </c>
      <c r="D104" s="38">
        <f>VLOOKUP(Tabella1[[#This Row],[test_id]],experiments_specs!A:J,4,FALSE)</f>
        <v>2</v>
      </c>
      <c r="E104" s="38" t="str">
        <f>VLOOKUP(Tabella1[[#This Row],[test_id]],experiments_specs!A:J,5,FALSE)</f>
        <v>True</v>
      </c>
      <c r="F104" s="38" t="str">
        <f>VLOOKUP(Tabella1[[#This Row],[test_id]],experiments_specs!A:J,6,FALSE)</f>
        <v>True</v>
      </c>
      <c r="G104" s="38" t="str">
        <f>VLOOKUP(Tabella1[[#This Row],[test_id]],experiments_specs!A:J,7,FALSE)</f>
        <v>False</v>
      </c>
      <c r="H104" s="38" t="str">
        <f>VLOOKUP(Tabella1[[#This Row],[test_id]],experiments_specs!A:J,8,FALSE)</f>
        <v>False</v>
      </c>
      <c r="I104" s="45" t="str">
        <f>VLOOKUP(Tabella1[[#This Row],[test_id]],experiments_specs!A:J,9,FALSE)</f>
        <v>wup_similarity</v>
      </c>
      <c r="J104" s="38" t="str">
        <f>VLOOKUP(Tabella1[[#This Row],[test_id]],experiments_specs!A:J,10,FALSE)</f>
        <v>True</v>
      </c>
      <c r="K104" s="40" t="s">
        <v>16</v>
      </c>
      <c r="L104" s="36" t="s">
        <v>39</v>
      </c>
      <c r="M104" s="36">
        <v>6.4549700000000002E-2</v>
      </c>
      <c r="N104" s="36" t="s">
        <v>40</v>
      </c>
      <c r="O104" s="36">
        <v>1.9753900000000001E-2</v>
      </c>
      <c r="P104" s="36">
        <v>0.22222222222222221</v>
      </c>
      <c r="Q104" s="36" t="s">
        <v>41</v>
      </c>
      <c r="R104" s="36">
        <v>4.1666599999999998E-2</v>
      </c>
      <c r="S104" s="36" t="s">
        <v>40</v>
      </c>
      <c r="T104" s="36">
        <v>1.8556699999999999E-2</v>
      </c>
      <c r="U104" s="37">
        <v>0.22222222222222221</v>
      </c>
      <c r="V104"/>
    </row>
    <row r="105" spans="1:22" ht="68" x14ac:dyDescent="0.2">
      <c r="A105" s="36" t="s">
        <v>76</v>
      </c>
      <c r="B105" s="45" t="str">
        <f>VLOOKUP(Tabella1[[#This Row],[test_id]],experiments_specs!A:J,2,FALSE)</f>
        <v>NN</v>
      </c>
      <c r="C105" s="38">
        <f>VLOOKUP(Tabella1[[#This Row],[test_id]],experiments_specs!A:J,3,FALSE)</f>
        <v>1</v>
      </c>
      <c r="D105" s="38">
        <f>VLOOKUP(Tabella1[[#This Row],[test_id]],experiments_specs!A:J,4,FALSE)</f>
        <v>2</v>
      </c>
      <c r="E105" s="38" t="str">
        <f>VLOOKUP(Tabella1[[#This Row],[test_id]],experiments_specs!A:J,5,FALSE)</f>
        <v>True</v>
      </c>
      <c r="F105" s="38" t="str">
        <f>VLOOKUP(Tabella1[[#This Row],[test_id]],experiments_specs!A:J,6,FALSE)</f>
        <v>True</v>
      </c>
      <c r="G105" s="38" t="str">
        <f>VLOOKUP(Tabella1[[#This Row],[test_id]],experiments_specs!A:J,7,FALSE)</f>
        <v>False</v>
      </c>
      <c r="H105" s="38" t="str">
        <f>VLOOKUP(Tabella1[[#This Row],[test_id]],experiments_specs!A:J,8,FALSE)</f>
        <v>False</v>
      </c>
      <c r="I105" s="45" t="str">
        <f>VLOOKUP(Tabella1[[#This Row],[test_id]],experiments_specs!A:J,9,FALSE)</f>
        <v>wup_similarity</v>
      </c>
      <c r="J105" s="38" t="str">
        <f>VLOOKUP(Tabella1[[#This Row],[test_id]],experiments_specs!A:J,10,FALSE)</f>
        <v>True</v>
      </c>
      <c r="K105" s="40" t="s">
        <v>17</v>
      </c>
      <c r="L105" s="36" t="s">
        <v>279</v>
      </c>
      <c r="M105" s="36" t="s">
        <v>281</v>
      </c>
      <c r="N105" s="36" t="s">
        <v>42</v>
      </c>
      <c r="O105" s="36" t="s">
        <v>287</v>
      </c>
      <c r="P105" s="36">
        <v>0.30769230769230771</v>
      </c>
      <c r="Q105" s="36" t="s">
        <v>43</v>
      </c>
      <c r="R105" s="36" t="s">
        <v>285</v>
      </c>
      <c r="S105" s="36" t="s">
        <v>42</v>
      </c>
      <c r="T105" s="36" t="s">
        <v>287</v>
      </c>
      <c r="U105" s="37">
        <v>0.30769230769230771</v>
      </c>
      <c r="V105"/>
    </row>
    <row r="106" spans="1:22" ht="34" x14ac:dyDescent="0.2">
      <c r="A106" s="36" t="s">
        <v>76</v>
      </c>
      <c r="B106" s="45" t="str">
        <f>VLOOKUP(Tabella1[[#This Row],[test_id]],experiments_specs!A:J,2,FALSE)</f>
        <v>NN</v>
      </c>
      <c r="C106" s="38">
        <f>VLOOKUP(Tabella1[[#This Row],[test_id]],experiments_specs!A:J,3,FALSE)</f>
        <v>1</v>
      </c>
      <c r="D106" s="38">
        <f>VLOOKUP(Tabella1[[#This Row],[test_id]],experiments_specs!A:J,4,FALSE)</f>
        <v>2</v>
      </c>
      <c r="E106" s="38" t="str">
        <f>VLOOKUP(Tabella1[[#This Row],[test_id]],experiments_specs!A:J,5,FALSE)</f>
        <v>True</v>
      </c>
      <c r="F106" s="38" t="str">
        <f>VLOOKUP(Tabella1[[#This Row],[test_id]],experiments_specs!A:J,6,FALSE)</f>
        <v>True</v>
      </c>
      <c r="G106" s="38" t="str">
        <f>VLOOKUP(Tabella1[[#This Row],[test_id]],experiments_specs!A:J,7,FALSE)</f>
        <v>False</v>
      </c>
      <c r="H106" s="38" t="str">
        <f>VLOOKUP(Tabella1[[#This Row],[test_id]],experiments_specs!A:J,8,FALSE)</f>
        <v>False</v>
      </c>
      <c r="I106" s="45" t="str">
        <f>VLOOKUP(Tabella1[[#This Row],[test_id]],experiments_specs!A:J,9,FALSE)</f>
        <v>wup_similarity</v>
      </c>
      <c r="J106" s="38" t="str">
        <f>VLOOKUP(Tabella1[[#This Row],[test_id]],experiments_specs!A:J,10,FALSE)</f>
        <v>True</v>
      </c>
      <c r="K106" s="40" t="s">
        <v>18</v>
      </c>
      <c r="L106" s="36" t="s">
        <v>44</v>
      </c>
      <c r="M106" s="36">
        <v>3.5267199999999999E-2</v>
      </c>
      <c r="N106" s="36" t="s">
        <v>45</v>
      </c>
      <c r="O106" s="36">
        <v>1.8864300000000001E-2</v>
      </c>
      <c r="P106" s="36">
        <v>0.21052631578947367</v>
      </c>
      <c r="Q106" s="36" t="s">
        <v>46</v>
      </c>
      <c r="R106" s="36">
        <v>0</v>
      </c>
      <c r="S106" s="36" t="s">
        <v>45</v>
      </c>
      <c r="T106" s="36">
        <v>1.8864300000000001E-2</v>
      </c>
      <c r="U106" s="37">
        <v>0.21052631578947367</v>
      </c>
      <c r="V106"/>
    </row>
    <row r="107" spans="1:22" ht="17" x14ac:dyDescent="0.2">
      <c r="A107" s="36" t="s">
        <v>77</v>
      </c>
      <c r="B107" s="45" t="str">
        <f>VLOOKUP(Tabella1[[#This Row],[test_id]],experiments_specs!A:J,2,FALSE)</f>
        <v>NN,JJ</v>
      </c>
      <c r="C107" s="38">
        <f>VLOOKUP(Tabella1[[#This Row],[test_id]],experiments_specs!A:J,3,FALSE)</f>
        <v>1</v>
      </c>
      <c r="D107" s="38">
        <f>VLOOKUP(Tabella1[[#This Row],[test_id]],experiments_specs!A:J,4,FALSE)</f>
        <v>2</v>
      </c>
      <c r="E107" s="38" t="str">
        <f>VLOOKUP(Tabella1[[#This Row],[test_id]],experiments_specs!A:J,5,FALSE)</f>
        <v>True</v>
      </c>
      <c r="F107" s="38" t="str">
        <f>VLOOKUP(Tabella1[[#This Row],[test_id]],experiments_specs!A:J,6,FALSE)</f>
        <v>True</v>
      </c>
      <c r="G107" s="38" t="str">
        <f>VLOOKUP(Tabella1[[#This Row],[test_id]],experiments_specs!A:J,7,FALSE)</f>
        <v>False</v>
      </c>
      <c r="H107" s="38" t="str">
        <f>VLOOKUP(Tabella1[[#This Row],[test_id]],experiments_specs!A:J,8,FALSE)</f>
        <v>False</v>
      </c>
      <c r="I107" s="45" t="str">
        <f>VLOOKUP(Tabella1[[#This Row],[test_id]],experiments_specs!A:J,9,FALSE)</f>
        <v>wup_similarity</v>
      </c>
      <c r="J107" s="38" t="str">
        <f>VLOOKUP(Tabella1[[#This Row],[test_id]],experiments_specs!A:J,10,FALSE)</f>
        <v>True</v>
      </c>
      <c r="K107" s="40" t="s">
        <v>19</v>
      </c>
      <c r="L107" s="36" t="s">
        <v>225</v>
      </c>
      <c r="M107" s="36">
        <v>0.14126440000000001</v>
      </c>
      <c r="N107" s="36" t="s">
        <v>226</v>
      </c>
      <c r="O107" s="36">
        <v>2.7982799999999999E-2</v>
      </c>
      <c r="P107" s="36">
        <v>0.17391304347826086</v>
      </c>
      <c r="Q107" s="36" t="s">
        <v>288</v>
      </c>
      <c r="R107" s="36">
        <v>0.139686</v>
      </c>
      <c r="S107" s="36" t="s">
        <v>226</v>
      </c>
      <c r="T107" s="36">
        <v>2.89822E-2</v>
      </c>
      <c r="U107" s="37">
        <v>0.17391304347826086</v>
      </c>
      <c r="V107"/>
    </row>
    <row r="108" spans="1:22" ht="17" x14ac:dyDescent="0.2">
      <c r="A108" s="36" t="s">
        <v>77</v>
      </c>
      <c r="B108" s="45" t="str">
        <f>VLOOKUP(Tabella1[[#This Row],[test_id]],experiments_specs!A:J,2,FALSE)</f>
        <v>NN,JJ</v>
      </c>
      <c r="C108" s="38">
        <f>VLOOKUP(Tabella1[[#This Row],[test_id]],experiments_specs!A:J,3,FALSE)</f>
        <v>1</v>
      </c>
      <c r="D108" s="38">
        <f>VLOOKUP(Tabella1[[#This Row],[test_id]],experiments_specs!A:J,4,FALSE)</f>
        <v>2</v>
      </c>
      <c r="E108" s="38" t="str">
        <f>VLOOKUP(Tabella1[[#This Row],[test_id]],experiments_specs!A:J,5,FALSE)</f>
        <v>True</v>
      </c>
      <c r="F108" s="38" t="str">
        <f>VLOOKUP(Tabella1[[#This Row],[test_id]],experiments_specs!A:J,6,FALSE)</f>
        <v>True</v>
      </c>
      <c r="G108" s="38" t="str">
        <f>VLOOKUP(Tabella1[[#This Row],[test_id]],experiments_specs!A:J,7,FALSE)</f>
        <v>False</v>
      </c>
      <c r="H108" s="38" t="str">
        <f>VLOOKUP(Tabella1[[#This Row],[test_id]],experiments_specs!A:J,8,FALSE)</f>
        <v>False</v>
      </c>
      <c r="I108" s="45" t="str">
        <f>VLOOKUP(Tabella1[[#This Row],[test_id]],experiments_specs!A:J,9,FALSE)</f>
        <v>wup_similarity</v>
      </c>
      <c r="J108" s="38" t="str">
        <f>VLOOKUP(Tabella1[[#This Row],[test_id]],experiments_specs!A:J,10,FALSE)</f>
        <v>True</v>
      </c>
      <c r="K108" s="40" t="s">
        <v>12</v>
      </c>
      <c r="L108" s="36" t="s">
        <v>22</v>
      </c>
      <c r="M108" s="36">
        <v>0.1102635</v>
      </c>
      <c r="N108" s="36" t="s">
        <v>23</v>
      </c>
      <c r="O108" s="36">
        <v>4.9726699999999999E-2</v>
      </c>
      <c r="P108" s="36">
        <v>0.42857142857142855</v>
      </c>
      <c r="Q108" s="36" t="s">
        <v>24</v>
      </c>
      <c r="R108" s="36">
        <v>5.5131699999999999E-2</v>
      </c>
      <c r="S108" s="36" t="s">
        <v>23</v>
      </c>
      <c r="T108" s="36">
        <v>4.9726699999999999E-2</v>
      </c>
      <c r="U108" s="37">
        <v>0.42857142857142855</v>
      </c>
      <c r="V108"/>
    </row>
    <row r="109" spans="1:22" ht="17" x14ac:dyDescent="0.2">
      <c r="A109" s="36" t="s">
        <v>77</v>
      </c>
      <c r="B109" s="45" t="str">
        <f>VLOOKUP(Tabella1[[#This Row],[test_id]],experiments_specs!A:J,2,FALSE)</f>
        <v>NN,JJ</v>
      </c>
      <c r="C109" s="38">
        <f>VLOOKUP(Tabella1[[#This Row],[test_id]],experiments_specs!A:J,3,FALSE)</f>
        <v>1</v>
      </c>
      <c r="D109" s="38">
        <f>VLOOKUP(Tabella1[[#This Row],[test_id]],experiments_specs!A:J,4,FALSE)</f>
        <v>2</v>
      </c>
      <c r="E109" s="38" t="str">
        <f>VLOOKUP(Tabella1[[#This Row],[test_id]],experiments_specs!A:J,5,FALSE)</f>
        <v>True</v>
      </c>
      <c r="F109" s="38" t="str">
        <f>VLOOKUP(Tabella1[[#This Row],[test_id]],experiments_specs!A:J,6,FALSE)</f>
        <v>True</v>
      </c>
      <c r="G109" s="38" t="str">
        <f>VLOOKUP(Tabella1[[#This Row],[test_id]],experiments_specs!A:J,7,FALSE)</f>
        <v>False</v>
      </c>
      <c r="H109" s="38" t="str">
        <f>VLOOKUP(Tabella1[[#This Row],[test_id]],experiments_specs!A:J,8,FALSE)</f>
        <v>False</v>
      </c>
      <c r="I109" s="45" t="str">
        <f>VLOOKUP(Tabella1[[#This Row],[test_id]],experiments_specs!A:J,9,FALSE)</f>
        <v>wup_similarity</v>
      </c>
      <c r="J109" s="38" t="str">
        <f>VLOOKUP(Tabella1[[#This Row],[test_id]],experiments_specs!A:J,10,FALSE)</f>
        <v>True</v>
      </c>
      <c r="K109" s="40" t="s">
        <v>13</v>
      </c>
      <c r="L109" s="36" t="s">
        <v>326</v>
      </c>
      <c r="M109" s="36">
        <v>0.10425719999999999</v>
      </c>
      <c r="N109" s="36" t="s">
        <v>327</v>
      </c>
      <c r="O109" s="36">
        <v>2.4573600000000001E-2</v>
      </c>
      <c r="P109" s="36" t="s">
        <v>25</v>
      </c>
      <c r="Q109" s="36" t="s">
        <v>34</v>
      </c>
      <c r="R109" s="36">
        <v>0</v>
      </c>
      <c r="S109" s="36" t="s">
        <v>35</v>
      </c>
      <c r="T109" s="36">
        <v>3.0717000000000001E-2</v>
      </c>
      <c r="U109" s="37" t="s">
        <v>25</v>
      </c>
      <c r="V109"/>
    </row>
    <row r="110" spans="1:22" ht="34" x14ac:dyDescent="0.2">
      <c r="A110" s="36" t="s">
        <v>77</v>
      </c>
      <c r="B110" s="45" t="str">
        <f>VLOOKUP(Tabella1[[#This Row],[test_id]],experiments_specs!A:J,2,FALSE)</f>
        <v>NN,JJ</v>
      </c>
      <c r="C110" s="38">
        <f>VLOOKUP(Tabella1[[#This Row],[test_id]],experiments_specs!A:J,3,FALSE)</f>
        <v>1</v>
      </c>
      <c r="D110" s="38">
        <f>VLOOKUP(Tabella1[[#This Row],[test_id]],experiments_specs!A:J,4,FALSE)</f>
        <v>2</v>
      </c>
      <c r="E110" s="38" t="str">
        <f>VLOOKUP(Tabella1[[#This Row],[test_id]],experiments_specs!A:J,5,FALSE)</f>
        <v>True</v>
      </c>
      <c r="F110" s="38" t="str">
        <f>VLOOKUP(Tabella1[[#This Row],[test_id]],experiments_specs!A:J,6,FALSE)</f>
        <v>True</v>
      </c>
      <c r="G110" s="38" t="str">
        <f>VLOOKUP(Tabella1[[#This Row],[test_id]],experiments_specs!A:J,7,FALSE)</f>
        <v>False</v>
      </c>
      <c r="H110" s="38" t="str">
        <f>VLOOKUP(Tabella1[[#This Row],[test_id]],experiments_specs!A:J,8,FALSE)</f>
        <v>False</v>
      </c>
      <c r="I110" s="45" t="str">
        <f>VLOOKUP(Tabella1[[#This Row],[test_id]],experiments_specs!A:J,9,FALSE)</f>
        <v>wup_similarity</v>
      </c>
      <c r="J110" s="38" t="str">
        <f>VLOOKUP(Tabella1[[#This Row],[test_id]],experiments_specs!A:J,10,FALSE)</f>
        <v>True</v>
      </c>
      <c r="K110" s="40" t="s">
        <v>14</v>
      </c>
      <c r="L110" s="36" t="s">
        <v>36</v>
      </c>
      <c r="M110" s="36" t="s">
        <v>269</v>
      </c>
      <c r="N110" s="36" t="s">
        <v>37</v>
      </c>
      <c r="O110" s="36" t="s">
        <v>329</v>
      </c>
      <c r="P110" s="36">
        <v>0.33333333333333331</v>
      </c>
      <c r="Q110" s="36" t="s">
        <v>38</v>
      </c>
      <c r="R110" s="36" t="s">
        <v>273</v>
      </c>
      <c r="S110" s="36" t="s">
        <v>37</v>
      </c>
      <c r="T110" s="36" t="s">
        <v>331</v>
      </c>
      <c r="U110" s="37">
        <v>0.33333333333333331</v>
      </c>
      <c r="V110"/>
    </row>
    <row r="111" spans="1:22" ht="17" x14ac:dyDescent="0.2">
      <c r="A111" s="36" t="s">
        <v>77</v>
      </c>
      <c r="B111" s="45" t="str">
        <f>VLOOKUP(Tabella1[[#This Row],[test_id]],experiments_specs!A:J,2,FALSE)</f>
        <v>NN,JJ</v>
      </c>
      <c r="C111" s="38">
        <f>VLOOKUP(Tabella1[[#This Row],[test_id]],experiments_specs!A:J,3,FALSE)</f>
        <v>1</v>
      </c>
      <c r="D111" s="38">
        <f>VLOOKUP(Tabella1[[#This Row],[test_id]],experiments_specs!A:J,4,FALSE)</f>
        <v>2</v>
      </c>
      <c r="E111" s="38" t="str">
        <f>VLOOKUP(Tabella1[[#This Row],[test_id]],experiments_specs!A:J,5,FALSE)</f>
        <v>True</v>
      </c>
      <c r="F111" s="38" t="str">
        <f>VLOOKUP(Tabella1[[#This Row],[test_id]],experiments_specs!A:J,6,FALSE)</f>
        <v>True</v>
      </c>
      <c r="G111" s="38" t="str">
        <f>VLOOKUP(Tabella1[[#This Row],[test_id]],experiments_specs!A:J,7,FALSE)</f>
        <v>False</v>
      </c>
      <c r="H111" s="38" t="str">
        <f>VLOOKUP(Tabella1[[#This Row],[test_id]],experiments_specs!A:J,8,FALSE)</f>
        <v>False</v>
      </c>
      <c r="I111" s="45" t="str">
        <f>VLOOKUP(Tabella1[[#This Row],[test_id]],experiments_specs!A:J,9,FALSE)</f>
        <v>wup_similarity</v>
      </c>
      <c r="J111" s="38" t="str">
        <f>VLOOKUP(Tabella1[[#This Row],[test_id]],experiments_specs!A:J,10,FALSE)</f>
        <v>True</v>
      </c>
      <c r="K111" s="40" t="s">
        <v>15</v>
      </c>
      <c r="L111" s="36" t="s">
        <v>26</v>
      </c>
      <c r="M111" s="36">
        <v>0.1561737</v>
      </c>
      <c r="N111" s="36" t="s">
        <v>27</v>
      </c>
      <c r="O111" s="36">
        <v>2.3425999999999999E-2</v>
      </c>
      <c r="P111" s="36">
        <v>0.16666666666666666</v>
      </c>
      <c r="Q111" s="36" t="s">
        <v>15</v>
      </c>
      <c r="R111" s="36">
        <v>0.1770844</v>
      </c>
      <c r="S111" s="36" t="s">
        <v>293</v>
      </c>
      <c r="T111" s="36">
        <v>3.9910300000000003E-2</v>
      </c>
      <c r="U111" s="37">
        <v>0.90909090909090906</v>
      </c>
      <c r="V111"/>
    </row>
    <row r="112" spans="1:22" ht="17" x14ac:dyDescent="0.2">
      <c r="A112" s="36" t="s">
        <v>77</v>
      </c>
      <c r="B112" s="45" t="str">
        <f>VLOOKUP(Tabella1[[#This Row],[test_id]],experiments_specs!A:J,2,FALSE)</f>
        <v>NN,JJ</v>
      </c>
      <c r="C112" s="38">
        <f>VLOOKUP(Tabella1[[#This Row],[test_id]],experiments_specs!A:J,3,FALSE)</f>
        <v>1</v>
      </c>
      <c r="D112" s="38">
        <f>VLOOKUP(Tabella1[[#This Row],[test_id]],experiments_specs!A:J,4,FALSE)</f>
        <v>2</v>
      </c>
      <c r="E112" s="38" t="str">
        <f>VLOOKUP(Tabella1[[#This Row],[test_id]],experiments_specs!A:J,5,FALSE)</f>
        <v>True</v>
      </c>
      <c r="F112" s="38" t="str">
        <f>VLOOKUP(Tabella1[[#This Row],[test_id]],experiments_specs!A:J,6,FALSE)</f>
        <v>True</v>
      </c>
      <c r="G112" s="38" t="str">
        <f>VLOOKUP(Tabella1[[#This Row],[test_id]],experiments_specs!A:J,7,FALSE)</f>
        <v>False</v>
      </c>
      <c r="H112" s="38" t="str">
        <f>VLOOKUP(Tabella1[[#This Row],[test_id]],experiments_specs!A:J,8,FALSE)</f>
        <v>False</v>
      </c>
      <c r="I112" s="45" t="str">
        <f>VLOOKUP(Tabella1[[#This Row],[test_id]],experiments_specs!A:J,9,FALSE)</f>
        <v>wup_similarity</v>
      </c>
      <c r="J112" s="38" t="str">
        <f>VLOOKUP(Tabella1[[#This Row],[test_id]],experiments_specs!A:J,10,FALSE)</f>
        <v>True</v>
      </c>
      <c r="K112" s="40" t="s">
        <v>16</v>
      </c>
      <c r="L112" s="36" t="s">
        <v>39</v>
      </c>
      <c r="M112" s="36">
        <v>6.4549700000000002E-2</v>
      </c>
      <c r="N112" s="36" t="s">
        <v>40</v>
      </c>
      <c r="O112" s="36">
        <v>1.91366E-2</v>
      </c>
      <c r="P112" s="36">
        <v>0.22222222222222221</v>
      </c>
      <c r="Q112" s="36" t="s">
        <v>41</v>
      </c>
      <c r="R112" s="36">
        <v>4.1666599999999998E-2</v>
      </c>
      <c r="S112" s="36" t="s">
        <v>40</v>
      </c>
      <c r="T112" s="36">
        <v>1.80109E-2</v>
      </c>
      <c r="U112" s="37">
        <v>0.22222222222222221</v>
      </c>
      <c r="V112"/>
    </row>
    <row r="113" spans="1:22" ht="68" x14ac:dyDescent="0.2">
      <c r="A113" s="36" t="s">
        <v>77</v>
      </c>
      <c r="B113" s="45" t="str">
        <f>VLOOKUP(Tabella1[[#This Row],[test_id]],experiments_specs!A:J,2,FALSE)</f>
        <v>NN,JJ</v>
      </c>
      <c r="C113" s="38">
        <f>VLOOKUP(Tabella1[[#This Row],[test_id]],experiments_specs!A:J,3,FALSE)</f>
        <v>1</v>
      </c>
      <c r="D113" s="38">
        <f>VLOOKUP(Tabella1[[#This Row],[test_id]],experiments_specs!A:J,4,FALSE)</f>
        <v>2</v>
      </c>
      <c r="E113" s="38" t="str">
        <f>VLOOKUP(Tabella1[[#This Row],[test_id]],experiments_specs!A:J,5,FALSE)</f>
        <v>True</v>
      </c>
      <c r="F113" s="38" t="str">
        <f>VLOOKUP(Tabella1[[#This Row],[test_id]],experiments_specs!A:J,6,FALSE)</f>
        <v>True</v>
      </c>
      <c r="G113" s="38" t="str">
        <f>VLOOKUP(Tabella1[[#This Row],[test_id]],experiments_specs!A:J,7,FALSE)</f>
        <v>False</v>
      </c>
      <c r="H113" s="38" t="str">
        <f>VLOOKUP(Tabella1[[#This Row],[test_id]],experiments_specs!A:J,8,FALSE)</f>
        <v>False</v>
      </c>
      <c r="I113" s="45" t="str">
        <f>VLOOKUP(Tabella1[[#This Row],[test_id]],experiments_specs!A:J,9,FALSE)</f>
        <v>wup_similarity</v>
      </c>
      <c r="J113" s="38" t="str">
        <f>VLOOKUP(Tabella1[[#This Row],[test_id]],experiments_specs!A:J,10,FALSE)</f>
        <v>True</v>
      </c>
      <c r="K113" s="40" t="s">
        <v>17</v>
      </c>
      <c r="L113" s="36" t="s">
        <v>279</v>
      </c>
      <c r="M113" s="36" t="s">
        <v>281</v>
      </c>
      <c r="N113" s="36" t="s">
        <v>42</v>
      </c>
      <c r="O113" s="36" t="s">
        <v>333</v>
      </c>
      <c r="P113" s="36">
        <v>0.30769230769230771</v>
      </c>
      <c r="Q113" s="36" t="s">
        <v>43</v>
      </c>
      <c r="R113" s="36" t="s">
        <v>285</v>
      </c>
      <c r="S113" s="36" t="s">
        <v>42</v>
      </c>
      <c r="T113" s="36" t="s">
        <v>333</v>
      </c>
      <c r="U113" s="37">
        <v>0.30769230769230771</v>
      </c>
      <c r="V113"/>
    </row>
    <row r="114" spans="1:22" ht="34" x14ac:dyDescent="0.2">
      <c r="A114" s="36" t="s">
        <v>77</v>
      </c>
      <c r="B114" s="45" t="str">
        <f>VLOOKUP(Tabella1[[#This Row],[test_id]],experiments_specs!A:J,2,FALSE)</f>
        <v>NN,JJ</v>
      </c>
      <c r="C114" s="38">
        <f>VLOOKUP(Tabella1[[#This Row],[test_id]],experiments_specs!A:J,3,FALSE)</f>
        <v>1</v>
      </c>
      <c r="D114" s="38">
        <f>VLOOKUP(Tabella1[[#This Row],[test_id]],experiments_specs!A:J,4,FALSE)</f>
        <v>2</v>
      </c>
      <c r="E114" s="38" t="str">
        <f>VLOOKUP(Tabella1[[#This Row],[test_id]],experiments_specs!A:J,5,FALSE)</f>
        <v>True</v>
      </c>
      <c r="F114" s="38" t="str">
        <f>VLOOKUP(Tabella1[[#This Row],[test_id]],experiments_specs!A:J,6,FALSE)</f>
        <v>True</v>
      </c>
      <c r="G114" s="38" t="str">
        <f>VLOOKUP(Tabella1[[#This Row],[test_id]],experiments_specs!A:J,7,FALSE)</f>
        <v>False</v>
      </c>
      <c r="H114" s="38" t="str">
        <f>VLOOKUP(Tabella1[[#This Row],[test_id]],experiments_specs!A:J,8,FALSE)</f>
        <v>False</v>
      </c>
      <c r="I114" s="45" t="str">
        <f>VLOOKUP(Tabella1[[#This Row],[test_id]],experiments_specs!A:J,9,FALSE)</f>
        <v>wup_similarity</v>
      </c>
      <c r="J114" s="38" t="str">
        <f>VLOOKUP(Tabella1[[#This Row],[test_id]],experiments_specs!A:J,10,FALSE)</f>
        <v>True</v>
      </c>
      <c r="K114" s="40" t="s">
        <v>18</v>
      </c>
      <c r="L114" s="36" t="s">
        <v>44</v>
      </c>
      <c r="M114" s="36">
        <v>3.5267199999999999E-2</v>
      </c>
      <c r="N114" s="36" t="s">
        <v>45</v>
      </c>
      <c r="O114" s="36">
        <v>1.7334800000000001E-2</v>
      </c>
      <c r="P114" s="36">
        <v>0.21052631578947367</v>
      </c>
      <c r="Q114" s="36" t="s">
        <v>46</v>
      </c>
      <c r="R114" s="36">
        <v>0</v>
      </c>
      <c r="S114" s="36" t="s">
        <v>45</v>
      </c>
      <c r="T114" s="36">
        <v>1.7334800000000001E-2</v>
      </c>
      <c r="U114" s="37">
        <v>0.21052631578947367</v>
      </c>
      <c r="V114"/>
    </row>
    <row r="115" spans="1:22" ht="34" x14ac:dyDescent="0.2">
      <c r="A115" s="36" t="s">
        <v>78</v>
      </c>
      <c r="B115" s="45" t="str">
        <f>VLOOKUP(Tabella1[[#This Row],[test_id]],experiments_specs!A:J,2,FALSE)</f>
        <v>NN,VB</v>
      </c>
      <c r="C115" s="38">
        <f>VLOOKUP(Tabella1[[#This Row],[test_id]],experiments_specs!A:J,3,FALSE)</f>
        <v>1</v>
      </c>
      <c r="D115" s="38">
        <f>VLOOKUP(Tabella1[[#This Row],[test_id]],experiments_specs!A:J,4,FALSE)</f>
        <v>2</v>
      </c>
      <c r="E115" s="38" t="str">
        <f>VLOOKUP(Tabella1[[#This Row],[test_id]],experiments_specs!A:J,5,FALSE)</f>
        <v>True</v>
      </c>
      <c r="F115" s="38" t="str">
        <f>VLOOKUP(Tabella1[[#This Row],[test_id]],experiments_specs!A:J,6,FALSE)</f>
        <v>True</v>
      </c>
      <c r="G115" s="38" t="str">
        <f>VLOOKUP(Tabella1[[#This Row],[test_id]],experiments_specs!A:J,7,FALSE)</f>
        <v>False</v>
      </c>
      <c r="H115" s="38" t="str">
        <f>VLOOKUP(Tabella1[[#This Row],[test_id]],experiments_specs!A:J,8,FALSE)</f>
        <v>False</v>
      </c>
      <c r="I115" s="45" t="str">
        <f>VLOOKUP(Tabella1[[#This Row],[test_id]],experiments_specs!A:J,9,FALSE)</f>
        <v>wup_similarity</v>
      </c>
      <c r="J115" s="38" t="str">
        <f>VLOOKUP(Tabella1[[#This Row],[test_id]],experiments_specs!A:J,10,FALSE)</f>
        <v>True</v>
      </c>
      <c r="K115" s="40" t="s">
        <v>19</v>
      </c>
      <c r="L115" s="36" t="s">
        <v>20</v>
      </c>
      <c r="M115" s="36" t="s">
        <v>194</v>
      </c>
      <c r="N115" s="36" t="s">
        <v>21</v>
      </c>
      <c r="O115" s="36" t="s">
        <v>297</v>
      </c>
      <c r="P115" s="36">
        <v>0.19047619047619047</v>
      </c>
      <c r="Q115" s="36" t="s">
        <v>47</v>
      </c>
      <c r="R115" s="36">
        <v>0</v>
      </c>
      <c r="S115" s="36" t="s">
        <v>48</v>
      </c>
      <c r="T115" s="36">
        <v>2.12964E-2</v>
      </c>
      <c r="U115" s="37">
        <v>0.2</v>
      </c>
      <c r="V115"/>
    </row>
    <row r="116" spans="1:22" ht="17" x14ac:dyDescent="0.2">
      <c r="A116" s="36" t="s">
        <v>78</v>
      </c>
      <c r="B116" s="45" t="str">
        <f>VLOOKUP(Tabella1[[#This Row],[test_id]],experiments_specs!A:J,2,FALSE)</f>
        <v>NN,VB</v>
      </c>
      <c r="C116" s="38">
        <f>VLOOKUP(Tabella1[[#This Row],[test_id]],experiments_specs!A:J,3,FALSE)</f>
        <v>1</v>
      </c>
      <c r="D116" s="38">
        <f>VLOOKUP(Tabella1[[#This Row],[test_id]],experiments_specs!A:J,4,FALSE)</f>
        <v>2</v>
      </c>
      <c r="E116" s="38" t="str">
        <f>VLOOKUP(Tabella1[[#This Row],[test_id]],experiments_specs!A:J,5,FALSE)</f>
        <v>True</v>
      </c>
      <c r="F116" s="38" t="str">
        <f>VLOOKUP(Tabella1[[#This Row],[test_id]],experiments_specs!A:J,6,FALSE)</f>
        <v>True</v>
      </c>
      <c r="G116" s="38" t="str">
        <f>VLOOKUP(Tabella1[[#This Row],[test_id]],experiments_specs!A:J,7,FALSE)</f>
        <v>False</v>
      </c>
      <c r="H116" s="38" t="str">
        <f>VLOOKUP(Tabella1[[#This Row],[test_id]],experiments_specs!A:J,8,FALSE)</f>
        <v>False</v>
      </c>
      <c r="I116" s="45" t="str">
        <f>VLOOKUP(Tabella1[[#This Row],[test_id]],experiments_specs!A:J,9,FALSE)</f>
        <v>wup_similarity</v>
      </c>
      <c r="J116" s="38" t="str">
        <f>VLOOKUP(Tabella1[[#This Row],[test_id]],experiments_specs!A:J,10,FALSE)</f>
        <v>True</v>
      </c>
      <c r="K116" s="40" t="s">
        <v>12</v>
      </c>
      <c r="L116" s="36" t="s">
        <v>22</v>
      </c>
      <c r="M116" s="36">
        <v>0.1102635</v>
      </c>
      <c r="N116" s="36" t="s">
        <v>23</v>
      </c>
      <c r="O116" s="36">
        <v>4.7564599999999999E-2</v>
      </c>
      <c r="P116" s="36">
        <v>0.42857142857142855</v>
      </c>
      <c r="Q116" s="36" t="s">
        <v>24</v>
      </c>
      <c r="R116" s="36">
        <v>5.5131699999999999E-2</v>
      </c>
      <c r="S116" s="36" t="s">
        <v>23</v>
      </c>
      <c r="T116" s="36">
        <v>4.7564599999999999E-2</v>
      </c>
      <c r="U116" s="37">
        <v>0.42857142857142855</v>
      </c>
      <c r="V116"/>
    </row>
    <row r="117" spans="1:22" ht="34" x14ac:dyDescent="0.2">
      <c r="A117" s="36" t="s">
        <v>78</v>
      </c>
      <c r="B117" s="45" t="str">
        <f>VLOOKUP(Tabella1[[#This Row],[test_id]],experiments_specs!A:J,2,FALSE)</f>
        <v>NN,VB</v>
      </c>
      <c r="C117" s="38">
        <f>VLOOKUP(Tabella1[[#This Row],[test_id]],experiments_specs!A:J,3,FALSE)</f>
        <v>1</v>
      </c>
      <c r="D117" s="38">
        <f>VLOOKUP(Tabella1[[#This Row],[test_id]],experiments_specs!A:J,4,FALSE)</f>
        <v>2</v>
      </c>
      <c r="E117" s="38" t="str">
        <f>VLOOKUP(Tabella1[[#This Row],[test_id]],experiments_specs!A:J,5,FALSE)</f>
        <v>True</v>
      </c>
      <c r="F117" s="38" t="str">
        <f>VLOOKUP(Tabella1[[#This Row],[test_id]],experiments_specs!A:J,6,FALSE)</f>
        <v>True</v>
      </c>
      <c r="G117" s="38" t="str">
        <f>VLOOKUP(Tabella1[[#This Row],[test_id]],experiments_specs!A:J,7,FALSE)</f>
        <v>False</v>
      </c>
      <c r="H117" s="38" t="str">
        <f>VLOOKUP(Tabella1[[#This Row],[test_id]],experiments_specs!A:J,8,FALSE)</f>
        <v>False</v>
      </c>
      <c r="I117" s="45" t="str">
        <f>VLOOKUP(Tabella1[[#This Row],[test_id]],experiments_specs!A:J,9,FALSE)</f>
        <v>wup_similarity</v>
      </c>
      <c r="J117" s="38" t="str">
        <f>VLOOKUP(Tabella1[[#This Row],[test_id]],experiments_specs!A:J,10,FALSE)</f>
        <v>True</v>
      </c>
      <c r="K117" s="40" t="s">
        <v>13</v>
      </c>
      <c r="L117" s="36" t="s">
        <v>326</v>
      </c>
      <c r="M117" s="36">
        <v>0.10425719999999999</v>
      </c>
      <c r="N117" s="36" t="s">
        <v>327</v>
      </c>
      <c r="O117" s="36">
        <v>2.5420999999999999E-2</v>
      </c>
      <c r="P117" s="36" t="s">
        <v>25</v>
      </c>
      <c r="Q117" s="36" t="s">
        <v>335</v>
      </c>
      <c r="R117" s="36" t="s">
        <v>186</v>
      </c>
      <c r="S117" s="36" t="s">
        <v>337</v>
      </c>
      <c r="T117" s="36" t="s">
        <v>339</v>
      </c>
      <c r="U117" s="37" t="s">
        <v>25</v>
      </c>
      <c r="V117"/>
    </row>
    <row r="118" spans="1:22" ht="34" x14ac:dyDescent="0.2">
      <c r="A118" s="36" t="s">
        <v>78</v>
      </c>
      <c r="B118" s="45" t="str">
        <f>VLOOKUP(Tabella1[[#This Row],[test_id]],experiments_specs!A:J,2,FALSE)</f>
        <v>NN,VB</v>
      </c>
      <c r="C118" s="38">
        <f>VLOOKUP(Tabella1[[#This Row],[test_id]],experiments_specs!A:J,3,FALSE)</f>
        <v>1</v>
      </c>
      <c r="D118" s="38">
        <f>VLOOKUP(Tabella1[[#This Row],[test_id]],experiments_specs!A:J,4,FALSE)</f>
        <v>2</v>
      </c>
      <c r="E118" s="38" t="str">
        <f>VLOOKUP(Tabella1[[#This Row],[test_id]],experiments_specs!A:J,5,FALSE)</f>
        <v>True</v>
      </c>
      <c r="F118" s="38" t="str">
        <f>VLOOKUP(Tabella1[[#This Row],[test_id]],experiments_specs!A:J,6,FALSE)</f>
        <v>True</v>
      </c>
      <c r="G118" s="38" t="str">
        <f>VLOOKUP(Tabella1[[#This Row],[test_id]],experiments_specs!A:J,7,FALSE)</f>
        <v>False</v>
      </c>
      <c r="H118" s="38" t="str">
        <f>VLOOKUP(Tabella1[[#This Row],[test_id]],experiments_specs!A:J,8,FALSE)</f>
        <v>False</v>
      </c>
      <c r="I118" s="45" t="str">
        <f>VLOOKUP(Tabella1[[#This Row],[test_id]],experiments_specs!A:J,9,FALSE)</f>
        <v>wup_similarity</v>
      </c>
      <c r="J118" s="38" t="str">
        <f>VLOOKUP(Tabella1[[#This Row],[test_id]],experiments_specs!A:J,10,FALSE)</f>
        <v>True</v>
      </c>
      <c r="K118" s="40" t="s">
        <v>14</v>
      </c>
      <c r="L118" s="36" t="s">
        <v>36</v>
      </c>
      <c r="M118" s="36" t="s">
        <v>269</v>
      </c>
      <c r="N118" s="36" t="s">
        <v>37</v>
      </c>
      <c r="O118" s="36" t="s">
        <v>299</v>
      </c>
      <c r="P118" s="36">
        <v>0.33333333333333331</v>
      </c>
      <c r="Q118" s="36" t="s">
        <v>38</v>
      </c>
      <c r="R118" s="36" t="s">
        <v>273</v>
      </c>
      <c r="S118" s="36" t="s">
        <v>37</v>
      </c>
      <c r="T118" s="36" t="s">
        <v>271</v>
      </c>
      <c r="U118" s="37">
        <v>0.33333333333333331</v>
      </c>
      <c r="V118"/>
    </row>
    <row r="119" spans="1:22" ht="34" x14ac:dyDescent="0.2">
      <c r="A119" s="36" t="s">
        <v>78</v>
      </c>
      <c r="B119" s="45" t="str">
        <f>VLOOKUP(Tabella1[[#This Row],[test_id]],experiments_specs!A:J,2,FALSE)</f>
        <v>NN,VB</v>
      </c>
      <c r="C119" s="38">
        <f>VLOOKUP(Tabella1[[#This Row],[test_id]],experiments_specs!A:J,3,FALSE)</f>
        <v>1</v>
      </c>
      <c r="D119" s="38">
        <f>VLOOKUP(Tabella1[[#This Row],[test_id]],experiments_specs!A:J,4,FALSE)</f>
        <v>2</v>
      </c>
      <c r="E119" s="38" t="str">
        <f>VLOOKUP(Tabella1[[#This Row],[test_id]],experiments_specs!A:J,5,FALSE)</f>
        <v>True</v>
      </c>
      <c r="F119" s="38" t="str">
        <f>VLOOKUP(Tabella1[[#This Row],[test_id]],experiments_specs!A:J,6,FALSE)</f>
        <v>True</v>
      </c>
      <c r="G119" s="38" t="str">
        <f>VLOOKUP(Tabella1[[#This Row],[test_id]],experiments_specs!A:J,7,FALSE)</f>
        <v>False</v>
      </c>
      <c r="H119" s="38" t="str">
        <f>VLOOKUP(Tabella1[[#This Row],[test_id]],experiments_specs!A:J,8,FALSE)</f>
        <v>False</v>
      </c>
      <c r="I119" s="45" t="str">
        <f>VLOOKUP(Tabella1[[#This Row],[test_id]],experiments_specs!A:J,9,FALSE)</f>
        <v>wup_similarity</v>
      </c>
      <c r="J119" s="38" t="str">
        <f>VLOOKUP(Tabella1[[#This Row],[test_id]],experiments_specs!A:J,10,FALSE)</f>
        <v>True</v>
      </c>
      <c r="K119" s="40" t="s">
        <v>15</v>
      </c>
      <c r="L119" s="36" t="s">
        <v>26</v>
      </c>
      <c r="M119" s="36">
        <v>0.1561737</v>
      </c>
      <c r="N119" s="36" t="s">
        <v>27</v>
      </c>
      <c r="O119" s="36">
        <v>1.9521699999999999E-2</v>
      </c>
      <c r="P119" s="36">
        <v>0.16666666666666666</v>
      </c>
      <c r="Q119" s="36" t="s">
        <v>28</v>
      </c>
      <c r="R119" s="36" t="s">
        <v>186</v>
      </c>
      <c r="S119" s="36" t="s">
        <v>29</v>
      </c>
      <c r="T119" s="36" t="s">
        <v>341</v>
      </c>
      <c r="U119" s="37">
        <v>0.18181818181818182</v>
      </c>
      <c r="V119"/>
    </row>
    <row r="120" spans="1:22" ht="17" x14ac:dyDescent="0.2">
      <c r="A120" s="36" t="s">
        <v>78</v>
      </c>
      <c r="B120" s="45" t="str">
        <f>VLOOKUP(Tabella1[[#This Row],[test_id]],experiments_specs!A:J,2,FALSE)</f>
        <v>NN,VB</v>
      </c>
      <c r="C120" s="38">
        <f>VLOOKUP(Tabella1[[#This Row],[test_id]],experiments_specs!A:J,3,FALSE)</f>
        <v>1</v>
      </c>
      <c r="D120" s="38">
        <f>VLOOKUP(Tabella1[[#This Row],[test_id]],experiments_specs!A:J,4,FALSE)</f>
        <v>2</v>
      </c>
      <c r="E120" s="38" t="str">
        <f>VLOOKUP(Tabella1[[#This Row],[test_id]],experiments_specs!A:J,5,FALSE)</f>
        <v>True</v>
      </c>
      <c r="F120" s="38" t="str">
        <f>VLOOKUP(Tabella1[[#This Row],[test_id]],experiments_specs!A:J,6,FALSE)</f>
        <v>True</v>
      </c>
      <c r="G120" s="38" t="str">
        <f>VLOOKUP(Tabella1[[#This Row],[test_id]],experiments_specs!A:J,7,FALSE)</f>
        <v>False</v>
      </c>
      <c r="H120" s="38" t="str">
        <f>VLOOKUP(Tabella1[[#This Row],[test_id]],experiments_specs!A:J,8,FALSE)</f>
        <v>False</v>
      </c>
      <c r="I120" s="45" t="str">
        <f>VLOOKUP(Tabella1[[#This Row],[test_id]],experiments_specs!A:J,9,FALSE)</f>
        <v>wup_similarity</v>
      </c>
      <c r="J120" s="38" t="str">
        <f>VLOOKUP(Tabella1[[#This Row],[test_id]],experiments_specs!A:J,10,FALSE)</f>
        <v>True</v>
      </c>
      <c r="K120" s="40" t="s">
        <v>16</v>
      </c>
      <c r="L120" s="36" t="s">
        <v>39</v>
      </c>
      <c r="M120" s="36">
        <v>6.4549700000000002E-2</v>
      </c>
      <c r="N120" s="36" t="s">
        <v>40</v>
      </c>
      <c r="O120" s="36">
        <v>2.1870400000000002E-2</v>
      </c>
      <c r="P120" s="36">
        <v>0.22222222222222221</v>
      </c>
      <c r="Q120" s="36" t="s">
        <v>41</v>
      </c>
      <c r="R120" s="36">
        <v>4.1666599999999998E-2</v>
      </c>
      <c r="S120" s="36" t="s">
        <v>40</v>
      </c>
      <c r="T120" s="36">
        <v>2.06882E-2</v>
      </c>
      <c r="U120" s="37">
        <v>0.22222222222222221</v>
      </c>
      <c r="V120"/>
    </row>
    <row r="121" spans="1:22" ht="68" x14ac:dyDescent="0.2">
      <c r="A121" s="36" t="s">
        <v>78</v>
      </c>
      <c r="B121" s="45" t="str">
        <f>VLOOKUP(Tabella1[[#This Row],[test_id]],experiments_specs!A:J,2,FALSE)</f>
        <v>NN,VB</v>
      </c>
      <c r="C121" s="38">
        <f>VLOOKUP(Tabella1[[#This Row],[test_id]],experiments_specs!A:J,3,FALSE)</f>
        <v>1</v>
      </c>
      <c r="D121" s="38">
        <f>VLOOKUP(Tabella1[[#This Row],[test_id]],experiments_specs!A:J,4,FALSE)</f>
        <v>2</v>
      </c>
      <c r="E121" s="38" t="str">
        <f>VLOOKUP(Tabella1[[#This Row],[test_id]],experiments_specs!A:J,5,FALSE)</f>
        <v>True</v>
      </c>
      <c r="F121" s="38" t="str">
        <f>VLOOKUP(Tabella1[[#This Row],[test_id]],experiments_specs!A:J,6,FALSE)</f>
        <v>True</v>
      </c>
      <c r="G121" s="38" t="str">
        <f>VLOOKUP(Tabella1[[#This Row],[test_id]],experiments_specs!A:J,7,FALSE)</f>
        <v>False</v>
      </c>
      <c r="H121" s="38" t="str">
        <f>VLOOKUP(Tabella1[[#This Row],[test_id]],experiments_specs!A:J,8,FALSE)</f>
        <v>False</v>
      </c>
      <c r="I121" s="45" t="str">
        <f>VLOOKUP(Tabella1[[#This Row],[test_id]],experiments_specs!A:J,9,FALSE)</f>
        <v>wup_similarity</v>
      </c>
      <c r="J121" s="38" t="str">
        <f>VLOOKUP(Tabella1[[#This Row],[test_id]],experiments_specs!A:J,10,FALSE)</f>
        <v>True</v>
      </c>
      <c r="K121" s="40" t="s">
        <v>17</v>
      </c>
      <c r="L121" s="36" t="s">
        <v>279</v>
      </c>
      <c r="M121" s="36" t="s">
        <v>281</v>
      </c>
      <c r="N121" s="36" t="s">
        <v>42</v>
      </c>
      <c r="O121" s="36" t="s">
        <v>343</v>
      </c>
      <c r="P121" s="36">
        <v>0.30769230769230771</v>
      </c>
      <c r="Q121" s="36" t="s">
        <v>43</v>
      </c>
      <c r="R121" s="36" t="s">
        <v>285</v>
      </c>
      <c r="S121" s="36" t="s">
        <v>42</v>
      </c>
      <c r="T121" s="36" t="s">
        <v>343</v>
      </c>
      <c r="U121" s="37">
        <v>0.30769230769230771</v>
      </c>
      <c r="V121"/>
    </row>
    <row r="122" spans="1:22" ht="34" x14ac:dyDescent="0.2">
      <c r="A122" s="36" t="s">
        <v>78</v>
      </c>
      <c r="B122" s="45" t="str">
        <f>VLOOKUP(Tabella1[[#This Row],[test_id]],experiments_specs!A:J,2,FALSE)</f>
        <v>NN,VB</v>
      </c>
      <c r="C122" s="38">
        <f>VLOOKUP(Tabella1[[#This Row],[test_id]],experiments_specs!A:J,3,FALSE)</f>
        <v>1</v>
      </c>
      <c r="D122" s="38">
        <f>VLOOKUP(Tabella1[[#This Row],[test_id]],experiments_specs!A:J,4,FALSE)</f>
        <v>2</v>
      </c>
      <c r="E122" s="38" t="str">
        <f>VLOOKUP(Tabella1[[#This Row],[test_id]],experiments_specs!A:J,5,FALSE)</f>
        <v>True</v>
      </c>
      <c r="F122" s="38" t="str">
        <f>VLOOKUP(Tabella1[[#This Row],[test_id]],experiments_specs!A:J,6,FALSE)</f>
        <v>True</v>
      </c>
      <c r="G122" s="38" t="str">
        <f>VLOOKUP(Tabella1[[#This Row],[test_id]],experiments_specs!A:J,7,FALSE)</f>
        <v>False</v>
      </c>
      <c r="H122" s="38" t="str">
        <f>VLOOKUP(Tabella1[[#This Row],[test_id]],experiments_specs!A:J,8,FALSE)</f>
        <v>False</v>
      </c>
      <c r="I122" s="45" t="str">
        <f>VLOOKUP(Tabella1[[#This Row],[test_id]],experiments_specs!A:J,9,FALSE)</f>
        <v>wup_similarity</v>
      </c>
      <c r="J122" s="38" t="str">
        <f>VLOOKUP(Tabella1[[#This Row],[test_id]],experiments_specs!A:J,10,FALSE)</f>
        <v>True</v>
      </c>
      <c r="K122" s="40" t="s">
        <v>18</v>
      </c>
      <c r="L122" s="36" t="s">
        <v>44</v>
      </c>
      <c r="M122" s="36">
        <v>3.5267199999999999E-2</v>
      </c>
      <c r="N122" s="36" t="s">
        <v>45</v>
      </c>
      <c r="O122" s="36">
        <v>1.4577E-2</v>
      </c>
      <c r="P122" s="36">
        <v>0.21052631578947367</v>
      </c>
      <c r="Q122" s="36" t="s">
        <v>46</v>
      </c>
      <c r="R122" s="36">
        <v>0</v>
      </c>
      <c r="S122" s="36" t="s">
        <v>45</v>
      </c>
      <c r="T122" s="36">
        <v>1.4577E-2</v>
      </c>
      <c r="U122" s="37">
        <v>0.21052631578947367</v>
      </c>
      <c r="V122"/>
    </row>
    <row r="123" spans="1:22" ht="34" x14ac:dyDescent="0.2">
      <c r="A123" s="36" t="s">
        <v>79</v>
      </c>
      <c r="B123" s="45" t="str">
        <f>VLOOKUP(Tabella1[[#This Row],[test_id]],experiments_specs!A:J,2,FALSE)</f>
        <v>NN,VB,VBD,VBG,VBN,VBP,VBZ</v>
      </c>
      <c r="C123" s="38">
        <f>VLOOKUP(Tabella1[[#This Row],[test_id]],experiments_specs!A:J,3,FALSE)</f>
        <v>1</v>
      </c>
      <c r="D123" s="38">
        <f>VLOOKUP(Tabella1[[#This Row],[test_id]],experiments_specs!A:J,4,FALSE)</f>
        <v>2</v>
      </c>
      <c r="E123" s="38" t="str">
        <f>VLOOKUP(Tabella1[[#This Row],[test_id]],experiments_specs!A:J,5,FALSE)</f>
        <v>True</v>
      </c>
      <c r="F123" s="38" t="str">
        <f>VLOOKUP(Tabella1[[#This Row],[test_id]],experiments_specs!A:J,6,FALSE)</f>
        <v>True</v>
      </c>
      <c r="G123" s="38" t="str">
        <f>VLOOKUP(Tabella1[[#This Row],[test_id]],experiments_specs!A:J,7,FALSE)</f>
        <v>False</v>
      </c>
      <c r="H123" s="38" t="str">
        <f>VLOOKUP(Tabella1[[#This Row],[test_id]],experiments_specs!A:J,8,FALSE)</f>
        <v>False</v>
      </c>
      <c r="I123" s="45" t="str">
        <f>VLOOKUP(Tabella1[[#This Row],[test_id]],experiments_specs!A:J,9,FALSE)</f>
        <v>wup_similarity</v>
      </c>
      <c r="J123" s="38" t="str">
        <f>VLOOKUP(Tabella1[[#This Row],[test_id]],experiments_specs!A:J,10,FALSE)</f>
        <v>True</v>
      </c>
      <c r="K123" s="40" t="s">
        <v>19</v>
      </c>
      <c r="L123" s="36" t="s">
        <v>20</v>
      </c>
      <c r="M123" s="36" t="s">
        <v>194</v>
      </c>
      <c r="N123" s="36" t="s">
        <v>21</v>
      </c>
      <c r="O123" s="36" t="s">
        <v>297</v>
      </c>
      <c r="P123" s="36">
        <v>0.19047619047619047</v>
      </c>
      <c r="Q123" s="36" t="s">
        <v>47</v>
      </c>
      <c r="R123" s="36">
        <v>0</v>
      </c>
      <c r="S123" s="36" t="s">
        <v>48</v>
      </c>
      <c r="T123" s="36">
        <v>2.12964E-2</v>
      </c>
      <c r="U123" s="37">
        <v>0.2</v>
      </c>
      <c r="V123"/>
    </row>
    <row r="124" spans="1:22" ht="17" x14ac:dyDescent="0.2">
      <c r="A124" s="36" t="s">
        <v>79</v>
      </c>
      <c r="B124" s="45" t="str">
        <f>VLOOKUP(Tabella1[[#This Row],[test_id]],experiments_specs!A:J,2,FALSE)</f>
        <v>NN,VB,VBD,VBG,VBN,VBP,VBZ</v>
      </c>
      <c r="C124" s="38">
        <f>VLOOKUP(Tabella1[[#This Row],[test_id]],experiments_specs!A:J,3,FALSE)</f>
        <v>1</v>
      </c>
      <c r="D124" s="38">
        <f>VLOOKUP(Tabella1[[#This Row],[test_id]],experiments_specs!A:J,4,FALSE)</f>
        <v>2</v>
      </c>
      <c r="E124" s="38" t="str">
        <f>VLOOKUP(Tabella1[[#This Row],[test_id]],experiments_specs!A:J,5,FALSE)</f>
        <v>True</v>
      </c>
      <c r="F124" s="38" t="str">
        <f>VLOOKUP(Tabella1[[#This Row],[test_id]],experiments_specs!A:J,6,FALSE)</f>
        <v>True</v>
      </c>
      <c r="G124" s="38" t="str">
        <f>VLOOKUP(Tabella1[[#This Row],[test_id]],experiments_specs!A:J,7,FALSE)</f>
        <v>False</v>
      </c>
      <c r="H124" s="38" t="str">
        <f>VLOOKUP(Tabella1[[#This Row],[test_id]],experiments_specs!A:J,8,FALSE)</f>
        <v>False</v>
      </c>
      <c r="I124" s="45" t="str">
        <f>VLOOKUP(Tabella1[[#This Row],[test_id]],experiments_specs!A:J,9,FALSE)</f>
        <v>wup_similarity</v>
      </c>
      <c r="J124" s="38" t="str">
        <f>VLOOKUP(Tabella1[[#This Row],[test_id]],experiments_specs!A:J,10,FALSE)</f>
        <v>True</v>
      </c>
      <c r="K124" s="40" t="s">
        <v>12</v>
      </c>
      <c r="L124" s="36" t="s">
        <v>22</v>
      </c>
      <c r="M124" s="36">
        <v>0.1102635</v>
      </c>
      <c r="N124" s="36" t="s">
        <v>23</v>
      </c>
      <c r="O124" s="36">
        <v>4.3759399999999997E-2</v>
      </c>
      <c r="P124" s="36">
        <v>0.42857142857142855</v>
      </c>
      <c r="Q124" s="36" t="s">
        <v>24</v>
      </c>
      <c r="R124" s="36">
        <v>5.5131699999999999E-2</v>
      </c>
      <c r="S124" s="36" t="s">
        <v>23</v>
      </c>
      <c r="T124" s="36">
        <v>4.3759399999999997E-2</v>
      </c>
      <c r="U124" s="37">
        <v>0.42857142857142855</v>
      </c>
      <c r="V124"/>
    </row>
    <row r="125" spans="1:22" ht="34" x14ac:dyDescent="0.2">
      <c r="A125" s="36" t="s">
        <v>79</v>
      </c>
      <c r="B125" s="45" t="str">
        <f>VLOOKUP(Tabella1[[#This Row],[test_id]],experiments_specs!A:J,2,FALSE)</f>
        <v>NN,VB,VBD,VBG,VBN,VBP,VBZ</v>
      </c>
      <c r="C125" s="38">
        <f>VLOOKUP(Tabella1[[#This Row],[test_id]],experiments_specs!A:J,3,FALSE)</f>
        <v>1</v>
      </c>
      <c r="D125" s="38">
        <f>VLOOKUP(Tabella1[[#This Row],[test_id]],experiments_specs!A:J,4,FALSE)</f>
        <v>2</v>
      </c>
      <c r="E125" s="38" t="str">
        <f>VLOOKUP(Tabella1[[#This Row],[test_id]],experiments_specs!A:J,5,FALSE)</f>
        <v>True</v>
      </c>
      <c r="F125" s="38" t="str">
        <f>VLOOKUP(Tabella1[[#This Row],[test_id]],experiments_specs!A:J,6,FALSE)</f>
        <v>True</v>
      </c>
      <c r="G125" s="38" t="str">
        <f>VLOOKUP(Tabella1[[#This Row],[test_id]],experiments_specs!A:J,7,FALSE)</f>
        <v>False</v>
      </c>
      <c r="H125" s="38" t="str">
        <f>VLOOKUP(Tabella1[[#This Row],[test_id]],experiments_specs!A:J,8,FALSE)</f>
        <v>False</v>
      </c>
      <c r="I125" s="45" t="str">
        <f>VLOOKUP(Tabella1[[#This Row],[test_id]],experiments_specs!A:J,9,FALSE)</f>
        <v>wup_similarity</v>
      </c>
      <c r="J125" s="38" t="str">
        <f>VLOOKUP(Tabella1[[#This Row],[test_id]],experiments_specs!A:J,10,FALSE)</f>
        <v>True</v>
      </c>
      <c r="K125" s="40" t="s">
        <v>13</v>
      </c>
      <c r="L125" s="36" t="s">
        <v>326</v>
      </c>
      <c r="M125" s="36">
        <v>0.10425719999999999</v>
      </c>
      <c r="N125" s="36" t="s">
        <v>327</v>
      </c>
      <c r="O125" s="36">
        <v>2.4573600000000001E-2</v>
      </c>
      <c r="P125" s="36" t="s">
        <v>25</v>
      </c>
      <c r="Q125" s="36" t="s">
        <v>335</v>
      </c>
      <c r="R125" s="36" t="s">
        <v>186</v>
      </c>
      <c r="S125" s="36" t="s">
        <v>337</v>
      </c>
      <c r="T125" s="36" t="s">
        <v>345</v>
      </c>
      <c r="U125" s="37" t="s">
        <v>25</v>
      </c>
      <c r="V125"/>
    </row>
    <row r="126" spans="1:22" ht="34" x14ac:dyDescent="0.2">
      <c r="A126" s="36" t="s">
        <v>79</v>
      </c>
      <c r="B126" s="45" t="str">
        <f>VLOOKUP(Tabella1[[#This Row],[test_id]],experiments_specs!A:J,2,FALSE)</f>
        <v>NN,VB,VBD,VBG,VBN,VBP,VBZ</v>
      </c>
      <c r="C126" s="38">
        <f>VLOOKUP(Tabella1[[#This Row],[test_id]],experiments_specs!A:J,3,FALSE)</f>
        <v>1</v>
      </c>
      <c r="D126" s="38">
        <f>VLOOKUP(Tabella1[[#This Row],[test_id]],experiments_specs!A:J,4,FALSE)</f>
        <v>2</v>
      </c>
      <c r="E126" s="38" t="str">
        <f>VLOOKUP(Tabella1[[#This Row],[test_id]],experiments_specs!A:J,5,FALSE)</f>
        <v>True</v>
      </c>
      <c r="F126" s="38" t="str">
        <f>VLOOKUP(Tabella1[[#This Row],[test_id]],experiments_specs!A:J,6,FALSE)</f>
        <v>True</v>
      </c>
      <c r="G126" s="38" t="str">
        <f>VLOOKUP(Tabella1[[#This Row],[test_id]],experiments_specs!A:J,7,FALSE)</f>
        <v>False</v>
      </c>
      <c r="H126" s="38" t="str">
        <f>VLOOKUP(Tabella1[[#This Row],[test_id]],experiments_specs!A:J,8,FALSE)</f>
        <v>False</v>
      </c>
      <c r="I126" s="45" t="str">
        <f>VLOOKUP(Tabella1[[#This Row],[test_id]],experiments_specs!A:J,9,FALSE)</f>
        <v>wup_similarity</v>
      </c>
      <c r="J126" s="38" t="str">
        <f>VLOOKUP(Tabella1[[#This Row],[test_id]],experiments_specs!A:J,10,FALSE)</f>
        <v>True</v>
      </c>
      <c r="K126" s="40" t="s">
        <v>14</v>
      </c>
      <c r="L126" s="36" t="s">
        <v>36</v>
      </c>
      <c r="M126" s="36" t="s">
        <v>269</v>
      </c>
      <c r="N126" s="36" t="s">
        <v>37</v>
      </c>
      <c r="O126" s="36" t="s">
        <v>311</v>
      </c>
      <c r="P126" s="36">
        <v>0.33333333333333331</v>
      </c>
      <c r="Q126" s="36" t="s">
        <v>38</v>
      </c>
      <c r="R126" s="36" t="s">
        <v>273</v>
      </c>
      <c r="S126" s="36" t="s">
        <v>37</v>
      </c>
      <c r="T126" s="36" t="s">
        <v>347</v>
      </c>
      <c r="U126" s="37">
        <v>0.33333333333333331</v>
      </c>
      <c r="V126"/>
    </row>
    <row r="127" spans="1:22" ht="34" x14ac:dyDescent="0.2">
      <c r="A127" s="36" t="s">
        <v>79</v>
      </c>
      <c r="B127" s="45" t="str">
        <f>VLOOKUP(Tabella1[[#This Row],[test_id]],experiments_specs!A:J,2,FALSE)</f>
        <v>NN,VB,VBD,VBG,VBN,VBP,VBZ</v>
      </c>
      <c r="C127" s="38">
        <f>VLOOKUP(Tabella1[[#This Row],[test_id]],experiments_specs!A:J,3,FALSE)</f>
        <v>1</v>
      </c>
      <c r="D127" s="38">
        <f>VLOOKUP(Tabella1[[#This Row],[test_id]],experiments_specs!A:J,4,FALSE)</f>
        <v>2</v>
      </c>
      <c r="E127" s="38" t="str">
        <f>VLOOKUP(Tabella1[[#This Row],[test_id]],experiments_specs!A:J,5,FALSE)</f>
        <v>True</v>
      </c>
      <c r="F127" s="38" t="str">
        <f>VLOOKUP(Tabella1[[#This Row],[test_id]],experiments_specs!A:J,6,FALSE)</f>
        <v>True</v>
      </c>
      <c r="G127" s="38" t="str">
        <f>VLOOKUP(Tabella1[[#This Row],[test_id]],experiments_specs!A:J,7,FALSE)</f>
        <v>False</v>
      </c>
      <c r="H127" s="38" t="str">
        <f>VLOOKUP(Tabella1[[#This Row],[test_id]],experiments_specs!A:J,8,FALSE)</f>
        <v>False</v>
      </c>
      <c r="I127" s="45" t="str">
        <f>VLOOKUP(Tabella1[[#This Row],[test_id]],experiments_specs!A:J,9,FALSE)</f>
        <v>wup_similarity</v>
      </c>
      <c r="J127" s="38" t="str">
        <f>VLOOKUP(Tabella1[[#This Row],[test_id]],experiments_specs!A:J,10,FALSE)</f>
        <v>True</v>
      </c>
      <c r="K127" s="40" t="s">
        <v>15</v>
      </c>
      <c r="L127" s="36" t="s">
        <v>26</v>
      </c>
      <c r="M127" s="36">
        <v>0.1561737</v>
      </c>
      <c r="N127" s="36" t="s">
        <v>27</v>
      </c>
      <c r="O127" s="36">
        <v>1.7352599999999999E-2</v>
      </c>
      <c r="P127" s="36">
        <v>0.16666666666666666</v>
      </c>
      <c r="Q127" s="36" t="s">
        <v>28</v>
      </c>
      <c r="R127" s="36" t="s">
        <v>186</v>
      </c>
      <c r="S127" s="36" t="s">
        <v>29</v>
      </c>
      <c r="T127" s="36" t="s">
        <v>303</v>
      </c>
      <c r="U127" s="37">
        <v>0.18181818181818182</v>
      </c>
      <c r="V127"/>
    </row>
    <row r="128" spans="1:22" ht="17" x14ac:dyDescent="0.2">
      <c r="A128" s="36" t="s">
        <v>79</v>
      </c>
      <c r="B128" s="45" t="str">
        <f>VLOOKUP(Tabella1[[#This Row],[test_id]],experiments_specs!A:J,2,FALSE)</f>
        <v>NN,VB,VBD,VBG,VBN,VBP,VBZ</v>
      </c>
      <c r="C128" s="38">
        <f>VLOOKUP(Tabella1[[#This Row],[test_id]],experiments_specs!A:J,3,FALSE)</f>
        <v>1</v>
      </c>
      <c r="D128" s="38">
        <f>VLOOKUP(Tabella1[[#This Row],[test_id]],experiments_specs!A:J,4,FALSE)</f>
        <v>2</v>
      </c>
      <c r="E128" s="38" t="str">
        <f>VLOOKUP(Tabella1[[#This Row],[test_id]],experiments_specs!A:J,5,FALSE)</f>
        <v>True</v>
      </c>
      <c r="F128" s="38" t="str">
        <f>VLOOKUP(Tabella1[[#This Row],[test_id]],experiments_specs!A:J,6,FALSE)</f>
        <v>True</v>
      </c>
      <c r="G128" s="38" t="str">
        <f>VLOOKUP(Tabella1[[#This Row],[test_id]],experiments_specs!A:J,7,FALSE)</f>
        <v>False</v>
      </c>
      <c r="H128" s="38" t="str">
        <f>VLOOKUP(Tabella1[[#This Row],[test_id]],experiments_specs!A:J,8,FALSE)</f>
        <v>False</v>
      </c>
      <c r="I128" s="45" t="str">
        <f>VLOOKUP(Tabella1[[#This Row],[test_id]],experiments_specs!A:J,9,FALSE)</f>
        <v>wup_similarity</v>
      </c>
      <c r="J128" s="38" t="str">
        <f>VLOOKUP(Tabella1[[#This Row],[test_id]],experiments_specs!A:J,10,FALSE)</f>
        <v>True</v>
      </c>
      <c r="K128" s="40" t="s">
        <v>16</v>
      </c>
      <c r="L128" s="36" t="s">
        <v>39</v>
      </c>
      <c r="M128" s="36">
        <v>6.4549700000000002E-2</v>
      </c>
      <c r="N128" s="36" t="s">
        <v>40</v>
      </c>
      <c r="O128" s="36">
        <v>2.55155E-2</v>
      </c>
      <c r="P128" s="36">
        <v>0.22222222222222221</v>
      </c>
      <c r="Q128" s="36" t="s">
        <v>41</v>
      </c>
      <c r="R128" s="36">
        <v>4.1666599999999998E-2</v>
      </c>
      <c r="S128" s="36" t="s">
        <v>40</v>
      </c>
      <c r="T128" s="36">
        <v>2.41725E-2</v>
      </c>
      <c r="U128" s="37">
        <v>0.22222222222222221</v>
      </c>
      <c r="V128"/>
    </row>
    <row r="129" spans="1:22" ht="68" x14ac:dyDescent="0.2">
      <c r="A129" s="36" t="s">
        <v>79</v>
      </c>
      <c r="B129" s="45" t="str">
        <f>VLOOKUP(Tabella1[[#This Row],[test_id]],experiments_specs!A:J,2,FALSE)</f>
        <v>NN,VB,VBD,VBG,VBN,VBP,VBZ</v>
      </c>
      <c r="C129" s="38">
        <f>VLOOKUP(Tabella1[[#This Row],[test_id]],experiments_specs!A:J,3,FALSE)</f>
        <v>1</v>
      </c>
      <c r="D129" s="38">
        <f>VLOOKUP(Tabella1[[#This Row],[test_id]],experiments_specs!A:J,4,FALSE)</f>
        <v>2</v>
      </c>
      <c r="E129" s="38" t="str">
        <f>VLOOKUP(Tabella1[[#This Row],[test_id]],experiments_specs!A:J,5,FALSE)</f>
        <v>True</v>
      </c>
      <c r="F129" s="38" t="str">
        <f>VLOOKUP(Tabella1[[#This Row],[test_id]],experiments_specs!A:J,6,FALSE)</f>
        <v>True</v>
      </c>
      <c r="G129" s="38" t="str">
        <f>VLOOKUP(Tabella1[[#This Row],[test_id]],experiments_specs!A:J,7,FALSE)</f>
        <v>False</v>
      </c>
      <c r="H129" s="38" t="str">
        <f>VLOOKUP(Tabella1[[#This Row],[test_id]],experiments_specs!A:J,8,FALSE)</f>
        <v>False</v>
      </c>
      <c r="I129" s="45" t="str">
        <f>VLOOKUP(Tabella1[[#This Row],[test_id]],experiments_specs!A:J,9,FALSE)</f>
        <v>wup_similarity</v>
      </c>
      <c r="J129" s="38" t="str">
        <f>VLOOKUP(Tabella1[[#This Row],[test_id]],experiments_specs!A:J,10,FALSE)</f>
        <v>True</v>
      </c>
      <c r="K129" s="40" t="s">
        <v>17</v>
      </c>
      <c r="L129" s="36" t="s">
        <v>279</v>
      </c>
      <c r="M129" s="36" t="s">
        <v>281</v>
      </c>
      <c r="N129" s="36" t="s">
        <v>42</v>
      </c>
      <c r="O129" s="36" t="s">
        <v>295</v>
      </c>
      <c r="P129" s="36">
        <v>0.30769230769230771</v>
      </c>
      <c r="Q129" s="36" t="s">
        <v>43</v>
      </c>
      <c r="R129" s="36" t="s">
        <v>285</v>
      </c>
      <c r="S129" s="36" t="s">
        <v>42</v>
      </c>
      <c r="T129" s="36" t="s">
        <v>295</v>
      </c>
      <c r="U129" s="37">
        <v>0.30769230769230771</v>
      </c>
      <c r="V129"/>
    </row>
    <row r="130" spans="1:22" ht="34" x14ac:dyDescent="0.2">
      <c r="A130" s="36" t="s">
        <v>79</v>
      </c>
      <c r="B130" s="45" t="str">
        <f>VLOOKUP(Tabella1[[#This Row],[test_id]],experiments_specs!A:J,2,FALSE)</f>
        <v>NN,VB,VBD,VBG,VBN,VBP,VBZ</v>
      </c>
      <c r="C130" s="38">
        <f>VLOOKUP(Tabella1[[#This Row],[test_id]],experiments_specs!A:J,3,FALSE)</f>
        <v>1</v>
      </c>
      <c r="D130" s="38">
        <f>VLOOKUP(Tabella1[[#This Row],[test_id]],experiments_specs!A:J,4,FALSE)</f>
        <v>2</v>
      </c>
      <c r="E130" s="38" t="str">
        <f>VLOOKUP(Tabella1[[#This Row],[test_id]],experiments_specs!A:J,5,FALSE)</f>
        <v>True</v>
      </c>
      <c r="F130" s="38" t="str">
        <f>VLOOKUP(Tabella1[[#This Row],[test_id]],experiments_specs!A:J,6,FALSE)</f>
        <v>True</v>
      </c>
      <c r="G130" s="38" t="str">
        <f>VLOOKUP(Tabella1[[#This Row],[test_id]],experiments_specs!A:J,7,FALSE)</f>
        <v>False</v>
      </c>
      <c r="H130" s="38" t="str">
        <f>VLOOKUP(Tabella1[[#This Row],[test_id]],experiments_specs!A:J,8,FALSE)</f>
        <v>False</v>
      </c>
      <c r="I130" s="45" t="str">
        <f>VLOOKUP(Tabella1[[#This Row],[test_id]],experiments_specs!A:J,9,FALSE)</f>
        <v>wup_similarity</v>
      </c>
      <c r="J130" s="38" t="str">
        <f>VLOOKUP(Tabella1[[#This Row],[test_id]],experiments_specs!A:J,10,FALSE)</f>
        <v>True</v>
      </c>
      <c r="K130" s="40" t="s">
        <v>18</v>
      </c>
      <c r="L130" s="36" t="s">
        <v>44</v>
      </c>
      <c r="M130" s="36">
        <v>3.5267199999999999E-2</v>
      </c>
      <c r="N130" s="36" t="s">
        <v>45</v>
      </c>
      <c r="O130" s="36">
        <v>1.3362199999999999E-2</v>
      </c>
      <c r="P130" s="36">
        <v>0.21052631578947367</v>
      </c>
      <c r="Q130" s="36" t="s">
        <v>46</v>
      </c>
      <c r="R130" s="36">
        <v>0</v>
      </c>
      <c r="S130" s="36" t="s">
        <v>45</v>
      </c>
      <c r="T130" s="36">
        <v>1.3646500000000001E-2</v>
      </c>
      <c r="U130" s="37">
        <v>0.21052631578947367</v>
      </c>
      <c r="V130"/>
    </row>
    <row r="131" spans="1:22" ht="34" x14ac:dyDescent="0.2">
      <c r="A131" s="36" t="s">
        <v>80</v>
      </c>
      <c r="B131" s="45" t="str">
        <f>VLOOKUP(Tabella1[[#This Row],[test_id]],experiments_specs!A:J,2,FALSE)</f>
        <v>NN,RB</v>
      </c>
      <c r="C131" s="38">
        <f>VLOOKUP(Tabella1[[#This Row],[test_id]],experiments_specs!A:J,3,FALSE)</f>
        <v>1</v>
      </c>
      <c r="D131" s="38">
        <f>VLOOKUP(Tabella1[[#This Row],[test_id]],experiments_specs!A:J,4,FALSE)</f>
        <v>2</v>
      </c>
      <c r="E131" s="38" t="str">
        <f>VLOOKUP(Tabella1[[#This Row],[test_id]],experiments_specs!A:J,5,FALSE)</f>
        <v>True</v>
      </c>
      <c r="F131" s="38" t="str">
        <f>VLOOKUP(Tabella1[[#This Row],[test_id]],experiments_specs!A:J,6,FALSE)</f>
        <v>True</v>
      </c>
      <c r="G131" s="38" t="str">
        <f>VLOOKUP(Tabella1[[#This Row],[test_id]],experiments_specs!A:J,7,FALSE)</f>
        <v>False</v>
      </c>
      <c r="H131" s="38" t="str">
        <f>VLOOKUP(Tabella1[[#This Row],[test_id]],experiments_specs!A:J,8,FALSE)</f>
        <v>False</v>
      </c>
      <c r="I131" s="45" t="str">
        <f>VLOOKUP(Tabella1[[#This Row],[test_id]],experiments_specs!A:J,9,FALSE)</f>
        <v>wup_similarity</v>
      </c>
      <c r="J131" s="38" t="str">
        <f>VLOOKUP(Tabella1[[#This Row],[test_id]],experiments_specs!A:J,10,FALSE)</f>
        <v>True</v>
      </c>
      <c r="K131" s="40" t="s">
        <v>19</v>
      </c>
      <c r="L131" s="36" t="s">
        <v>20</v>
      </c>
      <c r="M131" s="36" t="s">
        <v>194</v>
      </c>
      <c r="N131" s="36" t="s">
        <v>21</v>
      </c>
      <c r="O131" s="36" t="s">
        <v>267</v>
      </c>
      <c r="P131" s="36">
        <v>0.19047619047619047</v>
      </c>
      <c r="Q131" s="36" t="s">
        <v>47</v>
      </c>
      <c r="R131" s="36">
        <v>0</v>
      </c>
      <c r="S131" s="36" t="s">
        <v>48</v>
      </c>
      <c r="T131" s="36">
        <v>2.23105E-2</v>
      </c>
      <c r="U131" s="37">
        <v>0.2</v>
      </c>
      <c r="V131"/>
    </row>
    <row r="132" spans="1:22" ht="17" x14ac:dyDescent="0.2">
      <c r="A132" s="36" t="s">
        <v>80</v>
      </c>
      <c r="B132" s="45" t="str">
        <f>VLOOKUP(Tabella1[[#This Row],[test_id]],experiments_specs!A:J,2,FALSE)</f>
        <v>NN,RB</v>
      </c>
      <c r="C132" s="38">
        <f>VLOOKUP(Tabella1[[#This Row],[test_id]],experiments_specs!A:J,3,FALSE)</f>
        <v>1</v>
      </c>
      <c r="D132" s="38">
        <f>VLOOKUP(Tabella1[[#This Row],[test_id]],experiments_specs!A:J,4,FALSE)</f>
        <v>2</v>
      </c>
      <c r="E132" s="38" t="str">
        <f>VLOOKUP(Tabella1[[#This Row],[test_id]],experiments_specs!A:J,5,FALSE)</f>
        <v>True</v>
      </c>
      <c r="F132" s="38" t="str">
        <f>VLOOKUP(Tabella1[[#This Row],[test_id]],experiments_specs!A:J,6,FALSE)</f>
        <v>True</v>
      </c>
      <c r="G132" s="38" t="str">
        <f>VLOOKUP(Tabella1[[#This Row],[test_id]],experiments_specs!A:J,7,FALSE)</f>
        <v>False</v>
      </c>
      <c r="H132" s="38" t="str">
        <f>VLOOKUP(Tabella1[[#This Row],[test_id]],experiments_specs!A:J,8,FALSE)</f>
        <v>False</v>
      </c>
      <c r="I132" s="45" t="str">
        <f>VLOOKUP(Tabella1[[#This Row],[test_id]],experiments_specs!A:J,9,FALSE)</f>
        <v>wup_similarity</v>
      </c>
      <c r="J132" s="38" t="str">
        <f>VLOOKUP(Tabella1[[#This Row],[test_id]],experiments_specs!A:J,10,FALSE)</f>
        <v>True</v>
      </c>
      <c r="K132" s="40" t="s">
        <v>12</v>
      </c>
      <c r="L132" s="36" t="s">
        <v>22</v>
      </c>
      <c r="M132" s="36">
        <v>0.1102635</v>
      </c>
      <c r="N132" s="36" t="s">
        <v>23</v>
      </c>
      <c r="O132" s="36">
        <v>6.0776999999999998E-2</v>
      </c>
      <c r="P132" s="36">
        <v>0.42857142857142855</v>
      </c>
      <c r="Q132" s="36" t="s">
        <v>24</v>
      </c>
      <c r="R132" s="36">
        <v>5.5131699999999999E-2</v>
      </c>
      <c r="S132" s="36" t="s">
        <v>23</v>
      </c>
      <c r="T132" s="36">
        <v>6.0776999999999998E-2</v>
      </c>
      <c r="U132" s="37">
        <v>0.42857142857142855</v>
      </c>
      <c r="V132"/>
    </row>
    <row r="133" spans="1:22" ht="17" x14ac:dyDescent="0.2">
      <c r="A133" s="36" t="s">
        <v>80</v>
      </c>
      <c r="B133" s="45" t="str">
        <f>VLOOKUP(Tabella1[[#This Row],[test_id]],experiments_specs!A:J,2,FALSE)</f>
        <v>NN,RB</v>
      </c>
      <c r="C133" s="38">
        <f>VLOOKUP(Tabella1[[#This Row],[test_id]],experiments_specs!A:J,3,FALSE)</f>
        <v>1</v>
      </c>
      <c r="D133" s="38">
        <f>VLOOKUP(Tabella1[[#This Row],[test_id]],experiments_specs!A:J,4,FALSE)</f>
        <v>2</v>
      </c>
      <c r="E133" s="38" t="str">
        <f>VLOOKUP(Tabella1[[#This Row],[test_id]],experiments_specs!A:J,5,FALSE)</f>
        <v>True</v>
      </c>
      <c r="F133" s="38" t="str">
        <f>VLOOKUP(Tabella1[[#This Row],[test_id]],experiments_specs!A:J,6,FALSE)</f>
        <v>True</v>
      </c>
      <c r="G133" s="38" t="str">
        <f>VLOOKUP(Tabella1[[#This Row],[test_id]],experiments_specs!A:J,7,FALSE)</f>
        <v>False</v>
      </c>
      <c r="H133" s="38" t="str">
        <f>VLOOKUP(Tabella1[[#This Row],[test_id]],experiments_specs!A:J,8,FALSE)</f>
        <v>False</v>
      </c>
      <c r="I133" s="45" t="str">
        <f>VLOOKUP(Tabella1[[#This Row],[test_id]],experiments_specs!A:J,9,FALSE)</f>
        <v>wup_similarity</v>
      </c>
      <c r="J133" s="38" t="str">
        <f>VLOOKUP(Tabella1[[#This Row],[test_id]],experiments_specs!A:J,10,FALSE)</f>
        <v>True</v>
      </c>
      <c r="K133" s="40" t="s">
        <v>13</v>
      </c>
      <c r="L133" s="36" t="s">
        <v>326</v>
      </c>
      <c r="M133" s="36">
        <v>0.10425719999999999</v>
      </c>
      <c r="N133" s="36" t="s">
        <v>327</v>
      </c>
      <c r="O133" s="36">
        <v>2.4573600000000001E-2</v>
      </c>
      <c r="P133" s="36" t="s">
        <v>25</v>
      </c>
      <c r="Q133" s="36" t="s">
        <v>34</v>
      </c>
      <c r="R133" s="36">
        <v>0</v>
      </c>
      <c r="S133" s="36" t="s">
        <v>35</v>
      </c>
      <c r="T133" s="36">
        <v>3.0717000000000001E-2</v>
      </c>
      <c r="U133" s="37" t="s">
        <v>25</v>
      </c>
      <c r="V133"/>
    </row>
    <row r="134" spans="1:22" ht="34" x14ac:dyDescent="0.2">
      <c r="A134" s="36" t="s">
        <v>80</v>
      </c>
      <c r="B134" s="45" t="str">
        <f>VLOOKUP(Tabella1[[#This Row],[test_id]],experiments_specs!A:J,2,FALSE)</f>
        <v>NN,RB</v>
      </c>
      <c r="C134" s="38">
        <f>VLOOKUP(Tabella1[[#This Row],[test_id]],experiments_specs!A:J,3,FALSE)</f>
        <v>1</v>
      </c>
      <c r="D134" s="38">
        <f>VLOOKUP(Tabella1[[#This Row],[test_id]],experiments_specs!A:J,4,FALSE)</f>
        <v>2</v>
      </c>
      <c r="E134" s="38" t="str">
        <f>VLOOKUP(Tabella1[[#This Row],[test_id]],experiments_specs!A:J,5,FALSE)</f>
        <v>True</v>
      </c>
      <c r="F134" s="38" t="str">
        <f>VLOOKUP(Tabella1[[#This Row],[test_id]],experiments_specs!A:J,6,FALSE)</f>
        <v>True</v>
      </c>
      <c r="G134" s="38" t="str">
        <f>VLOOKUP(Tabella1[[#This Row],[test_id]],experiments_specs!A:J,7,FALSE)</f>
        <v>False</v>
      </c>
      <c r="H134" s="38" t="str">
        <f>VLOOKUP(Tabella1[[#This Row],[test_id]],experiments_specs!A:J,8,FALSE)</f>
        <v>False</v>
      </c>
      <c r="I134" s="45" t="str">
        <f>VLOOKUP(Tabella1[[#This Row],[test_id]],experiments_specs!A:J,9,FALSE)</f>
        <v>wup_similarity</v>
      </c>
      <c r="J134" s="38" t="str">
        <f>VLOOKUP(Tabella1[[#This Row],[test_id]],experiments_specs!A:J,10,FALSE)</f>
        <v>True</v>
      </c>
      <c r="K134" s="40" t="s">
        <v>14</v>
      </c>
      <c r="L134" s="36" t="s">
        <v>36</v>
      </c>
      <c r="M134" s="36" t="s">
        <v>269</v>
      </c>
      <c r="N134" s="36" t="s">
        <v>37</v>
      </c>
      <c r="O134" s="36" t="s">
        <v>271</v>
      </c>
      <c r="P134" s="36">
        <v>0.33333333333333331</v>
      </c>
      <c r="Q134" s="36" t="s">
        <v>38</v>
      </c>
      <c r="R134" s="36" t="s">
        <v>273</v>
      </c>
      <c r="S134" s="36" t="s">
        <v>37</v>
      </c>
      <c r="T134" s="36" t="s">
        <v>292</v>
      </c>
      <c r="U134" s="37">
        <v>0.33333333333333331</v>
      </c>
      <c r="V134"/>
    </row>
    <row r="135" spans="1:22" ht="34" x14ac:dyDescent="0.2">
      <c r="A135" s="36" t="s">
        <v>80</v>
      </c>
      <c r="B135" s="45" t="str">
        <f>VLOOKUP(Tabella1[[#This Row],[test_id]],experiments_specs!A:J,2,FALSE)</f>
        <v>NN,RB</v>
      </c>
      <c r="C135" s="38">
        <f>VLOOKUP(Tabella1[[#This Row],[test_id]],experiments_specs!A:J,3,FALSE)</f>
        <v>1</v>
      </c>
      <c r="D135" s="38">
        <f>VLOOKUP(Tabella1[[#This Row],[test_id]],experiments_specs!A:J,4,FALSE)</f>
        <v>2</v>
      </c>
      <c r="E135" s="38" t="str">
        <f>VLOOKUP(Tabella1[[#This Row],[test_id]],experiments_specs!A:J,5,FALSE)</f>
        <v>True</v>
      </c>
      <c r="F135" s="38" t="str">
        <f>VLOOKUP(Tabella1[[#This Row],[test_id]],experiments_specs!A:J,6,FALSE)</f>
        <v>True</v>
      </c>
      <c r="G135" s="38" t="str">
        <f>VLOOKUP(Tabella1[[#This Row],[test_id]],experiments_specs!A:J,7,FALSE)</f>
        <v>False</v>
      </c>
      <c r="H135" s="38" t="str">
        <f>VLOOKUP(Tabella1[[#This Row],[test_id]],experiments_specs!A:J,8,FALSE)</f>
        <v>False</v>
      </c>
      <c r="I135" s="45" t="str">
        <f>VLOOKUP(Tabella1[[#This Row],[test_id]],experiments_specs!A:J,9,FALSE)</f>
        <v>wup_similarity</v>
      </c>
      <c r="J135" s="38" t="str">
        <f>VLOOKUP(Tabella1[[#This Row],[test_id]],experiments_specs!A:J,10,FALSE)</f>
        <v>True</v>
      </c>
      <c r="K135" s="40" t="s">
        <v>15</v>
      </c>
      <c r="L135" s="36" t="s">
        <v>26</v>
      </c>
      <c r="M135" s="36">
        <v>0.1561737</v>
      </c>
      <c r="N135" s="36" t="s">
        <v>27</v>
      </c>
      <c r="O135" s="36">
        <v>2.23105E-2</v>
      </c>
      <c r="P135" s="36">
        <v>0.16666666666666666</v>
      </c>
      <c r="Q135" s="36" t="s">
        <v>28</v>
      </c>
      <c r="R135" s="36" t="s">
        <v>186</v>
      </c>
      <c r="S135" s="36" t="s">
        <v>29</v>
      </c>
      <c r="T135" s="36" t="s">
        <v>277</v>
      </c>
      <c r="U135" s="37">
        <v>0.18181818181818182</v>
      </c>
      <c r="V135"/>
    </row>
    <row r="136" spans="1:22" ht="17" x14ac:dyDescent="0.2">
      <c r="A136" s="36" t="s">
        <v>80</v>
      </c>
      <c r="B136" s="45" t="str">
        <f>VLOOKUP(Tabella1[[#This Row],[test_id]],experiments_specs!A:J,2,FALSE)</f>
        <v>NN,RB</v>
      </c>
      <c r="C136" s="38">
        <f>VLOOKUP(Tabella1[[#This Row],[test_id]],experiments_specs!A:J,3,FALSE)</f>
        <v>1</v>
      </c>
      <c r="D136" s="38">
        <f>VLOOKUP(Tabella1[[#This Row],[test_id]],experiments_specs!A:J,4,FALSE)</f>
        <v>2</v>
      </c>
      <c r="E136" s="38" t="str">
        <f>VLOOKUP(Tabella1[[#This Row],[test_id]],experiments_specs!A:J,5,FALSE)</f>
        <v>True</v>
      </c>
      <c r="F136" s="38" t="str">
        <f>VLOOKUP(Tabella1[[#This Row],[test_id]],experiments_specs!A:J,6,FALSE)</f>
        <v>True</v>
      </c>
      <c r="G136" s="38" t="str">
        <f>VLOOKUP(Tabella1[[#This Row],[test_id]],experiments_specs!A:J,7,FALSE)</f>
        <v>False</v>
      </c>
      <c r="H136" s="38" t="str">
        <f>VLOOKUP(Tabella1[[#This Row],[test_id]],experiments_specs!A:J,8,FALSE)</f>
        <v>False</v>
      </c>
      <c r="I136" s="45" t="str">
        <f>VLOOKUP(Tabella1[[#This Row],[test_id]],experiments_specs!A:J,9,FALSE)</f>
        <v>wup_similarity</v>
      </c>
      <c r="J136" s="38" t="str">
        <f>VLOOKUP(Tabella1[[#This Row],[test_id]],experiments_specs!A:J,10,FALSE)</f>
        <v>True</v>
      </c>
      <c r="K136" s="40" t="s">
        <v>16</v>
      </c>
      <c r="L136" s="36" t="s">
        <v>39</v>
      </c>
      <c r="M136" s="36">
        <v>6.4549700000000002E-2</v>
      </c>
      <c r="N136" s="36" t="s">
        <v>40</v>
      </c>
      <c r="O136" s="36">
        <v>1.9753900000000001E-2</v>
      </c>
      <c r="P136" s="36">
        <v>0.22222222222222221</v>
      </c>
      <c r="Q136" s="36" t="s">
        <v>41</v>
      </c>
      <c r="R136" s="36">
        <v>4.1666599999999998E-2</v>
      </c>
      <c r="S136" s="36" t="s">
        <v>40</v>
      </c>
      <c r="T136" s="36">
        <v>1.8556699999999999E-2</v>
      </c>
      <c r="U136" s="37">
        <v>0.22222222222222221</v>
      </c>
      <c r="V136"/>
    </row>
    <row r="137" spans="1:22" ht="68" x14ac:dyDescent="0.2">
      <c r="A137" s="36" t="s">
        <v>80</v>
      </c>
      <c r="B137" s="45" t="str">
        <f>VLOOKUP(Tabella1[[#This Row],[test_id]],experiments_specs!A:J,2,FALSE)</f>
        <v>NN,RB</v>
      </c>
      <c r="C137" s="38">
        <f>VLOOKUP(Tabella1[[#This Row],[test_id]],experiments_specs!A:J,3,FALSE)</f>
        <v>1</v>
      </c>
      <c r="D137" s="38">
        <f>VLOOKUP(Tabella1[[#This Row],[test_id]],experiments_specs!A:J,4,FALSE)</f>
        <v>2</v>
      </c>
      <c r="E137" s="38" t="str">
        <f>VLOOKUP(Tabella1[[#This Row],[test_id]],experiments_specs!A:J,5,FALSE)</f>
        <v>True</v>
      </c>
      <c r="F137" s="38" t="str">
        <f>VLOOKUP(Tabella1[[#This Row],[test_id]],experiments_specs!A:J,6,FALSE)</f>
        <v>True</v>
      </c>
      <c r="G137" s="38" t="str">
        <f>VLOOKUP(Tabella1[[#This Row],[test_id]],experiments_specs!A:J,7,FALSE)</f>
        <v>False</v>
      </c>
      <c r="H137" s="38" t="str">
        <f>VLOOKUP(Tabella1[[#This Row],[test_id]],experiments_specs!A:J,8,FALSE)</f>
        <v>False</v>
      </c>
      <c r="I137" s="45" t="str">
        <f>VLOOKUP(Tabella1[[#This Row],[test_id]],experiments_specs!A:J,9,FALSE)</f>
        <v>wup_similarity</v>
      </c>
      <c r="J137" s="38" t="str">
        <f>VLOOKUP(Tabella1[[#This Row],[test_id]],experiments_specs!A:J,10,FALSE)</f>
        <v>True</v>
      </c>
      <c r="K137" s="40" t="s">
        <v>17</v>
      </c>
      <c r="L137" s="36" t="s">
        <v>279</v>
      </c>
      <c r="M137" s="36" t="s">
        <v>281</v>
      </c>
      <c r="N137" s="36" t="s">
        <v>42</v>
      </c>
      <c r="O137" s="36" t="s">
        <v>287</v>
      </c>
      <c r="P137" s="36">
        <v>0.30769230769230771</v>
      </c>
      <c r="Q137" s="36" t="s">
        <v>43</v>
      </c>
      <c r="R137" s="36" t="s">
        <v>285</v>
      </c>
      <c r="S137" s="36" t="s">
        <v>42</v>
      </c>
      <c r="T137" s="36" t="s">
        <v>287</v>
      </c>
      <c r="U137" s="37">
        <v>0.30769230769230771</v>
      </c>
      <c r="V137"/>
    </row>
    <row r="138" spans="1:22" ht="34" x14ac:dyDescent="0.2">
      <c r="A138" s="36" t="s">
        <v>80</v>
      </c>
      <c r="B138" s="45" t="str">
        <f>VLOOKUP(Tabella1[[#This Row],[test_id]],experiments_specs!A:J,2,FALSE)</f>
        <v>NN,RB</v>
      </c>
      <c r="C138" s="38">
        <f>VLOOKUP(Tabella1[[#This Row],[test_id]],experiments_specs!A:J,3,FALSE)</f>
        <v>1</v>
      </c>
      <c r="D138" s="38">
        <f>VLOOKUP(Tabella1[[#This Row],[test_id]],experiments_specs!A:J,4,FALSE)</f>
        <v>2</v>
      </c>
      <c r="E138" s="38" t="str">
        <f>VLOOKUP(Tabella1[[#This Row],[test_id]],experiments_specs!A:J,5,FALSE)</f>
        <v>True</v>
      </c>
      <c r="F138" s="38" t="str">
        <f>VLOOKUP(Tabella1[[#This Row],[test_id]],experiments_specs!A:J,6,FALSE)</f>
        <v>True</v>
      </c>
      <c r="G138" s="38" t="str">
        <f>VLOOKUP(Tabella1[[#This Row],[test_id]],experiments_specs!A:J,7,FALSE)</f>
        <v>False</v>
      </c>
      <c r="H138" s="38" t="str">
        <f>VLOOKUP(Tabella1[[#This Row],[test_id]],experiments_specs!A:J,8,FALSE)</f>
        <v>False</v>
      </c>
      <c r="I138" s="45" t="str">
        <f>VLOOKUP(Tabella1[[#This Row],[test_id]],experiments_specs!A:J,9,FALSE)</f>
        <v>wup_similarity</v>
      </c>
      <c r="J138" s="38" t="str">
        <f>VLOOKUP(Tabella1[[#This Row],[test_id]],experiments_specs!A:J,10,FALSE)</f>
        <v>True</v>
      </c>
      <c r="K138" s="40" t="s">
        <v>18</v>
      </c>
      <c r="L138" s="36" t="s">
        <v>44</v>
      </c>
      <c r="M138" s="36">
        <v>3.5267199999999999E-2</v>
      </c>
      <c r="N138" s="36" t="s">
        <v>45</v>
      </c>
      <c r="O138" s="36">
        <v>1.8864300000000001E-2</v>
      </c>
      <c r="P138" s="36">
        <v>0.21052631578947367</v>
      </c>
      <c r="Q138" s="36" t="s">
        <v>46</v>
      </c>
      <c r="R138" s="36">
        <v>0</v>
      </c>
      <c r="S138" s="36" t="s">
        <v>45</v>
      </c>
      <c r="T138" s="36">
        <v>1.8864300000000001E-2</v>
      </c>
      <c r="U138" s="37">
        <v>0.21052631578947367</v>
      </c>
      <c r="V138"/>
    </row>
    <row r="139" spans="1:22" ht="17" x14ac:dyDescent="0.2">
      <c r="A139" s="36" t="s">
        <v>81</v>
      </c>
      <c r="B139" s="45" t="str">
        <f>VLOOKUP(Tabella1[[#This Row],[test_id]],experiments_specs!A:J,2,FALSE)</f>
        <v>NN,JJ,VB,VBD,VBG,VBN,VBP,VBZ</v>
      </c>
      <c r="C139" s="38">
        <f>VLOOKUP(Tabella1[[#This Row],[test_id]],experiments_specs!A:J,3,FALSE)</f>
        <v>1</v>
      </c>
      <c r="D139" s="38">
        <f>VLOOKUP(Tabella1[[#This Row],[test_id]],experiments_specs!A:J,4,FALSE)</f>
        <v>2</v>
      </c>
      <c r="E139" s="38" t="str">
        <f>VLOOKUP(Tabella1[[#This Row],[test_id]],experiments_specs!A:J,5,FALSE)</f>
        <v>True</v>
      </c>
      <c r="F139" s="38" t="str">
        <f>VLOOKUP(Tabella1[[#This Row],[test_id]],experiments_specs!A:J,6,FALSE)</f>
        <v>True</v>
      </c>
      <c r="G139" s="38" t="str">
        <f>VLOOKUP(Tabella1[[#This Row],[test_id]],experiments_specs!A:J,7,FALSE)</f>
        <v>False</v>
      </c>
      <c r="H139" s="38" t="str">
        <f>VLOOKUP(Tabella1[[#This Row],[test_id]],experiments_specs!A:J,8,FALSE)</f>
        <v>False</v>
      </c>
      <c r="I139" s="45" t="str">
        <f>VLOOKUP(Tabella1[[#This Row],[test_id]],experiments_specs!A:J,9,FALSE)</f>
        <v>wup_similarity</v>
      </c>
      <c r="J139" s="38" t="str">
        <f>VLOOKUP(Tabella1[[#This Row],[test_id]],experiments_specs!A:J,10,FALSE)</f>
        <v>True</v>
      </c>
      <c r="K139" s="40" t="s">
        <v>19</v>
      </c>
      <c r="L139" s="36" t="s">
        <v>225</v>
      </c>
      <c r="M139" s="36">
        <v>0.14126440000000001</v>
      </c>
      <c r="N139" s="36" t="s">
        <v>226</v>
      </c>
      <c r="O139" s="36">
        <v>2.7050000000000001E-2</v>
      </c>
      <c r="P139" s="36">
        <v>0.17391304347826086</v>
      </c>
      <c r="Q139" s="36" t="s">
        <v>288</v>
      </c>
      <c r="R139" s="36">
        <v>0.139686</v>
      </c>
      <c r="S139" s="36" t="s">
        <v>226</v>
      </c>
      <c r="T139" s="36">
        <v>2.7982799999999999E-2</v>
      </c>
      <c r="U139" s="37">
        <v>0.17391304347826086</v>
      </c>
      <c r="V139"/>
    </row>
    <row r="140" spans="1:22" ht="17" x14ac:dyDescent="0.2">
      <c r="A140" s="36" t="s">
        <v>81</v>
      </c>
      <c r="B140" s="45" t="str">
        <f>VLOOKUP(Tabella1[[#This Row],[test_id]],experiments_specs!A:J,2,FALSE)</f>
        <v>NN,JJ,VB,VBD,VBG,VBN,VBP,VBZ</v>
      </c>
      <c r="C140" s="38">
        <f>VLOOKUP(Tabella1[[#This Row],[test_id]],experiments_specs!A:J,3,FALSE)</f>
        <v>1</v>
      </c>
      <c r="D140" s="38">
        <f>VLOOKUP(Tabella1[[#This Row],[test_id]],experiments_specs!A:J,4,FALSE)</f>
        <v>2</v>
      </c>
      <c r="E140" s="38" t="str">
        <f>VLOOKUP(Tabella1[[#This Row],[test_id]],experiments_specs!A:J,5,FALSE)</f>
        <v>True</v>
      </c>
      <c r="F140" s="38" t="str">
        <f>VLOOKUP(Tabella1[[#This Row],[test_id]],experiments_specs!A:J,6,FALSE)</f>
        <v>True</v>
      </c>
      <c r="G140" s="38" t="str">
        <f>VLOOKUP(Tabella1[[#This Row],[test_id]],experiments_specs!A:J,7,FALSE)</f>
        <v>False</v>
      </c>
      <c r="H140" s="38" t="str">
        <f>VLOOKUP(Tabella1[[#This Row],[test_id]],experiments_specs!A:J,8,FALSE)</f>
        <v>False</v>
      </c>
      <c r="I140" s="45" t="str">
        <f>VLOOKUP(Tabella1[[#This Row],[test_id]],experiments_specs!A:J,9,FALSE)</f>
        <v>wup_similarity</v>
      </c>
      <c r="J140" s="38" t="str">
        <f>VLOOKUP(Tabella1[[#This Row],[test_id]],experiments_specs!A:J,10,FALSE)</f>
        <v>True</v>
      </c>
      <c r="K140" s="40" t="s">
        <v>12</v>
      </c>
      <c r="L140" s="36" t="s">
        <v>22</v>
      </c>
      <c r="M140" s="36">
        <v>0.1102635</v>
      </c>
      <c r="N140" s="36" t="s">
        <v>23</v>
      </c>
      <c r="O140" s="36">
        <v>3.7723699999999999E-2</v>
      </c>
      <c r="P140" s="36">
        <v>0.42857142857142855</v>
      </c>
      <c r="Q140" s="36" t="s">
        <v>24</v>
      </c>
      <c r="R140" s="36">
        <v>5.5131699999999999E-2</v>
      </c>
      <c r="S140" s="36" t="s">
        <v>23</v>
      </c>
      <c r="T140" s="36">
        <v>3.7723699999999999E-2</v>
      </c>
      <c r="U140" s="37">
        <v>0.42857142857142855</v>
      </c>
      <c r="V140"/>
    </row>
    <row r="141" spans="1:22" ht="34" x14ac:dyDescent="0.2">
      <c r="A141" s="36" t="s">
        <v>81</v>
      </c>
      <c r="B141" s="45" t="str">
        <f>VLOOKUP(Tabella1[[#This Row],[test_id]],experiments_specs!A:J,2,FALSE)</f>
        <v>NN,JJ,VB,VBD,VBG,VBN,VBP,VBZ</v>
      </c>
      <c r="C141" s="38">
        <f>VLOOKUP(Tabella1[[#This Row],[test_id]],experiments_specs!A:J,3,FALSE)</f>
        <v>1</v>
      </c>
      <c r="D141" s="38">
        <f>VLOOKUP(Tabella1[[#This Row],[test_id]],experiments_specs!A:J,4,FALSE)</f>
        <v>2</v>
      </c>
      <c r="E141" s="38" t="str">
        <f>VLOOKUP(Tabella1[[#This Row],[test_id]],experiments_specs!A:J,5,FALSE)</f>
        <v>True</v>
      </c>
      <c r="F141" s="38" t="str">
        <f>VLOOKUP(Tabella1[[#This Row],[test_id]],experiments_specs!A:J,6,FALSE)</f>
        <v>True</v>
      </c>
      <c r="G141" s="38" t="str">
        <f>VLOOKUP(Tabella1[[#This Row],[test_id]],experiments_specs!A:J,7,FALSE)</f>
        <v>False</v>
      </c>
      <c r="H141" s="38" t="str">
        <f>VLOOKUP(Tabella1[[#This Row],[test_id]],experiments_specs!A:J,8,FALSE)</f>
        <v>False</v>
      </c>
      <c r="I141" s="45" t="str">
        <f>VLOOKUP(Tabella1[[#This Row],[test_id]],experiments_specs!A:J,9,FALSE)</f>
        <v>wup_similarity</v>
      </c>
      <c r="J141" s="38" t="str">
        <f>VLOOKUP(Tabella1[[#This Row],[test_id]],experiments_specs!A:J,10,FALSE)</f>
        <v>True</v>
      </c>
      <c r="K141" s="40" t="s">
        <v>13</v>
      </c>
      <c r="L141" s="36" t="s">
        <v>326</v>
      </c>
      <c r="M141" s="36">
        <v>0.10425719999999999</v>
      </c>
      <c r="N141" s="36" t="s">
        <v>327</v>
      </c>
      <c r="O141" s="36">
        <v>2.4573600000000001E-2</v>
      </c>
      <c r="P141" s="36" t="s">
        <v>25</v>
      </c>
      <c r="Q141" s="36" t="s">
        <v>335</v>
      </c>
      <c r="R141" s="36" t="s">
        <v>186</v>
      </c>
      <c r="S141" s="36" t="s">
        <v>337</v>
      </c>
      <c r="T141" s="36" t="s">
        <v>345</v>
      </c>
      <c r="U141" s="37" t="s">
        <v>25</v>
      </c>
      <c r="V141"/>
    </row>
    <row r="142" spans="1:22" ht="34" x14ac:dyDescent="0.2">
      <c r="A142" s="36" t="s">
        <v>81</v>
      </c>
      <c r="B142" s="45" t="str">
        <f>VLOOKUP(Tabella1[[#This Row],[test_id]],experiments_specs!A:J,2,FALSE)</f>
        <v>NN,JJ,VB,VBD,VBG,VBN,VBP,VBZ</v>
      </c>
      <c r="C142" s="38">
        <f>VLOOKUP(Tabella1[[#This Row],[test_id]],experiments_specs!A:J,3,FALSE)</f>
        <v>1</v>
      </c>
      <c r="D142" s="38">
        <f>VLOOKUP(Tabella1[[#This Row],[test_id]],experiments_specs!A:J,4,FALSE)</f>
        <v>2</v>
      </c>
      <c r="E142" s="38" t="str">
        <f>VLOOKUP(Tabella1[[#This Row],[test_id]],experiments_specs!A:J,5,FALSE)</f>
        <v>True</v>
      </c>
      <c r="F142" s="38" t="str">
        <f>VLOOKUP(Tabella1[[#This Row],[test_id]],experiments_specs!A:J,6,FALSE)</f>
        <v>True</v>
      </c>
      <c r="G142" s="38" t="str">
        <f>VLOOKUP(Tabella1[[#This Row],[test_id]],experiments_specs!A:J,7,FALSE)</f>
        <v>False</v>
      </c>
      <c r="H142" s="38" t="str">
        <f>VLOOKUP(Tabella1[[#This Row],[test_id]],experiments_specs!A:J,8,FALSE)</f>
        <v>False</v>
      </c>
      <c r="I142" s="45" t="str">
        <f>VLOOKUP(Tabella1[[#This Row],[test_id]],experiments_specs!A:J,9,FALSE)</f>
        <v>wup_similarity</v>
      </c>
      <c r="J142" s="38" t="str">
        <f>VLOOKUP(Tabella1[[#This Row],[test_id]],experiments_specs!A:J,10,FALSE)</f>
        <v>True</v>
      </c>
      <c r="K142" s="40" t="s">
        <v>14</v>
      </c>
      <c r="L142" s="36" t="s">
        <v>36</v>
      </c>
      <c r="M142" s="36" t="s">
        <v>269</v>
      </c>
      <c r="N142" s="36" t="s">
        <v>37</v>
      </c>
      <c r="O142" s="36" t="s">
        <v>349</v>
      </c>
      <c r="P142" s="36">
        <v>0.33333333333333331</v>
      </c>
      <c r="Q142" s="36" t="s">
        <v>38</v>
      </c>
      <c r="R142" s="36" t="s">
        <v>273</v>
      </c>
      <c r="S142" s="36" t="s">
        <v>37</v>
      </c>
      <c r="T142" s="36" t="s">
        <v>351</v>
      </c>
      <c r="U142" s="37">
        <v>0.33333333333333331</v>
      </c>
      <c r="V142"/>
    </row>
    <row r="143" spans="1:22" ht="17" x14ac:dyDescent="0.2">
      <c r="A143" s="36" t="s">
        <v>81</v>
      </c>
      <c r="B143" s="45" t="str">
        <f>VLOOKUP(Tabella1[[#This Row],[test_id]],experiments_specs!A:J,2,FALSE)</f>
        <v>NN,JJ,VB,VBD,VBG,VBN,VBP,VBZ</v>
      </c>
      <c r="C143" s="38">
        <f>VLOOKUP(Tabella1[[#This Row],[test_id]],experiments_specs!A:J,3,FALSE)</f>
        <v>1</v>
      </c>
      <c r="D143" s="38">
        <f>VLOOKUP(Tabella1[[#This Row],[test_id]],experiments_specs!A:J,4,FALSE)</f>
        <v>2</v>
      </c>
      <c r="E143" s="38" t="str">
        <f>VLOOKUP(Tabella1[[#This Row],[test_id]],experiments_specs!A:J,5,FALSE)</f>
        <v>True</v>
      </c>
      <c r="F143" s="38" t="str">
        <f>VLOOKUP(Tabella1[[#This Row],[test_id]],experiments_specs!A:J,6,FALSE)</f>
        <v>True</v>
      </c>
      <c r="G143" s="38" t="str">
        <f>VLOOKUP(Tabella1[[#This Row],[test_id]],experiments_specs!A:J,7,FALSE)</f>
        <v>False</v>
      </c>
      <c r="H143" s="38" t="str">
        <f>VLOOKUP(Tabella1[[#This Row],[test_id]],experiments_specs!A:J,8,FALSE)</f>
        <v>False</v>
      </c>
      <c r="I143" s="45" t="str">
        <f>VLOOKUP(Tabella1[[#This Row],[test_id]],experiments_specs!A:J,9,FALSE)</f>
        <v>wup_similarity</v>
      </c>
      <c r="J143" s="38" t="str">
        <f>VLOOKUP(Tabella1[[#This Row],[test_id]],experiments_specs!A:J,10,FALSE)</f>
        <v>True</v>
      </c>
      <c r="K143" s="40" t="s">
        <v>15</v>
      </c>
      <c r="L143" s="36" t="s">
        <v>26</v>
      </c>
      <c r="M143" s="36">
        <v>0.1561737</v>
      </c>
      <c r="N143" s="36" t="s">
        <v>27</v>
      </c>
      <c r="O143" s="36">
        <v>1.9521699999999999E-2</v>
      </c>
      <c r="P143" s="36">
        <v>0.16666666666666666</v>
      </c>
      <c r="Q143" s="36" t="s">
        <v>15</v>
      </c>
      <c r="R143" s="36">
        <v>0.1770844</v>
      </c>
      <c r="S143" s="36" t="s">
        <v>293</v>
      </c>
      <c r="T143" s="36">
        <v>4.19058E-2</v>
      </c>
      <c r="U143" s="37">
        <v>0.90909090909090906</v>
      </c>
      <c r="V143"/>
    </row>
    <row r="144" spans="1:22" ht="17" x14ac:dyDescent="0.2">
      <c r="A144" s="36" t="s">
        <v>81</v>
      </c>
      <c r="B144" s="45" t="str">
        <f>VLOOKUP(Tabella1[[#This Row],[test_id]],experiments_specs!A:J,2,FALSE)</f>
        <v>NN,JJ,VB,VBD,VBG,VBN,VBP,VBZ</v>
      </c>
      <c r="C144" s="38">
        <f>VLOOKUP(Tabella1[[#This Row],[test_id]],experiments_specs!A:J,3,FALSE)</f>
        <v>1</v>
      </c>
      <c r="D144" s="38">
        <f>VLOOKUP(Tabella1[[#This Row],[test_id]],experiments_specs!A:J,4,FALSE)</f>
        <v>2</v>
      </c>
      <c r="E144" s="38" t="str">
        <f>VLOOKUP(Tabella1[[#This Row],[test_id]],experiments_specs!A:J,5,FALSE)</f>
        <v>True</v>
      </c>
      <c r="F144" s="38" t="str">
        <f>VLOOKUP(Tabella1[[#This Row],[test_id]],experiments_specs!A:J,6,FALSE)</f>
        <v>True</v>
      </c>
      <c r="G144" s="38" t="str">
        <f>VLOOKUP(Tabella1[[#This Row],[test_id]],experiments_specs!A:J,7,FALSE)</f>
        <v>False</v>
      </c>
      <c r="H144" s="38" t="str">
        <f>VLOOKUP(Tabella1[[#This Row],[test_id]],experiments_specs!A:J,8,FALSE)</f>
        <v>False</v>
      </c>
      <c r="I144" s="45" t="str">
        <f>VLOOKUP(Tabella1[[#This Row],[test_id]],experiments_specs!A:J,9,FALSE)</f>
        <v>wup_similarity</v>
      </c>
      <c r="J144" s="38" t="str">
        <f>VLOOKUP(Tabella1[[#This Row],[test_id]],experiments_specs!A:J,10,FALSE)</f>
        <v>True</v>
      </c>
      <c r="K144" s="40" t="s">
        <v>16</v>
      </c>
      <c r="L144" s="36" t="s">
        <v>39</v>
      </c>
      <c r="M144" s="36">
        <v>6.4549700000000002E-2</v>
      </c>
      <c r="N144" s="36" t="s">
        <v>40</v>
      </c>
      <c r="O144" s="36">
        <v>2.4825900000000001E-2</v>
      </c>
      <c r="P144" s="36">
        <v>0.22222222222222221</v>
      </c>
      <c r="Q144" s="36" t="s">
        <v>41</v>
      </c>
      <c r="R144" s="36">
        <v>4.1666599999999998E-2</v>
      </c>
      <c r="S144" s="36" t="s">
        <v>40</v>
      </c>
      <c r="T144" s="36">
        <v>2.3552699999999999E-2</v>
      </c>
      <c r="U144" s="37">
        <v>0.22222222222222221</v>
      </c>
      <c r="V144"/>
    </row>
    <row r="145" spans="1:22" ht="68" x14ac:dyDescent="0.2">
      <c r="A145" s="36" t="s">
        <v>81</v>
      </c>
      <c r="B145" s="45" t="str">
        <f>VLOOKUP(Tabella1[[#This Row],[test_id]],experiments_specs!A:J,2,FALSE)</f>
        <v>NN,JJ,VB,VBD,VBG,VBN,VBP,VBZ</v>
      </c>
      <c r="C145" s="38">
        <f>VLOOKUP(Tabella1[[#This Row],[test_id]],experiments_specs!A:J,3,FALSE)</f>
        <v>1</v>
      </c>
      <c r="D145" s="38">
        <f>VLOOKUP(Tabella1[[#This Row],[test_id]],experiments_specs!A:J,4,FALSE)</f>
        <v>2</v>
      </c>
      <c r="E145" s="38" t="str">
        <f>VLOOKUP(Tabella1[[#This Row],[test_id]],experiments_specs!A:J,5,FALSE)</f>
        <v>True</v>
      </c>
      <c r="F145" s="38" t="str">
        <f>VLOOKUP(Tabella1[[#This Row],[test_id]],experiments_specs!A:J,6,FALSE)</f>
        <v>True</v>
      </c>
      <c r="G145" s="38" t="str">
        <f>VLOOKUP(Tabella1[[#This Row],[test_id]],experiments_specs!A:J,7,FALSE)</f>
        <v>False</v>
      </c>
      <c r="H145" s="38" t="str">
        <f>VLOOKUP(Tabella1[[#This Row],[test_id]],experiments_specs!A:J,8,FALSE)</f>
        <v>False</v>
      </c>
      <c r="I145" s="45" t="str">
        <f>VLOOKUP(Tabella1[[#This Row],[test_id]],experiments_specs!A:J,9,FALSE)</f>
        <v>wup_similarity</v>
      </c>
      <c r="J145" s="38" t="str">
        <f>VLOOKUP(Tabella1[[#This Row],[test_id]],experiments_specs!A:J,10,FALSE)</f>
        <v>True</v>
      </c>
      <c r="K145" s="40" t="s">
        <v>17</v>
      </c>
      <c r="L145" s="36" t="s">
        <v>279</v>
      </c>
      <c r="M145" s="36" t="s">
        <v>281</v>
      </c>
      <c r="N145" s="36" t="s">
        <v>42</v>
      </c>
      <c r="O145" s="36" t="s">
        <v>353</v>
      </c>
      <c r="P145" s="36">
        <v>0.30769230769230771</v>
      </c>
      <c r="Q145" s="36" t="s">
        <v>43</v>
      </c>
      <c r="R145" s="36" t="s">
        <v>285</v>
      </c>
      <c r="S145" s="36" t="s">
        <v>42</v>
      </c>
      <c r="T145" s="36" t="s">
        <v>353</v>
      </c>
      <c r="U145" s="37">
        <v>0.30769230769230771</v>
      </c>
      <c r="V145"/>
    </row>
    <row r="146" spans="1:22" ht="34" x14ac:dyDescent="0.2">
      <c r="A146" s="36" t="s">
        <v>81</v>
      </c>
      <c r="B146" s="45" t="str">
        <f>VLOOKUP(Tabella1[[#This Row],[test_id]],experiments_specs!A:J,2,FALSE)</f>
        <v>NN,JJ,VB,VBD,VBG,VBN,VBP,VBZ</v>
      </c>
      <c r="C146" s="38">
        <f>VLOOKUP(Tabella1[[#This Row],[test_id]],experiments_specs!A:J,3,FALSE)</f>
        <v>1</v>
      </c>
      <c r="D146" s="38">
        <f>VLOOKUP(Tabella1[[#This Row],[test_id]],experiments_specs!A:J,4,FALSE)</f>
        <v>2</v>
      </c>
      <c r="E146" s="38" t="str">
        <f>VLOOKUP(Tabella1[[#This Row],[test_id]],experiments_specs!A:J,5,FALSE)</f>
        <v>True</v>
      </c>
      <c r="F146" s="38" t="str">
        <f>VLOOKUP(Tabella1[[#This Row],[test_id]],experiments_specs!A:J,6,FALSE)</f>
        <v>True</v>
      </c>
      <c r="G146" s="38" t="str">
        <f>VLOOKUP(Tabella1[[#This Row],[test_id]],experiments_specs!A:J,7,FALSE)</f>
        <v>False</v>
      </c>
      <c r="H146" s="38" t="str">
        <f>VLOOKUP(Tabella1[[#This Row],[test_id]],experiments_specs!A:J,8,FALSE)</f>
        <v>False</v>
      </c>
      <c r="I146" s="45" t="str">
        <f>VLOOKUP(Tabella1[[#This Row],[test_id]],experiments_specs!A:J,9,FALSE)</f>
        <v>wup_similarity</v>
      </c>
      <c r="J146" s="38" t="str">
        <f>VLOOKUP(Tabella1[[#This Row],[test_id]],experiments_specs!A:J,10,FALSE)</f>
        <v>True</v>
      </c>
      <c r="K146" s="40" t="s">
        <v>18</v>
      </c>
      <c r="L146" s="36" t="s">
        <v>44</v>
      </c>
      <c r="M146" s="36">
        <v>3.5267199999999999E-2</v>
      </c>
      <c r="N146" s="36" t="s">
        <v>45</v>
      </c>
      <c r="O146" s="36">
        <v>1.2576199999999999E-2</v>
      </c>
      <c r="P146" s="36">
        <v>0.21052631578947367</v>
      </c>
      <c r="Q146" s="36" t="s">
        <v>46</v>
      </c>
      <c r="R146" s="36">
        <v>0</v>
      </c>
      <c r="S146" s="36" t="s">
        <v>45</v>
      </c>
      <c r="T146" s="36">
        <v>1.2827699999999999E-2</v>
      </c>
      <c r="U146" s="37">
        <v>0.21052631578947367</v>
      </c>
      <c r="V146"/>
    </row>
    <row r="147" spans="1:22" ht="17" x14ac:dyDescent="0.2">
      <c r="A147" s="36" t="s">
        <v>82</v>
      </c>
      <c r="B147" s="45" t="str">
        <f>VLOOKUP(Tabella1[[#This Row],[test_id]],experiments_specs!A:J,2,FALSE)</f>
        <v>NN</v>
      </c>
      <c r="C147" s="38">
        <f>VLOOKUP(Tabella1[[#This Row],[test_id]],experiments_specs!A:J,3,FALSE)</f>
        <v>1</v>
      </c>
      <c r="D147" s="38">
        <f>VLOOKUP(Tabella1[[#This Row],[test_id]],experiments_specs!A:J,4,FALSE)</f>
        <v>2</v>
      </c>
      <c r="E147" s="38" t="str">
        <f>VLOOKUP(Tabella1[[#This Row],[test_id]],experiments_specs!A:J,5,FALSE)</f>
        <v>False</v>
      </c>
      <c r="F147" s="38" t="str">
        <f>VLOOKUP(Tabella1[[#This Row],[test_id]],experiments_specs!A:J,6,FALSE)</f>
        <v>True</v>
      </c>
      <c r="G147" s="38" t="str">
        <f>VLOOKUP(Tabella1[[#This Row],[test_id]],experiments_specs!A:J,7,FALSE)</f>
        <v>True</v>
      </c>
      <c r="H147" s="38" t="str">
        <f>VLOOKUP(Tabella1[[#This Row],[test_id]],experiments_specs!A:J,8,FALSE)</f>
        <v>False</v>
      </c>
      <c r="I147" s="45" t="str">
        <f>VLOOKUP(Tabella1[[#This Row],[test_id]],experiments_specs!A:J,9,FALSE)</f>
        <v>wup_similarity</v>
      </c>
      <c r="J147" s="38" t="str">
        <f>VLOOKUP(Tabella1[[#This Row],[test_id]],experiments_specs!A:J,10,FALSE)</f>
        <v>False</v>
      </c>
      <c r="K147" s="40" t="s">
        <v>19</v>
      </c>
      <c r="L147" s="36" t="s">
        <v>354</v>
      </c>
      <c r="M147" s="36">
        <v>0.1180562</v>
      </c>
      <c r="N147" s="36" t="s">
        <v>288</v>
      </c>
      <c r="O147" s="36">
        <v>3.5493999999999999E-3</v>
      </c>
      <c r="P147" s="36">
        <v>0.19047619047619047</v>
      </c>
      <c r="Q147" s="36" t="s">
        <v>197</v>
      </c>
      <c r="R147" s="36">
        <v>4.5083400000000003E-2</v>
      </c>
      <c r="S147" s="36" t="s">
        <v>198</v>
      </c>
      <c r="T147" s="36">
        <v>4.3544999999999999E-3</v>
      </c>
      <c r="U147" s="37">
        <v>9.5238095238095233E-2</v>
      </c>
      <c r="V147"/>
    </row>
    <row r="148" spans="1:22" ht="34" x14ac:dyDescent="0.2">
      <c r="A148" s="36" t="s">
        <v>82</v>
      </c>
      <c r="B148" s="45" t="str">
        <f>VLOOKUP(Tabella1[[#This Row],[test_id]],experiments_specs!A:J,2,FALSE)</f>
        <v>NN</v>
      </c>
      <c r="C148" s="38">
        <f>VLOOKUP(Tabella1[[#This Row],[test_id]],experiments_specs!A:J,3,FALSE)</f>
        <v>1</v>
      </c>
      <c r="D148" s="38">
        <f>VLOOKUP(Tabella1[[#This Row],[test_id]],experiments_specs!A:J,4,FALSE)</f>
        <v>2</v>
      </c>
      <c r="E148" s="38" t="str">
        <f>VLOOKUP(Tabella1[[#This Row],[test_id]],experiments_specs!A:J,5,FALSE)</f>
        <v>False</v>
      </c>
      <c r="F148" s="38" t="str">
        <f>VLOOKUP(Tabella1[[#This Row],[test_id]],experiments_specs!A:J,6,FALSE)</f>
        <v>True</v>
      </c>
      <c r="G148" s="38" t="str">
        <f>VLOOKUP(Tabella1[[#This Row],[test_id]],experiments_specs!A:J,7,FALSE)</f>
        <v>True</v>
      </c>
      <c r="H148" s="38" t="str">
        <f>VLOOKUP(Tabella1[[#This Row],[test_id]],experiments_specs!A:J,8,FALSE)</f>
        <v>False</v>
      </c>
      <c r="I148" s="45" t="str">
        <f>VLOOKUP(Tabella1[[#This Row],[test_id]],experiments_specs!A:J,9,FALSE)</f>
        <v>wup_similarity</v>
      </c>
      <c r="J148" s="38" t="str">
        <f>VLOOKUP(Tabella1[[#This Row],[test_id]],experiments_specs!A:J,10,FALSE)</f>
        <v>False</v>
      </c>
      <c r="K148" s="40" t="s">
        <v>12</v>
      </c>
      <c r="L148" s="36" t="s">
        <v>356</v>
      </c>
      <c r="M148" s="36" t="s">
        <v>358</v>
      </c>
      <c r="N148" s="36" t="s">
        <v>360</v>
      </c>
      <c r="O148" s="36" t="s">
        <v>362</v>
      </c>
      <c r="P148" s="36">
        <v>0.42857142857142855</v>
      </c>
      <c r="Q148" s="36" t="s">
        <v>363</v>
      </c>
      <c r="R148" s="36">
        <v>9.2253100000000005E-2</v>
      </c>
      <c r="S148" s="36" t="s">
        <v>364</v>
      </c>
      <c r="T148" s="36">
        <v>8.6651999999999996E-3</v>
      </c>
      <c r="U148" s="37">
        <v>0.2857142857142857</v>
      </c>
      <c r="V148"/>
    </row>
    <row r="149" spans="1:22" ht="17" x14ac:dyDescent="0.2">
      <c r="A149" s="36" t="s">
        <v>82</v>
      </c>
      <c r="B149" s="45" t="str">
        <f>VLOOKUP(Tabella1[[#This Row],[test_id]],experiments_specs!A:J,2,FALSE)</f>
        <v>NN</v>
      </c>
      <c r="C149" s="38">
        <f>VLOOKUP(Tabella1[[#This Row],[test_id]],experiments_specs!A:J,3,FALSE)</f>
        <v>1</v>
      </c>
      <c r="D149" s="38">
        <f>VLOOKUP(Tabella1[[#This Row],[test_id]],experiments_specs!A:J,4,FALSE)</f>
        <v>2</v>
      </c>
      <c r="E149" s="38" t="str">
        <f>VLOOKUP(Tabella1[[#This Row],[test_id]],experiments_specs!A:J,5,FALSE)</f>
        <v>False</v>
      </c>
      <c r="F149" s="38" t="str">
        <f>VLOOKUP(Tabella1[[#This Row],[test_id]],experiments_specs!A:J,6,FALSE)</f>
        <v>True</v>
      </c>
      <c r="G149" s="38" t="str">
        <f>VLOOKUP(Tabella1[[#This Row],[test_id]],experiments_specs!A:J,7,FALSE)</f>
        <v>True</v>
      </c>
      <c r="H149" s="38" t="str">
        <f>VLOOKUP(Tabella1[[#This Row],[test_id]],experiments_specs!A:J,8,FALSE)</f>
        <v>False</v>
      </c>
      <c r="I149" s="45" t="str">
        <f>VLOOKUP(Tabella1[[#This Row],[test_id]],experiments_specs!A:J,9,FALSE)</f>
        <v>wup_similarity</v>
      </c>
      <c r="J149" s="38" t="str">
        <f>VLOOKUP(Tabella1[[#This Row],[test_id]],experiments_specs!A:J,10,FALSE)</f>
        <v>False</v>
      </c>
      <c r="K149" s="40" t="s">
        <v>13</v>
      </c>
      <c r="L149" s="36" t="s">
        <v>199</v>
      </c>
      <c r="M149" s="36">
        <v>0.18057870000000001</v>
      </c>
      <c r="N149" s="36" t="s">
        <v>200</v>
      </c>
      <c r="O149" s="36">
        <v>8.7422000000000003E-3</v>
      </c>
      <c r="P149" s="36" t="s">
        <v>25</v>
      </c>
      <c r="Q149" s="36" t="s">
        <v>201</v>
      </c>
      <c r="R149" s="36">
        <v>0</v>
      </c>
      <c r="S149" s="36" t="s">
        <v>200</v>
      </c>
      <c r="T149" s="36">
        <v>9.2478999999999999E-3</v>
      </c>
      <c r="U149" s="37" t="s">
        <v>25</v>
      </c>
      <c r="V149"/>
    </row>
    <row r="150" spans="1:22" ht="17" x14ac:dyDescent="0.2">
      <c r="A150" s="36" t="s">
        <v>82</v>
      </c>
      <c r="B150" s="45" t="str">
        <f>VLOOKUP(Tabella1[[#This Row],[test_id]],experiments_specs!A:J,2,FALSE)</f>
        <v>NN</v>
      </c>
      <c r="C150" s="38">
        <f>VLOOKUP(Tabella1[[#This Row],[test_id]],experiments_specs!A:J,3,FALSE)</f>
        <v>1</v>
      </c>
      <c r="D150" s="38">
        <f>VLOOKUP(Tabella1[[#This Row],[test_id]],experiments_specs!A:J,4,FALSE)</f>
        <v>2</v>
      </c>
      <c r="E150" s="38" t="str">
        <f>VLOOKUP(Tabella1[[#This Row],[test_id]],experiments_specs!A:J,5,FALSE)</f>
        <v>False</v>
      </c>
      <c r="F150" s="38" t="str">
        <f>VLOOKUP(Tabella1[[#This Row],[test_id]],experiments_specs!A:J,6,FALSE)</f>
        <v>True</v>
      </c>
      <c r="G150" s="38" t="str">
        <f>VLOOKUP(Tabella1[[#This Row],[test_id]],experiments_specs!A:J,7,FALSE)</f>
        <v>True</v>
      </c>
      <c r="H150" s="38" t="str">
        <f>VLOOKUP(Tabella1[[#This Row],[test_id]],experiments_specs!A:J,8,FALSE)</f>
        <v>False</v>
      </c>
      <c r="I150" s="45" t="str">
        <f>VLOOKUP(Tabella1[[#This Row],[test_id]],experiments_specs!A:J,9,FALSE)</f>
        <v>wup_similarity</v>
      </c>
      <c r="J150" s="38" t="str">
        <f>VLOOKUP(Tabella1[[#This Row],[test_id]],experiments_specs!A:J,10,FALSE)</f>
        <v>False</v>
      </c>
      <c r="K150" s="40" t="s">
        <v>14</v>
      </c>
      <c r="L150" s="36" t="s">
        <v>202</v>
      </c>
      <c r="M150" s="36">
        <v>0.13201959999999999</v>
      </c>
      <c r="N150" s="36" t="s">
        <v>203</v>
      </c>
      <c r="O150" s="36">
        <v>4.1488000000000002E-3</v>
      </c>
      <c r="P150" s="36">
        <v>0.14285714285714285</v>
      </c>
      <c r="Q150" s="36" t="s">
        <v>204</v>
      </c>
      <c r="R150" s="36">
        <v>0</v>
      </c>
      <c r="S150" s="36" t="s">
        <v>205</v>
      </c>
      <c r="T150" s="36">
        <v>6.6150000000000002E-3</v>
      </c>
      <c r="U150" s="37">
        <v>0.625</v>
      </c>
      <c r="V150"/>
    </row>
    <row r="151" spans="1:22" ht="17" x14ac:dyDescent="0.2">
      <c r="A151" s="36" t="s">
        <v>82</v>
      </c>
      <c r="B151" s="45" t="str">
        <f>VLOOKUP(Tabella1[[#This Row],[test_id]],experiments_specs!A:J,2,FALSE)</f>
        <v>NN</v>
      </c>
      <c r="C151" s="38">
        <f>VLOOKUP(Tabella1[[#This Row],[test_id]],experiments_specs!A:J,3,FALSE)</f>
        <v>1</v>
      </c>
      <c r="D151" s="38">
        <f>VLOOKUP(Tabella1[[#This Row],[test_id]],experiments_specs!A:J,4,FALSE)</f>
        <v>2</v>
      </c>
      <c r="E151" s="38" t="str">
        <f>VLOOKUP(Tabella1[[#This Row],[test_id]],experiments_specs!A:J,5,FALSE)</f>
        <v>False</v>
      </c>
      <c r="F151" s="38" t="str">
        <f>VLOOKUP(Tabella1[[#This Row],[test_id]],experiments_specs!A:J,6,FALSE)</f>
        <v>True</v>
      </c>
      <c r="G151" s="38" t="str">
        <f>VLOOKUP(Tabella1[[#This Row],[test_id]],experiments_specs!A:J,7,FALSE)</f>
        <v>True</v>
      </c>
      <c r="H151" s="38" t="str">
        <f>VLOOKUP(Tabella1[[#This Row],[test_id]],experiments_specs!A:J,8,FALSE)</f>
        <v>False</v>
      </c>
      <c r="I151" s="45" t="str">
        <f>VLOOKUP(Tabella1[[#This Row],[test_id]],experiments_specs!A:J,9,FALSE)</f>
        <v>wup_similarity</v>
      </c>
      <c r="J151" s="38" t="str">
        <f>VLOOKUP(Tabella1[[#This Row],[test_id]],experiments_specs!A:J,10,FALSE)</f>
        <v>False</v>
      </c>
      <c r="K151" s="40" t="s">
        <v>15</v>
      </c>
      <c r="L151" s="36" t="s">
        <v>26</v>
      </c>
      <c r="M151" s="36">
        <v>0.18033389999999999</v>
      </c>
      <c r="N151" s="36" t="s">
        <v>27</v>
      </c>
      <c r="O151" s="36">
        <v>4.1098000000000003E-3</v>
      </c>
      <c r="P151" s="36">
        <v>0.16666666666666666</v>
      </c>
      <c r="Q151" s="36" t="s">
        <v>365</v>
      </c>
      <c r="R151" s="36">
        <v>0</v>
      </c>
      <c r="S151" s="36" t="s">
        <v>26</v>
      </c>
      <c r="T151" s="36">
        <v>1.1729E-2</v>
      </c>
      <c r="U151" s="37">
        <v>0.18181818181818182</v>
      </c>
      <c r="V151"/>
    </row>
    <row r="152" spans="1:22" ht="34" x14ac:dyDescent="0.2">
      <c r="A152" s="36" t="s">
        <v>82</v>
      </c>
      <c r="B152" s="45" t="str">
        <f>VLOOKUP(Tabella1[[#This Row],[test_id]],experiments_specs!A:J,2,FALSE)</f>
        <v>NN</v>
      </c>
      <c r="C152" s="38">
        <f>VLOOKUP(Tabella1[[#This Row],[test_id]],experiments_specs!A:J,3,FALSE)</f>
        <v>1</v>
      </c>
      <c r="D152" s="38">
        <f>VLOOKUP(Tabella1[[#This Row],[test_id]],experiments_specs!A:J,4,FALSE)</f>
        <v>2</v>
      </c>
      <c r="E152" s="38" t="str">
        <f>VLOOKUP(Tabella1[[#This Row],[test_id]],experiments_specs!A:J,5,FALSE)</f>
        <v>False</v>
      </c>
      <c r="F152" s="38" t="str">
        <f>VLOOKUP(Tabella1[[#This Row],[test_id]],experiments_specs!A:J,6,FALSE)</f>
        <v>True</v>
      </c>
      <c r="G152" s="38" t="str">
        <f>VLOOKUP(Tabella1[[#This Row],[test_id]],experiments_specs!A:J,7,FALSE)</f>
        <v>True</v>
      </c>
      <c r="H152" s="38" t="str">
        <f>VLOOKUP(Tabella1[[#This Row],[test_id]],experiments_specs!A:J,8,FALSE)</f>
        <v>False</v>
      </c>
      <c r="I152" s="45" t="str">
        <f>VLOOKUP(Tabella1[[#This Row],[test_id]],experiments_specs!A:J,9,FALSE)</f>
        <v>wup_similarity</v>
      </c>
      <c r="J152" s="38" t="str">
        <f>VLOOKUP(Tabella1[[#This Row],[test_id]],experiments_specs!A:J,10,FALSE)</f>
        <v>False</v>
      </c>
      <c r="K152" s="40" t="s">
        <v>16</v>
      </c>
      <c r="L152" s="36" t="s">
        <v>208</v>
      </c>
      <c r="M152" s="36">
        <v>0.2041241</v>
      </c>
      <c r="N152" s="36" t="s">
        <v>209</v>
      </c>
      <c r="O152" s="36">
        <v>3.7204E-3</v>
      </c>
      <c r="P152" s="36">
        <v>0.55555555555555558</v>
      </c>
      <c r="Q152" s="36" t="s">
        <v>211</v>
      </c>
      <c r="R152" s="36" t="s">
        <v>367</v>
      </c>
      <c r="S152" s="36" t="s">
        <v>369</v>
      </c>
      <c r="T152" s="36" t="s">
        <v>371</v>
      </c>
      <c r="U152" s="37">
        <v>0.13333333333333333</v>
      </c>
      <c r="V152"/>
    </row>
    <row r="153" spans="1:22" ht="17" x14ac:dyDescent="0.2">
      <c r="A153" s="36" t="s">
        <v>82</v>
      </c>
      <c r="B153" s="45" t="str">
        <f>VLOOKUP(Tabella1[[#This Row],[test_id]],experiments_specs!A:J,2,FALSE)</f>
        <v>NN</v>
      </c>
      <c r="C153" s="38">
        <f>VLOOKUP(Tabella1[[#This Row],[test_id]],experiments_specs!A:J,3,FALSE)</f>
        <v>1</v>
      </c>
      <c r="D153" s="38">
        <f>VLOOKUP(Tabella1[[#This Row],[test_id]],experiments_specs!A:J,4,FALSE)</f>
        <v>2</v>
      </c>
      <c r="E153" s="38" t="str">
        <f>VLOOKUP(Tabella1[[#This Row],[test_id]],experiments_specs!A:J,5,FALSE)</f>
        <v>False</v>
      </c>
      <c r="F153" s="38" t="str">
        <f>VLOOKUP(Tabella1[[#This Row],[test_id]],experiments_specs!A:J,6,FALSE)</f>
        <v>True</v>
      </c>
      <c r="G153" s="38" t="str">
        <f>VLOOKUP(Tabella1[[#This Row],[test_id]],experiments_specs!A:J,7,FALSE)</f>
        <v>True</v>
      </c>
      <c r="H153" s="38" t="str">
        <f>VLOOKUP(Tabella1[[#This Row],[test_id]],experiments_specs!A:J,8,FALSE)</f>
        <v>False</v>
      </c>
      <c r="I153" s="45" t="str">
        <f>VLOOKUP(Tabella1[[#This Row],[test_id]],experiments_specs!A:J,9,FALSE)</f>
        <v>wup_similarity</v>
      </c>
      <c r="J153" s="38" t="str">
        <f>VLOOKUP(Tabella1[[#This Row],[test_id]],experiments_specs!A:J,10,FALSE)</f>
        <v>False</v>
      </c>
      <c r="K153" s="40" t="s">
        <v>17</v>
      </c>
      <c r="L153" s="36" t="s">
        <v>218</v>
      </c>
      <c r="M153" s="36">
        <v>0.18898219999999999</v>
      </c>
      <c r="N153" s="36" t="s">
        <v>219</v>
      </c>
      <c r="O153" s="36">
        <v>2.9648999999999999E-3</v>
      </c>
      <c r="P153" s="36">
        <v>0.13333333333333333</v>
      </c>
      <c r="Q153" s="36" t="s">
        <v>220</v>
      </c>
      <c r="R153" s="36">
        <v>7.7151600000000001E-2</v>
      </c>
      <c r="S153" s="36" t="s">
        <v>221</v>
      </c>
      <c r="T153" s="36">
        <v>5.6293999999999997E-3</v>
      </c>
      <c r="U153" s="37">
        <v>0.33333333333333331</v>
      </c>
      <c r="V153"/>
    </row>
    <row r="154" spans="1:22" ht="17" x14ac:dyDescent="0.2">
      <c r="A154" s="36" t="s">
        <v>82</v>
      </c>
      <c r="B154" s="45" t="str">
        <f>VLOOKUP(Tabella1[[#This Row],[test_id]],experiments_specs!A:J,2,FALSE)</f>
        <v>NN</v>
      </c>
      <c r="C154" s="38">
        <f>VLOOKUP(Tabella1[[#This Row],[test_id]],experiments_specs!A:J,3,FALSE)</f>
        <v>1</v>
      </c>
      <c r="D154" s="38">
        <f>VLOOKUP(Tabella1[[#This Row],[test_id]],experiments_specs!A:J,4,FALSE)</f>
        <v>2</v>
      </c>
      <c r="E154" s="38" t="str">
        <f>VLOOKUP(Tabella1[[#This Row],[test_id]],experiments_specs!A:J,5,FALSE)</f>
        <v>False</v>
      </c>
      <c r="F154" s="38" t="str">
        <f>VLOOKUP(Tabella1[[#This Row],[test_id]],experiments_specs!A:J,6,FALSE)</f>
        <v>True</v>
      </c>
      <c r="G154" s="38" t="str">
        <f>VLOOKUP(Tabella1[[#This Row],[test_id]],experiments_specs!A:J,7,FALSE)</f>
        <v>True</v>
      </c>
      <c r="H154" s="38" t="str">
        <f>VLOOKUP(Tabella1[[#This Row],[test_id]],experiments_specs!A:J,8,FALSE)</f>
        <v>False</v>
      </c>
      <c r="I154" s="45" t="str">
        <f>VLOOKUP(Tabella1[[#This Row],[test_id]],experiments_specs!A:J,9,FALSE)</f>
        <v>wup_similarity</v>
      </c>
      <c r="J154" s="38" t="str">
        <f>VLOOKUP(Tabella1[[#This Row],[test_id]],experiments_specs!A:J,10,FALSE)</f>
        <v>False</v>
      </c>
      <c r="K154" s="40" t="s">
        <v>18</v>
      </c>
      <c r="L154" s="36" t="s">
        <v>222</v>
      </c>
      <c r="M154" s="36">
        <v>9.4631999999999994E-2</v>
      </c>
      <c r="N154" s="36" t="s">
        <v>223</v>
      </c>
      <c r="O154" s="36">
        <v>3.13E-3</v>
      </c>
      <c r="P154" s="36">
        <v>0.21052631578947367</v>
      </c>
      <c r="Q154" s="36" t="s">
        <v>224</v>
      </c>
      <c r="R154" s="36">
        <v>7.7266699999999994E-2</v>
      </c>
      <c r="S154" s="36" t="s">
        <v>223</v>
      </c>
      <c r="T154" s="36">
        <v>3.4231999999999999E-3</v>
      </c>
      <c r="U154" s="37">
        <v>0.21052631578947367</v>
      </c>
      <c r="V154"/>
    </row>
    <row r="155" spans="1:22" ht="17" x14ac:dyDescent="0.2">
      <c r="A155" s="36" t="s">
        <v>83</v>
      </c>
      <c r="B155" s="45" t="str">
        <f>VLOOKUP(Tabella1[[#This Row],[test_id]],experiments_specs!A:J,2,FALSE)</f>
        <v>NN,JJ</v>
      </c>
      <c r="C155" s="38">
        <f>VLOOKUP(Tabella1[[#This Row],[test_id]],experiments_specs!A:J,3,FALSE)</f>
        <v>1</v>
      </c>
      <c r="D155" s="38">
        <f>VLOOKUP(Tabella1[[#This Row],[test_id]],experiments_specs!A:J,4,FALSE)</f>
        <v>2</v>
      </c>
      <c r="E155" s="38" t="str">
        <f>VLOOKUP(Tabella1[[#This Row],[test_id]],experiments_specs!A:J,5,FALSE)</f>
        <v>False</v>
      </c>
      <c r="F155" s="38" t="str">
        <f>VLOOKUP(Tabella1[[#This Row],[test_id]],experiments_specs!A:J,6,FALSE)</f>
        <v>True</v>
      </c>
      <c r="G155" s="38" t="str">
        <f>VLOOKUP(Tabella1[[#This Row],[test_id]],experiments_specs!A:J,7,FALSE)</f>
        <v>True</v>
      </c>
      <c r="H155" s="38" t="str">
        <f>VLOOKUP(Tabella1[[#This Row],[test_id]],experiments_specs!A:J,8,FALSE)</f>
        <v>False</v>
      </c>
      <c r="I155" s="45" t="str">
        <f>VLOOKUP(Tabella1[[#This Row],[test_id]],experiments_specs!A:J,9,FALSE)</f>
        <v>wup_similarity</v>
      </c>
      <c r="J155" s="38" t="str">
        <f>VLOOKUP(Tabella1[[#This Row],[test_id]],experiments_specs!A:J,10,FALSE)</f>
        <v>False</v>
      </c>
      <c r="K155" s="40" t="s">
        <v>19</v>
      </c>
      <c r="L155" s="36" t="s">
        <v>225</v>
      </c>
      <c r="M155" s="36">
        <v>0.14024809999999999</v>
      </c>
      <c r="N155" s="36" t="s">
        <v>226</v>
      </c>
      <c r="O155" s="36">
        <v>2.8078999999999999E-3</v>
      </c>
      <c r="P155" s="36">
        <v>0.17391304347826086</v>
      </c>
      <c r="Q155" s="36" t="s">
        <v>227</v>
      </c>
      <c r="R155" s="36">
        <v>0</v>
      </c>
      <c r="S155" s="36" t="s">
        <v>228</v>
      </c>
      <c r="T155" s="36">
        <v>5.4796999999999997E-3</v>
      </c>
      <c r="U155" s="37">
        <v>0.11764705882352941</v>
      </c>
      <c r="V155"/>
    </row>
    <row r="156" spans="1:22" ht="34" x14ac:dyDescent="0.2">
      <c r="A156" s="36" t="s">
        <v>83</v>
      </c>
      <c r="B156" s="45" t="str">
        <f>VLOOKUP(Tabella1[[#This Row],[test_id]],experiments_specs!A:J,2,FALSE)</f>
        <v>NN,JJ</v>
      </c>
      <c r="C156" s="38">
        <f>VLOOKUP(Tabella1[[#This Row],[test_id]],experiments_specs!A:J,3,FALSE)</f>
        <v>1</v>
      </c>
      <c r="D156" s="38">
        <f>VLOOKUP(Tabella1[[#This Row],[test_id]],experiments_specs!A:J,4,FALSE)</f>
        <v>2</v>
      </c>
      <c r="E156" s="38" t="str">
        <f>VLOOKUP(Tabella1[[#This Row],[test_id]],experiments_specs!A:J,5,FALSE)</f>
        <v>False</v>
      </c>
      <c r="F156" s="38" t="str">
        <f>VLOOKUP(Tabella1[[#This Row],[test_id]],experiments_specs!A:J,6,FALSE)</f>
        <v>True</v>
      </c>
      <c r="G156" s="38" t="str">
        <f>VLOOKUP(Tabella1[[#This Row],[test_id]],experiments_specs!A:J,7,FALSE)</f>
        <v>True</v>
      </c>
      <c r="H156" s="38" t="str">
        <f>VLOOKUP(Tabella1[[#This Row],[test_id]],experiments_specs!A:J,8,FALSE)</f>
        <v>False</v>
      </c>
      <c r="I156" s="45" t="str">
        <f>VLOOKUP(Tabella1[[#This Row],[test_id]],experiments_specs!A:J,9,FALSE)</f>
        <v>wup_similarity</v>
      </c>
      <c r="J156" s="38" t="str">
        <f>VLOOKUP(Tabella1[[#This Row],[test_id]],experiments_specs!A:J,10,FALSE)</f>
        <v>False</v>
      </c>
      <c r="K156" s="40" t="s">
        <v>12</v>
      </c>
      <c r="L156" s="36" t="s">
        <v>356</v>
      </c>
      <c r="M156" s="36" t="s">
        <v>358</v>
      </c>
      <c r="N156" s="36" t="s">
        <v>360</v>
      </c>
      <c r="O156" s="36" t="s">
        <v>373</v>
      </c>
      <c r="P156" s="36">
        <v>0.42857142857142855</v>
      </c>
      <c r="Q156" s="36" t="s">
        <v>363</v>
      </c>
      <c r="R156" s="36">
        <v>9.2253100000000005E-2</v>
      </c>
      <c r="S156" s="36" t="s">
        <v>364</v>
      </c>
      <c r="T156" s="36">
        <v>7.0578999999999998E-3</v>
      </c>
      <c r="U156" s="37">
        <v>0.2857142857142857</v>
      </c>
      <c r="V156"/>
    </row>
    <row r="157" spans="1:22" ht="17" x14ac:dyDescent="0.2">
      <c r="A157" s="36" t="s">
        <v>83</v>
      </c>
      <c r="B157" s="45" t="str">
        <f>VLOOKUP(Tabella1[[#This Row],[test_id]],experiments_specs!A:J,2,FALSE)</f>
        <v>NN,JJ</v>
      </c>
      <c r="C157" s="38">
        <f>VLOOKUP(Tabella1[[#This Row],[test_id]],experiments_specs!A:J,3,FALSE)</f>
        <v>1</v>
      </c>
      <c r="D157" s="38">
        <f>VLOOKUP(Tabella1[[#This Row],[test_id]],experiments_specs!A:J,4,FALSE)</f>
        <v>2</v>
      </c>
      <c r="E157" s="38" t="str">
        <f>VLOOKUP(Tabella1[[#This Row],[test_id]],experiments_specs!A:J,5,FALSE)</f>
        <v>False</v>
      </c>
      <c r="F157" s="38" t="str">
        <f>VLOOKUP(Tabella1[[#This Row],[test_id]],experiments_specs!A:J,6,FALSE)</f>
        <v>True</v>
      </c>
      <c r="G157" s="38" t="str">
        <f>VLOOKUP(Tabella1[[#This Row],[test_id]],experiments_specs!A:J,7,FALSE)</f>
        <v>True</v>
      </c>
      <c r="H157" s="38" t="str">
        <f>VLOOKUP(Tabella1[[#This Row],[test_id]],experiments_specs!A:J,8,FALSE)</f>
        <v>False</v>
      </c>
      <c r="I157" s="45" t="str">
        <f>VLOOKUP(Tabella1[[#This Row],[test_id]],experiments_specs!A:J,9,FALSE)</f>
        <v>wup_similarity</v>
      </c>
      <c r="J157" s="38" t="str">
        <f>VLOOKUP(Tabella1[[#This Row],[test_id]],experiments_specs!A:J,10,FALSE)</f>
        <v>False</v>
      </c>
      <c r="K157" s="40" t="s">
        <v>13</v>
      </c>
      <c r="L157" s="36" t="s">
        <v>199</v>
      </c>
      <c r="M157" s="36">
        <v>0.18057870000000001</v>
      </c>
      <c r="N157" s="36" t="s">
        <v>200</v>
      </c>
      <c r="O157" s="36">
        <v>6.6213000000000001E-3</v>
      </c>
      <c r="P157" s="36" t="s">
        <v>25</v>
      </c>
      <c r="Q157" s="36" t="s">
        <v>201</v>
      </c>
      <c r="R157" s="36">
        <v>0</v>
      </c>
      <c r="S157" s="36" t="s">
        <v>200</v>
      </c>
      <c r="T157" s="36">
        <v>9.2478999999999999E-3</v>
      </c>
      <c r="U157" s="37" t="s">
        <v>25</v>
      </c>
      <c r="V157"/>
    </row>
    <row r="158" spans="1:22" ht="17" x14ac:dyDescent="0.2">
      <c r="A158" s="36" t="s">
        <v>83</v>
      </c>
      <c r="B158" s="45" t="str">
        <f>VLOOKUP(Tabella1[[#This Row],[test_id]],experiments_specs!A:J,2,FALSE)</f>
        <v>NN,JJ</v>
      </c>
      <c r="C158" s="38">
        <f>VLOOKUP(Tabella1[[#This Row],[test_id]],experiments_specs!A:J,3,FALSE)</f>
        <v>1</v>
      </c>
      <c r="D158" s="38">
        <f>VLOOKUP(Tabella1[[#This Row],[test_id]],experiments_specs!A:J,4,FALSE)</f>
        <v>2</v>
      </c>
      <c r="E158" s="38" t="str">
        <f>VLOOKUP(Tabella1[[#This Row],[test_id]],experiments_specs!A:J,5,FALSE)</f>
        <v>False</v>
      </c>
      <c r="F158" s="38" t="str">
        <f>VLOOKUP(Tabella1[[#This Row],[test_id]],experiments_specs!A:J,6,FALSE)</f>
        <v>True</v>
      </c>
      <c r="G158" s="38" t="str">
        <f>VLOOKUP(Tabella1[[#This Row],[test_id]],experiments_specs!A:J,7,FALSE)</f>
        <v>True</v>
      </c>
      <c r="H158" s="38" t="str">
        <f>VLOOKUP(Tabella1[[#This Row],[test_id]],experiments_specs!A:J,8,FALSE)</f>
        <v>False</v>
      </c>
      <c r="I158" s="45" t="str">
        <f>VLOOKUP(Tabella1[[#This Row],[test_id]],experiments_specs!A:J,9,FALSE)</f>
        <v>wup_similarity</v>
      </c>
      <c r="J158" s="38" t="str">
        <f>VLOOKUP(Tabella1[[#This Row],[test_id]],experiments_specs!A:J,10,FALSE)</f>
        <v>False</v>
      </c>
      <c r="K158" s="40" t="s">
        <v>14</v>
      </c>
      <c r="L158" s="36" t="s">
        <v>202</v>
      </c>
      <c r="M158" s="36">
        <v>0.13201959999999999</v>
      </c>
      <c r="N158" s="36" t="s">
        <v>203</v>
      </c>
      <c r="O158" s="36">
        <v>3.2247E-3</v>
      </c>
      <c r="P158" s="36">
        <v>0.14285714285714285</v>
      </c>
      <c r="Q158" s="36" t="s">
        <v>204</v>
      </c>
      <c r="R158" s="36">
        <v>0</v>
      </c>
      <c r="S158" s="36" t="s">
        <v>205</v>
      </c>
      <c r="T158" s="36">
        <v>6.0454999999999997E-3</v>
      </c>
      <c r="U158" s="37">
        <v>0.625</v>
      </c>
      <c r="V158"/>
    </row>
    <row r="159" spans="1:22" ht="17" x14ac:dyDescent="0.2">
      <c r="A159" s="36" t="s">
        <v>83</v>
      </c>
      <c r="B159" s="45" t="str">
        <f>VLOOKUP(Tabella1[[#This Row],[test_id]],experiments_specs!A:J,2,FALSE)</f>
        <v>NN,JJ</v>
      </c>
      <c r="C159" s="38">
        <f>VLOOKUP(Tabella1[[#This Row],[test_id]],experiments_specs!A:J,3,FALSE)</f>
        <v>1</v>
      </c>
      <c r="D159" s="38">
        <f>VLOOKUP(Tabella1[[#This Row],[test_id]],experiments_specs!A:J,4,FALSE)</f>
        <v>2</v>
      </c>
      <c r="E159" s="38" t="str">
        <f>VLOOKUP(Tabella1[[#This Row],[test_id]],experiments_specs!A:J,5,FALSE)</f>
        <v>False</v>
      </c>
      <c r="F159" s="38" t="str">
        <f>VLOOKUP(Tabella1[[#This Row],[test_id]],experiments_specs!A:J,6,FALSE)</f>
        <v>True</v>
      </c>
      <c r="G159" s="38" t="str">
        <f>VLOOKUP(Tabella1[[#This Row],[test_id]],experiments_specs!A:J,7,FALSE)</f>
        <v>True</v>
      </c>
      <c r="H159" s="38" t="str">
        <f>VLOOKUP(Tabella1[[#This Row],[test_id]],experiments_specs!A:J,8,FALSE)</f>
        <v>False</v>
      </c>
      <c r="I159" s="45" t="str">
        <f>VLOOKUP(Tabella1[[#This Row],[test_id]],experiments_specs!A:J,9,FALSE)</f>
        <v>wup_similarity</v>
      </c>
      <c r="J159" s="38" t="str">
        <f>VLOOKUP(Tabella1[[#This Row],[test_id]],experiments_specs!A:J,10,FALSE)</f>
        <v>False</v>
      </c>
      <c r="K159" s="40" t="s">
        <v>15</v>
      </c>
      <c r="L159" s="36" t="s">
        <v>26</v>
      </c>
      <c r="M159" s="36">
        <v>0.18033389999999999</v>
      </c>
      <c r="N159" s="36" t="s">
        <v>27</v>
      </c>
      <c r="O159" s="36">
        <v>4.0458999999999998E-3</v>
      </c>
      <c r="P159" s="36">
        <v>0.16666666666666666</v>
      </c>
      <c r="Q159" s="36" t="s">
        <v>365</v>
      </c>
      <c r="R159" s="36">
        <v>0</v>
      </c>
      <c r="S159" s="36" t="s">
        <v>26</v>
      </c>
      <c r="T159" s="36">
        <v>1.21119E-2</v>
      </c>
      <c r="U159" s="37">
        <v>0.18181818181818182</v>
      </c>
      <c r="V159"/>
    </row>
    <row r="160" spans="1:22" ht="34" x14ac:dyDescent="0.2">
      <c r="A160" s="36" t="s">
        <v>83</v>
      </c>
      <c r="B160" s="45" t="str">
        <f>VLOOKUP(Tabella1[[#This Row],[test_id]],experiments_specs!A:J,2,FALSE)</f>
        <v>NN,JJ</v>
      </c>
      <c r="C160" s="38">
        <f>VLOOKUP(Tabella1[[#This Row],[test_id]],experiments_specs!A:J,3,FALSE)</f>
        <v>1</v>
      </c>
      <c r="D160" s="38">
        <f>VLOOKUP(Tabella1[[#This Row],[test_id]],experiments_specs!A:J,4,FALSE)</f>
        <v>2</v>
      </c>
      <c r="E160" s="38" t="str">
        <f>VLOOKUP(Tabella1[[#This Row],[test_id]],experiments_specs!A:J,5,FALSE)</f>
        <v>False</v>
      </c>
      <c r="F160" s="38" t="str">
        <f>VLOOKUP(Tabella1[[#This Row],[test_id]],experiments_specs!A:J,6,FALSE)</f>
        <v>True</v>
      </c>
      <c r="G160" s="38" t="str">
        <f>VLOOKUP(Tabella1[[#This Row],[test_id]],experiments_specs!A:J,7,FALSE)</f>
        <v>True</v>
      </c>
      <c r="H160" s="38" t="str">
        <f>VLOOKUP(Tabella1[[#This Row],[test_id]],experiments_specs!A:J,8,FALSE)</f>
        <v>False</v>
      </c>
      <c r="I160" s="45" t="str">
        <f>VLOOKUP(Tabella1[[#This Row],[test_id]],experiments_specs!A:J,9,FALSE)</f>
        <v>wup_similarity</v>
      </c>
      <c r="J160" s="38" t="str">
        <f>VLOOKUP(Tabella1[[#This Row],[test_id]],experiments_specs!A:J,10,FALSE)</f>
        <v>False</v>
      </c>
      <c r="K160" s="40" t="s">
        <v>16</v>
      </c>
      <c r="L160" s="36" t="s">
        <v>208</v>
      </c>
      <c r="M160" s="36">
        <v>0.2041241</v>
      </c>
      <c r="N160" s="36" t="s">
        <v>209</v>
      </c>
      <c r="O160" s="36">
        <v>2.9521999999999999E-3</v>
      </c>
      <c r="P160" s="36">
        <v>0.55555555555555558</v>
      </c>
      <c r="Q160" s="36" t="s">
        <v>211</v>
      </c>
      <c r="R160" s="36" t="s">
        <v>367</v>
      </c>
      <c r="S160" s="36" t="s">
        <v>369</v>
      </c>
      <c r="T160" s="36" t="s">
        <v>375</v>
      </c>
      <c r="U160" s="37">
        <v>0.13333333333333333</v>
      </c>
      <c r="V160"/>
    </row>
    <row r="161" spans="1:22" ht="17" x14ac:dyDescent="0.2">
      <c r="A161" s="36" t="s">
        <v>83</v>
      </c>
      <c r="B161" s="45" t="str">
        <f>VLOOKUP(Tabella1[[#This Row],[test_id]],experiments_specs!A:J,2,FALSE)</f>
        <v>NN,JJ</v>
      </c>
      <c r="C161" s="38">
        <f>VLOOKUP(Tabella1[[#This Row],[test_id]],experiments_specs!A:J,3,FALSE)</f>
        <v>1</v>
      </c>
      <c r="D161" s="38">
        <f>VLOOKUP(Tabella1[[#This Row],[test_id]],experiments_specs!A:J,4,FALSE)</f>
        <v>2</v>
      </c>
      <c r="E161" s="38" t="str">
        <f>VLOOKUP(Tabella1[[#This Row],[test_id]],experiments_specs!A:J,5,FALSE)</f>
        <v>False</v>
      </c>
      <c r="F161" s="38" t="str">
        <f>VLOOKUP(Tabella1[[#This Row],[test_id]],experiments_specs!A:J,6,FALSE)</f>
        <v>True</v>
      </c>
      <c r="G161" s="38" t="str">
        <f>VLOOKUP(Tabella1[[#This Row],[test_id]],experiments_specs!A:J,7,FALSE)</f>
        <v>True</v>
      </c>
      <c r="H161" s="38" t="str">
        <f>VLOOKUP(Tabella1[[#This Row],[test_id]],experiments_specs!A:J,8,FALSE)</f>
        <v>False</v>
      </c>
      <c r="I161" s="45" t="str">
        <f>VLOOKUP(Tabella1[[#This Row],[test_id]],experiments_specs!A:J,9,FALSE)</f>
        <v>wup_similarity</v>
      </c>
      <c r="J161" s="38" t="str">
        <f>VLOOKUP(Tabella1[[#This Row],[test_id]],experiments_specs!A:J,10,FALSE)</f>
        <v>False</v>
      </c>
      <c r="K161" s="40" t="s">
        <v>17</v>
      </c>
      <c r="L161" s="36" t="s">
        <v>218</v>
      </c>
      <c r="M161" s="36">
        <v>0.18898219999999999</v>
      </c>
      <c r="N161" s="36" t="s">
        <v>219</v>
      </c>
      <c r="O161" s="36">
        <v>2.7277E-3</v>
      </c>
      <c r="P161" s="36">
        <v>0.13333333333333333</v>
      </c>
      <c r="Q161" s="36" t="s">
        <v>220</v>
      </c>
      <c r="R161" s="36">
        <v>7.7151600000000001E-2</v>
      </c>
      <c r="S161" s="36" t="s">
        <v>221</v>
      </c>
      <c r="T161" s="36">
        <v>5.5649000000000002E-3</v>
      </c>
      <c r="U161" s="37">
        <v>0.33333333333333331</v>
      </c>
      <c r="V161"/>
    </row>
    <row r="162" spans="1:22" ht="17" x14ac:dyDescent="0.2">
      <c r="A162" s="36" t="s">
        <v>83</v>
      </c>
      <c r="B162" s="45" t="str">
        <f>VLOOKUP(Tabella1[[#This Row],[test_id]],experiments_specs!A:J,2,FALSE)</f>
        <v>NN,JJ</v>
      </c>
      <c r="C162" s="38">
        <f>VLOOKUP(Tabella1[[#This Row],[test_id]],experiments_specs!A:J,3,FALSE)</f>
        <v>1</v>
      </c>
      <c r="D162" s="38">
        <f>VLOOKUP(Tabella1[[#This Row],[test_id]],experiments_specs!A:J,4,FALSE)</f>
        <v>2</v>
      </c>
      <c r="E162" s="38" t="str">
        <f>VLOOKUP(Tabella1[[#This Row],[test_id]],experiments_specs!A:J,5,FALSE)</f>
        <v>False</v>
      </c>
      <c r="F162" s="38" t="str">
        <f>VLOOKUP(Tabella1[[#This Row],[test_id]],experiments_specs!A:J,6,FALSE)</f>
        <v>True</v>
      </c>
      <c r="G162" s="38" t="str">
        <f>VLOOKUP(Tabella1[[#This Row],[test_id]],experiments_specs!A:J,7,FALSE)</f>
        <v>True</v>
      </c>
      <c r="H162" s="38" t="str">
        <f>VLOOKUP(Tabella1[[#This Row],[test_id]],experiments_specs!A:J,8,FALSE)</f>
        <v>False</v>
      </c>
      <c r="I162" s="45" t="str">
        <f>VLOOKUP(Tabella1[[#This Row],[test_id]],experiments_specs!A:J,9,FALSE)</f>
        <v>wup_similarity</v>
      </c>
      <c r="J162" s="38" t="str">
        <f>VLOOKUP(Tabella1[[#This Row],[test_id]],experiments_specs!A:J,10,FALSE)</f>
        <v>False</v>
      </c>
      <c r="K162" s="40" t="s">
        <v>18</v>
      </c>
      <c r="L162" s="36" t="s">
        <v>222</v>
      </c>
      <c r="M162" s="36">
        <v>9.4631999999999994E-2</v>
      </c>
      <c r="N162" s="36" t="s">
        <v>223</v>
      </c>
      <c r="O162" s="36">
        <v>2.2725000000000002E-3</v>
      </c>
      <c r="P162" s="36">
        <v>0.21052631578947367</v>
      </c>
      <c r="Q162" s="36" t="s">
        <v>224</v>
      </c>
      <c r="R162" s="36">
        <v>7.7266699999999994E-2</v>
      </c>
      <c r="S162" s="36" t="s">
        <v>223</v>
      </c>
      <c r="T162" s="36">
        <v>2.8830000000000001E-3</v>
      </c>
      <c r="U162" s="37">
        <v>0.21052631578947367</v>
      </c>
      <c r="V162"/>
    </row>
    <row r="163" spans="1:22" ht="17" x14ac:dyDescent="0.2">
      <c r="A163" s="36" t="s">
        <v>84</v>
      </c>
      <c r="B163" s="45" t="str">
        <f>VLOOKUP(Tabella1[[#This Row],[test_id]],experiments_specs!A:J,2,FALSE)</f>
        <v>NN,VB</v>
      </c>
      <c r="C163" s="38">
        <f>VLOOKUP(Tabella1[[#This Row],[test_id]],experiments_specs!A:J,3,FALSE)</f>
        <v>1</v>
      </c>
      <c r="D163" s="38">
        <f>VLOOKUP(Tabella1[[#This Row],[test_id]],experiments_specs!A:J,4,FALSE)</f>
        <v>2</v>
      </c>
      <c r="E163" s="38" t="str">
        <f>VLOOKUP(Tabella1[[#This Row],[test_id]],experiments_specs!A:J,5,FALSE)</f>
        <v>False</v>
      </c>
      <c r="F163" s="38" t="str">
        <f>VLOOKUP(Tabella1[[#This Row],[test_id]],experiments_specs!A:J,6,FALSE)</f>
        <v>True</v>
      </c>
      <c r="G163" s="38" t="str">
        <f>VLOOKUP(Tabella1[[#This Row],[test_id]],experiments_specs!A:J,7,FALSE)</f>
        <v>True</v>
      </c>
      <c r="H163" s="38" t="str">
        <f>VLOOKUP(Tabella1[[#This Row],[test_id]],experiments_specs!A:J,8,FALSE)</f>
        <v>False</v>
      </c>
      <c r="I163" s="45" t="str">
        <f>VLOOKUP(Tabella1[[#This Row],[test_id]],experiments_specs!A:J,9,FALSE)</f>
        <v>wup_similarity</v>
      </c>
      <c r="J163" s="38" t="str">
        <f>VLOOKUP(Tabella1[[#This Row],[test_id]],experiments_specs!A:J,10,FALSE)</f>
        <v>False</v>
      </c>
      <c r="K163" s="40" t="s">
        <v>19</v>
      </c>
      <c r="L163" s="36" t="s">
        <v>354</v>
      </c>
      <c r="M163" s="36">
        <v>0.1180562</v>
      </c>
      <c r="N163" s="36" t="s">
        <v>288</v>
      </c>
      <c r="O163" s="36">
        <v>3.3227999999999999E-3</v>
      </c>
      <c r="P163" s="36">
        <v>0.19047619047619047</v>
      </c>
      <c r="Q163" s="36" t="s">
        <v>197</v>
      </c>
      <c r="R163" s="36">
        <v>4.5083400000000003E-2</v>
      </c>
      <c r="S163" s="36" t="s">
        <v>198</v>
      </c>
      <c r="T163" s="36">
        <v>5.4070999999999998E-3</v>
      </c>
      <c r="U163" s="37">
        <v>9.5238095238095233E-2</v>
      </c>
      <c r="V163"/>
    </row>
    <row r="164" spans="1:22" ht="17" x14ac:dyDescent="0.2">
      <c r="A164" s="36" t="s">
        <v>84</v>
      </c>
      <c r="B164" s="45" t="str">
        <f>VLOOKUP(Tabella1[[#This Row],[test_id]],experiments_specs!A:J,2,FALSE)</f>
        <v>NN,VB</v>
      </c>
      <c r="C164" s="38">
        <f>VLOOKUP(Tabella1[[#This Row],[test_id]],experiments_specs!A:J,3,FALSE)</f>
        <v>1</v>
      </c>
      <c r="D164" s="38">
        <f>VLOOKUP(Tabella1[[#This Row],[test_id]],experiments_specs!A:J,4,FALSE)</f>
        <v>2</v>
      </c>
      <c r="E164" s="38" t="str">
        <f>VLOOKUP(Tabella1[[#This Row],[test_id]],experiments_specs!A:J,5,FALSE)</f>
        <v>False</v>
      </c>
      <c r="F164" s="38" t="str">
        <f>VLOOKUP(Tabella1[[#This Row],[test_id]],experiments_specs!A:J,6,FALSE)</f>
        <v>True</v>
      </c>
      <c r="G164" s="38" t="str">
        <f>VLOOKUP(Tabella1[[#This Row],[test_id]],experiments_specs!A:J,7,FALSE)</f>
        <v>True</v>
      </c>
      <c r="H164" s="38" t="str">
        <f>VLOOKUP(Tabella1[[#This Row],[test_id]],experiments_specs!A:J,8,FALSE)</f>
        <v>False</v>
      </c>
      <c r="I164" s="45" t="str">
        <f>VLOOKUP(Tabella1[[#This Row],[test_id]],experiments_specs!A:J,9,FALSE)</f>
        <v>wup_similarity</v>
      </c>
      <c r="J164" s="38" t="str">
        <f>VLOOKUP(Tabella1[[#This Row],[test_id]],experiments_specs!A:J,10,FALSE)</f>
        <v>False</v>
      </c>
      <c r="K164" s="40" t="s">
        <v>12</v>
      </c>
      <c r="L164" s="36" t="s">
        <v>251</v>
      </c>
      <c r="M164" s="36">
        <v>0.1190982</v>
      </c>
      <c r="N164" s="36" t="s">
        <v>236</v>
      </c>
      <c r="O164" s="36">
        <v>3.3928000000000001E-3</v>
      </c>
      <c r="P164" s="36">
        <v>0.125</v>
      </c>
      <c r="Q164" s="36" t="s">
        <v>235</v>
      </c>
      <c r="R164" s="36">
        <v>0</v>
      </c>
      <c r="S164" s="36" t="s">
        <v>236</v>
      </c>
      <c r="T164" s="36">
        <v>6.4762999999999999E-3</v>
      </c>
      <c r="U164" s="37">
        <v>0.125</v>
      </c>
      <c r="V164"/>
    </row>
    <row r="165" spans="1:22" ht="17" x14ac:dyDescent="0.2">
      <c r="A165" s="36" t="s">
        <v>84</v>
      </c>
      <c r="B165" s="45" t="str">
        <f>VLOOKUP(Tabella1[[#This Row],[test_id]],experiments_specs!A:J,2,FALSE)</f>
        <v>NN,VB</v>
      </c>
      <c r="C165" s="38">
        <f>VLOOKUP(Tabella1[[#This Row],[test_id]],experiments_specs!A:J,3,FALSE)</f>
        <v>1</v>
      </c>
      <c r="D165" s="38">
        <f>VLOOKUP(Tabella1[[#This Row],[test_id]],experiments_specs!A:J,4,FALSE)</f>
        <v>2</v>
      </c>
      <c r="E165" s="38" t="str">
        <f>VLOOKUP(Tabella1[[#This Row],[test_id]],experiments_specs!A:J,5,FALSE)</f>
        <v>False</v>
      </c>
      <c r="F165" s="38" t="str">
        <f>VLOOKUP(Tabella1[[#This Row],[test_id]],experiments_specs!A:J,6,FALSE)</f>
        <v>True</v>
      </c>
      <c r="G165" s="38" t="str">
        <f>VLOOKUP(Tabella1[[#This Row],[test_id]],experiments_specs!A:J,7,FALSE)</f>
        <v>True</v>
      </c>
      <c r="H165" s="38" t="str">
        <f>VLOOKUP(Tabella1[[#This Row],[test_id]],experiments_specs!A:J,8,FALSE)</f>
        <v>False</v>
      </c>
      <c r="I165" s="45" t="str">
        <f>VLOOKUP(Tabella1[[#This Row],[test_id]],experiments_specs!A:J,9,FALSE)</f>
        <v>wup_similarity</v>
      </c>
      <c r="J165" s="38" t="str">
        <f>VLOOKUP(Tabella1[[#This Row],[test_id]],experiments_specs!A:J,10,FALSE)</f>
        <v>False</v>
      </c>
      <c r="K165" s="40" t="s">
        <v>13</v>
      </c>
      <c r="L165" s="36" t="s">
        <v>199</v>
      </c>
      <c r="M165" s="36">
        <v>0.18057870000000001</v>
      </c>
      <c r="N165" s="36" t="s">
        <v>200</v>
      </c>
      <c r="O165" s="36">
        <v>6.9245000000000001E-3</v>
      </c>
      <c r="P165" s="36" t="s">
        <v>25</v>
      </c>
      <c r="Q165" s="36" t="s">
        <v>201</v>
      </c>
      <c r="R165" s="36">
        <v>0</v>
      </c>
      <c r="S165" s="36" t="s">
        <v>200</v>
      </c>
      <c r="T165" s="36">
        <v>7.6854000000000002E-3</v>
      </c>
      <c r="U165" s="37" t="s">
        <v>25</v>
      </c>
      <c r="V165"/>
    </row>
    <row r="166" spans="1:22" ht="17" x14ac:dyDescent="0.2">
      <c r="A166" s="36" t="s">
        <v>84</v>
      </c>
      <c r="B166" s="45" t="str">
        <f>VLOOKUP(Tabella1[[#This Row],[test_id]],experiments_specs!A:J,2,FALSE)</f>
        <v>NN,VB</v>
      </c>
      <c r="C166" s="38">
        <f>VLOOKUP(Tabella1[[#This Row],[test_id]],experiments_specs!A:J,3,FALSE)</f>
        <v>1</v>
      </c>
      <c r="D166" s="38">
        <f>VLOOKUP(Tabella1[[#This Row],[test_id]],experiments_specs!A:J,4,FALSE)</f>
        <v>2</v>
      </c>
      <c r="E166" s="38" t="str">
        <f>VLOOKUP(Tabella1[[#This Row],[test_id]],experiments_specs!A:J,5,FALSE)</f>
        <v>False</v>
      </c>
      <c r="F166" s="38" t="str">
        <f>VLOOKUP(Tabella1[[#This Row],[test_id]],experiments_specs!A:J,6,FALSE)</f>
        <v>True</v>
      </c>
      <c r="G166" s="38" t="str">
        <f>VLOOKUP(Tabella1[[#This Row],[test_id]],experiments_specs!A:J,7,FALSE)</f>
        <v>True</v>
      </c>
      <c r="H166" s="38" t="str">
        <f>VLOOKUP(Tabella1[[#This Row],[test_id]],experiments_specs!A:J,8,FALSE)</f>
        <v>False</v>
      </c>
      <c r="I166" s="45" t="str">
        <f>VLOOKUP(Tabella1[[#This Row],[test_id]],experiments_specs!A:J,9,FALSE)</f>
        <v>wup_similarity</v>
      </c>
      <c r="J166" s="38" t="str">
        <f>VLOOKUP(Tabella1[[#This Row],[test_id]],experiments_specs!A:J,10,FALSE)</f>
        <v>False</v>
      </c>
      <c r="K166" s="40" t="s">
        <v>14</v>
      </c>
      <c r="L166" s="36" t="s">
        <v>202</v>
      </c>
      <c r="M166" s="36">
        <v>0.13201959999999999</v>
      </c>
      <c r="N166" s="36" t="s">
        <v>203</v>
      </c>
      <c r="O166" s="36">
        <v>3.6779E-3</v>
      </c>
      <c r="P166" s="36">
        <v>0.14285714285714285</v>
      </c>
      <c r="Q166" s="36" t="s">
        <v>204</v>
      </c>
      <c r="R166" s="36">
        <v>0</v>
      </c>
      <c r="S166" s="36" t="s">
        <v>205</v>
      </c>
      <c r="T166" s="36">
        <v>5.7775999999999999E-3</v>
      </c>
      <c r="U166" s="37">
        <v>0.625</v>
      </c>
      <c r="V166"/>
    </row>
    <row r="167" spans="1:22" ht="17" x14ac:dyDescent="0.2">
      <c r="A167" s="36" t="s">
        <v>84</v>
      </c>
      <c r="B167" s="45" t="str">
        <f>VLOOKUP(Tabella1[[#This Row],[test_id]],experiments_specs!A:J,2,FALSE)</f>
        <v>NN,VB</v>
      </c>
      <c r="C167" s="38">
        <f>VLOOKUP(Tabella1[[#This Row],[test_id]],experiments_specs!A:J,3,FALSE)</f>
        <v>1</v>
      </c>
      <c r="D167" s="38">
        <f>VLOOKUP(Tabella1[[#This Row],[test_id]],experiments_specs!A:J,4,FALSE)</f>
        <v>2</v>
      </c>
      <c r="E167" s="38" t="str">
        <f>VLOOKUP(Tabella1[[#This Row],[test_id]],experiments_specs!A:J,5,FALSE)</f>
        <v>False</v>
      </c>
      <c r="F167" s="38" t="str">
        <f>VLOOKUP(Tabella1[[#This Row],[test_id]],experiments_specs!A:J,6,FALSE)</f>
        <v>True</v>
      </c>
      <c r="G167" s="38" t="str">
        <f>VLOOKUP(Tabella1[[#This Row],[test_id]],experiments_specs!A:J,7,FALSE)</f>
        <v>True</v>
      </c>
      <c r="H167" s="38" t="str">
        <f>VLOOKUP(Tabella1[[#This Row],[test_id]],experiments_specs!A:J,8,FALSE)</f>
        <v>False</v>
      </c>
      <c r="I167" s="45" t="str">
        <f>VLOOKUP(Tabella1[[#This Row],[test_id]],experiments_specs!A:J,9,FALSE)</f>
        <v>wup_similarity</v>
      </c>
      <c r="J167" s="38" t="str">
        <f>VLOOKUP(Tabella1[[#This Row],[test_id]],experiments_specs!A:J,10,FALSE)</f>
        <v>False</v>
      </c>
      <c r="K167" s="40" t="s">
        <v>15</v>
      </c>
      <c r="L167" s="36" t="s">
        <v>26</v>
      </c>
      <c r="M167" s="36">
        <v>0.18033389999999999</v>
      </c>
      <c r="N167" s="36" t="s">
        <v>27</v>
      </c>
      <c r="O167" s="36">
        <v>2.8655E-3</v>
      </c>
      <c r="P167" s="36">
        <v>0.16666666666666666</v>
      </c>
      <c r="Q167" s="36" t="s">
        <v>376</v>
      </c>
      <c r="R167" s="36">
        <v>0</v>
      </c>
      <c r="S167" s="36" t="s">
        <v>377</v>
      </c>
      <c r="T167" s="36">
        <v>1.05349E-2</v>
      </c>
      <c r="U167" s="37">
        <v>0.2</v>
      </c>
      <c r="V167"/>
    </row>
    <row r="168" spans="1:22" ht="34" x14ac:dyDescent="0.2">
      <c r="A168" s="36" t="s">
        <v>84</v>
      </c>
      <c r="B168" s="45" t="str">
        <f>VLOOKUP(Tabella1[[#This Row],[test_id]],experiments_specs!A:J,2,FALSE)</f>
        <v>NN,VB</v>
      </c>
      <c r="C168" s="38">
        <f>VLOOKUP(Tabella1[[#This Row],[test_id]],experiments_specs!A:J,3,FALSE)</f>
        <v>1</v>
      </c>
      <c r="D168" s="38">
        <f>VLOOKUP(Tabella1[[#This Row],[test_id]],experiments_specs!A:J,4,FALSE)</f>
        <v>2</v>
      </c>
      <c r="E168" s="38" t="str">
        <f>VLOOKUP(Tabella1[[#This Row],[test_id]],experiments_specs!A:J,5,FALSE)</f>
        <v>False</v>
      </c>
      <c r="F168" s="38" t="str">
        <f>VLOOKUP(Tabella1[[#This Row],[test_id]],experiments_specs!A:J,6,FALSE)</f>
        <v>True</v>
      </c>
      <c r="G168" s="38" t="str">
        <f>VLOOKUP(Tabella1[[#This Row],[test_id]],experiments_specs!A:J,7,FALSE)</f>
        <v>True</v>
      </c>
      <c r="H168" s="38" t="str">
        <f>VLOOKUP(Tabella1[[#This Row],[test_id]],experiments_specs!A:J,8,FALSE)</f>
        <v>False</v>
      </c>
      <c r="I168" s="45" t="str">
        <f>VLOOKUP(Tabella1[[#This Row],[test_id]],experiments_specs!A:J,9,FALSE)</f>
        <v>wup_similarity</v>
      </c>
      <c r="J168" s="38" t="str">
        <f>VLOOKUP(Tabella1[[#This Row],[test_id]],experiments_specs!A:J,10,FALSE)</f>
        <v>False</v>
      </c>
      <c r="K168" s="40" t="s">
        <v>16</v>
      </c>
      <c r="L168" s="36" t="s">
        <v>208</v>
      </c>
      <c r="M168" s="36">
        <v>0.2041241</v>
      </c>
      <c r="N168" s="36" t="s">
        <v>209</v>
      </c>
      <c r="O168" s="36">
        <v>3.4708999999999999E-3</v>
      </c>
      <c r="P168" s="36">
        <v>0.55555555555555558</v>
      </c>
      <c r="Q168" s="36" t="s">
        <v>211</v>
      </c>
      <c r="R168" s="36" t="s">
        <v>367</v>
      </c>
      <c r="S168" s="36" t="s">
        <v>369</v>
      </c>
      <c r="T168" s="36" t="s">
        <v>379</v>
      </c>
      <c r="U168" s="37">
        <v>0.13333333333333333</v>
      </c>
      <c r="V168"/>
    </row>
    <row r="169" spans="1:22" ht="17" x14ac:dyDescent="0.2">
      <c r="A169" s="36" t="s">
        <v>84</v>
      </c>
      <c r="B169" s="45" t="str">
        <f>VLOOKUP(Tabella1[[#This Row],[test_id]],experiments_specs!A:J,2,FALSE)</f>
        <v>NN,VB</v>
      </c>
      <c r="C169" s="38">
        <f>VLOOKUP(Tabella1[[#This Row],[test_id]],experiments_specs!A:J,3,FALSE)</f>
        <v>1</v>
      </c>
      <c r="D169" s="38">
        <f>VLOOKUP(Tabella1[[#This Row],[test_id]],experiments_specs!A:J,4,FALSE)</f>
        <v>2</v>
      </c>
      <c r="E169" s="38" t="str">
        <f>VLOOKUP(Tabella1[[#This Row],[test_id]],experiments_specs!A:J,5,FALSE)</f>
        <v>False</v>
      </c>
      <c r="F169" s="38" t="str">
        <f>VLOOKUP(Tabella1[[#This Row],[test_id]],experiments_specs!A:J,6,FALSE)</f>
        <v>True</v>
      </c>
      <c r="G169" s="38" t="str">
        <f>VLOOKUP(Tabella1[[#This Row],[test_id]],experiments_specs!A:J,7,FALSE)</f>
        <v>True</v>
      </c>
      <c r="H169" s="38" t="str">
        <f>VLOOKUP(Tabella1[[#This Row],[test_id]],experiments_specs!A:J,8,FALSE)</f>
        <v>False</v>
      </c>
      <c r="I169" s="45" t="str">
        <f>VLOOKUP(Tabella1[[#This Row],[test_id]],experiments_specs!A:J,9,FALSE)</f>
        <v>wup_similarity</v>
      </c>
      <c r="J169" s="38" t="str">
        <f>VLOOKUP(Tabella1[[#This Row],[test_id]],experiments_specs!A:J,10,FALSE)</f>
        <v>False</v>
      </c>
      <c r="K169" s="40" t="s">
        <v>17</v>
      </c>
      <c r="L169" s="36" t="s">
        <v>218</v>
      </c>
      <c r="M169" s="36">
        <v>0.18898219999999999</v>
      </c>
      <c r="N169" s="36" t="s">
        <v>219</v>
      </c>
      <c r="O169" s="36">
        <v>3.7780000000000001E-3</v>
      </c>
      <c r="P169" s="36">
        <v>0.13333333333333333</v>
      </c>
      <c r="Q169" s="36" t="s">
        <v>30</v>
      </c>
      <c r="R169" s="36">
        <v>0.1234426</v>
      </c>
      <c r="S169" s="36" t="s">
        <v>380</v>
      </c>
      <c r="T169" s="36">
        <v>6.2994000000000001E-3</v>
      </c>
      <c r="U169" s="37">
        <v>0.2</v>
      </c>
      <c r="V169"/>
    </row>
    <row r="170" spans="1:22" ht="17" x14ac:dyDescent="0.2">
      <c r="A170" s="36" t="s">
        <v>84</v>
      </c>
      <c r="B170" s="45" t="str">
        <f>VLOOKUP(Tabella1[[#This Row],[test_id]],experiments_specs!A:J,2,FALSE)</f>
        <v>NN,VB</v>
      </c>
      <c r="C170" s="38">
        <f>VLOOKUP(Tabella1[[#This Row],[test_id]],experiments_specs!A:J,3,FALSE)</f>
        <v>1</v>
      </c>
      <c r="D170" s="38">
        <f>VLOOKUP(Tabella1[[#This Row],[test_id]],experiments_specs!A:J,4,FALSE)</f>
        <v>2</v>
      </c>
      <c r="E170" s="38" t="str">
        <f>VLOOKUP(Tabella1[[#This Row],[test_id]],experiments_specs!A:J,5,FALSE)</f>
        <v>False</v>
      </c>
      <c r="F170" s="38" t="str">
        <f>VLOOKUP(Tabella1[[#This Row],[test_id]],experiments_specs!A:J,6,FALSE)</f>
        <v>True</v>
      </c>
      <c r="G170" s="38" t="str">
        <f>VLOOKUP(Tabella1[[#This Row],[test_id]],experiments_specs!A:J,7,FALSE)</f>
        <v>True</v>
      </c>
      <c r="H170" s="38" t="str">
        <f>VLOOKUP(Tabella1[[#This Row],[test_id]],experiments_specs!A:J,8,FALSE)</f>
        <v>False</v>
      </c>
      <c r="I170" s="45" t="str">
        <f>VLOOKUP(Tabella1[[#This Row],[test_id]],experiments_specs!A:J,9,FALSE)</f>
        <v>wup_similarity</v>
      </c>
      <c r="J170" s="38" t="str">
        <f>VLOOKUP(Tabella1[[#This Row],[test_id]],experiments_specs!A:J,10,FALSE)</f>
        <v>False</v>
      </c>
      <c r="K170" s="40" t="s">
        <v>18</v>
      </c>
      <c r="L170" s="36" t="s">
        <v>222</v>
      </c>
      <c r="M170" s="36">
        <v>9.4631999999999994E-2</v>
      </c>
      <c r="N170" s="36" t="s">
        <v>223</v>
      </c>
      <c r="O170" s="36">
        <v>2.284E-3</v>
      </c>
      <c r="P170" s="36">
        <v>0.21052631578947367</v>
      </c>
      <c r="Q170" s="36" t="s">
        <v>227</v>
      </c>
      <c r="R170" s="36">
        <v>0</v>
      </c>
      <c r="S170" s="36" t="s">
        <v>248</v>
      </c>
      <c r="T170" s="36">
        <v>3.2089000000000002E-3</v>
      </c>
      <c r="U170" s="37">
        <v>0.11764705882352941</v>
      </c>
      <c r="V170"/>
    </row>
    <row r="171" spans="1:22" ht="17" x14ac:dyDescent="0.2">
      <c r="A171" s="36" t="s">
        <v>85</v>
      </c>
      <c r="B171" s="45" t="str">
        <f>VLOOKUP(Tabella1[[#This Row],[test_id]],experiments_specs!A:J,2,FALSE)</f>
        <v>NN,VB,VBD,VBG,VBN,VBP,VBZ</v>
      </c>
      <c r="C171" s="38">
        <f>VLOOKUP(Tabella1[[#This Row],[test_id]],experiments_specs!A:J,3,FALSE)</f>
        <v>1</v>
      </c>
      <c r="D171" s="38">
        <f>VLOOKUP(Tabella1[[#This Row],[test_id]],experiments_specs!A:J,4,FALSE)</f>
        <v>2</v>
      </c>
      <c r="E171" s="38" t="str">
        <f>VLOOKUP(Tabella1[[#This Row],[test_id]],experiments_specs!A:J,5,FALSE)</f>
        <v>False</v>
      </c>
      <c r="F171" s="38" t="str">
        <f>VLOOKUP(Tabella1[[#This Row],[test_id]],experiments_specs!A:J,6,FALSE)</f>
        <v>True</v>
      </c>
      <c r="G171" s="38" t="str">
        <f>VLOOKUP(Tabella1[[#This Row],[test_id]],experiments_specs!A:J,7,FALSE)</f>
        <v>True</v>
      </c>
      <c r="H171" s="38" t="str">
        <f>VLOOKUP(Tabella1[[#This Row],[test_id]],experiments_specs!A:J,8,FALSE)</f>
        <v>False</v>
      </c>
      <c r="I171" s="45" t="str">
        <f>VLOOKUP(Tabella1[[#This Row],[test_id]],experiments_specs!A:J,9,FALSE)</f>
        <v>wup_similarity</v>
      </c>
      <c r="J171" s="38" t="str">
        <f>VLOOKUP(Tabella1[[#This Row],[test_id]],experiments_specs!A:J,10,FALSE)</f>
        <v>False</v>
      </c>
      <c r="K171" s="40" t="s">
        <v>19</v>
      </c>
      <c r="L171" s="36" t="s">
        <v>354</v>
      </c>
      <c r="M171" s="36">
        <v>0.1180562</v>
      </c>
      <c r="N171" s="36" t="s">
        <v>288</v>
      </c>
      <c r="O171" s="36">
        <v>2.2204E-3</v>
      </c>
      <c r="P171" s="36">
        <v>0.19047619047619047</v>
      </c>
      <c r="Q171" s="36" t="s">
        <v>197</v>
      </c>
      <c r="R171" s="36">
        <v>4.5083400000000003E-2</v>
      </c>
      <c r="S171" s="36" t="s">
        <v>198</v>
      </c>
      <c r="T171" s="36">
        <v>4.0708999999999997E-3</v>
      </c>
      <c r="U171" s="37">
        <v>9.5238095238095233E-2</v>
      </c>
      <c r="V171"/>
    </row>
    <row r="172" spans="1:22" ht="17" x14ac:dyDescent="0.2">
      <c r="A172" s="36" t="s">
        <v>85</v>
      </c>
      <c r="B172" s="45" t="str">
        <f>VLOOKUP(Tabella1[[#This Row],[test_id]],experiments_specs!A:J,2,FALSE)</f>
        <v>NN,VB,VBD,VBG,VBN,VBP,VBZ</v>
      </c>
      <c r="C172" s="38">
        <f>VLOOKUP(Tabella1[[#This Row],[test_id]],experiments_specs!A:J,3,FALSE)</f>
        <v>1</v>
      </c>
      <c r="D172" s="38">
        <f>VLOOKUP(Tabella1[[#This Row],[test_id]],experiments_specs!A:J,4,FALSE)</f>
        <v>2</v>
      </c>
      <c r="E172" s="38" t="str">
        <f>VLOOKUP(Tabella1[[#This Row],[test_id]],experiments_specs!A:J,5,FALSE)</f>
        <v>False</v>
      </c>
      <c r="F172" s="38" t="str">
        <f>VLOOKUP(Tabella1[[#This Row],[test_id]],experiments_specs!A:J,6,FALSE)</f>
        <v>True</v>
      </c>
      <c r="G172" s="38" t="str">
        <f>VLOOKUP(Tabella1[[#This Row],[test_id]],experiments_specs!A:J,7,FALSE)</f>
        <v>True</v>
      </c>
      <c r="H172" s="38" t="str">
        <f>VLOOKUP(Tabella1[[#This Row],[test_id]],experiments_specs!A:J,8,FALSE)</f>
        <v>False</v>
      </c>
      <c r="I172" s="45" t="str">
        <f>VLOOKUP(Tabella1[[#This Row],[test_id]],experiments_specs!A:J,9,FALSE)</f>
        <v>wup_similarity</v>
      </c>
      <c r="J172" s="38" t="str">
        <f>VLOOKUP(Tabella1[[#This Row],[test_id]],experiments_specs!A:J,10,FALSE)</f>
        <v>False</v>
      </c>
      <c r="K172" s="40" t="s">
        <v>12</v>
      </c>
      <c r="L172" s="36" t="s">
        <v>251</v>
      </c>
      <c r="M172" s="36">
        <v>0.1190982</v>
      </c>
      <c r="N172" s="36" t="s">
        <v>236</v>
      </c>
      <c r="O172" s="36">
        <v>3.212E-3</v>
      </c>
      <c r="P172" s="36">
        <v>0.125</v>
      </c>
      <c r="Q172" s="36" t="s">
        <v>235</v>
      </c>
      <c r="R172" s="36">
        <v>0</v>
      </c>
      <c r="S172" s="36" t="s">
        <v>236</v>
      </c>
      <c r="T172" s="36">
        <v>5.8826E-3</v>
      </c>
      <c r="U172" s="37">
        <v>0.125</v>
      </c>
      <c r="V172"/>
    </row>
    <row r="173" spans="1:22" ht="17" x14ac:dyDescent="0.2">
      <c r="A173" s="36" t="s">
        <v>85</v>
      </c>
      <c r="B173" s="45" t="str">
        <f>VLOOKUP(Tabella1[[#This Row],[test_id]],experiments_specs!A:J,2,FALSE)</f>
        <v>NN,VB,VBD,VBG,VBN,VBP,VBZ</v>
      </c>
      <c r="C173" s="38">
        <f>VLOOKUP(Tabella1[[#This Row],[test_id]],experiments_specs!A:J,3,FALSE)</f>
        <v>1</v>
      </c>
      <c r="D173" s="38">
        <f>VLOOKUP(Tabella1[[#This Row],[test_id]],experiments_specs!A:J,4,FALSE)</f>
        <v>2</v>
      </c>
      <c r="E173" s="38" t="str">
        <f>VLOOKUP(Tabella1[[#This Row],[test_id]],experiments_specs!A:J,5,FALSE)</f>
        <v>False</v>
      </c>
      <c r="F173" s="38" t="str">
        <f>VLOOKUP(Tabella1[[#This Row],[test_id]],experiments_specs!A:J,6,FALSE)</f>
        <v>True</v>
      </c>
      <c r="G173" s="38" t="str">
        <f>VLOOKUP(Tabella1[[#This Row],[test_id]],experiments_specs!A:J,7,FALSE)</f>
        <v>True</v>
      </c>
      <c r="H173" s="38" t="str">
        <f>VLOOKUP(Tabella1[[#This Row],[test_id]],experiments_specs!A:J,8,FALSE)</f>
        <v>False</v>
      </c>
      <c r="I173" s="45" t="str">
        <f>VLOOKUP(Tabella1[[#This Row],[test_id]],experiments_specs!A:J,9,FALSE)</f>
        <v>wup_similarity</v>
      </c>
      <c r="J173" s="38" t="str">
        <f>VLOOKUP(Tabella1[[#This Row],[test_id]],experiments_specs!A:J,10,FALSE)</f>
        <v>False</v>
      </c>
      <c r="K173" s="40" t="s">
        <v>13</v>
      </c>
      <c r="L173" s="36" t="s">
        <v>199</v>
      </c>
      <c r="M173" s="36">
        <v>0.18057870000000001</v>
      </c>
      <c r="N173" s="36" t="s">
        <v>200</v>
      </c>
      <c r="O173" s="36">
        <v>6.0552000000000002E-3</v>
      </c>
      <c r="P173" s="36" t="s">
        <v>25</v>
      </c>
      <c r="Q173" s="36" t="s">
        <v>201</v>
      </c>
      <c r="R173" s="36">
        <v>0</v>
      </c>
      <c r="S173" s="36" t="s">
        <v>200</v>
      </c>
      <c r="T173" s="36">
        <v>6.9588999999999996E-3</v>
      </c>
      <c r="U173" s="37" t="s">
        <v>25</v>
      </c>
      <c r="V173"/>
    </row>
    <row r="174" spans="1:22" ht="17" x14ac:dyDescent="0.2">
      <c r="A174" s="36" t="s">
        <v>85</v>
      </c>
      <c r="B174" s="45" t="str">
        <f>VLOOKUP(Tabella1[[#This Row],[test_id]],experiments_specs!A:J,2,FALSE)</f>
        <v>NN,VB,VBD,VBG,VBN,VBP,VBZ</v>
      </c>
      <c r="C174" s="38">
        <f>VLOOKUP(Tabella1[[#This Row],[test_id]],experiments_specs!A:J,3,FALSE)</f>
        <v>1</v>
      </c>
      <c r="D174" s="38">
        <f>VLOOKUP(Tabella1[[#This Row],[test_id]],experiments_specs!A:J,4,FALSE)</f>
        <v>2</v>
      </c>
      <c r="E174" s="38" t="str">
        <f>VLOOKUP(Tabella1[[#This Row],[test_id]],experiments_specs!A:J,5,FALSE)</f>
        <v>False</v>
      </c>
      <c r="F174" s="38" t="str">
        <f>VLOOKUP(Tabella1[[#This Row],[test_id]],experiments_specs!A:J,6,FALSE)</f>
        <v>True</v>
      </c>
      <c r="G174" s="38" t="str">
        <f>VLOOKUP(Tabella1[[#This Row],[test_id]],experiments_specs!A:J,7,FALSE)</f>
        <v>True</v>
      </c>
      <c r="H174" s="38" t="str">
        <f>VLOOKUP(Tabella1[[#This Row],[test_id]],experiments_specs!A:J,8,FALSE)</f>
        <v>False</v>
      </c>
      <c r="I174" s="45" t="str">
        <f>VLOOKUP(Tabella1[[#This Row],[test_id]],experiments_specs!A:J,9,FALSE)</f>
        <v>wup_similarity</v>
      </c>
      <c r="J174" s="38" t="str">
        <f>VLOOKUP(Tabella1[[#This Row],[test_id]],experiments_specs!A:J,10,FALSE)</f>
        <v>False</v>
      </c>
      <c r="K174" s="40" t="s">
        <v>14</v>
      </c>
      <c r="L174" s="36" t="s">
        <v>381</v>
      </c>
      <c r="M174" s="36">
        <v>0.1290994</v>
      </c>
      <c r="N174" s="36" t="s">
        <v>382</v>
      </c>
      <c r="O174" s="36">
        <v>2.8861E-3</v>
      </c>
      <c r="P174" s="36">
        <v>0.625</v>
      </c>
      <c r="Q174" s="36" t="s">
        <v>204</v>
      </c>
      <c r="R174" s="36">
        <v>0</v>
      </c>
      <c r="S174" s="36" t="s">
        <v>205</v>
      </c>
      <c r="T174" s="36">
        <v>5.2413E-3</v>
      </c>
      <c r="U174" s="37">
        <v>0.625</v>
      </c>
      <c r="V174"/>
    </row>
    <row r="175" spans="1:22" ht="17" x14ac:dyDescent="0.2">
      <c r="A175" s="36" t="s">
        <v>85</v>
      </c>
      <c r="B175" s="45" t="str">
        <f>VLOOKUP(Tabella1[[#This Row],[test_id]],experiments_specs!A:J,2,FALSE)</f>
        <v>NN,VB,VBD,VBG,VBN,VBP,VBZ</v>
      </c>
      <c r="C175" s="38">
        <f>VLOOKUP(Tabella1[[#This Row],[test_id]],experiments_specs!A:J,3,FALSE)</f>
        <v>1</v>
      </c>
      <c r="D175" s="38">
        <f>VLOOKUP(Tabella1[[#This Row],[test_id]],experiments_specs!A:J,4,FALSE)</f>
        <v>2</v>
      </c>
      <c r="E175" s="38" t="str">
        <f>VLOOKUP(Tabella1[[#This Row],[test_id]],experiments_specs!A:J,5,FALSE)</f>
        <v>False</v>
      </c>
      <c r="F175" s="38" t="str">
        <f>VLOOKUP(Tabella1[[#This Row],[test_id]],experiments_specs!A:J,6,FALSE)</f>
        <v>True</v>
      </c>
      <c r="G175" s="38" t="str">
        <f>VLOOKUP(Tabella1[[#This Row],[test_id]],experiments_specs!A:J,7,FALSE)</f>
        <v>True</v>
      </c>
      <c r="H175" s="38" t="str">
        <f>VLOOKUP(Tabella1[[#This Row],[test_id]],experiments_specs!A:J,8,FALSE)</f>
        <v>False</v>
      </c>
      <c r="I175" s="45" t="str">
        <f>VLOOKUP(Tabella1[[#This Row],[test_id]],experiments_specs!A:J,9,FALSE)</f>
        <v>wup_similarity</v>
      </c>
      <c r="J175" s="38" t="str">
        <f>VLOOKUP(Tabella1[[#This Row],[test_id]],experiments_specs!A:J,10,FALSE)</f>
        <v>False</v>
      </c>
      <c r="K175" s="40" t="s">
        <v>15</v>
      </c>
      <c r="L175" s="36" t="s">
        <v>237</v>
      </c>
      <c r="M175" s="36">
        <v>7.3621000000000006E-2</v>
      </c>
      <c r="N175" s="36" t="s">
        <v>238</v>
      </c>
      <c r="O175" s="36">
        <v>2.758E-3</v>
      </c>
      <c r="P175" s="36">
        <v>0.2</v>
      </c>
      <c r="Q175" s="36" t="s">
        <v>383</v>
      </c>
      <c r="R175" s="36">
        <v>0</v>
      </c>
      <c r="S175" s="36" t="s">
        <v>384</v>
      </c>
      <c r="T175" s="36">
        <v>1.1587699999999999E-2</v>
      </c>
      <c r="U175" s="37">
        <v>0.22222222222222221</v>
      </c>
      <c r="V175"/>
    </row>
    <row r="176" spans="1:22" ht="17" x14ac:dyDescent="0.2">
      <c r="A176" s="36" t="s">
        <v>85</v>
      </c>
      <c r="B176" s="45" t="str">
        <f>VLOOKUP(Tabella1[[#This Row],[test_id]],experiments_specs!A:J,2,FALSE)</f>
        <v>NN,VB,VBD,VBG,VBN,VBP,VBZ</v>
      </c>
      <c r="C176" s="38">
        <f>VLOOKUP(Tabella1[[#This Row],[test_id]],experiments_specs!A:J,3,FALSE)</f>
        <v>1</v>
      </c>
      <c r="D176" s="38">
        <f>VLOOKUP(Tabella1[[#This Row],[test_id]],experiments_specs!A:J,4,FALSE)</f>
        <v>2</v>
      </c>
      <c r="E176" s="38" t="str">
        <f>VLOOKUP(Tabella1[[#This Row],[test_id]],experiments_specs!A:J,5,FALSE)</f>
        <v>False</v>
      </c>
      <c r="F176" s="38" t="str">
        <f>VLOOKUP(Tabella1[[#This Row],[test_id]],experiments_specs!A:J,6,FALSE)</f>
        <v>True</v>
      </c>
      <c r="G176" s="38" t="str">
        <f>VLOOKUP(Tabella1[[#This Row],[test_id]],experiments_specs!A:J,7,FALSE)</f>
        <v>True</v>
      </c>
      <c r="H176" s="38" t="str">
        <f>VLOOKUP(Tabella1[[#This Row],[test_id]],experiments_specs!A:J,8,FALSE)</f>
        <v>False</v>
      </c>
      <c r="I176" s="45" t="str">
        <f>VLOOKUP(Tabella1[[#This Row],[test_id]],experiments_specs!A:J,9,FALSE)</f>
        <v>wup_similarity</v>
      </c>
      <c r="J176" s="38" t="str">
        <f>VLOOKUP(Tabella1[[#This Row],[test_id]],experiments_specs!A:J,10,FALSE)</f>
        <v>False</v>
      </c>
      <c r="K176" s="40" t="s">
        <v>16</v>
      </c>
      <c r="L176" s="36" t="s">
        <v>208</v>
      </c>
      <c r="M176" s="36">
        <v>0.2041241</v>
      </c>
      <c r="N176" s="36" t="s">
        <v>209</v>
      </c>
      <c r="O176" s="36">
        <v>3.2967000000000001E-3</v>
      </c>
      <c r="P176" s="36">
        <v>0.55555555555555558</v>
      </c>
      <c r="Q176" s="36" t="s">
        <v>227</v>
      </c>
      <c r="R176" s="36">
        <v>3.5007000000000003E-2</v>
      </c>
      <c r="S176" s="36" t="s">
        <v>385</v>
      </c>
      <c r="T176" s="36">
        <v>4.2849999999999997E-3</v>
      </c>
      <c r="U176" s="37">
        <v>0.15384615384615385</v>
      </c>
      <c r="V176"/>
    </row>
    <row r="177" spans="1:22" ht="17" x14ac:dyDescent="0.2">
      <c r="A177" s="36" t="s">
        <v>85</v>
      </c>
      <c r="B177" s="45" t="str">
        <f>VLOOKUP(Tabella1[[#This Row],[test_id]],experiments_specs!A:J,2,FALSE)</f>
        <v>NN,VB,VBD,VBG,VBN,VBP,VBZ</v>
      </c>
      <c r="C177" s="38">
        <f>VLOOKUP(Tabella1[[#This Row],[test_id]],experiments_specs!A:J,3,FALSE)</f>
        <v>1</v>
      </c>
      <c r="D177" s="38">
        <f>VLOOKUP(Tabella1[[#This Row],[test_id]],experiments_specs!A:J,4,FALSE)</f>
        <v>2</v>
      </c>
      <c r="E177" s="38" t="str">
        <f>VLOOKUP(Tabella1[[#This Row],[test_id]],experiments_specs!A:J,5,FALSE)</f>
        <v>False</v>
      </c>
      <c r="F177" s="38" t="str">
        <f>VLOOKUP(Tabella1[[#This Row],[test_id]],experiments_specs!A:J,6,FALSE)</f>
        <v>True</v>
      </c>
      <c r="G177" s="38" t="str">
        <f>VLOOKUP(Tabella1[[#This Row],[test_id]],experiments_specs!A:J,7,FALSE)</f>
        <v>True</v>
      </c>
      <c r="H177" s="38" t="str">
        <f>VLOOKUP(Tabella1[[#This Row],[test_id]],experiments_specs!A:J,8,FALSE)</f>
        <v>False</v>
      </c>
      <c r="I177" s="45" t="str">
        <f>VLOOKUP(Tabella1[[#This Row],[test_id]],experiments_specs!A:J,9,FALSE)</f>
        <v>wup_similarity</v>
      </c>
      <c r="J177" s="38" t="str">
        <f>VLOOKUP(Tabella1[[#This Row],[test_id]],experiments_specs!A:J,10,FALSE)</f>
        <v>False</v>
      </c>
      <c r="K177" s="40" t="s">
        <v>17</v>
      </c>
      <c r="L177" s="36" t="s">
        <v>386</v>
      </c>
      <c r="M177" s="36">
        <v>4.6524200000000002E-2</v>
      </c>
      <c r="N177" s="36" t="s">
        <v>387</v>
      </c>
      <c r="O177" s="36">
        <v>2.6592E-3</v>
      </c>
      <c r="P177" s="36">
        <v>0.22222222222222221</v>
      </c>
      <c r="Q177" s="36" t="s">
        <v>30</v>
      </c>
      <c r="R177" s="36">
        <v>0.1234426</v>
      </c>
      <c r="S177" s="36" t="s">
        <v>380</v>
      </c>
      <c r="T177" s="36">
        <v>1.25988E-2</v>
      </c>
      <c r="U177" s="37">
        <v>0.2</v>
      </c>
      <c r="V177"/>
    </row>
    <row r="178" spans="1:22" ht="17" x14ac:dyDescent="0.2">
      <c r="A178" s="36" t="s">
        <v>85</v>
      </c>
      <c r="B178" s="45" t="str">
        <f>VLOOKUP(Tabella1[[#This Row],[test_id]],experiments_specs!A:J,2,FALSE)</f>
        <v>NN,VB,VBD,VBG,VBN,VBP,VBZ</v>
      </c>
      <c r="C178" s="38">
        <f>VLOOKUP(Tabella1[[#This Row],[test_id]],experiments_specs!A:J,3,FALSE)</f>
        <v>1</v>
      </c>
      <c r="D178" s="38">
        <f>VLOOKUP(Tabella1[[#This Row],[test_id]],experiments_specs!A:J,4,FALSE)</f>
        <v>2</v>
      </c>
      <c r="E178" s="38" t="str">
        <f>VLOOKUP(Tabella1[[#This Row],[test_id]],experiments_specs!A:J,5,FALSE)</f>
        <v>False</v>
      </c>
      <c r="F178" s="38" t="str">
        <f>VLOOKUP(Tabella1[[#This Row],[test_id]],experiments_specs!A:J,6,FALSE)</f>
        <v>True</v>
      </c>
      <c r="G178" s="38" t="str">
        <f>VLOOKUP(Tabella1[[#This Row],[test_id]],experiments_specs!A:J,7,FALSE)</f>
        <v>True</v>
      </c>
      <c r="H178" s="38" t="str">
        <f>VLOOKUP(Tabella1[[#This Row],[test_id]],experiments_specs!A:J,8,FALSE)</f>
        <v>False</v>
      </c>
      <c r="I178" s="45" t="str">
        <f>VLOOKUP(Tabella1[[#This Row],[test_id]],experiments_specs!A:J,9,FALSE)</f>
        <v>wup_similarity</v>
      </c>
      <c r="J178" s="38" t="str">
        <f>VLOOKUP(Tabella1[[#This Row],[test_id]],experiments_specs!A:J,10,FALSE)</f>
        <v>False</v>
      </c>
      <c r="K178" s="40" t="s">
        <v>18</v>
      </c>
      <c r="L178" s="36" t="s">
        <v>222</v>
      </c>
      <c r="M178" s="36">
        <v>9.4631999999999994E-2</v>
      </c>
      <c r="N178" s="36" t="s">
        <v>223</v>
      </c>
      <c r="O178" s="36">
        <v>1.5208999999999999E-3</v>
      </c>
      <c r="P178" s="36">
        <v>0.21052631578947367</v>
      </c>
      <c r="Q178" s="36" t="s">
        <v>388</v>
      </c>
      <c r="R178" s="36">
        <v>3.6835399999999997E-2</v>
      </c>
      <c r="S178" s="36" t="s">
        <v>389</v>
      </c>
      <c r="T178" s="36">
        <v>2.9377000000000001E-3</v>
      </c>
      <c r="U178" s="37">
        <v>0.125</v>
      </c>
      <c r="V178"/>
    </row>
    <row r="179" spans="1:22" ht="17" x14ac:dyDescent="0.2">
      <c r="A179" s="36" t="s">
        <v>86</v>
      </c>
      <c r="B179" s="45" t="str">
        <f>VLOOKUP(Tabella1[[#This Row],[test_id]],experiments_specs!A:J,2,FALSE)</f>
        <v>NN,RB</v>
      </c>
      <c r="C179" s="38">
        <f>VLOOKUP(Tabella1[[#This Row],[test_id]],experiments_specs!A:J,3,FALSE)</f>
        <v>1</v>
      </c>
      <c r="D179" s="38">
        <f>VLOOKUP(Tabella1[[#This Row],[test_id]],experiments_specs!A:J,4,FALSE)</f>
        <v>2</v>
      </c>
      <c r="E179" s="38" t="str">
        <f>VLOOKUP(Tabella1[[#This Row],[test_id]],experiments_specs!A:J,5,FALSE)</f>
        <v>False</v>
      </c>
      <c r="F179" s="38" t="str">
        <f>VLOOKUP(Tabella1[[#This Row],[test_id]],experiments_specs!A:J,6,FALSE)</f>
        <v>True</v>
      </c>
      <c r="G179" s="38" t="str">
        <f>VLOOKUP(Tabella1[[#This Row],[test_id]],experiments_specs!A:J,7,FALSE)</f>
        <v>True</v>
      </c>
      <c r="H179" s="38" t="str">
        <f>VLOOKUP(Tabella1[[#This Row],[test_id]],experiments_specs!A:J,8,FALSE)</f>
        <v>False</v>
      </c>
      <c r="I179" s="45" t="str">
        <f>VLOOKUP(Tabella1[[#This Row],[test_id]],experiments_specs!A:J,9,FALSE)</f>
        <v>wup_similarity</v>
      </c>
      <c r="J179" s="38" t="str">
        <f>VLOOKUP(Tabella1[[#This Row],[test_id]],experiments_specs!A:J,10,FALSE)</f>
        <v>False</v>
      </c>
      <c r="K179" s="40" t="s">
        <v>19</v>
      </c>
      <c r="L179" s="36" t="s">
        <v>354</v>
      </c>
      <c r="M179" s="36">
        <v>0.1180562</v>
      </c>
      <c r="N179" s="36" t="s">
        <v>288</v>
      </c>
      <c r="O179" s="36">
        <v>3.4705000000000001E-3</v>
      </c>
      <c r="P179" s="36">
        <v>0.19047619047619047</v>
      </c>
      <c r="Q179" s="36" t="s">
        <v>197</v>
      </c>
      <c r="R179" s="36">
        <v>4.5083400000000003E-2</v>
      </c>
      <c r="S179" s="36" t="s">
        <v>198</v>
      </c>
      <c r="T179" s="36">
        <v>4.3544999999999999E-3</v>
      </c>
      <c r="U179" s="37">
        <v>9.5238095238095233E-2</v>
      </c>
      <c r="V179"/>
    </row>
    <row r="180" spans="1:22" ht="34" x14ac:dyDescent="0.2">
      <c r="A180" s="36" t="s">
        <v>86</v>
      </c>
      <c r="B180" s="45" t="str">
        <f>VLOOKUP(Tabella1[[#This Row],[test_id]],experiments_specs!A:J,2,FALSE)</f>
        <v>NN,RB</v>
      </c>
      <c r="C180" s="38">
        <f>VLOOKUP(Tabella1[[#This Row],[test_id]],experiments_specs!A:J,3,FALSE)</f>
        <v>1</v>
      </c>
      <c r="D180" s="38">
        <f>VLOOKUP(Tabella1[[#This Row],[test_id]],experiments_specs!A:J,4,FALSE)</f>
        <v>2</v>
      </c>
      <c r="E180" s="38" t="str">
        <f>VLOOKUP(Tabella1[[#This Row],[test_id]],experiments_specs!A:J,5,FALSE)</f>
        <v>False</v>
      </c>
      <c r="F180" s="38" t="str">
        <f>VLOOKUP(Tabella1[[#This Row],[test_id]],experiments_specs!A:J,6,FALSE)</f>
        <v>True</v>
      </c>
      <c r="G180" s="38" t="str">
        <f>VLOOKUP(Tabella1[[#This Row],[test_id]],experiments_specs!A:J,7,FALSE)</f>
        <v>True</v>
      </c>
      <c r="H180" s="38" t="str">
        <f>VLOOKUP(Tabella1[[#This Row],[test_id]],experiments_specs!A:J,8,FALSE)</f>
        <v>False</v>
      </c>
      <c r="I180" s="45" t="str">
        <f>VLOOKUP(Tabella1[[#This Row],[test_id]],experiments_specs!A:J,9,FALSE)</f>
        <v>wup_similarity</v>
      </c>
      <c r="J180" s="38" t="str">
        <f>VLOOKUP(Tabella1[[#This Row],[test_id]],experiments_specs!A:J,10,FALSE)</f>
        <v>False</v>
      </c>
      <c r="K180" s="40" t="s">
        <v>12</v>
      </c>
      <c r="L180" s="36" t="s">
        <v>356</v>
      </c>
      <c r="M180" s="36" t="s">
        <v>358</v>
      </c>
      <c r="N180" s="36" t="s">
        <v>360</v>
      </c>
      <c r="O180" s="36" t="s">
        <v>362</v>
      </c>
      <c r="P180" s="36">
        <v>0.42857142857142855</v>
      </c>
      <c r="Q180" s="36" t="s">
        <v>363</v>
      </c>
      <c r="R180" s="36">
        <v>9.2253100000000005E-2</v>
      </c>
      <c r="S180" s="36" t="s">
        <v>364</v>
      </c>
      <c r="T180" s="36">
        <v>8.6651999999999996E-3</v>
      </c>
      <c r="U180" s="37">
        <v>0.2857142857142857</v>
      </c>
      <c r="V180"/>
    </row>
    <row r="181" spans="1:22" ht="17" x14ac:dyDescent="0.2">
      <c r="A181" s="36" t="s">
        <v>86</v>
      </c>
      <c r="B181" s="45" t="str">
        <f>VLOOKUP(Tabella1[[#This Row],[test_id]],experiments_specs!A:J,2,FALSE)</f>
        <v>NN,RB</v>
      </c>
      <c r="C181" s="38">
        <f>VLOOKUP(Tabella1[[#This Row],[test_id]],experiments_specs!A:J,3,FALSE)</f>
        <v>1</v>
      </c>
      <c r="D181" s="38">
        <f>VLOOKUP(Tabella1[[#This Row],[test_id]],experiments_specs!A:J,4,FALSE)</f>
        <v>2</v>
      </c>
      <c r="E181" s="38" t="str">
        <f>VLOOKUP(Tabella1[[#This Row],[test_id]],experiments_specs!A:J,5,FALSE)</f>
        <v>False</v>
      </c>
      <c r="F181" s="38" t="str">
        <f>VLOOKUP(Tabella1[[#This Row],[test_id]],experiments_specs!A:J,6,FALSE)</f>
        <v>True</v>
      </c>
      <c r="G181" s="38" t="str">
        <f>VLOOKUP(Tabella1[[#This Row],[test_id]],experiments_specs!A:J,7,FALSE)</f>
        <v>True</v>
      </c>
      <c r="H181" s="38" t="str">
        <f>VLOOKUP(Tabella1[[#This Row],[test_id]],experiments_specs!A:J,8,FALSE)</f>
        <v>False</v>
      </c>
      <c r="I181" s="45" t="str">
        <f>VLOOKUP(Tabella1[[#This Row],[test_id]],experiments_specs!A:J,9,FALSE)</f>
        <v>wup_similarity</v>
      </c>
      <c r="J181" s="38" t="str">
        <f>VLOOKUP(Tabella1[[#This Row],[test_id]],experiments_specs!A:J,10,FALSE)</f>
        <v>False</v>
      </c>
      <c r="K181" s="40" t="s">
        <v>13</v>
      </c>
      <c r="L181" s="36" t="s">
        <v>199</v>
      </c>
      <c r="M181" s="36">
        <v>0.18057870000000001</v>
      </c>
      <c r="N181" s="36" t="s">
        <v>200</v>
      </c>
      <c r="O181" s="36">
        <v>8.7422000000000003E-3</v>
      </c>
      <c r="P181" s="36" t="s">
        <v>25</v>
      </c>
      <c r="Q181" s="36" t="s">
        <v>201</v>
      </c>
      <c r="R181" s="36">
        <v>0</v>
      </c>
      <c r="S181" s="36" t="s">
        <v>200</v>
      </c>
      <c r="T181" s="36">
        <v>9.2478999999999999E-3</v>
      </c>
      <c r="U181" s="37" t="s">
        <v>25</v>
      </c>
      <c r="V181"/>
    </row>
    <row r="182" spans="1:22" ht="17" x14ac:dyDescent="0.2">
      <c r="A182" s="36" t="s">
        <v>86</v>
      </c>
      <c r="B182" s="45" t="str">
        <f>VLOOKUP(Tabella1[[#This Row],[test_id]],experiments_specs!A:J,2,FALSE)</f>
        <v>NN,RB</v>
      </c>
      <c r="C182" s="38">
        <f>VLOOKUP(Tabella1[[#This Row],[test_id]],experiments_specs!A:J,3,FALSE)</f>
        <v>1</v>
      </c>
      <c r="D182" s="38">
        <f>VLOOKUP(Tabella1[[#This Row],[test_id]],experiments_specs!A:J,4,FALSE)</f>
        <v>2</v>
      </c>
      <c r="E182" s="38" t="str">
        <f>VLOOKUP(Tabella1[[#This Row],[test_id]],experiments_specs!A:J,5,FALSE)</f>
        <v>False</v>
      </c>
      <c r="F182" s="38" t="str">
        <f>VLOOKUP(Tabella1[[#This Row],[test_id]],experiments_specs!A:J,6,FALSE)</f>
        <v>True</v>
      </c>
      <c r="G182" s="38" t="str">
        <f>VLOOKUP(Tabella1[[#This Row],[test_id]],experiments_specs!A:J,7,FALSE)</f>
        <v>True</v>
      </c>
      <c r="H182" s="38" t="str">
        <f>VLOOKUP(Tabella1[[#This Row],[test_id]],experiments_specs!A:J,8,FALSE)</f>
        <v>False</v>
      </c>
      <c r="I182" s="45" t="str">
        <f>VLOOKUP(Tabella1[[#This Row],[test_id]],experiments_specs!A:J,9,FALSE)</f>
        <v>wup_similarity</v>
      </c>
      <c r="J182" s="38" t="str">
        <f>VLOOKUP(Tabella1[[#This Row],[test_id]],experiments_specs!A:J,10,FALSE)</f>
        <v>False</v>
      </c>
      <c r="K182" s="40" t="s">
        <v>14</v>
      </c>
      <c r="L182" s="36" t="s">
        <v>202</v>
      </c>
      <c r="M182" s="36">
        <v>0.13201959999999999</v>
      </c>
      <c r="N182" s="36" t="s">
        <v>203</v>
      </c>
      <c r="O182" s="36">
        <v>4.0987999999999997E-3</v>
      </c>
      <c r="P182" s="36">
        <v>0.14285714285714285</v>
      </c>
      <c r="Q182" s="36" t="s">
        <v>204</v>
      </c>
      <c r="R182" s="36">
        <v>0</v>
      </c>
      <c r="S182" s="36" t="s">
        <v>205</v>
      </c>
      <c r="T182" s="36">
        <v>6.6150000000000002E-3</v>
      </c>
      <c r="U182" s="37">
        <v>0.625</v>
      </c>
      <c r="V182"/>
    </row>
    <row r="183" spans="1:22" ht="17" x14ac:dyDescent="0.2">
      <c r="A183" s="36" t="s">
        <v>86</v>
      </c>
      <c r="B183" s="45" t="str">
        <f>VLOOKUP(Tabella1[[#This Row],[test_id]],experiments_specs!A:J,2,FALSE)</f>
        <v>NN,RB</v>
      </c>
      <c r="C183" s="38">
        <f>VLOOKUP(Tabella1[[#This Row],[test_id]],experiments_specs!A:J,3,FALSE)</f>
        <v>1</v>
      </c>
      <c r="D183" s="38">
        <f>VLOOKUP(Tabella1[[#This Row],[test_id]],experiments_specs!A:J,4,FALSE)</f>
        <v>2</v>
      </c>
      <c r="E183" s="38" t="str">
        <f>VLOOKUP(Tabella1[[#This Row],[test_id]],experiments_specs!A:J,5,FALSE)</f>
        <v>False</v>
      </c>
      <c r="F183" s="38" t="str">
        <f>VLOOKUP(Tabella1[[#This Row],[test_id]],experiments_specs!A:J,6,FALSE)</f>
        <v>True</v>
      </c>
      <c r="G183" s="38" t="str">
        <f>VLOOKUP(Tabella1[[#This Row],[test_id]],experiments_specs!A:J,7,FALSE)</f>
        <v>True</v>
      </c>
      <c r="H183" s="38" t="str">
        <f>VLOOKUP(Tabella1[[#This Row],[test_id]],experiments_specs!A:J,8,FALSE)</f>
        <v>False</v>
      </c>
      <c r="I183" s="45" t="str">
        <f>VLOOKUP(Tabella1[[#This Row],[test_id]],experiments_specs!A:J,9,FALSE)</f>
        <v>wup_similarity</v>
      </c>
      <c r="J183" s="38" t="str">
        <f>VLOOKUP(Tabella1[[#This Row],[test_id]],experiments_specs!A:J,10,FALSE)</f>
        <v>False</v>
      </c>
      <c r="K183" s="40" t="s">
        <v>15</v>
      </c>
      <c r="L183" s="36" t="s">
        <v>26</v>
      </c>
      <c r="M183" s="36">
        <v>0.18033389999999999</v>
      </c>
      <c r="N183" s="36" t="s">
        <v>27</v>
      </c>
      <c r="O183" s="36">
        <v>3.8800000000000002E-3</v>
      </c>
      <c r="P183" s="36">
        <v>0.16666666666666666</v>
      </c>
      <c r="Q183" s="36" t="s">
        <v>365</v>
      </c>
      <c r="R183" s="36">
        <v>0</v>
      </c>
      <c r="S183" s="36" t="s">
        <v>26</v>
      </c>
      <c r="T183" s="36">
        <v>1.10974E-2</v>
      </c>
      <c r="U183" s="37">
        <v>0.18181818181818182</v>
      </c>
      <c r="V183"/>
    </row>
    <row r="184" spans="1:22" ht="34" x14ac:dyDescent="0.2">
      <c r="A184" s="36" t="s">
        <v>86</v>
      </c>
      <c r="B184" s="45" t="str">
        <f>VLOOKUP(Tabella1[[#This Row],[test_id]],experiments_specs!A:J,2,FALSE)</f>
        <v>NN,RB</v>
      </c>
      <c r="C184" s="38">
        <f>VLOOKUP(Tabella1[[#This Row],[test_id]],experiments_specs!A:J,3,FALSE)</f>
        <v>1</v>
      </c>
      <c r="D184" s="38">
        <f>VLOOKUP(Tabella1[[#This Row],[test_id]],experiments_specs!A:J,4,FALSE)</f>
        <v>2</v>
      </c>
      <c r="E184" s="38" t="str">
        <f>VLOOKUP(Tabella1[[#This Row],[test_id]],experiments_specs!A:J,5,FALSE)</f>
        <v>False</v>
      </c>
      <c r="F184" s="38" t="str">
        <f>VLOOKUP(Tabella1[[#This Row],[test_id]],experiments_specs!A:J,6,FALSE)</f>
        <v>True</v>
      </c>
      <c r="G184" s="38" t="str">
        <f>VLOOKUP(Tabella1[[#This Row],[test_id]],experiments_specs!A:J,7,FALSE)</f>
        <v>True</v>
      </c>
      <c r="H184" s="38" t="str">
        <f>VLOOKUP(Tabella1[[#This Row],[test_id]],experiments_specs!A:J,8,FALSE)</f>
        <v>False</v>
      </c>
      <c r="I184" s="45" t="str">
        <f>VLOOKUP(Tabella1[[#This Row],[test_id]],experiments_specs!A:J,9,FALSE)</f>
        <v>wup_similarity</v>
      </c>
      <c r="J184" s="38" t="str">
        <f>VLOOKUP(Tabella1[[#This Row],[test_id]],experiments_specs!A:J,10,FALSE)</f>
        <v>False</v>
      </c>
      <c r="K184" s="40" t="s">
        <v>16</v>
      </c>
      <c r="L184" s="36" t="s">
        <v>208</v>
      </c>
      <c r="M184" s="36">
        <v>0.2041241</v>
      </c>
      <c r="N184" s="36" t="s">
        <v>209</v>
      </c>
      <c r="O184" s="36">
        <v>3.6392E-3</v>
      </c>
      <c r="P184" s="36">
        <v>0.55555555555555558</v>
      </c>
      <c r="Q184" s="36" t="s">
        <v>211</v>
      </c>
      <c r="R184" s="36" t="s">
        <v>367</v>
      </c>
      <c r="S184" s="36" t="s">
        <v>369</v>
      </c>
      <c r="T184" s="36" t="s">
        <v>371</v>
      </c>
      <c r="U184" s="37">
        <v>0.13333333333333333</v>
      </c>
      <c r="V184"/>
    </row>
    <row r="185" spans="1:22" ht="17" x14ac:dyDescent="0.2">
      <c r="A185" s="36" t="s">
        <v>86</v>
      </c>
      <c r="B185" s="45" t="str">
        <f>VLOOKUP(Tabella1[[#This Row],[test_id]],experiments_specs!A:J,2,FALSE)</f>
        <v>NN,RB</v>
      </c>
      <c r="C185" s="38">
        <f>VLOOKUP(Tabella1[[#This Row],[test_id]],experiments_specs!A:J,3,FALSE)</f>
        <v>1</v>
      </c>
      <c r="D185" s="38">
        <f>VLOOKUP(Tabella1[[#This Row],[test_id]],experiments_specs!A:J,4,FALSE)</f>
        <v>2</v>
      </c>
      <c r="E185" s="38" t="str">
        <f>VLOOKUP(Tabella1[[#This Row],[test_id]],experiments_specs!A:J,5,FALSE)</f>
        <v>False</v>
      </c>
      <c r="F185" s="38" t="str">
        <f>VLOOKUP(Tabella1[[#This Row],[test_id]],experiments_specs!A:J,6,FALSE)</f>
        <v>True</v>
      </c>
      <c r="G185" s="38" t="str">
        <f>VLOOKUP(Tabella1[[#This Row],[test_id]],experiments_specs!A:J,7,FALSE)</f>
        <v>True</v>
      </c>
      <c r="H185" s="38" t="str">
        <f>VLOOKUP(Tabella1[[#This Row],[test_id]],experiments_specs!A:J,8,FALSE)</f>
        <v>False</v>
      </c>
      <c r="I185" s="45" t="str">
        <f>VLOOKUP(Tabella1[[#This Row],[test_id]],experiments_specs!A:J,9,FALSE)</f>
        <v>wup_similarity</v>
      </c>
      <c r="J185" s="38" t="str">
        <f>VLOOKUP(Tabella1[[#This Row],[test_id]],experiments_specs!A:J,10,FALSE)</f>
        <v>False</v>
      </c>
      <c r="K185" s="40" t="s">
        <v>17</v>
      </c>
      <c r="L185" s="36" t="s">
        <v>218</v>
      </c>
      <c r="M185" s="36">
        <v>0.18898219999999999</v>
      </c>
      <c r="N185" s="36" t="s">
        <v>219</v>
      </c>
      <c r="O185" s="36">
        <v>2.9120999999999999E-3</v>
      </c>
      <c r="P185" s="36">
        <v>0.13333333333333333</v>
      </c>
      <c r="Q185" s="36" t="s">
        <v>220</v>
      </c>
      <c r="R185" s="36">
        <v>7.7151600000000001E-2</v>
      </c>
      <c r="S185" s="36" t="s">
        <v>221</v>
      </c>
      <c r="T185" s="36">
        <v>5.6293999999999997E-3</v>
      </c>
      <c r="U185" s="37">
        <v>0.33333333333333331</v>
      </c>
      <c r="V185"/>
    </row>
    <row r="186" spans="1:22" ht="17" x14ac:dyDescent="0.2">
      <c r="A186" s="36" t="s">
        <v>86</v>
      </c>
      <c r="B186" s="45" t="str">
        <f>VLOOKUP(Tabella1[[#This Row],[test_id]],experiments_specs!A:J,2,FALSE)</f>
        <v>NN,RB</v>
      </c>
      <c r="C186" s="38">
        <f>VLOOKUP(Tabella1[[#This Row],[test_id]],experiments_specs!A:J,3,FALSE)</f>
        <v>1</v>
      </c>
      <c r="D186" s="38">
        <f>VLOOKUP(Tabella1[[#This Row],[test_id]],experiments_specs!A:J,4,FALSE)</f>
        <v>2</v>
      </c>
      <c r="E186" s="38" t="str">
        <f>VLOOKUP(Tabella1[[#This Row],[test_id]],experiments_specs!A:J,5,FALSE)</f>
        <v>False</v>
      </c>
      <c r="F186" s="38" t="str">
        <f>VLOOKUP(Tabella1[[#This Row],[test_id]],experiments_specs!A:J,6,FALSE)</f>
        <v>True</v>
      </c>
      <c r="G186" s="38" t="str">
        <f>VLOOKUP(Tabella1[[#This Row],[test_id]],experiments_specs!A:J,7,FALSE)</f>
        <v>True</v>
      </c>
      <c r="H186" s="38" t="str">
        <f>VLOOKUP(Tabella1[[#This Row],[test_id]],experiments_specs!A:J,8,FALSE)</f>
        <v>False</v>
      </c>
      <c r="I186" s="45" t="str">
        <f>VLOOKUP(Tabella1[[#This Row],[test_id]],experiments_specs!A:J,9,FALSE)</f>
        <v>wup_similarity</v>
      </c>
      <c r="J186" s="38" t="str">
        <f>VLOOKUP(Tabella1[[#This Row],[test_id]],experiments_specs!A:J,10,FALSE)</f>
        <v>False</v>
      </c>
      <c r="K186" s="40" t="s">
        <v>18</v>
      </c>
      <c r="L186" s="36" t="s">
        <v>222</v>
      </c>
      <c r="M186" s="36">
        <v>9.4631999999999994E-2</v>
      </c>
      <c r="N186" s="36" t="s">
        <v>223</v>
      </c>
      <c r="O186" s="36">
        <v>2.8111E-3</v>
      </c>
      <c r="P186" s="36">
        <v>0.21052631578947367</v>
      </c>
      <c r="Q186" s="36" t="s">
        <v>224</v>
      </c>
      <c r="R186" s="36">
        <v>7.7266699999999994E-2</v>
      </c>
      <c r="S186" s="36" t="s">
        <v>223</v>
      </c>
      <c r="T186" s="36">
        <v>3.4145E-3</v>
      </c>
      <c r="U186" s="37">
        <v>0.21052631578947367</v>
      </c>
      <c r="V186"/>
    </row>
    <row r="187" spans="1:22" ht="17" x14ac:dyDescent="0.2">
      <c r="A187" s="36" t="s">
        <v>87</v>
      </c>
      <c r="B187" s="45" t="str">
        <f>VLOOKUP(Tabella1[[#This Row],[test_id]],experiments_specs!A:J,2,FALSE)</f>
        <v>NN,JJ,VB,VBD,VBG,VBN,VBP,VBZ</v>
      </c>
      <c r="C187" s="38">
        <f>VLOOKUP(Tabella1[[#This Row],[test_id]],experiments_specs!A:J,3,FALSE)</f>
        <v>1</v>
      </c>
      <c r="D187" s="38">
        <f>VLOOKUP(Tabella1[[#This Row],[test_id]],experiments_specs!A:J,4,FALSE)</f>
        <v>2</v>
      </c>
      <c r="E187" s="38" t="str">
        <f>VLOOKUP(Tabella1[[#This Row],[test_id]],experiments_specs!A:J,5,FALSE)</f>
        <v>False</v>
      </c>
      <c r="F187" s="38" t="str">
        <f>VLOOKUP(Tabella1[[#This Row],[test_id]],experiments_specs!A:J,6,FALSE)</f>
        <v>True</v>
      </c>
      <c r="G187" s="38" t="str">
        <f>VLOOKUP(Tabella1[[#This Row],[test_id]],experiments_specs!A:J,7,FALSE)</f>
        <v>True</v>
      </c>
      <c r="H187" s="38" t="str">
        <f>VLOOKUP(Tabella1[[#This Row],[test_id]],experiments_specs!A:J,8,FALSE)</f>
        <v>False</v>
      </c>
      <c r="I187" s="45" t="str">
        <f>VLOOKUP(Tabella1[[#This Row],[test_id]],experiments_specs!A:J,9,FALSE)</f>
        <v>wup_similarity</v>
      </c>
      <c r="J187" s="38" t="str">
        <f>VLOOKUP(Tabella1[[#This Row],[test_id]],experiments_specs!A:J,10,FALSE)</f>
        <v>False</v>
      </c>
      <c r="K187" s="40" t="s">
        <v>19</v>
      </c>
      <c r="L187" s="36" t="s">
        <v>225</v>
      </c>
      <c r="M187" s="36">
        <v>0.14024809999999999</v>
      </c>
      <c r="N187" s="36" t="s">
        <v>226</v>
      </c>
      <c r="O187" s="36">
        <v>2.2051000000000002E-3</v>
      </c>
      <c r="P187" s="36">
        <v>0.17391304347826086</v>
      </c>
      <c r="Q187" s="36" t="s">
        <v>227</v>
      </c>
      <c r="R187" s="36">
        <v>0</v>
      </c>
      <c r="S187" s="36" t="s">
        <v>228</v>
      </c>
      <c r="T187" s="36">
        <v>5.6026000000000001E-3</v>
      </c>
      <c r="U187" s="37">
        <v>0.11764705882352941</v>
      </c>
      <c r="V187"/>
    </row>
    <row r="188" spans="1:22" ht="17" x14ac:dyDescent="0.2">
      <c r="A188" s="36" t="s">
        <v>87</v>
      </c>
      <c r="B188" s="45" t="str">
        <f>VLOOKUP(Tabella1[[#This Row],[test_id]],experiments_specs!A:J,2,FALSE)</f>
        <v>NN,JJ,VB,VBD,VBG,VBN,VBP,VBZ</v>
      </c>
      <c r="C188" s="38">
        <f>VLOOKUP(Tabella1[[#This Row],[test_id]],experiments_specs!A:J,3,FALSE)</f>
        <v>1</v>
      </c>
      <c r="D188" s="38">
        <f>VLOOKUP(Tabella1[[#This Row],[test_id]],experiments_specs!A:J,4,FALSE)</f>
        <v>2</v>
      </c>
      <c r="E188" s="38" t="str">
        <f>VLOOKUP(Tabella1[[#This Row],[test_id]],experiments_specs!A:J,5,FALSE)</f>
        <v>False</v>
      </c>
      <c r="F188" s="38" t="str">
        <f>VLOOKUP(Tabella1[[#This Row],[test_id]],experiments_specs!A:J,6,FALSE)</f>
        <v>True</v>
      </c>
      <c r="G188" s="38" t="str">
        <f>VLOOKUP(Tabella1[[#This Row],[test_id]],experiments_specs!A:J,7,FALSE)</f>
        <v>True</v>
      </c>
      <c r="H188" s="38" t="str">
        <f>VLOOKUP(Tabella1[[#This Row],[test_id]],experiments_specs!A:J,8,FALSE)</f>
        <v>False</v>
      </c>
      <c r="I188" s="45" t="str">
        <f>VLOOKUP(Tabella1[[#This Row],[test_id]],experiments_specs!A:J,9,FALSE)</f>
        <v>wup_similarity</v>
      </c>
      <c r="J188" s="38" t="str">
        <f>VLOOKUP(Tabella1[[#This Row],[test_id]],experiments_specs!A:J,10,FALSE)</f>
        <v>False</v>
      </c>
      <c r="K188" s="40" t="s">
        <v>12</v>
      </c>
      <c r="L188" s="36" t="s">
        <v>251</v>
      </c>
      <c r="M188" s="36">
        <v>0.1190982</v>
      </c>
      <c r="N188" s="36" t="s">
        <v>236</v>
      </c>
      <c r="O188" s="36">
        <v>2.362E-3</v>
      </c>
      <c r="P188" s="36">
        <v>0.125</v>
      </c>
      <c r="Q188" s="36" t="s">
        <v>235</v>
      </c>
      <c r="R188" s="36">
        <v>0</v>
      </c>
      <c r="S188" s="36" t="s">
        <v>236</v>
      </c>
      <c r="T188" s="36">
        <v>5.4095000000000002E-3</v>
      </c>
      <c r="U188" s="37">
        <v>0.125</v>
      </c>
      <c r="V188"/>
    </row>
    <row r="189" spans="1:22" ht="17" x14ac:dyDescent="0.2">
      <c r="A189" s="36" t="s">
        <v>87</v>
      </c>
      <c r="B189" s="45" t="str">
        <f>VLOOKUP(Tabella1[[#This Row],[test_id]],experiments_specs!A:J,2,FALSE)</f>
        <v>NN,JJ,VB,VBD,VBG,VBN,VBP,VBZ</v>
      </c>
      <c r="C189" s="38">
        <f>VLOOKUP(Tabella1[[#This Row],[test_id]],experiments_specs!A:J,3,FALSE)</f>
        <v>1</v>
      </c>
      <c r="D189" s="38">
        <f>VLOOKUP(Tabella1[[#This Row],[test_id]],experiments_specs!A:J,4,FALSE)</f>
        <v>2</v>
      </c>
      <c r="E189" s="38" t="str">
        <f>VLOOKUP(Tabella1[[#This Row],[test_id]],experiments_specs!A:J,5,FALSE)</f>
        <v>False</v>
      </c>
      <c r="F189" s="38" t="str">
        <f>VLOOKUP(Tabella1[[#This Row],[test_id]],experiments_specs!A:J,6,FALSE)</f>
        <v>True</v>
      </c>
      <c r="G189" s="38" t="str">
        <f>VLOOKUP(Tabella1[[#This Row],[test_id]],experiments_specs!A:J,7,FALSE)</f>
        <v>True</v>
      </c>
      <c r="H189" s="38" t="str">
        <f>VLOOKUP(Tabella1[[#This Row],[test_id]],experiments_specs!A:J,8,FALSE)</f>
        <v>False</v>
      </c>
      <c r="I189" s="45" t="str">
        <f>VLOOKUP(Tabella1[[#This Row],[test_id]],experiments_specs!A:J,9,FALSE)</f>
        <v>wup_similarity</v>
      </c>
      <c r="J189" s="38" t="str">
        <f>VLOOKUP(Tabella1[[#This Row],[test_id]],experiments_specs!A:J,10,FALSE)</f>
        <v>False</v>
      </c>
      <c r="K189" s="40" t="s">
        <v>13</v>
      </c>
      <c r="L189" s="36" t="s">
        <v>199</v>
      </c>
      <c r="M189" s="36">
        <v>0.18057870000000001</v>
      </c>
      <c r="N189" s="36" t="s">
        <v>200</v>
      </c>
      <c r="O189" s="36">
        <v>5.1424000000000001E-3</v>
      </c>
      <c r="P189" s="36" t="s">
        <v>25</v>
      </c>
      <c r="Q189" s="36" t="s">
        <v>201</v>
      </c>
      <c r="R189" s="36">
        <v>0</v>
      </c>
      <c r="S189" s="36" t="s">
        <v>200</v>
      </c>
      <c r="T189" s="36">
        <v>6.9588999999999996E-3</v>
      </c>
      <c r="U189" s="37" t="s">
        <v>25</v>
      </c>
      <c r="V189"/>
    </row>
    <row r="190" spans="1:22" ht="17" x14ac:dyDescent="0.2">
      <c r="A190" s="36" t="s">
        <v>87</v>
      </c>
      <c r="B190" s="45" t="str">
        <f>VLOOKUP(Tabella1[[#This Row],[test_id]],experiments_specs!A:J,2,FALSE)</f>
        <v>NN,JJ,VB,VBD,VBG,VBN,VBP,VBZ</v>
      </c>
      <c r="C190" s="38">
        <f>VLOOKUP(Tabella1[[#This Row],[test_id]],experiments_specs!A:J,3,FALSE)</f>
        <v>1</v>
      </c>
      <c r="D190" s="38">
        <f>VLOOKUP(Tabella1[[#This Row],[test_id]],experiments_specs!A:J,4,FALSE)</f>
        <v>2</v>
      </c>
      <c r="E190" s="38" t="str">
        <f>VLOOKUP(Tabella1[[#This Row],[test_id]],experiments_specs!A:J,5,FALSE)</f>
        <v>False</v>
      </c>
      <c r="F190" s="38" t="str">
        <f>VLOOKUP(Tabella1[[#This Row],[test_id]],experiments_specs!A:J,6,FALSE)</f>
        <v>True</v>
      </c>
      <c r="G190" s="38" t="str">
        <f>VLOOKUP(Tabella1[[#This Row],[test_id]],experiments_specs!A:J,7,FALSE)</f>
        <v>True</v>
      </c>
      <c r="H190" s="38" t="str">
        <f>VLOOKUP(Tabella1[[#This Row],[test_id]],experiments_specs!A:J,8,FALSE)</f>
        <v>False</v>
      </c>
      <c r="I190" s="45" t="str">
        <f>VLOOKUP(Tabella1[[#This Row],[test_id]],experiments_specs!A:J,9,FALSE)</f>
        <v>wup_similarity</v>
      </c>
      <c r="J190" s="38" t="str">
        <f>VLOOKUP(Tabella1[[#This Row],[test_id]],experiments_specs!A:J,10,FALSE)</f>
        <v>False</v>
      </c>
      <c r="K190" s="40" t="s">
        <v>14</v>
      </c>
      <c r="L190" s="36" t="s">
        <v>381</v>
      </c>
      <c r="M190" s="36">
        <v>0.1290994</v>
      </c>
      <c r="N190" s="36" t="s">
        <v>382</v>
      </c>
      <c r="O190" s="36">
        <v>2.4215E-3</v>
      </c>
      <c r="P190" s="36">
        <v>0.625</v>
      </c>
      <c r="Q190" s="36" t="s">
        <v>204</v>
      </c>
      <c r="R190" s="36">
        <v>0</v>
      </c>
      <c r="S190" s="36" t="s">
        <v>205</v>
      </c>
      <c r="T190" s="36">
        <v>4.9344000000000002E-3</v>
      </c>
      <c r="U190" s="37">
        <v>0.625</v>
      </c>
      <c r="V190"/>
    </row>
    <row r="191" spans="1:22" ht="17" x14ac:dyDescent="0.2">
      <c r="A191" s="36" t="s">
        <v>87</v>
      </c>
      <c r="B191" s="45" t="str">
        <f>VLOOKUP(Tabella1[[#This Row],[test_id]],experiments_specs!A:J,2,FALSE)</f>
        <v>NN,JJ,VB,VBD,VBG,VBN,VBP,VBZ</v>
      </c>
      <c r="C191" s="38">
        <f>VLOOKUP(Tabella1[[#This Row],[test_id]],experiments_specs!A:J,3,FALSE)</f>
        <v>1</v>
      </c>
      <c r="D191" s="38">
        <f>VLOOKUP(Tabella1[[#This Row],[test_id]],experiments_specs!A:J,4,FALSE)</f>
        <v>2</v>
      </c>
      <c r="E191" s="38" t="str">
        <f>VLOOKUP(Tabella1[[#This Row],[test_id]],experiments_specs!A:J,5,FALSE)</f>
        <v>False</v>
      </c>
      <c r="F191" s="38" t="str">
        <f>VLOOKUP(Tabella1[[#This Row],[test_id]],experiments_specs!A:J,6,FALSE)</f>
        <v>True</v>
      </c>
      <c r="G191" s="38" t="str">
        <f>VLOOKUP(Tabella1[[#This Row],[test_id]],experiments_specs!A:J,7,FALSE)</f>
        <v>True</v>
      </c>
      <c r="H191" s="38" t="str">
        <f>VLOOKUP(Tabella1[[#This Row],[test_id]],experiments_specs!A:J,8,FALSE)</f>
        <v>False</v>
      </c>
      <c r="I191" s="45" t="str">
        <f>VLOOKUP(Tabella1[[#This Row],[test_id]],experiments_specs!A:J,9,FALSE)</f>
        <v>wup_similarity</v>
      </c>
      <c r="J191" s="38" t="str">
        <f>VLOOKUP(Tabella1[[#This Row],[test_id]],experiments_specs!A:J,10,FALSE)</f>
        <v>False</v>
      </c>
      <c r="K191" s="40" t="s">
        <v>15</v>
      </c>
      <c r="L191" s="36" t="s">
        <v>237</v>
      </c>
      <c r="M191" s="36">
        <v>7.3621000000000006E-2</v>
      </c>
      <c r="N191" s="36" t="s">
        <v>238</v>
      </c>
      <c r="O191" s="36">
        <v>2.4283E-3</v>
      </c>
      <c r="P191" s="36">
        <v>0.2</v>
      </c>
      <c r="Q191" s="36" t="s">
        <v>383</v>
      </c>
      <c r="R191" s="36">
        <v>0</v>
      </c>
      <c r="S191" s="36" t="s">
        <v>384</v>
      </c>
      <c r="T191" s="36">
        <v>1.10974E-2</v>
      </c>
      <c r="U191" s="37">
        <v>0.22222222222222221</v>
      </c>
      <c r="V191"/>
    </row>
    <row r="192" spans="1:22" ht="17" x14ac:dyDescent="0.2">
      <c r="A192" s="36" t="s">
        <v>87</v>
      </c>
      <c r="B192" s="45" t="str">
        <f>VLOOKUP(Tabella1[[#This Row],[test_id]],experiments_specs!A:J,2,FALSE)</f>
        <v>NN,JJ,VB,VBD,VBG,VBN,VBP,VBZ</v>
      </c>
      <c r="C192" s="38">
        <f>VLOOKUP(Tabella1[[#This Row],[test_id]],experiments_specs!A:J,3,FALSE)</f>
        <v>1</v>
      </c>
      <c r="D192" s="38">
        <f>VLOOKUP(Tabella1[[#This Row],[test_id]],experiments_specs!A:J,4,FALSE)</f>
        <v>2</v>
      </c>
      <c r="E192" s="38" t="str">
        <f>VLOOKUP(Tabella1[[#This Row],[test_id]],experiments_specs!A:J,5,FALSE)</f>
        <v>False</v>
      </c>
      <c r="F192" s="38" t="str">
        <f>VLOOKUP(Tabella1[[#This Row],[test_id]],experiments_specs!A:J,6,FALSE)</f>
        <v>True</v>
      </c>
      <c r="G192" s="38" t="str">
        <f>VLOOKUP(Tabella1[[#This Row],[test_id]],experiments_specs!A:J,7,FALSE)</f>
        <v>True</v>
      </c>
      <c r="H192" s="38" t="str">
        <f>VLOOKUP(Tabella1[[#This Row],[test_id]],experiments_specs!A:J,8,FALSE)</f>
        <v>False</v>
      </c>
      <c r="I192" s="45" t="str">
        <f>VLOOKUP(Tabella1[[#This Row],[test_id]],experiments_specs!A:J,9,FALSE)</f>
        <v>wup_similarity</v>
      </c>
      <c r="J192" s="38" t="str">
        <f>VLOOKUP(Tabella1[[#This Row],[test_id]],experiments_specs!A:J,10,FALSE)</f>
        <v>False</v>
      </c>
      <c r="K192" s="40" t="s">
        <v>16</v>
      </c>
      <c r="L192" s="36" t="s">
        <v>208</v>
      </c>
      <c r="M192" s="36">
        <v>0.2041241</v>
      </c>
      <c r="N192" s="36" t="s">
        <v>209</v>
      </c>
      <c r="O192" s="36">
        <v>2.8305000000000001E-3</v>
      </c>
      <c r="P192" s="36">
        <v>0.55555555555555558</v>
      </c>
      <c r="Q192" s="36" t="s">
        <v>227</v>
      </c>
      <c r="R192" s="36">
        <v>3.5007000000000003E-2</v>
      </c>
      <c r="S192" s="36" t="s">
        <v>385</v>
      </c>
      <c r="T192" s="36">
        <v>4.2525000000000002E-3</v>
      </c>
      <c r="U192" s="37">
        <v>0.15384615384615385</v>
      </c>
      <c r="V192"/>
    </row>
    <row r="193" spans="1:22" ht="17" x14ac:dyDescent="0.2">
      <c r="A193" s="36" t="s">
        <v>87</v>
      </c>
      <c r="B193" s="45" t="str">
        <f>VLOOKUP(Tabella1[[#This Row],[test_id]],experiments_specs!A:J,2,FALSE)</f>
        <v>NN,JJ,VB,VBD,VBG,VBN,VBP,VBZ</v>
      </c>
      <c r="C193" s="38">
        <f>VLOOKUP(Tabella1[[#This Row],[test_id]],experiments_specs!A:J,3,FALSE)</f>
        <v>1</v>
      </c>
      <c r="D193" s="38">
        <f>VLOOKUP(Tabella1[[#This Row],[test_id]],experiments_specs!A:J,4,FALSE)</f>
        <v>2</v>
      </c>
      <c r="E193" s="38" t="str">
        <f>VLOOKUP(Tabella1[[#This Row],[test_id]],experiments_specs!A:J,5,FALSE)</f>
        <v>False</v>
      </c>
      <c r="F193" s="38" t="str">
        <f>VLOOKUP(Tabella1[[#This Row],[test_id]],experiments_specs!A:J,6,FALSE)</f>
        <v>True</v>
      </c>
      <c r="G193" s="38" t="str">
        <f>VLOOKUP(Tabella1[[#This Row],[test_id]],experiments_specs!A:J,7,FALSE)</f>
        <v>True</v>
      </c>
      <c r="H193" s="38" t="str">
        <f>VLOOKUP(Tabella1[[#This Row],[test_id]],experiments_specs!A:J,8,FALSE)</f>
        <v>False</v>
      </c>
      <c r="I193" s="45" t="str">
        <f>VLOOKUP(Tabella1[[#This Row],[test_id]],experiments_specs!A:J,9,FALSE)</f>
        <v>wup_similarity</v>
      </c>
      <c r="J193" s="38" t="str">
        <f>VLOOKUP(Tabella1[[#This Row],[test_id]],experiments_specs!A:J,10,FALSE)</f>
        <v>False</v>
      </c>
      <c r="K193" s="40" t="s">
        <v>17</v>
      </c>
      <c r="L193" s="36" t="s">
        <v>386</v>
      </c>
      <c r="M193" s="36">
        <v>4.6524200000000002E-2</v>
      </c>
      <c r="N193" s="36" t="s">
        <v>387</v>
      </c>
      <c r="O193" s="36">
        <v>2.5416000000000002E-3</v>
      </c>
      <c r="P193" s="36">
        <v>0.22222222222222221</v>
      </c>
      <c r="Q193" s="36" t="s">
        <v>30</v>
      </c>
      <c r="R193" s="36">
        <v>0.1234426</v>
      </c>
      <c r="S193" s="36" t="s">
        <v>380</v>
      </c>
      <c r="T193" s="36">
        <v>1.25094E-2</v>
      </c>
      <c r="U193" s="37">
        <v>0.2</v>
      </c>
      <c r="V193"/>
    </row>
    <row r="194" spans="1:22" ht="17" x14ac:dyDescent="0.2">
      <c r="A194" s="36" t="s">
        <v>87</v>
      </c>
      <c r="B194" s="45" t="str">
        <f>VLOOKUP(Tabella1[[#This Row],[test_id]],experiments_specs!A:J,2,FALSE)</f>
        <v>NN,JJ,VB,VBD,VBG,VBN,VBP,VBZ</v>
      </c>
      <c r="C194" s="38">
        <f>VLOOKUP(Tabella1[[#This Row],[test_id]],experiments_specs!A:J,3,FALSE)</f>
        <v>1</v>
      </c>
      <c r="D194" s="38">
        <f>VLOOKUP(Tabella1[[#This Row],[test_id]],experiments_specs!A:J,4,FALSE)</f>
        <v>2</v>
      </c>
      <c r="E194" s="38" t="str">
        <f>VLOOKUP(Tabella1[[#This Row],[test_id]],experiments_specs!A:J,5,FALSE)</f>
        <v>False</v>
      </c>
      <c r="F194" s="38" t="str">
        <f>VLOOKUP(Tabella1[[#This Row],[test_id]],experiments_specs!A:J,6,FALSE)</f>
        <v>True</v>
      </c>
      <c r="G194" s="38" t="str">
        <f>VLOOKUP(Tabella1[[#This Row],[test_id]],experiments_specs!A:J,7,FALSE)</f>
        <v>True</v>
      </c>
      <c r="H194" s="38" t="str">
        <f>VLOOKUP(Tabella1[[#This Row],[test_id]],experiments_specs!A:J,8,FALSE)</f>
        <v>False</v>
      </c>
      <c r="I194" s="45" t="str">
        <f>VLOOKUP(Tabella1[[#This Row],[test_id]],experiments_specs!A:J,9,FALSE)</f>
        <v>wup_similarity</v>
      </c>
      <c r="J194" s="38" t="str">
        <f>VLOOKUP(Tabella1[[#This Row],[test_id]],experiments_specs!A:J,10,FALSE)</f>
        <v>False</v>
      </c>
      <c r="K194" s="40" t="s">
        <v>18</v>
      </c>
      <c r="L194" s="36" t="s">
        <v>222</v>
      </c>
      <c r="M194" s="36">
        <v>9.4631999999999994E-2</v>
      </c>
      <c r="N194" s="36" t="s">
        <v>223</v>
      </c>
      <c r="O194" s="36">
        <v>1.2853000000000001E-3</v>
      </c>
      <c r="P194" s="36">
        <v>0.21052631578947367</v>
      </c>
      <c r="Q194" s="36" t="s">
        <v>227</v>
      </c>
      <c r="R194" s="36">
        <v>0</v>
      </c>
      <c r="S194" s="36" t="s">
        <v>248</v>
      </c>
      <c r="T194" s="36">
        <v>2.9761000000000002E-3</v>
      </c>
      <c r="U194" s="37">
        <v>0.11764705882352941</v>
      </c>
      <c r="V194"/>
    </row>
    <row r="195" spans="1:22" ht="17" x14ac:dyDescent="0.2">
      <c r="A195" s="36" t="s">
        <v>88</v>
      </c>
      <c r="B195" s="45" t="str">
        <f>VLOOKUP(Tabella1[[#This Row],[test_id]],experiments_specs!A:J,2,FALSE)</f>
        <v>NN</v>
      </c>
      <c r="C195" s="38">
        <f>VLOOKUP(Tabella1[[#This Row],[test_id]],experiments_specs!A:J,3,FALSE)</f>
        <v>1</v>
      </c>
      <c r="D195" s="38">
        <f>VLOOKUP(Tabella1[[#This Row],[test_id]],experiments_specs!A:J,4,FALSE)</f>
        <v>2</v>
      </c>
      <c r="E195" s="38" t="str">
        <f>VLOOKUP(Tabella1[[#This Row],[test_id]],experiments_specs!A:J,5,FALSE)</f>
        <v>True</v>
      </c>
      <c r="F195" s="38" t="str">
        <f>VLOOKUP(Tabella1[[#This Row],[test_id]],experiments_specs!A:J,6,FALSE)</f>
        <v>True</v>
      </c>
      <c r="G195" s="38" t="str">
        <f>VLOOKUP(Tabella1[[#This Row],[test_id]],experiments_specs!A:J,7,FALSE)</f>
        <v>True</v>
      </c>
      <c r="H195" s="38" t="str">
        <f>VLOOKUP(Tabella1[[#This Row],[test_id]],experiments_specs!A:J,8,FALSE)</f>
        <v>False</v>
      </c>
      <c r="I195" s="45" t="str">
        <f>VLOOKUP(Tabella1[[#This Row],[test_id]],experiments_specs!A:J,9,FALSE)</f>
        <v>wup_similarity</v>
      </c>
      <c r="J195" s="38" t="str">
        <f>VLOOKUP(Tabella1[[#This Row],[test_id]],experiments_specs!A:J,10,FALSE)</f>
        <v>False</v>
      </c>
      <c r="K195" s="40" t="s">
        <v>19</v>
      </c>
      <c r="L195" s="36" t="s">
        <v>354</v>
      </c>
      <c r="M195" s="36">
        <v>0.1180562</v>
      </c>
      <c r="N195" s="36" t="s">
        <v>288</v>
      </c>
      <c r="O195" s="36">
        <v>2.12964E-2</v>
      </c>
      <c r="P195" s="36">
        <v>0.19047619047619047</v>
      </c>
      <c r="Q195" s="36" t="s">
        <v>47</v>
      </c>
      <c r="R195" s="36">
        <v>4.7088100000000001E-2</v>
      </c>
      <c r="S195" s="36" t="s">
        <v>288</v>
      </c>
      <c r="T195" s="36">
        <v>2.4659E-2</v>
      </c>
      <c r="U195" s="37">
        <v>0.19047619047619047</v>
      </c>
      <c r="V195"/>
    </row>
    <row r="196" spans="1:22" ht="34" x14ac:dyDescent="0.2">
      <c r="A196" s="36" t="s">
        <v>88</v>
      </c>
      <c r="B196" s="45" t="str">
        <f>VLOOKUP(Tabella1[[#This Row],[test_id]],experiments_specs!A:J,2,FALSE)</f>
        <v>NN</v>
      </c>
      <c r="C196" s="38">
        <f>VLOOKUP(Tabella1[[#This Row],[test_id]],experiments_specs!A:J,3,FALSE)</f>
        <v>1</v>
      </c>
      <c r="D196" s="38">
        <f>VLOOKUP(Tabella1[[#This Row],[test_id]],experiments_specs!A:J,4,FALSE)</f>
        <v>2</v>
      </c>
      <c r="E196" s="38" t="str">
        <f>VLOOKUP(Tabella1[[#This Row],[test_id]],experiments_specs!A:J,5,FALSE)</f>
        <v>True</v>
      </c>
      <c r="F196" s="38" t="str">
        <f>VLOOKUP(Tabella1[[#This Row],[test_id]],experiments_specs!A:J,6,FALSE)</f>
        <v>True</v>
      </c>
      <c r="G196" s="38" t="str">
        <f>VLOOKUP(Tabella1[[#This Row],[test_id]],experiments_specs!A:J,7,FALSE)</f>
        <v>True</v>
      </c>
      <c r="H196" s="38" t="str">
        <f>VLOOKUP(Tabella1[[#This Row],[test_id]],experiments_specs!A:J,8,FALSE)</f>
        <v>False</v>
      </c>
      <c r="I196" s="45" t="str">
        <f>VLOOKUP(Tabella1[[#This Row],[test_id]],experiments_specs!A:J,9,FALSE)</f>
        <v>wup_similarity</v>
      </c>
      <c r="J196" s="38" t="str">
        <f>VLOOKUP(Tabella1[[#This Row],[test_id]],experiments_specs!A:J,10,FALSE)</f>
        <v>False</v>
      </c>
      <c r="K196" s="40" t="s">
        <v>12</v>
      </c>
      <c r="L196" s="36" t="s">
        <v>22</v>
      </c>
      <c r="M196" s="36">
        <v>0.1102635</v>
      </c>
      <c r="N196" s="36" t="s">
        <v>23</v>
      </c>
      <c r="O196" s="36">
        <v>3.8438800000000002E-2</v>
      </c>
      <c r="P196" s="36">
        <v>0.42857142857142855</v>
      </c>
      <c r="Q196" s="36" t="s">
        <v>391</v>
      </c>
      <c r="R196" s="36" t="s">
        <v>393</v>
      </c>
      <c r="S196" s="36" t="s">
        <v>395</v>
      </c>
      <c r="T196" s="36" t="s">
        <v>397</v>
      </c>
      <c r="U196" s="37">
        <v>0.46153846153846156</v>
      </c>
      <c r="V196"/>
    </row>
    <row r="197" spans="1:22" ht="17" x14ac:dyDescent="0.2">
      <c r="A197" s="36" t="s">
        <v>88</v>
      </c>
      <c r="B197" s="45" t="str">
        <f>VLOOKUP(Tabella1[[#This Row],[test_id]],experiments_specs!A:J,2,FALSE)</f>
        <v>NN</v>
      </c>
      <c r="C197" s="38">
        <f>VLOOKUP(Tabella1[[#This Row],[test_id]],experiments_specs!A:J,3,FALSE)</f>
        <v>1</v>
      </c>
      <c r="D197" s="38">
        <f>VLOOKUP(Tabella1[[#This Row],[test_id]],experiments_specs!A:J,4,FALSE)</f>
        <v>2</v>
      </c>
      <c r="E197" s="38" t="str">
        <f>VLOOKUP(Tabella1[[#This Row],[test_id]],experiments_specs!A:J,5,FALSE)</f>
        <v>True</v>
      </c>
      <c r="F197" s="38" t="str">
        <f>VLOOKUP(Tabella1[[#This Row],[test_id]],experiments_specs!A:J,6,FALSE)</f>
        <v>True</v>
      </c>
      <c r="G197" s="38" t="str">
        <f>VLOOKUP(Tabella1[[#This Row],[test_id]],experiments_specs!A:J,7,FALSE)</f>
        <v>True</v>
      </c>
      <c r="H197" s="38" t="str">
        <f>VLOOKUP(Tabella1[[#This Row],[test_id]],experiments_specs!A:J,8,FALSE)</f>
        <v>False</v>
      </c>
      <c r="I197" s="45" t="str">
        <f>VLOOKUP(Tabella1[[#This Row],[test_id]],experiments_specs!A:J,9,FALSE)</f>
        <v>wup_similarity</v>
      </c>
      <c r="J197" s="38" t="str">
        <f>VLOOKUP(Tabella1[[#This Row],[test_id]],experiments_specs!A:J,10,FALSE)</f>
        <v>False</v>
      </c>
      <c r="K197" s="40" t="s">
        <v>13</v>
      </c>
      <c r="L197" s="36" t="s">
        <v>32</v>
      </c>
      <c r="M197" s="36">
        <v>0.10425719999999999</v>
      </c>
      <c r="N197" s="36" t="s">
        <v>398</v>
      </c>
      <c r="O197" s="36">
        <v>2.83752E-2</v>
      </c>
      <c r="P197" s="36">
        <v>0.4</v>
      </c>
      <c r="Q197" s="36" t="s">
        <v>34</v>
      </c>
      <c r="R197" s="36">
        <v>0</v>
      </c>
      <c r="S197" s="36" t="s">
        <v>35</v>
      </c>
      <c r="T197" s="36">
        <v>3.0096399999999999E-2</v>
      </c>
      <c r="U197" s="37" t="s">
        <v>25</v>
      </c>
      <c r="V197"/>
    </row>
    <row r="198" spans="1:22" ht="34" x14ac:dyDescent="0.2">
      <c r="A198" s="36" t="s">
        <v>88</v>
      </c>
      <c r="B198" s="45" t="str">
        <f>VLOOKUP(Tabella1[[#This Row],[test_id]],experiments_specs!A:J,2,FALSE)</f>
        <v>NN</v>
      </c>
      <c r="C198" s="38">
        <f>VLOOKUP(Tabella1[[#This Row],[test_id]],experiments_specs!A:J,3,FALSE)</f>
        <v>1</v>
      </c>
      <c r="D198" s="38">
        <f>VLOOKUP(Tabella1[[#This Row],[test_id]],experiments_specs!A:J,4,FALSE)</f>
        <v>2</v>
      </c>
      <c r="E198" s="38" t="str">
        <f>VLOOKUP(Tabella1[[#This Row],[test_id]],experiments_specs!A:J,5,FALSE)</f>
        <v>True</v>
      </c>
      <c r="F198" s="38" t="str">
        <f>VLOOKUP(Tabella1[[#This Row],[test_id]],experiments_specs!A:J,6,FALSE)</f>
        <v>True</v>
      </c>
      <c r="G198" s="38" t="str">
        <f>VLOOKUP(Tabella1[[#This Row],[test_id]],experiments_specs!A:J,7,FALSE)</f>
        <v>True</v>
      </c>
      <c r="H198" s="38" t="str">
        <f>VLOOKUP(Tabella1[[#This Row],[test_id]],experiments_specs!A:J,8,FALSE)</f>
        <v>False</v>
      </c>
      <c r="I198" s="45" t="str">
        <f>VLOOKUP(Tabella1[[#This Row],[test_id]],experiments_specs!A:J,9,FALSE)</f>
        <v>wup_similarity</v>
      </c>
      <c r="J198" s="38" t="str">
        <f>VLOOKUP(Tabella1[[#This Row],[test_id]],experiments_specs!A:J,10,FALSE)</f>
        <v>False</v>
      </c>
      <c r="K198" s="40" t="s">
        <v>14</v>
      </c>
      <c r="L198" s="36" t="s">
        <v>36</v>
      </c>
      <c r="M198" s="36" t="s">
        <v>400</v>
      </c>
      <c r="N198" s="36" t="s">
        <v>37</v>
      </c>
      <c r="O198" s="36" t="s">
        <v>271</v>
      </c>
      <c r="P198" s="36">
        <v>0.33333333333333331</v>
      </c>
      <c r="Q198" s="36" t="s">
        <v>38</v>
      </c>
      <c r="R198" s="36" t="s">
        <v>273</v>
      </c>
      <c r="S198" s="36" t="s">
        <v>37</v>
      </c>
      <c r="T198" s="36" t="s">
        <v>275</v>
      </c>
      <c r="U198" s="37">
        <v>0.33333333333333331</v>
      </c>
      <c r="V198"/>
    </row>
    <row r="199" spans="1:22" ht="17" x14ac:dyDescent="0.2">
      <c r="A199" s="36" t="s">
        <v>88</v>
      </c>
      <c r="B199" s="45" t="str">
        <f>VLOOKUP(Tabella1[[#This Row],[test_id]],experiments_specs!A:J,2,FALSE)</f>
        <v>NN</v>
      </c>
      <c r="C199" s="38">
        <f>VLOOKUP(Tabella1[[#This Row],[test_id]],experiments_specs!A:J,3,FALSE)</f>
        <v>1</v>
      </c>
      <c r="D199" s="38">
        <f>VLOOKUP(Tabella1[[#This Row],[test_id]],experiments_specs!A:J,4,FALSE)</f>
        <v>2</v>
      </c>
      <c r="E199" s="38" t="str">
        <f>VLOOKUP(Tabella1[[#This Row],[test_id]],experiments_specs!A:J,5,FALSE)</f>
        <v>True</v>
      </c>
      <c r="F199" s="38" t="str">
        <f>VLOOKUP(Tabella1[[#This Row],[test_id]],experiments_specs!A:J,6,FALSE)</f>
        <v>True</v>
      </c>
      <c r="G199" s="38" t="str">
        <f>VLOOKUP(Tabella1[[#This Row],[test_id]],experiments_specs!A:J,7,FALSE)</f>
        <v>True</v>
      </c>
      <c r="H199" s="38" t="str">
        <f>VLOOKUP(Tabella1[[#This Row],[test_id]],experiments_specs!A:J,8,FALSE)</f>
        <v>False</v>
      </c>
      <c r="I199" s="45" t="str">
        <f>VLOOKUP(Tabella1[[#This Row],[test_id]],experiments_specs!A:J,9,FALSE)</f>
        <v>wup_similarity</v>
      </c>
      <c r="J199" s="38" t="str">
        <f>VLOOKUP(Tabella1[[#This Row],[test_id]],experiments_specs!A:J,10,FALSE)</f>
        <v>False</v>
      </c>
      <c r="K199" s="40" t="s">
        <v>15</v>
      </c>
      <c r="L199" s="36" t="s">
        <v>26</v>
      </c>
      <c r="M199" s="36">
        <v>0.18033389999999999</v>
      </c>
      <c r="N199" s="36" t="s">
        <v>27</v>
      </c>
      <c r="O199" s="36">
        <v>2.23105E-2</v>
      </c>
      <c r="P199" s="36">
        <v>0.16666666666666666</v>
      </c>
      <c r="Q199" s="36" t="s">
        <v>365</v>
      </c>
      <c r="R199" s="36">
        <v>0</v>
      </c>
      <c r="S199" s="36" t="s">
        <v>26</v>
      </c>
      <c r="T199" s="36">
        <v>4.8089E-2</v>
      </c>
      <c r="U199" s="37">
        <v>0.18181818181818182</v>
      </c>
      <c r="V199"/>
    </row>
    <row r="200" spans="1:22" ht="17" x14ac:dyDescent="0.2">
      <c r="A200" s="36" t="s">
        <v>88</v>
      </c>
      <c r="B200" s="45" t="str">
        <f>VLOOKUP(Tabella1[[#This Row],[test_id]],experiments_specs!A:J,2,FALSE)</f>
        <v>NN</v>
      </c>
      <c r="C200" s="38">
        <f>VLOOKUP(Tabella1[[#This Row],[test_id]],experiments_specs!A:J,3,FALSE)</f>
        <v>1</v>
      </c>
      <c r="D200" s="38">
        <f>VLOOKUP(Tabella1[[#This Row],[test_id]],experiments_specs!A:J,4,FALSE)</f>
        <v>2</v>
      </c>
      <c r="E200" s="38" t="str">
        <f>VLOOKUP(Tabella1[[#This Row],[test_id]],experiments_specs!A:J,5,FALSE)</f>
        <v>True</v>
      </c>
      <c r="F200" s="38" t="str">
        <f>VLOOKUP(Tabella1[[#This Row],[test_id]],experiments_specs!A:J,6,FALSE)</f>
        <v>True</v>
      </c>
      <c r="G200" s="38" t="str">
        <f>VLOOKUP(Tabella1[[#This Row],[test_id]],experiments_specs!A:J,7,FALSE)</f>
        <v>True</v>
      </c>
      <c r="H200" s="38" t="str">
        <f>VLOOKUP(Tabella1[[#This Row],[test_id]],experiments_specs!A:J,8,FALSE)</f>
        <v>False</v>
      </c>
      <c r="I200" s="45" t="str">
        <f>VLOOKUP(Tabella1[[#This Row],[test_id]],experiments_specs!A:J,9,FALSE)</f>
        <v>wup_similarity</v>
      </c>
      <c r="J200" s="38" t="str">
        <f>VLOOKUP(Tabella1[[#This Row],[test_id]],experiments_specs!A:J,10,FALSE)</f>
        <v>False</v>
      </c>
      <c r="K200" s="40" t="s">
        <v>16</v>
      </c>
      <c r="L200" s="36" t="s">
        <v>39</v>
      </c>
      <c r="M200" s="36">
        <v>6.4549700000000002E-2</v>
      </c>
      <c r="N200" s="36" t="s">
        <v>40</v>
      </c>
      <c r="O200" s="36">
        <v>1.91366E-2</v>
      </c>
      <c r="P200" s="36">
        <v>0.22222222222222221</v>
      </c>
      <c r="Q200" s="36" t="s">
        <v>41</v>
      </c>
      <c r="R200" s="36">
        <v>3.60843E-2</v>
      </c>
      <c r="S200" s="36" t="s">
        <v>40</v>
      </c>
      <c r="T200" s="36">
        <v>1.8556699999999999E-2</v>
      </c>
      <c r="U200" s="37">
        <v>0.22222222222222221</v>
      </c>
      <c r="V200"/>
    </row>
    <row r="201" spans="1:22" ht="68" x14ac:dyDescent="0.2">
      <c r="A201" s="36" t="s">
        <v>88</v>
      </c>
      <c r="B201" s="45" t="str">
        <f>VLOOKUP(Tabella1[[#This Row],[test_id]],experiments_specs!A:J,2,FALSE)</f>
        <v>NN</v>
      </c>
      <c r="C201" s="38">
        <f>VLOOKUP(Tabella1[[#This Row],[test_id]],experiments_specs!A:J,3,FALSE)</f>
        <v>1</v>
      </c>
      <c r="D201" s="38">
        <f>VLOOKUP(Tabella1[[#This Row],[test_id]],experiments_specs!A:J,4,FALSE)</f>
        <v>2</v>
      </c>
      <c r="E201" s="38" t="str">
        <f>VLOOKUP(Tabella1[[#This Row],[test_id]],experiments_specs!A:J,5,FALSE)</f>
        <v>True</v>
      </c>
      <c r="F201" s="38" t="str">
        <f>VLOOKUP(Tabella1[[#This Row],[test_id]],experiments_specs!A:J,6,FALSE)</f>
        <v>True</v>
      </c>
      <c r="G201" s="38" t="str">
        <f>VLOOKUP(Tabella1[[#This Row],[test_id]],experiments_specs!A:J,7,FALSE)</f>
        <v>True</v>
      </c>
      <c r="H201" s="38" t="str">
        <f>VLOOKUP(Tabella1[[#This Row],[test_id]],experiments_specs!A:J,8,FALSE)</f>
        <v>False</v>
      </c>
      <c r="I201" s="45" t="str">
        <f>VLOOKUP(Tabella1[[#This Row],[test_id]],experiments_specs!A:J,9,FALSE)</f>
        <v>wup_similarity</v>
      </c>
      <c r="J201" s="38" t="str">
        <f>VLOOKUP(Tabella1[[#This Row],[test_id]],experiments_specs!A:J,10,FALSE)</f>
        <v>False</v>
      </c>
      <c r="K201" s="40" t="s">
        <v>17</v>
      </c>
      <c r="L201" s="36" t="s">
        <v>279</v>
      </c>
      <c r="M201" s="36" t="s">
        <v>281</v>
      </c>
      <c r="N201" s="36" t="s">
        <v>42</v>
      </c>
      <c r="O201" s="36" t="s">
        <v>283</v>
      </c>
      <c r="P201" s="36">
        <v>0.30769230769230771</v>
      </c>
      <c r="Q201" s="36" t="s">
        <v>43</v>
      </c>
      <c r="R201" s="36" t="s">
        <v>402</v>
      </c>
      <c r="S201" s="36" t="s">
        <v>42</v>
      </c>
      <c r="T201" s="36" t="s">
        <v>287</v>
      </c>
      <c r="U201" s="37">
        <v>0.30769230769230771</v>
      </c>
      <c r="V201"/>
    </row>
    <row r="202" spans="1:22" ht="34" x14ac:dyDescent="0.2">
      <c r="A202" s="36" t="s">
        <v>88</v>
      </c>
      <c r="B202" s="45" t="str">
        <f>VLOOKUP(Tabella1[[#This Row],[test_id]],experiments_specs!A:J,2,FALSE)</f>
        <v>NN</v>
      </c>
      <c r="C202" s="38">
        <f>VLOOKUP(Tabella1[[#This Row],[test_id]],experiments_specs!A:J,3,FALSE)</f>
        <v>1</v>
      </c>
      <c r="D202" s="38">
        <f>VLOOKUP(Tabella1[[#This Row],[test_id]],experiments_specs!A:J,4,FALSE)</f>
        <v>2</v>
      </c>
      <c r="E202" s="38" t="str">
        <f>VLOOKUP(Tabella1[[#This Row],[test_id]],experiments_specs!A:J,5,FALSE)</f>
        <v>True</v>
      </c>
      <c r="F202" s="38" t="str">
        <f>VLOOKUP(Tabella1[[#This Row],[test_id]],experiments_specs!A:J,6,FALSE)</f>
        <v>True</v>
      </c>
      <c r="G202" s="38" t="str">
        <f>VLOOKUP(Tabella1[[#This Row],[test_id]],experiments_specs!A:J,7,FALSE)</f>
        <v>True</v>
      </c>
      <c r="H202" s="38" t="str">
        <f>VLOOKUP(Tabella1[[#This Row],[test_id]],experiments_specs!A:J,8,FALSE)</f>
        <v>False</v>
      </c>
      <c r="I202" s="45" t="str">
        <f>VLOOKUP(Tabella1[[#This Row],[test_id]],experiments_specs!A:J,9,FALSE)</f>
        <v>wup_similarity</v>
      </c>
      <c r="J202" s="38" t="str">
        <f>VLOOKUP(Tabella1[[#This Row],[test_id]],experiments_specs!A:J,10,FALSE)</f>
        <v>False</v>
      </c>
      <c r="K202" s="40" t="s">
        <v>18</v>
      </c>
      <c r="L202" s="36" t="s">
        <v>44</v>
      </c>
      <c r="M202" s="36">
        <v>3.5267199999999999E-2</v>
      </c>
      <c r="N202" s="36" t="s">
        <v>45</v>
      </c>
      <c r="O202" s="36">
        <v>1.8864300000000001E-2</v>
      </c>
      <c r="P202" s="36">
        <v>0.21052631578947367</v>
      </c>
      <c r="Q202" s="36" t="s">
        <v>46</v>
      </c>
      <c r="R202" s="36">
        <v>0</v>
      </c>
      <c r="S202" s="36" t="s">
        <v>45</v>
      </c>
      <c r="T202" s="36">
        <v>1.8864300000000001E-2</v>
      </c>
      <c r="U202" s="37">
        <v>0.21052631578947367</v>
      </c>
      <c r="V202"/>
    </row>
    <row r="203" spans="1:22" ht="17" x14ac:dyDescent="0.2">
      <c r="A203" s="36" t="s">
        <v>89</v>
      </c>
      <c r="B203" s="45" t="str">
        <f>VLOOKUP(Tabella1[[#This Row],[test_id]],experiments_specs!A:J,2,FALSE)</f>
        <v>NN,JJ</v>
      </c>
      <c r="C203" s="38">
        <f>VLOOKUP(Tabella1[[#This Row],[test_id]],experiments_specs!A:J,3,FALSE)</f>
        <v>1</v>
      </c>
      <c r="D203" s="38">
        <f>VLOOKUP(Tabella1[[#This Row],[test_id]],experiments_specs!A:J,4,FALSE)</f>
        <v>2</v>
      </c>
      <c r="E203" s="38" t="str">
        <f>VLOOKUP(Tabella1[[#This Row],[test_id]],experiments_specs!A:J,5,FALSE)</f>
        <v>True</v>
      </c>
      <c r="F203" s="38" t="str">
        <f>VLOOKUP(Tabella1[[#This Row],[test_id]],experiments_specs!A:J,6,FALSE)</f>
        <v>True</v>
      </c>
      <c r="G203" s="38" t="str">
        <f>VLOOKUP(Tabella1[[#This Row],[test_id]],experiments_specs!A:J,7,FALSE)</f>
        <v>True</v>
      </c>
      <c r="H203" s="38" t="str">
        <f>VLOOKUP(Tabella1[[#This Row],[test_id]],experiments_specs!A:J,8,FALSE)</f>
        <v>False</v>
      </c>
      <c r="I203" s="45" t="str">
        <f>VLOOKUP(Tabella1[[#This Row],[test_id]],experiments_specs!A:J,9,FALSE)</f>
        <v>wup_similarity</v>
      </c>
      <c r="J203" s="38" t="str">
        <f>VLOOKUP(Tabella1[[#This Row],[test_id]],experiments_specs!A:J,10,FALSE)</f>
        <v>False</v>
      </c>
      <c r="K203" s="40" t="s">
        <v>19</v>
      </c>
      <c r="L203" s="36" t="s">
        <v>225</v>
      </c>
      <c r="M203" s="36">
        <v>0.14024809999999999</v>
      </c>
      <c r="N203" s="36" t="s">
        <v>226</v>
      </c>
      <c r="O203" s="36">
        <v>2.6177499999999999E-2</v>
      </c>
      <c r="P203" s="36">
        <v>0.17391304347826086</v>
      </c>
      <c r="Q203" s="36" t="s">
        <v>288</v>
      </c>
      <c r="R203" s="36">
        <v>0.1561737</v>
      </c>
      <c r="S203" s="36" t="s">
        <v>226</v>
      </c>
      <c r="T203" s="36">
        <v>3.68864E-2</v>
      </c>
      <c r="U203" s="37">
        <v>0.17391304347826086</v>
      </c>
      <c r="V203"/>
    </row>
    <row r="204" spans="1:22" ht="34" x14ac:dyDescent="0.2">
      <c r="A204" s="36" t="s">
        <v>89</v>
      </c>
      <c r="B204" s="45" t="str">
        <f>VLOOKUP(Tabella1[[#This Row],[test_id]],experiments_specs!A:J,2,FALSE)</f>
        <v>NN,JJ</v>
      </c>
      <c r="C204" s="38">
        <f>VLOOKUP(Tabella1[[#This Row],[test_id]],experiments_specs!A:J,3,FALSE)</f>
        <v>1</v>
      </c>
      <c r="D204" s="38">
        <f>VLOOKUP(Tabella1[[#This Row],[test_id]],experiments_specs!A:J,4,FALSE)</f>
        <v>2</v>
      </c>
      <c r="E204" s="38" t="str">
        <f>VLOOKUP(Tabella1[[#This Row],[test_id]],experiments_specs!A:J,5,FALSE)</f>
        <v>True</v>
      </c>
      <c r="F204" s="38" t="str">
        <f>VLOOKUP(Tabella1[[#This Row],[test_id]],experiments_specs!A:J,6,FALSE)</f>
        <v>True</v>
      </c>
      <c r="G204" s="38" t="str">
        <f>VLOOKUP(Tabella1[[#This Row],[test_id]],experiments_specs!A:J,7,FALSE)</f>
        <v>True</v>
      </c>
      <c r="H204" s="38" t="str">
        <f>VLOOKUP(Tabella1[[#This Row],[test_id]],experiments_specs!A:J,8,FALSE)</f>
        <v>False</v>
      </c>
      <c r="I204" s="45" t="str">
        <f>VLOOKUP(Tabella1[[#This Row],[test_id]],experiments_specs!A:J,9,FALSE)</f>
        <v>wup_similarity</v>
      </c>
      <c r="J204" s="38" t="str">
        <f>VLOOKUP(Tabella1[[#This Row],[test_id]],experiments_specs!A:J,10,FALSE)</f>
        <v>False</v>
      </c>
      <c r="K204" s="40" t="s">
        <v>12</v>
      </c>
      <c r="L204" s="36" t="s">
        <v>22</v>
      </c>
      <c r="M204" s="36">
        <v>0.1102635</v>
      </c>
      <c r="N204" s="36" t="s">
        <v>23</v>
      </c>
      <c r="O204" s="36">
        <v>2.3063199999999999E-2</v>
      </c>
      <c r="P204" s="36">
        <v>0.42857142857142855</v>
      </c>
      <c r="Q204" s="36" t="s">
        <v>391</v>
      </c>
      <c r="R204" s="36" t="s">
        <v>393</v>
      </c>
      <c r="S204" s="36" t="s">
        <v>395</v>
      </c>
      <c r="T204" s="36" t="s">
        <v>404</v>
      </c>
      <c r="U204" s="37">
        <v>0.46153846153846156</v>
      </c>
      <c r="V204"/>
    </row>
    <row r="205" spans="1:22" ht="17" x14ac:dyDescent="0.2">
      <c r="A205" s="36" t="s">
        <v>89</v>
      </c>
      <c r="B205" s="45" t="str">
        <f>VLOOKUP(Tabella1[[#This Row],[test_id]],experiments_specs!A:J,2,FALSE)</f>
        <v>NN,JJ</v>
      </c>
      <c r="C205" s="38">
        <f>VLOOKUP(Tabella1[[#This Row],[test_id]],experiments_specs!A:J,3,FALSE)</f>
        <v>1</v>
      </c>
      <c r="D205" s="38">
        <f>VLOOKUP(Tabella1[[#This Row],[test_id]],experiments_specs!A:J,4,FALSE)</f>
        <v>2</v>
      </c>
      <c r="E205" s="38" t="str">
        <f>VLOOKUP(Tabella1[[#This Row],[test_id]],experiments_specs!A:J,5,FALSE)</f>
        <v>True</v>
      </c>
      <c r="F205" s="38" t="str">
        <f>VLOOKUP(Tabella1[[#This Row],[test_id]],experiments_specs!A:J,6,FALSE)</f>
        <v>True</v>
      </c>
      <c r="G205" s="38" t="str">
        <f>VLOOKUP(Tabella1[[#This Row],[test_id]],experiments_specs!A:J,7,FALSE)</f>
        <v>True</v>
      </c>
      <c r="H205" s="38" t="str">
        <f>VLOOKUP(Tabella1[[#This Row],[test_id]],experiments_specs!A:J,8,FALSE)</f>
        <v>False</v>
      </c>
      <c r="I205" s="45" t="str">
        <f>VLOOKUP(Tabella1[[#This Row],[test_id]],experiments_specs!A:J,9,FALSE)</f>
        <v>wup_similarity</v>
      </c>
      <c r="J205" s="38" t="str">
        <f>VLOOKUP(Tabella1[[#This Row],[test_id]],experiments_specs!A:J,10,FALSE)</f>
        <v>False</v>
      </c>
      <c r="K205" s="40" t="s">
        <v>13</v>
      </c>
      <c r="L205" s="36" t="s">
        <v>32</v>
      </c>
      <c r="M205" s="36">
        <v>0.10425719999999999</v>
      </c>
      <c r="N205" s="36" t="s">
        <v>398</v>
      </c>
      <c r="O205" s="36">
        <v>1.8916800000000001E-2</v>
      </c>
      <c r="P205" s="36">
        <v>0.4</v>
      </c>
      <c r="Q205" s="36" t="s">
        <v>34</v>
      </c>
      <c r="R205" s="36">
        <v>0</v>
      </c>
      <c r="S205" s="36" t="s">
        <v>35</v>
      </c>
      <c r="T205" s="36">
        <v>3.0096399999999999E-2</v>
      </c>
      <c r="U205" s="37" t="s">
        <v>25</v>
      </c>
      <c r="V205"/>
    </row>
    <row r="206" spans="1:22" ht="34" x14ac:dyDescent="0.2">
      <c r="A206" s="36" t="s">
        <v>89</v>
      </c>
      <c r="B206" s="45" t="str">
        <f>VLOOKUP(Tabella1[[#This Row],[test_id]],experiments_specs!A:J,2,FALSE)</f>
        <v>NN,JJ</v>
      </c>
      <c r="C206" s="38">
        <f>VLOOKUP(Tabella1[[#This Row],[test_id]],experiments_specs!A:J,3,FALSE)</f>
        <v>1</v>
      </c>
      <c r="D206" s="38">
        <f>VLOOKUP(Tabella1[[#This Row],[test_id]],experiments_specs!A:J,4,FALSE)</f>
        <v>2</v>
      </c>
      <c r="E206" s="38" t="str">
        <f>VLOOKUP(Tabella1[[#This Row],[test_id]],experiments_specs!A:J,5,FALSE)</f>
        <v>True</v>
      </c>
      <c r="F206" s="38" t="str">
        <f>VLOOKUP(Tabella1[[#This Row],[test_id]],experiments_specs!A:J,6,FALSE)</f>
        <v>True</v>
      </c>
      <c r="G206" s="38" t="str">
        <f>VLOOKUP(Tabella1[[#This Row],[test_id]],experiments_specs!A:J,7,FALSE)</f>
        <v>True</v>
      </c>
      <c r="H206" s="38" t="str">
        <f>VLOOKUP(Tabella1[[#This Row],[test_id]],experiments_specs!A:J,8,FALSE)</f>
        <v>False</v>
      </c>
      <c r="I206" s="45" t="str">
        <f>VLOOKUP(Tabella1[[#This Row],[test_id]],experiments_specs!A:J,9,FALSE)</f>
        <v>wup_similarity</v>
      </c>
      <c r="J206" s="38" t="str">
        <f>VLOOKUP(Tabella1[[#This Row],[test_id]],experiments_specs!A:J,10,FALSE)</f>
        <v>False</v>
      </c>
      <c r="K206" s="40" t="s">
        <v>14</v>
      </c>
      <c r="L206" s="36" t="s">
        <v>36</v>
      </c>
      <c r="M206" s="36" t="s">
        <v>400</v>
      </c>
      <c r="N206" s="36" t="s">
        <v>37</v>
      </c>
      <c r="O206" s="36" t="s">
        <v>290</v>
      </c>
      <c r="P206" s="36">
        <v>0.33333333333333331</v>
      </c>
      <c r="Q206" s="36" t="s">
        <v>38</v>
      </c>
      <c r="R206" s="36" t="s">
        <v>273</v>
      </c>
      <c r="S206" s="36" t="s">
        <v>37</v>
      </c>
      <c r="T206" s="36" t="s">
        <v>292</v>
      </c>
      <c r="U206" s="37">
        <v>0.33333333333333331</v>
      </c>
      <c r="V206"/>
    </row>
    <row r="207" spans="1:22" ht="17" x14ac:dyDescent="0.2">
      <c r="A207" s="36" t="s">
        <v>89</v>
      </c>
      <c r="B207" s="45" t="str">
        <f>VLOOKUP(Tabella1[[#This Row],[test_id]],experiments_specs!A:J,2,FALSE)</f>
        <v>NN,JJ</v>
      </c>
      <c r="C207" s="38">
        <f>VLOOKUP(Tabella1[[#This Row],[test_id]],experiments_specs!A:J,3,FALSE)</f>
        <v>1</v>
      </c>
      <c r="D207" s="38">
        <f>VLOOKUP(Tabella1[[#This Row],[test_id]],experiments_specs!A:J,4,FALSE)</f>
        <v>2</v>
      </c>
      <c r="E207" s="38" t="str">
        <f>VLOOKUP(Tabella1[[#This Row],[test_id]],experiments_specs!A:J,5,FALSE)</f>
        <v>True</v>
      </c>
      <c r="F207" s="38" t="str">
        <f>VLOOKUP(Tabella1[[#This Row],[test_id]],experiments_specs!A:J,6,FALSE)</f>
        <v>True</v>
      </c>
      <c r="G207" s="38" t="str">
        <f>VLOOKUP(Tabella1[[#This Row],[test_id]],experiments_specs!A:J,7,FALSE)</f>
        <v>True</v>
      </c>
      <c r="H207" s="38" t="str">
        <f>VLOOKUP(Tabella1[[#This Row],[test_id]],experiments_specs!A:J,8,FALSE)</f>
        <v>False</v>
      </c>
      <c r="I207" s="45" t="str">
        <f>VLOOKUP(Tabella1[[#This Row],[test_id]],experiments_specs!A:J,9,FALSE)</f>
        <v>wup_similarity</v>
      </c>
      <c r="J207" s="38" t="str">
        <f>VLOOKUP(Tabella1[[#This Row],[test_id]],experiments_specs!A:J,10,FALSE)</f>
        <v>False</v>
      </c>
      <c r="K207" s="40" t="s">
        <v>15</v>
      </c>
      <c r="L207" s="36" t="s">
        <v>26</v>
      </c>
      <c r="M207" s="36">
        <v>0.18033389999999999</v>
      </c>
      <c r="N207" s="36" t="s">
        <v>27</v>
      </c>
      <c r="O207" s="36">
        <v>2.03704E-2</v>
      </c>
      <c r="P207" s="36">
        <v>0.16666666666666666</v>
      </c>
      <c r="Q207" s="36" t="s">
        <v>365</v>
      </c>
      <c r="R207" s="36">
        <v>0</v>
      </c>
      <c r="S207" s="36" t="s">
        <v>26</v>
      </c>
      <c r="T207" s="36">
        <v>4.2936599999999998E-2</v>
      </c>
      <c r="U207" s="37">
        <v>0.18181818181818182</v>
      </c>
      <c r="V207"/>
    </row>
    <row r="208" spans="1:22" ht="17" x14ac:dyDescent="0.2">
      <c r="A208" s="36" t="s">
        <v>89</v>
      </c>
      <c r="B208" s="45" t="str">
        <f>VLOOKUP(Tabella1[[#This Row],[test_id]],experiments_specs!A:J,2,FALSE)</f>
        <v>NN,JJ</v>
      </c>
      <c r="C208" s="38">
        <f>VLOOKUP(Tabella1[[#This Row],[test_id]],experiments_specs!A:J,3,FALSE)</f>
        <v>1</v>
      </c>
      <c r="D208" s="38">
        <f>VLOOKUP(Tabella1[[#This Row],[test_id]],experiments_specs!A:J,4,FALSE)</f>
        <v>2</v>
      </c>
      <c r="E208" s="38" t="str">
        <f>VLOOKUP(Tabella1[[#This Row],[test_id]],experiments_specs!A:J,5,FALSE)</f>
        <v>True</v>
      </c>
      <c r="F208" s="38" t="str">
        <f>VLOOKUP(Tabella1[[#This Row],[test_id]],experiments_specs!A:J,6,FALSE)</f>
        <v>True</v>
      </c>
      <c r="G208" s="38" t="str">
        <f>VLOOKUP(Tabella1[[#This Row],[test_id]],experiments_specs!A:J,7,FALSE)</f>
        <v>True</v>
      </c>
      <c r="H208" s="38" t="str">
        <f>VLOOKUP(Tabella1[[#This Row],[test_id]],experiments_specs!A:J,8,FALSE)</f>
        <v>False</v>
      </c>
      <c r="I208" s="45" t="str">
        <f>VLOOKUP(Tabella1[[#This Row],[test_id]],experiments_specs!A:J,9,FALSE)</f>
        <v>wup_similarity</v>
      </c>
      <c r="J208" s="38" t="str">
        <f>VLOOKUP(Tabella1[[#This Row],[test_id]],experiments_specs!A:J,10,FALSE)</f>
        <v>False</v>
      </c>
      <c r="K208" s="40" t="s">
        <v>16</v>
      </c>
      <c r="L208" s="36" t="s">
        <v>39</v>
      </c>
      <c r="M208" s="36">
        <v>6.4549700000000002E-2</v>
      </c>
      <c r="N208" s="36" t="s">
        <v>40</v>
      </c>
      <c r="O208" s="36">
        <v>1.7010299999999999E-2</v>
      </c>
      <c r="P208" s="36">
        <v>0.22222222222222221</v>
      </c>
      <c r="Q208" s="36" t="s">
        <v>41</v>
      </c>
      <c r="R208" s="36">
        <v>3.60843E-2</v>
      </c>
      <c r="S208" s="36" t="s">
        <v>40</v>
      </c>
      <c r="T208" s="36">
        <v>1.80109E-2</v>
      </c>
      <c r="U208" s="37">
        <v>0.22222222222222221</v>
      </c>
      <c r="V208"/>
    </row>
    <row r="209" spans="1:22" ht="68" x14ac:dyDescent="0.2">
      <c r="A209" s="36" t="s">
        <v>89</v>
      </c>
      <c r="B209" s="45" t="str">
        <f>VLOOKUP(Tabella1[[#This Row],[test_id]],experiments_specs!A:J,2,FALSE)</f>
        <v>NN,JJ</v>
      </c>
      <c r="C209" s="38">
        <f>VLOOKUP(Tabella1[[#This Row],[test_id]],experiments_specs!A:J,3,FALSE)</f>
        <v>1</v>
      </c>
      <c r="D209" s="38">
        <f>VLOOKUP(Tabella1[[#This Row],[test_id]],experiments_specs!A:J,4,FALSE)</f>
        <v>2</v>
      </c>
      <c r="E209" s="38" t="str">
        <f>VLOOKUP(Tabella1[[#This Row],[test_id]],experiments_specs!A:J,5,FALSE)</f>
        <v>True</v>
      </c>
      <c r="F209" s="38" t="str">
        <f>VLOOKUP(Tabella1[[#This Row],[test_id]],experiments_specs!A:J,6,FALSE)</f>
        <v>True</v>
      </c>
      <c r="G209" s="38" t="str">
        <f>VLOOKUP(Tabella1[[#This Row],[test_id]],experiments_specs!A:J,7,FALSE)</f>
        <v>True</v>
      </c>
      <c r="H209" s="38" t="str">
        <f>VLOOKUP(Tabella1[[#This Row],[test_id]],experiments_specs!A:J,8,FALSE)</f>
        <v>False</v>
      </c>
      <c r="I209" s="45" t="str">
        <f>VLOOKUP(Tabella1[[#This Row],[test_id]],experiments_specs!A:J,9,FALSE)</f>
        <v>wup_similarity</v>
      </c>
      <c r="J209" s="38" t="str">
        <f>VLOOKUP(Tabella1[[#This Row],[test_id]],experiments_specs!A:J,10,FALSE)</f>
        <v>False</v>
      </c>
      <c r="K209" s="40" t="s">
        <v>17</v>
      </c>
      <c r="L209" s="36" t="s">
        <v>279</v>
      </c>
      <c r="M209" s="36" t="s">
        <v>281</v>
      </c>
      <c r="N209" s="36" t="s">
        <v>42</v>
      </c>
      <c r="O209" s="36" t="s">
        <v>295</v>
      </c>
      <c r="P209" s="36">
        <v>0.30769230769230771</v>
      </c>
      <c r="Q209" s="36" t="s">
        <v>43</v>
      </c>
      <c r="R209" s="36" t="s">
        <v>402</v>
      </c>
      <c r="S209" s="36" t="s">
        <v>42</v>
      </c>
      <c r="T209" s="36" t="s">
        <v>283</v>
      </c>
      <c r="U209" s="37">
        <v>0.30769230769230771</v>
      </c>
      <c r="V209"/>
    </row>
    <row r="210" spans="1:22" ht="34" x14ac:dyDescent="0.2">
      <c r="A210" s="36" t="s">
        <v>89</v>
      </c>
      <c r="B210" s="45" t="str">
        <f>VLOOKUP(Tabella1[[#This Row],[test_id]],experiments_specs!A:J,2,FALSE)</f>
        <v>NN,JJ</v>
      </c>
      <c r="C210" s="38">
        <f>VLOOKUP(Tabella1[[#This Row],[test_id]],experiments_specs!A:J,3,FALSE)</f>
        <v>1</v>
      </c>
      <c r="D210" s="38">
        <f>VLOOKUP(Tabella1[[#This Row],[test_id]],experiments_specs!A:J,4,FALSE)</f>
        <v>2</v>
      </c>
      <c r="E210" s="38" t="str">
        <f>VLOOKUP(Tabella1[[#This Row],[test_id]],experiments_specs!A:J,5,FALSE)</f>
        <v>True</v>
      </c>
      <c r="F210" s="38" t="str">
        <f>VLOOKUP(Tabella1[[#This Row],[test_id]],experiments_specs!A:J,6,FALSE)</f>
        <v>True</v>
      </c>
      <c r="G210" s="38" t="str">
        <f>VLOOKUP(Tabella1[[#This Row],[test_id]],experiments_specs!A:J,7,FALSE)</f>
        <v>True</v>
      </c>
      <c r="H210" s="38" t="str">
        <f>VLOOKUP(Tabella1[[#This Row],[test_id]],experiments_specs!A:J,8,FALSE)</f>
        <v>False</v>
      </c>
      <c r="I210" s="45" t="str">
        <f>VLOOKUP(Tabella1[[#This Row],[test_id]],experiments_specs!A:J,9,FALSE)</f>
        <v>wup_similarity</v>
      </c>
      <c r="J210" s="38" t="str">
        <f>VLOOKUP(Tabella1[[#This Row],[test_id]],experiments_specs!A:J,10,FALSE)</f>
        <v>False</v>
      </c>
      <c r="K210" s="40" t="s">
        <v>18</v>
      </c>
      <c r="L210" s="36" t="s">
        <v>44</v>
      </c>
      <c r="M210" s="36">
        <v>3.5267199999999999E-2</v>
      </c>
      <c r="N210" s="36" t="s">
        <v>45</v>
      </c>
      <c r="O210" s="36">
        <v>1.30895E-2</v>
      </c>
      <c r="P210" s="36">
        <v>0.21052631578947367</v>
      </c>
      <c r="Q210" s="36" t="s">
        <v>46</v>
      </c>
      <c r="R210" s="36">
        <v>0</v>
      </c>
      <c r="S210" s="36" t="s">
        <v>45</v>
      </c>
      <c r="T210" s="36">
        <v>1.6878600000000001E-2</v>
      </c>
      <c r="U210" s="37">
        <v>0.21052631578947367</v>
      </c>
      <c r="V210"/>
    </row>
    <row r="211" spans="1:22" ht="17" x14ac:dyDescent="0.2">
      <c r="A211" s="36" t="s">
        <v>90</v>
      </c>
      <c r="B211" s="45" t="str">
        <f>VLOOKUP(Tabella1[[#This Row],[test_id]],experiments_specs!A:J,2,FALSE)</f>
        <v>NN,VB</v>
      </c>
      <c r="C211" s="38">
        <f>VLOOKUP(Tabella1[[#This Row],[test_id]],experiments_specs!A:J,3,FALSE)</f>
        <v>1</v>
      </c>
      <c r="D211" s="38">
        <f>VLOOKUP(Tabella1[[#This Row],[test_id]],experiments_specs!A:J,4,FALSE)</f>
        <v>2</v>
      </c>
      <c r="E211" s="38" t="str">
        <f>VLOOKUP(Tabella1[[#This Row],[test_id]],experiments_specs!A:J,5,FALSE)</f>
        <v>True</v>
      </c>
      <c r="F211" s="38" t="str">
        <f>VLOOKUP(Tabella1[[#This Row],[test_id]],experiments_specs!A:J,6,FALSE)</f>
        <v>True</v>
      </c>
      <c r="G211" s="38" t="str">
        <f>VLOOKUP(Tabella1[[#This Row],[test_id]],experiments_specs!A:J,7,FALSE)</f>
        <v>True</v>
      </c>
      <c r="H211" s="38" t="str">
        <f>VLOOKUP(Tabella1[[#This Row],[test_id]],experiments_specs!A:J,8,FALSE)</f>
        <v>False</v>
      </c>
      <c r="I211" s="45" t="str">
        <f>VLOOKUP(Tabella1[[#This Row],[test_id]],experiments_specs!A:J,9,FALSE)</f>
        <v>wup_similarity</v>
      </c>
      <c r="J211" s="38" t="str">
        <f>VLOOKUP(Tabella1[[#This Row],[test_id]],experiments_specs!A:J,10,FALSE)</f>
        <v>False</v>
      </c>
      <c r="K211" s="40" t="s">
        <v>19</v>
      </c>
      <c r="L211" s="36" t="s">
        <v>354</v>
      </c>
      <c r="M211" s="36">
        <v>0.1180562</v>
      </c>
      <c r="N211" s="36" t="s">
        <v>288</v>
      </c>
      <c r="O211" s="36">
        <v>2.03704E-2</v>
      </c>
      <c r="P211" s="36">
        <v>0.19047619047619047</v>
      </c>
      <c r="Q211" s="36" t="s">
        <v>47</v>
      </c>
      <c r="R211" s="36">
        <v>4.7088100000000001E-2</v>
      </c>
      <c r="S211" s="36" t="s">
        <v>288</v>
      </c>
      <c r="T211" s="36">
        <v>2.3425999999999999E-2</v>
      </c>
      <c r="U211" s="37">
        <v>0.19047619047619047</v>
      </c>
      <c r="V211"/>
    </row>
    <row r="212" spans="1:22" ht="34" x14ac:dyDescent="0.2">
      <c r="A212" s="36" t="s">
        <v>90</v>
      </c>
      <c r="B212" s="45" t="str">
        <f>VLOOKUP(Tabella1[[#This Row],[test_id]],experiments_specs!A:J,2,FALSE)</f>
        <v>NN,VB</v>
      </c>
      <c r="C212" s="38">
        <f>VLOOKUP(Tabella1[[#This Row],[test_id]],experiments_specs!A:J,3,FALSE)</f>
        <v>1</v>
      </c>
      <c r="D212" s="38">
        <f>VLOOKUP(Tabella1[[#This Row],[test_id]],experiments_specs!A:J,4,FALSE)</f>
        <v>2</v>
      </c>
      <c r="E212" s="38" t="str">
        <f>VLOOKUP(Tabella1[[#This Row],[test_id]],experiments_specs!A:J,5,FALSE)</f>
        <v>True</v>
      </c>
      <c r="F212" s="38" t="str">
        <f>VLOOKUP(Tabella1[[#This Row],[test_id]],experiments_specs!A:J,6,FALSE)</f>
        <v>True</v>
      </c>
      <c r="G212" s="38" t="str">
        <f>VLOOKUP(Tabella1[[#This Row],[test_id]],experiments_specs!A:J,7,FALSE)</f>
        <v>True</v>
      </c>
      <c r="H212" s="38" t="str">
        <f>VLOOKUP(Tabella1[[#This Row],[test_id]],experiments_specs!A:J,8,FALSE)</f>
        <v>False</v>
      </c>
      <c r="I212" s="45" t="str">
        <f>VLOOKUP(Tabella1[[#This Row],[test_id]],experiments_specs!A:J,9,FALSE)</f>
        <v>wup_similarity</v>
      </c>
      <c r="J212" s="38" t="str">
        <f>VLOOKUP(Tabella1[[#This Row],[test_id]],experiments_specs!A:J,10,FALSE)</f>
        <v>False</v>
      </c>
      <c r="K212" s="40" t="s">
        <v>12</v>
      </c>
      <c r="L212" s="36" t="s">
        <v>22</v>
      </c>
      <c r="M212" s="36">
        <v>0.1102635</v>
      </c>
      <c r="N212" s="36" t="s">
        <v>23</v>
      </c>
      <c r="O212" s="36">
        <v>2.3063199999999999E-2</v>
      </c>
      <c r="P212" s="36">
        <v>0.42857142857142855</v>
      </c>
      <c r="Q212" s="36" t="s">
        <v>391</v>
      </c>
      <c r="R212" s="36" t="s">
        <v>393</v>
      </c>
      <c r="S212" s="36" t="s">
        <v>395</v>
      </c>
      <c r="T212" s="36" t="s">
        <v>406</v>
      </c>
      <c r="U212" s="37">
        <v>0.46153846153846156</v>
      </c>
      <c r="V212"/>
    </row>
    <row r="213" spans="1:22" ht="17" x14ac:dyDescent="0.2">
      <c r="A213" s="36" t="s">
        <v>90</v>
      </c>
      <c r="B213" s="45" t="str">
        <f>VLOOKUP(Tabella1[[#This Row],[test_id]],experiments_specs!A:J,2,FALSE)</f>
        <v>NN,VB</v>
      </c>
      <c r="C213" s="38">
        <f>VLOOKUP(Tabella1[[#This Row],[test_id]],experiments_specs!A:J,3,FALSE)</f>
        <v>1</v>
      </c>
      <c r="D213" s="38">
        <f>VLOOKUP(Tabella1[[#This Row],[test_id]],experiments_specs!A:J,4,FALSE)</f>
        <v>2</v>
      </c>
      <c r="E213" s="38" t="str">
        <f>VLOOKUP(Tabella1[[#This Row],[test_id]],experiments_specs!A:J,5,FALSE)</f>
        <v>True</v>
      </c>
      <c r="F213" s="38" t="str">
        <f>VLOOKUP(Tabella1[[#This Row],[test_id]],experiments_specs!A:J,6,FALSE)</f>
        <v>True</v>
      </c>
      <c r="G213" s="38" t="str">
        <f>VLOOKUP(Tabella1[[#This Row],[test_id]],experiments_specs!A:J,7,FALSE)</f>
        <v>True</v>
      </c>
      <c r="H213" s="38" t="str">
        <f>VLOOKUP(Tabella1[[#This Row],[test_id]],experiments_specs!A:J,8,FALSE)</f>
        <v>False</v>
      </c>
      <c r="I213" s="45" t="str">
        <f>VLOOKUP(Tabella1[[#This Row],[test_id]],experiments_specs!A:J,9,FALSE)</f>
        <v>wup_similarity</v>
      </c>
      <c r="J213" s="38" t="str">
        <f>VLOOKUP(Tabella1[[#This Row],[test_id]],experiments_specs!A:J,10,FALSE)</f>
        <v>False</v>
      </c>
      <c r="K213" s="40" t="s">
        <v>13</v>
      </c>
      <c r="L213" s="36" t="s">
        <v>32</v>
      </c>
      <c r="M213" s="36">
        <v>0.10425719999999999</v>
      </c>
      <c r="N213" s="36" t="s">
        <v>398</v>
      </c>
      <c r="O213" s="36">
        <v>2.5795599999999998E-2</v>
      </c>
      <c r="P213" s="36">
        <v>0.4</v>
      </c>
      <c r="Q213" s="36" t="s">
        <v>34</v>
      </c>
      <c r="R213" s="36">
        <v>0</v>
      </c>
      <c r="S213" s="36" t="s">
        <v>35</v>
      </c>
      <c r="T213" s="36">
        <v>2.3151100000000001E-2</v>
      </c>
      <c r="U213" s="37" t="s">
        <v>25</v>
      </c>
      <c r="V213"/>
    </row>
    <row r="214" spans="1:22" ht="34" x14ac:dyDescent="0.2">
      <c r="A214" s="36" t="s">
        <v>90</v>
      </c>
      <c r="B214" s="45" t="str">
        <f>VLOOKUP(Tabella1[[#This Row],[test_id]],experiments_specs!A:J,2,FALSE)</f>
        <v>NN,VB</v>
      </c>
      <c r="C214" s="38">
        <f>VLOOKUP(Tabella1[[#This Row],[test_id]],experiments_specs!A:J,3,FALSE)</f>
        <v>1</v>
      </c>
      <c r="D214" s="38">
        <f>VLOOKUP(Tabella1[[#This Row],[test_id]],experiments_specs!A:J,4,FALSE)</f>
        <v>2</v>
      </c>
      <c r="E214" s="38" t="str">
        <f>VLOOKUP(Tabella1[[#This Row],[test_id]],experiments_specs!A:J,5,FALSE)</f>
        <v>True</v>
      </c>
      <c r="F214" s="38" t="str">
        <f>VLOOKUP(Tabella1[[#This Row],[test_id]],experiments_specs!A:J,6,FALSE)</f>
        <v>True</v>
      </c>
      <c r="G214" s="38" t="str">
        <f>VLOOKUP(Tabella1[[#This Row],[test_id]],experiments_specs!A:J,7,FALSE)</f>
        <v>True</v>
      </c>
      <c r="H214" s="38" t="str">
        <f>VLOOKUP(Tabella1[[#This Row],[test_id]],experiments_specs!A:J,8,FALSE)</f>
        <v>False</v>
      </c>
      <c r="I214" s="45" t="str">
        <f>VLOOKUP(Tabella1[[#This Row],[test_id]],experiments_specs!A:J,9,FALSE)</f>
        <v>wup_similarity</v>
      </c>
      <c r="J214" s="38" t="str">
        <f>VLOOKUP(Tabella1[[#This Row],[test_id]],experiments_specs!A:J,10,FALSE)</f>
        <v>False</v>
      </c>
      <c r="K214" s="40" t="s">
        <v>14</v>
      </c>
      <c r="L214" s="36" t="s">
        <v>36</v>
      </c>
      <c r="M214" s="36" t="s">
        <v>400</v>
      </c>
      <c r="N214" s="36" t="s">
        <v>37</v>
      </c>
      <c r="O214" s="36" t="s">
        <v>299</v>
      </c>
      <c r="P214" s="36">
        <v>0.33333333333333331</v>
      </c>
      <c r="Q214" s="36" t="s">
        <v>38</v>
      </c>
      <c r="R214" s="36" t="s">
        <v>273</v>
      </c>
      <c r="S214" s="36" t="s">
        <v>37</v>
      </c>
      <c r="T214" s="36" t="s">
        <v>301</v>
      </c>
      <c r="U214" s="37">
        <v>0.33333333333333331</v>
      </c>
      <c r="V214"/>
    </row>
    <row r="215" spans="1:22" ht="17" x14ac:dyDescent="0.2">
      <c r="A215" s="36" t="s">
        <v>90</v>
      </c>
      <c r="B215" s="45" t="str">
        <f>VLOOKUP(Tabella1[[#This Row],[test_id]],experiments_specs!A:J,2,FALSE)</f>
        <v>NN,VB</v>
      </c>
      <c r="C215" s="38">
        <f>VLOOKUP(Tabella1[[#This Row],[test_id]],experiments_specs!A:J,3,FALSE)</f>
        <v>1</v>
      </c>
      <c r="D215" s="38">
        <f>VLOOKUP(Tabella1[[#This Row],[test_id]],experiments_specs!A:J,4,FALSE)</f>
        <v>2</v>
      </c>
      <c r="E215" s="38" t="str">
        <f>VLOOKUP(Tabella1[[#This Row],[test_id]],experiments_specs!A:J,5,FALSE)</f>
        <v>True</v>
      </c>
      <c r="F215" s="38" t="str">
        <f>VLOOKUP(Tabella1[[#This Row],[test_id]],experiments_specs!A:J,6,FALSE)</f>
        <v>True</v>
      </c>
      <c r="G215" s="38" t="str">
        <f>VLOOKUP(Tabella1[[#This Row],[test_id]],experiments_specs!A:J,7,FALSE)</f>
        <v>True</v>
      </c>
      <c r="H215" s="38" t="str">
        <f>VLOOKUP(Tabella1[[#This Row],[test_id]],experiments_specs!A:J,8,FALSE)</f>
        <v>False</v>
      </c>
      <c r="I215" s="45" t="str">
        <f>VLOOKUP(Tabella1[[#This Row],[test_id]],experiments_specs!A:J,9,FALSE)</f>
        <v>wup_similarity</v>
      </c>
      <c r="J215" s="38" t="str">
        <f>VLOOKUP(Tabella1[[#This Row],[test_id]],experiments_specs!A:J,10,FALSE)</f>
        <v>False</v>
      </c>
      <c r="K215" s="40" t="s">
        <v>15</v>
      </c>
      <c r="L215" s="36" t="s">
        <v>26</v>
      </c>
      <c r="M215" s="36">
        <v>0.18033389999999999</v>
      </c>
      <c r="N215" s="36" t="s">
        <v>27</v>
      </c>
      <c r="O215" s="36">
        <v>1.5617300000000001E-2</v>
      </c>
      <c r="P215" s="36">
        <v>0.16666666666666666</v>
      </c>
      <c r="Q215" s="36" t="s">
        <v>365</v>
      </c>
      <c r="R215" s="36">
        <v>0</v>
      </c>
      <c r="S215" s="36" t="s">
        <v>26</v>
      </c>
      <c r="T215" s="36">
        <v>3.7964999999999999E-2</v>
      </c>
      <c r="U215" s="37">
        <v>0.18181818181818182</v>
      </c>
      <c r="V215"/>
    </row>
    <row r="216" spans="1:22" ht="17" x14ac:dyDescent="0.2">
      <c r="A216" s="36" t="s">
        <v>90</v>
      </c>
      <c r="B216" s="45" t="str">
        <f>VLOOKUP(Tabella1[[#This Row],[test_id]],experiments_specs!A:J,2,FALSE)</f>
        <v>NN,VB</v>
      </c>
      <c r="C216" s="38">
        <f>VLOOKUP(Tabella1[[#This Row],[test_id]],experiments_specs!A:J,3,FALSE)</f>
        <v>1</v>
      </c>
      <c r="D216" s="38">
        <f>VLOOKUP(Tabella1[[#This Row],[test_id]],experiments_specs!A:J,4,FALSE)</f>
        <v>2</v>
      </c>
      <c r="E216" s="38" t="str">
        <f>VLOOKUP(Tabella1[[#This Row],[test_id]],experiments_specs!A:J,5,FALSE)</f>
        <v>True</v>
      </c>
      <c r="F216" s="38" t="str">
        <f>VLOOKUP(Tabella1[[#This Row],[test_id]],experiments_specs!A:J,6,FALSE)</f>
        <v>True</v>
      </c>
      <c r="G216" s="38" t="str">
        <f>VLOOKUP(Tabella1[[#This Row],[test_id]],experiments_specs!A:J,7,FALSE)</f>
        <v>True</v>
      </c>
      <c r="H216" s="38" t="str">
        <f>VLOOKUP(Tabella1[[#This Row],[test_id]],experiments_specs!A:J,8,FALSE)</f>
        <v>False</v>
      </c>
      <c r="I216" s="45" t="str">
        <f>VLOOKUP(Tabella1[[#This Row],[test_id]],experiments_specs!A:J,9,FALSE)</f>
        <v>wup_similarity</v>
      </c>
      <c r="J216" s="38" t="str">
        <f>VLOOKUP(Tabella1[[#This Row],[test_id]],experiments_specs!A:J,10,FALSE)</f>
        <v>False</v>
      </c>
      <c r="K216" s="40" t="s">
        <v>16</v>
      </c>
      <c r="L216" s="36" t="s">
        <v>39</v>
      </c>
      <c r="M216" s="36">
        <v>6.4549700000000002E-2</v>
      </c>
      <c r="N216" s="36" t="s">
        <v>40</v>
      </c>
      <c r="O216" s="36">
        <v>2.01438E-2</v>
      </c>
      <c r="P216" s="36">
        <v>0.22222222222222221</v>
      </c>
      <c r="Q216" s="36" t="s">
        <v>41</v>
      </c>
      <c r="R216" s="36">
        <v>3.60843E-2</v>
      </c>
      <c r="S216" s="36" t="s">
        <v>40</v>
      </c>
      <c r="T216" s="36">
        <v>2.01438E-2</v>
      </c>
      <c r="U216" s="37">
        <v>0.22222222222222221</v>
      </c>
      <c r="V216"/>
    </row>
    <row r="217" spans="1:22" ht="34" x14ac:dyDescent="0.2">
      <c r="A217" s="36" t="s">
        <v>90</v>
      </c>
      <c r="B217" s="45" t="str">
        <f>VLOOKUP(Tabella1[[#This Row],[test_id]],experiments_specs!A:J,2,FALSE)</f>
        <v>NN,VB</v>
      </c>
      <c r="C217" s="38">
        <f>VLOOKUP(Tabella1[[#This Row],[test_id]],experiments_specs!A:J,3,FALSE)</f>
        <v>1</v>
      </c>
      <c r="D217" s="38">
        <f>VLOOKUP(Tabella1[[#This Row],[test_id]],experiments_specs!A:J,4,FALSE)</f>
        <v>2</v>
      </c>
      <c r="E217" s="38" t="str">
        <f>VLOOKUP(Tabella1[[#This Row],[test_id]],experiments_specs!A:J,5,FALSE)</f>
        <v>True</v>
      </c>
      <c r="F217" s="38" t="str">
        <f>VLOOKUP(Tabella1[[#This Row],[test_id]],experiments_specs!A:J,6,FALSE)</f>
        <v>True</v>
      </c>
      <c r="G217" s="38" t="str">
        <f>VLOOKUP(Tabella1[[#This Row],[test_id]],experiments_specs!A:J,7,FALSE)</f>
        <v>True</v>
      </c>
      <c r="H217" s="38" t="str">
        <f>VLOOKUP(Tabella1[[#This Row],[test_id]],experiments_specs!A:J,8,FALSE)</f>
        <v>False</v>
      </c>
      <c r="I217" s="45" t="str">
        <f>VLOOKUP(Tabella1[[#This Row],[test_id]],experiments_specs!A:J,9,FALSE)</f>
        <v>wup_similarity</v>
      </c>
      <c r="J217" s="38" t="str">
        <f>VLOOKUP(Tabella1[[#This Row],[test_id]],experiments_specs!A:J,10,FALSE)</f>
        <v>False</v>
      </c>
      <c r="K217" s="40" t="s">
        <v>17</v>
      </c>
      <c r="L217" s="36" t="s">
        <v>30</v>
      </c>
      <c r="M217" s="36">
        <v>0.1234426</v>
      </c>
      <c r="N217" s="36" t="s">
        <v>31</v>
      </c>
      <c r="O217" s="36">
        <v>1.9518000000000001E-2</v>
      </c>
      <c r="P217" s="36">
        <v>0.22222222222222221</v>
      </c>
      <c r="Q217" s="36" t="s">
        <v>43</v>
      </c>
      <c r="R217" s="36" t="s">
        <v>402</v>
      </c>
      <c r="S217" s="36" t="s">
        <v>42</v>
      </c>
      <c r="T217" s="36" t="s">
        <v>305</v>
      </c>
      <c r="U217" s="37">
        <v>0.30769230769230771</v>
      </c>
      <c r="V217"/>
    </row>
    <row r="218" spans="1:22" ht="34" x14ac:dyDescent="0.2">
      <c r="A218" s="36" t="s">
        <v>90</v>
      </c>
      <c r="B218" s="45" t="str">
        <f>VLOOKUP(Tabella1[[#This Row],[test_id]],experiments_specs!A:J,2,FALSE)</f>
        <v>NN,VB</v>
      </c>
      <c r="C218" s="38">
        <f>VLOOKUP(Tabella1[[#This Row],[test_id]],experiments_specs!A:J,3,FALSE)</f>
        <v>1</v>
      </c>
      <c r="D218" s="38">
        <f>VLOOKUP(Tabella1[[#This Row],[test_id]],experiments_specs!A:J,4,FALSE)</f>
        <v>2</v>
      </c>
      <c r="E218" s="38" t="str">
        <f>VLOOKUP(Tabella1[[#This Row],[test_id]],experiments_specs!A:J,5,FALSE)</f>
        <v>True</v>
      </c>
      <c r="F218" s="38" t="str">
        <f>VLOOKUP(Tabella1[[#This Row],[test_id]],experiments_specs!A:J,6,FALSE)</f>
        <v>True</v>
      </c>
      <c r="G218" s="38" t="str">
        <f>VLOOKUP(Tabella1[[#This Row],[test_id]],experiments_specs!A:J,7,FALSE)</f>
        <v>True</v>
      </c>
      <c r="H218" s="38" t="str">
        <f>VLOOKUP(Tabella1[[#This Row],[test_id]],experiments_specs!A:J,8,FALSE)</f>
        <v>False</v>
      </c>
      <c r="I218" s="45" t="str">
        <f>VLOOKUP(Tabella1[[#This Row],[test_id]],experiments_specs!A:J,9,FALSE)</f>
        <v>wup_similarity</v>
      </c>
      <c r="J218" s="38" t="str">
        <f>VLOOKUP(Tabella1[[#This Row],[test_id]],experiments_specs!A:J,10,FALSE)</f>
        <v>False</v>
      </c>
      <c r="K218" s="40" t="s">
        <v>18</v>
      </c>
      <c r="L218" s="36" t="s">
        <v>44</v>
      </c>
      <c r="M218" s="36">
        <v>3.5267199999999999E-2</v>
      </c>
      <c r="N218" s="36" t="s">
        <v>45</v>
      </c>
      <c r="O218" s="36">
        <v>1.4253099999999999E-2</v>
      </c>
      <c r="P218" s="36">
        <v>0.21052631578947367</v>
      </c>
      <c r="Q218" s="36" t="s">
        <v>46</v>
      </c>
      <c r="R218" s="36">
        <v>0</v>
      </c>
      <c r="S218" s="36" t="s">
        <v>45</v>
      </c>
      <c r="T218" s="36">
        <v>1.4253099999999999E-2</v>
      </c>
      <c r="U218" s="37">
        <v>0.21052631578947367</v>
      </c>
      <c r="V218"/>
    </row>
    <row r="219" spans="1:22" ht="17" x14ac:dyDescent="0.2">
      <c r="A219" s="36" t="s">
        <v>91</v>
      </c>
      <c r="B219" s="45" t="str">
        <f>VLOOKUP(Tabella1[[#This Row],[test_id]],experiments_specs!A:J,2,FALSE)</f>
        <v>NN,VB,VBD,VBG,VBN,VBP,VBZ</v>
      </c>
      <c r="C219" s="38">
        <f>VLOOKUP(Tabella1[[#This Row],[test_id]],experiments_specs!A:J,3,FALSE)</f>
        <v>1</v>
      </c>
      <c r="D219" s="38">
        <f>VLOOKUP(Tabella1[[#This Row],[test_id]],experiments_specs!A:J,4,FALSE)</f>
        <v>2</v>
      </c>
      <c r="E219" s="38" t="str">
        <f>VLOOKUP(Tabella1[[#This Row],[test_id]],experiments_specs!A:J,5,FALSE)</f>
        <v>True</v>
      </c>
      <c r="F219" s="38" t="str">
        <f>VLOOKUP(Tabella1[[#This Row],[test_id]],experiments_specs!A:J,6,FALSE)</f>
        <v>True</v>
      </c>
      <c r="G219" s="38" t="str">
        <f>VLOOKUP(Tabella1[[#This Row],[test_id]],experiments_specs!A:J,7,FALSE)</f>
        <v>True</v>
      </c>
      <c r="H219" s="38" t="str">
        <f>VLOOKUP(Tabella1[[#This Row],[test_id]],experiments_specs!A:J,8,FALSE)</f>
        <v>False</v>
      </c>
      <c r="I219" s="45" t="str">
        <f>VLOOKUP(Tabella1[[#This Row],[test_id]],experiments_specs!A:J,9,FALSE)</f>
        <v>wup_similarity</v>
      </c>
      <c r="J219" s="38" t="str">
        <f>VLOOKUP(Tabella1[[#This Row],[test_id]],experiments_specs!A:J,10,FALSE)</f>
        <v>False</v>
      </c>
      <c r="K219" s="40" t="s">
        <v>19</v>
      </c>
      <c r="L219" s="36" t="s">
        <v>354</v>
      </c>
      <c r="M219" s="36">
        <v>0.1180562</v>
      </c>
      <c r="N219" s="36" t="s">
        <v>288</v>
      </c>
      <c r="O219" s="36">
        <v>1.46412E-2</v>
      </c>
      <c r="P219" s="36">
        <v>0.19047619047619047</v>
      </c>
      <c r="Q219" s="36" t="s">
        <v>47</v>
      </c>
      <c r="R219" s="36">
        <v>4.7088100000000001E-2</v>
      </c>
      <c r="S219" s="36" t="s">
        <v>288</v>
      </c>
      <c r="T219" s="36">
        <v>1.8740799999999998E-2</v>
      </c>
      <c r="U219" s="37">
        <v>0.19047619047619047</v>
      </c>
      <c r="V219"/>
    </row>
    <row r="220" spans="1:22" ht="34" x14ac:dyDescent="0.2">
      <c r="A220" s="36" t="s">
        <v>91</v>
      </c>
      <c r="B220" s="45" t="str">
        <f>VLOOKUP(Tabella1[[#This Row],[test_id]],experiments_specs!A:J,2,FALSE)</f>
        <v>NN,VB,VBD,VBG,VBN,VBP,VBZ</v>
      </c>
      <c r="C220" s="38">
        <f>VLOOKUP(Tabella1[[#This Row],[test_id]],experiments_specs!A:J,3,FALSE)</f>
        <v>1</v>
      </c>
      <c r="D220" s="38">
        <f>VLOOKUP(Tabella1[[#This Row],[test_id]],experiments_specs!A:J,4,FALSE)</f>
        <v>2</v>
      </c>
      <c r="E220" s="38" t="str">
        <f>VLOOKUP(Tabella1[[#This Row],[test_id]],experiments_specs!A:J,5,FALSE)</f>
        <v>True</v>
      </c>
      <c r="F220" s="38" t="str">
        <f>VLOOKUP(Tabella1[[#This Row],[test_id]],experiments_specs!A:J,6,FALSE)</f>
        <v>True</v>
      </c>
      <c r="G220" s="38" t="str">
        <f>VLOOKUP(Tabella1[[#This Row],[test_id]],experiments_specs!A:J,7,FALSE)</f>
        <v>True</v>
      </c>
      <c r="H220" s="38" t="str">
        <f>VLOOKUP(Tabella1[[#This Row],[test_id]],experiments_specs!A:J,8,FALSE)</f>
        <v>False</v>
      </c>
      <c r="I220" s="45" t="str">
        <f>VLOOKUP(Tabella1[[#This Row],[test_id]],experiments_specs!A:J,9,FALSE)</f>
        <v>wup_similarity</v>
      </c>
      <c r="J220" s="38" t="str">
        <f>VLOOKUP(Tabella1[[#This Row],[test_id]],experiments_specs!A:J,10,FALSE)</f>
        <v>False</v>
      </c>
      <c r="K220" s="40" t="s">
        <v>12</v>
      </c>
      <c r="L220" s="36" t="s">
        <v>22</v>
      </c>
      <c r="M220" s="36">
        <v>0.1102635</v>
      </c>
      <c r="N220" s="36" t="s">
        <v>23</v>
      </c>
      <c r="O220" s="36">
        <v>1.9219400000000001E-2</v>
      </c>
      <c r="P220" s="36">
        <v>0.42857142857142855</v>
      </c>
      <c r="Q220" s="36" t="s">
        <v>391</v>
      </c>
      <c r="R220" s="36" t="s">
        <v>393</v>
      </c>
      <c r="S220" s="36" t="s">
        <v>395</v>
      </c>
      <c r="T220" s="36" t="s">
        <v>408</v>
      </c>
      <c r="U220" s="37">
        <v>0.46153846153846156</v>
      </c>
      <c r="V220"/>
    </row>
    <row r="221" spans="1:22" ht="17" x14ac:dyDescent="0.2">
      <c r="A221" s="36" t="s">
        <v>91</v>
      </c>
      <c r="B221" s="45" t="str">
        <f>VLOOKUP(Tabella1[[#This Row],[test_id]],experiments_specs!A:J,2,FALSE)</f>
        <v>NN,VB,VBD,VBG,VBN,VBP,VBZ</v>
      </c>
      <c r="C221" s="38">
        <f>VLOOKUP(Tabella1[[#This Row],[test_id]],experiments_specs!A:J,3,FALSE)</f>
        <v>1</v>
      </c>
      <c r="D221" s="38">
        <f>VLOOKUP(Tabella1[[#This Row],[test_id]],experiments_specs!A:J,4,FALSE)</f>
        <v>2</v>
      </c>
      <c r="E221" s="38" t="str">
        <f>VLOOKUP(Tabella1[[#This Row],[test_id]],experiments_specs!A:J,5,FALSE)</f>
        <v>True</v>
      </c>
      <c r="F221" s="38" t="str">
        <f>VLOOKUP(Tabella1[[#This Row],[test_id]],experiments_specs!A:J,6,FALSE)</f>
        <v>True</v>
      </c>
      <c r="G221" s="38" t="str">
        <f>VLOOKUP(Tabella1[[#This Row],[test_id]],experiments_specs!A:J,7,FALSE)</f>
        <v>True</v>
      </c>
      <c r="H221" s="38" t="str">
        <f>VLOOKUP(Tabella1[[#This Row],[test_id]],experiments_specs!A:J,8,FALSE)</f>
        <v>False</v>
      </c>
      <c r="I221" s="45" t="str">
        <f>VLOOKUP(Tabella1[[#This Row],[test_id]],experiments_specs!A:J,9,FALSE)</f>
        <v>wup_similarity</v>
      </c>
      <c r="J221" s="38" t="str">
        <f>VLOOKUP(Tabella1[[#This Row],[test_id]],experiments_specs!A:J,10,FALSE)</f>
        <v>False</v>
      </c>
      <c r="K221" s="40" t="s">
        <v>13</v>
      </c>
      <c r="L221" s="36" t="s">
        <v>32</v>
      </c>
      <c r="M221" s="36">
        <v>0.10425719999999999</v>
      </c>
      <c r="N221" s="36" t="s">
        <v>398</v>
      </c>
      <c r="O221" s="36">
        <v>2.2401399999999998E-2</v>
      </c>
      <c r="P221" s="36">
        <v>0.4</v>
      </c>
      <c r="Q221" s="36" t="s">
        <v>34</v>
      </c>
      <c r="R221" s="36">
        <v>0</v>
      </c>
      <c r="S221" s="36" t="s">
        <v>35</v>
      </c>
      <c r="T221" s="36">
        <v>2.14974E-2</v>
      </c>
      <c r="U221" s="37" t="s">
        <v>25</v>
      </c>
      <c r="V221"/>
    </row>
    <row r="222" spans="1:22" ht="34" x14ac:dyDescent="0.2">
      <c r="A222" s="36" t="s">
        <v>91</v>
      </c>
      <c r="B222" s="45" t="str">
        <f>VLOOKUP(Tabella1[[#This Row],[test_id]],experiments_specs!A:J,2,FALSE)</f>
        <v>NN,VB,VBD,VBG,VBN,VBP,VBZ</v>
      </c>
      <c r="C222" s="38">
        <f>VLOOKUP(Tabella1[[#This Row],[test_id]],experiments_specs!A:J,3,FALSE)</f>
        <v>1</v>
      </c>
      <c r="D222" s="38">
        <f>VLOOKUP(Tabella1[[#This Row],[test_id]],experiments_specs!A:J,4,FALSE)</f>
        <v>2</v>
      </c>
      <c r="E222" s="38" t="str">
        <f>VLOOKUP(Tabella1[[#This Row],[test_id]],experiments_specs!A:J,5,FALSE)</f>
        <v>True</v>
      </c>
      <c r="F222" s="38" t="str">
        <f>VLOOKUP(Tabella1[[#This Row],[test_id]],experiments_specs!A:J,6,FALSE)</f>
        <v>True</v>
      </c>
      <c r="G222" s="38" t="str">
        <f>VLOOKUP(Tabella1[[#This Row],[test_id]],experiments_specs!A:J,7,FALSE)</f>
        <v>True</v>
      </c>
      <c r="H222" s="38" t="str">
        <f>VLOOKUP(Tabella1[[#This Row],[test_id]],experiments_specs!A:J,8,FALSE)</f>
        <v>False</v>
      </c>
      <c r="I222" s="45" t="str">
        <f>VLOOKUP(Tabella1[[#This Row],[test_id]],experiments_specs!A:J,9,FALSE)</f>
        <v>wup_similarity</v>
      </c>
      <c r="J222" s="38" t="str">
        <f>VLOOKUP(Tabella1[[#This Row],[test_id]],experiments_specs!A:J,10,FALSE)</f>
        <v>False</v>
      </c>
      <c r="K222" s="40" t="s">
        <v>14</v>
      </c>
      <c r="L222" s="36" t="s">
        <v>36</v>
      </c>
      <c r="M222" s="36" t="s">
        <v>400</v>
      </c>
      <c r="N222" s="36" t="s">
        <v>37</v>
      </c>
      <c r="O222" s="36" t="s">
        <v>309</v>
      </c>
      <c r="P222" s="36">
        <v>0.33333333333333331</v>
      </c>
      <c r="Q222" s="36" t="s">
        <v>38</v>
      </c>
      <c r="R222" s="36" t="s">
        <v>273</v>
      </c>
      <c r="S222" s="36" t="s">
        <v>37</v>
      </c>
      <c r="T222" s="36" t="s">
        <v>311</v>
      </c>
      <c r="U222" s="37">
        <v>0.33333333333333331</v>
      </c>
      <c r="V222"/>
    </row>
    <row r="223" spans="1:22" ht="17" x14ac:dyDescent="0.2">
      <c r="A223" s="36" t="s">
        <v>91</v>
      </c>
      <c r="B223" s="45" t="str">
        <f>VLOOKUP(Tabella1[[#This Row],[test_id]],experiments_specs!A:J,2,FALSE)</f>
        <v>NN,VB,VBD,VBG,VBN,VBP,VBZ</v>
      </c>
      <c r="C223" s="38">
        <f>VLOOKUP(Tabella1[[#This Row],[test_id]],experiments_specs!A:J,3,FALSE)</f>
        <v>1</v>
      </c>
      <c r="D223" s="38">
        <f>VLOOKUP(Tabella1[[#This Row],[test_id]],experiments_specs!A:J,4,FALSE)</f>
        <v>2</v>
      </c>
      <c r="E223" s="38" t="str">
        <f>VLOOKUP(Tabella1[[#This Row],[test_id]],experiments_specs!A:J,5,FALSE)</f>
        <v>True</v>
      </c>
      <c r="F223" s="38" t="str">
        <f>VLOOKUP(Tabella1[[#This Row],[test_id]],experiments_specs!A:J,6,FALSE)</f>
        <v>True</v>
      </c>
      <c r="G223" s="38" t="str">
        <f>VLOOKUP(Tabella1[[#This Row],[test_id]],experiments_specs!A:J,7,FALSE)</f>
        <v>True</v>
      </c>
      <c r="H223" s="38" t="str">
        <f>VLOOKUP(Tabella1[[#This Row],[test_id]],experiments_specs!A:J,8,FALSE)</f>
        <v>False</v>
      </c>
      <c r="I223" s="45" t="str">
        <f>VLOOKUP(Tabella1[[#This Row],[test_id]],experiments_specs!A:J,9,FALSE)</f>
        <v>wup_similarity</v>
      </c>
      <c r="J223" s="38" t="str">
        <f>VLOOKUP(Tabella1[[#This Row],[test_id]],experiments_specs!A:J,10,FALSE)</f>
        <v>False</v>
      </c>
      <c r="K223" s="40" t="s">
        <v>15</v>
      </c>
      <c r="L223" s="36" t="s">
        <v>409</v>
      </c>
      <c r="M223" s="36">
        <v>3.9043399999999999E-2</v>
      </c>
      <c r="N223" s="36" t="s">
        <v>410</v>
      </c>
      <c r="O223" s="36">
        <v>1.23401E-2</v>
      </c>
      <c r="P223" s="36">
        <v>0.22222222222222221</v>
      </c>
      <c r="Q223" s="36" t="s">
        <v>365</v>
      </c>
      <c r="R223" s="36">
        <v>0</v>
      </c>
      <c r="S223" s="36" t="s">
        <v>26</v>
      </c>
      <c r="T223" s="36">
        <v>2.8853400000000001E-2</v>
      </c>
      <c r="U223" s="37">
        <v>0.18181818181818182</v>
      </c>
      <c r="V223"/>
    </row>
    <row r="224" spans="1:22" ht="17" x14ac:dyDescent="0.2">
      <c r="A224" s="36" t="s">
        <v>91</v>
      </c>
      <c r="B224" s="45" t="str">
        <f>VLOOKUP(Tabella1[[#This Row],[test_id]],experiments_specs!A:J,2,FALSE)</f>
        <v>NN,VB,VBD,VBG,VBN,VBP,VBZ</v>
      </c>
      <c r="C224" s="38">
        <f>VLOOKUP(Tabella1[[#This Row],[test_id]],experiments_specs!A:J,3,FALSE)</f>
        <v>1</v>
      </c>
      <c r="D224" s="38">
        <f>VLOOKUP(Tabella1[[#This Row],[test_id]],experiments_specs!A:J,4,FALSE)</f>
        <v>2</v>
      </c>
      <c r="E224" s="38" t="str">
        <f>VLOOKUP(Tabella1[[#This Row],[test_id]],experiments_specs!A:J,5,FALSE)</f>
        <v>True</v>
      </c>
      <c r="F224" s="38" t="str">
        <f>VLOOKUP(Tabella1[[#This Row],[test_id]],experiments_specs!A:J,6,FALSE)</f>
        <v>True</v>
      </c>
      <c r="G224" s="38" t="str">
        <f>VLOOKUP(Tabella1[[#This Row],[test_id]],experiments_specs!A:J,7,FALSE)</f>
        <v>True</v>
      </c>
      <c r="H224" s="38" t="str">
        <f>VLOOKUP(Tabella1[[#This Row],[test_id]],experiments_specs!A:J,8,FALSE)</f>
        <v>False</v>
      </c>
      <c r="I224" s="45" t="str">
        <f>VLOOKUP(Tabella1[[#This Row],[test_id]],experiments_specs!A:J,9,FALSE)</f>
        <v>wup_similarity</v>
      </c>
      <c r="J224" s="38" t="str">
        <f>VLOOKUP(Tabella1[[#This Row],[test_id]],experiments_specs!A:J,10,FALSE)</f>
        <v>False</v>
      </c>
      <c r="K224" s="40" t="s">
        <v>16</v>
      </c>
      <c r="L224" s="36" t="s">
        <v>39</v>
      </c>
      <c r="M224" s="36">
        <v>6.4549700000000002E-2</v>
      </c>
      <c r="N224" s="36" t="s">
        <v>40</v>
      </c>
      <c r="O224" s="36">
        <v>1.91366E-2</v>
      </c>
      <c r="P224" s="36">
        <v>0.22222222222222221</v>
      </c>
      <c r="Q224" s="36" t="s">
        <v>41</v>
      </c>
      <c r="R224" s="36">
        <v>3.60843E-2</v>
      </c>
      <c r="S224" s="36" t="s">
        <v>40</v>
      </c>
      <c r="T224" s="36">
        <v>1.99686E-2</v>
      </c>
      <c r="U224" s="37">
        <v>0.22222222222222221</v>
      </c>
      <c r="V224"/>
    </row>
    <row r="225" spans="1:22" ht="17" x14ac:dyDescent="0.2">
      <c r="A225" s="36" t="s">
        <v>91</v>
      </c>
      <c r="B225" s="45" t="str">
        <f>VLOOKUP(Tabella1[[#This Row],[test_id]],experiments_specs!A:J,2,FALSE)</f>
        <v>NN,VB,VBD,VBG,VBN,VBP,VBZ</v>
      </c>
      <c r="C225" s="38">
        <f>VLOOKUP(Tabella1[[#This Row],[test_id]],experiments_specs!A:J,3,FALSE)</f>
        <v>1</v>
      </c>
      <c r="D225" s="38">
        <f>VLOOKUP(Tabella1[[#This Row],[test_id]],experiments_specs!A:J,4,FALSE)</f>
        <v>2</v>
      </c>
      <c r="E225" s="38" t="str">
        <f>VLOOKUP(Tabella1[[#This Row],[test_id]],experiments_specs!A:J,5,FALSE)</f>
        <v>True</v>
      </c>
      <c r="F225" s="38" t="str">
        <f>VLOOKUP(Tabella1[[#This Row],[test_id]],experiments_specs!A:J,6,FALSE)</f>
        <v>True</v>
      </c>
      <c r="G225" s="38" t="str">
        <f>VLOOKUP(Tabella1[[#This Row],[test_id]],experiments_specs!A:J,7,FALSE)</f>
        <v>True</v>
      </c>
      <c r="H225" s="38" t="str">
        <f>VLOOKUP(Tabella1[[#This Row],[test_id]],experiments_specs!A:J,8,FALSE)</f>
        <v>False</v>
      </c>
      <c r="I225" s="45" t="str">
        <f>VLOOKUP(Tabella1[[#This Row],[test_id]],experiments_specs!A:J,9,FALSE)</f>
        <v>wup_similarity</v>
      </c>
      <c r="J225" s="38" t="str">
        <f>VLOOKUP(Tabella1[[#This Row],[test_id]],experiments_specs!A:J,10,FALSE)</f>
        <v>False</v>
      </c>
      <c r="K225" s="40" t="s">
        <v>17</v>
      </c>
      <c r="L225" s="36" t="s">
        <v>30</v>
      </c>
      <c r="M225" s="36">
        <v>0.1234426</v>
      </c>
      <c r="N225" s="36" t="s">
        <v>31</v>
      </c>
      <c r="O225" s="36">
        <v>2.2179500000000001E-2</v>
      </c>
      <c r="P225" s="36">
        <v>0.22222222222222221</v>
      </c>
      <c r="Q225" s="36" t="s">
        <v>30</v>
      </c>
      <c r="R225" s="36">
        <v>0.1234426</v>
      </c>
      <c r="S225" s="36" t="s">
        <v>380</v>
      </c>
      <c r="T225" s="36">
        <v>2.65238E-2</v>
      </c>
      <c r="U225" s="37">
        <v>0.2</v>
      </c>
      <c r="V225"/>
    </row>
    <row r="226" spans="1:22" ht="34" x14ac:dyDescent="0.2">
      <c r="A226" s="36" t="s">
        <v>91</v>
      </c>
      <c r="B226" s="45" t="str">
        <f>VLOOKUP(Tabella1[[#This Row],[test_id]],experiments_specs!A:J,2,FALSE)</f>
        <v>NN,VB,VBD,VBG,VBN,VBP,VBZ</v>
      </c>
      <c r="C226" s="38">
        <f>VLOOKUP(Tabella1[[#This Row],[test_id]],experiments_specs!A:J,3,FALSE)</f>
        <v>1</v>
      </c>
      <c r="D226" s="38">
        <f>VLOOKUP(Tabella1[[#This Row],[test_id]],experiments_specs!A:J,4,FALSE)</f>
        <v>2</v>
      </c>
      <c r="E226" s="38" t="str">
        <f>VLOOKUP(Tabella1[[#This Row],[test_id]],experiments_specs!A:J,5,FALSE)</f>
        <v>True</v>
      </c>
      <c r="F226" s="38" t="str">
        <f>VLOOKUP(Tabella1[[#This Row],[test_id]],experiments_specs!A:J,6,FALSE)</f>
        <v>True</v>
      </c>
      <c r="G226" s="38" t="str">
        <f>VLOOKUP(Tabella1[[#This Row],[test_id]],experiments_specs!A:J,7,FALSE)</f>
        <v>True</v>
      </c>
      <c r="H226" s="38" t="str">
        <f>VLOOKUP(Tabella1[[#This Row],[test_id]],experiments_specs!A:J,8,FALSE)</f>
        <v>False</v>
      </c>
      <c r="I226" s="45" t="str">
        <f>VLOOKUP(Tabella1[[#This Row],[test_id]],experiments_specs!A:J,9,FALSE)</f>
        <v>wup_similarity</v>
      </c>
      <c r="J226" s="38" t="str">
        <f>VLOOKUP(Tabella1[[#This Row],[test_id]],experiments_specs!A:J,10,FALSE)</f>
        <v>False</v>
      </c>
      <c r="K226" s="40" t="s">
        <v>18</v>
      </c>
      <c r="L226" s="36" t="s">
        <v>44</v>
      </c>
      <c r="M226" s="36">
        <v>3.5267199999999999E-2</v>
      </c>
      <c r="N226" s="36" t="s">
        <v>45</v>
      </c>
      <c r="O226" s="36">
        <v>1.00217E-2</v>
      </c>
      <c r="P226" s="36">
        <v>0.21052631578947367</v>
      </c>
      <c r="Q226" s="36" t="s">
        <v>46</v>
      </c>
      <c r="R226" s="36">
        <v>0</v>
      </c>
      <c r="S226" s="36" t="s">
        <v>45</v>
      </c>
      <c r="T226" s="36">
        <v>1.1661599999999999E-2</v>
      </c>
      <c r="U226" s="37">
        <v>0.21052631578947367</v>
      </c>
      <c r="V226"/>
    </row>
    <row r="227" spans="1:22" ht="17" x14ac:dyDescent="0.2">
      <c r="A227" s="36" t="s">
        <v>92</v>
      </c>
      <c r="B227" s="45" t="str">
        <f>VLOOKUP(Tabella1[[#This Row],[test_id]],experiments_specs!A:J,2,FALSE)</f>
        <v>NN,RB</v>
      </c>
      <c r="C227" s="38">
        <f>VLOOKUP(Tabella1[[#This Row],[test_id]],experiments_specs!A:J,3,FALSE)</f>
        <v>1</v>
      </c>
      <c r="D227" s="38">
        <f>VLOOKUP(Tabella1[[#This Row],[test_id]],experiments_specs!A:J,4,FALSE)</f>
        <v>2</v>
      </c>
      <c r="E227" s="38" t="str">
        <f>VLOOKUP(Tabella1[[#This Row],[test_id]],experiments_specs!A:J,5,FALSE)</f>
        <v>True</v>
      </c>
      <c r="F227" s="38" t="str">
        <f>VLOOKUP(Tabella1[[#This Row],[test_id]],experiments_specs!A:J,6,FALSE)</f>
        <v>True</v>
      </c>
      <c r="G227" s="38" t="str">
        <f>VLOOKUP(Tabella1[[#This Row],[test_id]],experiments_specs!A:J,7,FALSE)</f>
        <v>True</v>
      </c>
      <c r="H227" s="38" t="str">
        <f>VLOOKUP(Tabella1[[#This Row],[test_id]],experiments_specs!A:J,8,FALSE)</f>
        <v>False</v>
      </c>
      <c r="I227" s="45" t="str">
        <f>VLOOKUP(Tabella1[[#This Row],[test_id]],experiments_specs!A:J,9,FALSE)</f>
        <v>wup_similarity</v>
      </c>
      <c r="J227" s="38" t="str">
        <f>VLOOKUP(Tabella1[[#This Row],[test_id]],experiments_specs!A:J,10,FALSE)</f>
        <v>False</v>
      </c>
      <c r="K227" s="40" t="s">
        <v>19</v>
      </c>
      <c r="L227" s="36" t="s">
        <v>354</v>
      </c>
      <c r="M227" s="36">
        <v>0.1180562</v>
      </c>
      <c r="N227" s="36" t="s">
        <v>288</v>
      </c>
      <c r="O227" s="36">
        <v>1.9521699999999999E-2</v>
      </c>
      <c r="P227" s="36">
        <v>0.19047619047619047</v>
      </c>
      <c r="Q227" s="36" t="s">
        <v>47</v>
      </c>
      <c r="R227" s="36">
        <v>4.7088100000000001E-2</v>
      </c>
      <c r="S227" s="36" t="s">
        <v>288</v>
      </c>
      <c r="T227" s="36">
        <v>2.4659E-2</v>
      </c>
      <c r="U227" s="37">
        <v>0.19047619047619047</v>
      </c>
      <c r="V227"/>
    </row>
    <row r="228" spans="1:22" ht="34" x14ac:dyDescent="0.2">
      <c r="A228" s="36" t="s">
        <v>92</v>
      </c>
      <c r="B228" s="45" t="str">
        <f>VLOOKUP(Tabella1[[#This Row],[test_id]],experiments_specs!A:J,2,FALSE)</f>
        <v>NN,RB</v>
      </c>
      <c r="C228" s="38">
        <f>VLOOKUP(Tabella1[[#This Row],[test_id]],experiments_specs!A:J,3,FALSE)</f>
        <v>1</v>
      </c>
      <c r="D228" s="38">
        <f>VLOOKUP(Tabella1[[#This Row],[test_id]],experiments_specs!A:J,4,FALSE)</f>
        <v>2</v>
      </c>
      <c r="E228" s="38" t="str">
        <f>VLOOKUP(Tabella1[[#This Row],[test_id]],experiments_specs!A:J,5,FALSE)</f>
        <v>True</v>
      </c>
      <c r="F228" s="38" t="str">
        <f>VLOOKUP(Tabella1[[#This Row],[test_id]],experiments_specs!A:J,6,FALSE)</f>
        <v>True</v>
      </c>
      <c r="G228" s="38" t="str">
        <f>VLOOKUP(Tabella1[[#This Row],[test_id]],experiments_specs!A:J,7,FALSE)</f>
        <v>True</v>
      </c>
      <c r="H228" s="38" t="str">
        <f>VLOOKUP(Tabella1[[#This Row],[test_id]],experiments_specs!A:J,8,FALSE)</f>
        <v>False</v>
      </c>
      <c r="I228" s="45" t="str">
        <f>VLOOKUP(Tabella1[[#This Row],[test_id]],experiments_specs!A:J,9,FALSE)</f>
        <v>wup_similarity</v>
      </c>
      <c r="J228" s="38" t="str">
        <f>VLOOKUP(Tabella1[[#This Row],[test_id]],experiments_specs!A:J,10,FALSE)</f>
        <v>False</v>
      </c>
      <c r="K228" s="40" t="s">
        <v>12</v>
      </c>
      <c r="L228" s="36" t="s">
        <v>22</v>
      </c>
      <c r="M228" s="36">
        <v>0.1102635</v>
      </c>
      <c r="N228" s="36" t="s">
        <v>23</v>
      </c>
      <c r="O228" s="36">
        <v>3.8438800000000002E-2</v>
      </c>
      <c r="P228" s="36">
        <v>0.42857142857142855</v>
      </c>
      <c r="Q228" s="36" t="s">
        <v>391</v>
      </c>
      <c r="R228" s="36" t="s">
        <v>393</v>
      </c>
      <c r="S228" s="36" t="s">
        <v>395</v>
      </c>
      <c r="T228" s="36" t="s">
        <v>397</v>
      </c>
      <c r="U228" s="37">
        <v>0.46153846153846156</v>
      </c>
      <c r="V228"/>
    </row>
    <row r="229" spans="1:22" ht="17" x14ac:dyDescent="0.2">
      <c r="A229" s="36" t="s">
        <v>92</v>
      </c>
      <c r="B229" s="45" t="str">
        <f>VLOOKUP(Tabella1[[#This Row],[test_id]],experiments_specs!A:J,2,FALSE)</f>
        <v>NN,RB</v>
      </c>
      <c r="C229" s="38">
        <f>VLOOKUP(Tabella1[[#This Row],[test_id]],experiments_specs!A:J,3,FALSE)</f>
        <v>1</v>
      </c>
      <c r="D229" s="38">
        <f>VLOOKUP(Tabella1[[#This Row],[test_id]],experiments_specs!A:J,4,FALSE)</f>
        <v>2</v>
      </c>
      <c r="E229" s="38" t="str">
        <f>VLOOKUP(Tabella1[[#This Row],[test_id]],experiments_specs!A:J,5,FALSE)</f>
        <v>True</v>
      </c>
      <c r="F229" s="38" t="str">
        <f>VLOOKUP(Tabella1[[#This Row],[test_id]],experiments_specs!A:J,6,FALSE)</f>
        <v>True</v>
      </c>
      <c r="G229" s="38" t="str">
        <f>VLOOKUP(Tabella1[[#This Row],[test_id]],experiments_specs!A:J,7,FALSE)</f>
        <v>True</v>
      </c>
      <c r="H229" s="38" t="str">
        <f>VLOOKUP(Tabella1[[#This Row],[test_id]],experiments_specs!A:J,8,FALSE)</f>
        <v>False</v>
      </c>
      <c r="I229" s="45" t="str">
        <f>VLOOKUP(Tabella1[[#This Row],[test_id]],experiments_specs!A:J,9,FALSE)</f>
        <v>wup_similarity</v>
      </c>
      <c r="J229" s="38" t="str">
        <f>VLOOKUP(Tabella1[[#This Row],[test_id]],experiments_specs!A:J,10,FALSE)</f>
        <v>False</v>
      </c>
      <c r="K229" s="40" t="s">
        <v>13</v>
      </c>
      <c r="L229" s="36" t="s">
        <v>32</v>
      </c>
      <c r="M229" s="36">
        <v>0.10425719999999999</v>
      </c>
      <c r="N229" s="36" t="s">
        <v>398</v>
      </c>
      <c r="O229" s="36">
        <v>2.83752E-2</v>
      </c>
      <c r="P229" s="36">
        <v>0.4</v>
      </c>
      <c r="Q229" s="36" t="s">
        <v>34</v>
      </c>
      <c r="R229" s="36">
        <v>0</v>
      </c>
      <c r="S229" s="36" t="s">
        <v>35</v>
      </c>
      <c r="T229" s="36">
        <v>3.0096399999999999E-2</v>
      </c>
      <c r="U229" s="37" t="s">
        <v>25</v>
      </c>
      <c r="V229"/>
    </row>
    <row r="230" spans="1:22" ht="34" x14ac:dyDescent="0.2">
      <c r="A230" s="36" t="s">
        <v>92</v>
      </c>
      <c r="B230" s="45" t="str">
        <f>VLOOKUP(Tabella1[[#This Row],[test_id]],experiments_specs!A:J,2,FALSE)</f>
        <v>NN,RB</v>
      </c>
      <c r="C230" s="38">
        <f>VLOOKUP(Tabella1[[#This Row],[test_id]],experiments_specs!A:J,3,FALSE)</f>
        <v>1</v>
      </c>
      <c r="D230" s="38">
        <f>VLOOKUP(Tabella1[[#This Row],[test_id]],experiments_specs!A:J,4,FALSE)</f>
        <v>2</v>
      </c>
      <c r="E230" s="38" t="str">
        <f>VLOOKUP(Tabella1[[#This Row],[test_id]],experiments_specs!A:J,5,FALSE)</f>
        <v>True</v>
      </c>
      <c r="F230" s="38" t="str">
        <f>VLOOKUP(Tabella1[[#This Row],[test_id]],experiments_specs!A:J,6,FALSE)</f>
        <v>True</v>
      </c>
      <c r="G230" s="38" t="str">
        <f>VLOOKUP(Tabella1[[#This Row],[test_id]],experiments_specs!A:J,7,FALSE)</f>
        <v>True</v>
      </c>
      <c r="H230" s="38" t="str">
        <f>VLOOKUP(Tabella1[[#This Row],[test_id]],experiments_specs!A:J,8,FALSE)</f>
        <v>False</v>
      </c>
      <c r="I230" s="45" t="str">
        <f>VLOOKUP(Tabella1[[#This Row],[test_id]],experiments_specs!A:J,9,FALSE)</f>
        <v>wup_similarity</v>
      </c>
      <c r="J230" s="38" t="str">
        <f>VLOOKUP(Tabella1[[#This Row],[test_id]],experiments_specs!A:J,10,FALSE)</f>
        <v>False</v>
      </c>
      <c r="K230" s="40" t="s">
        <v>14</v>
      </c>
      <c r="L230" s="36" t="s">
        <v>36</v>
      </c>
      <c r="M230" s="36" t="s">
        <v>400</v>
      </c>
      <c r="N230" s="36" t="s">
        <v>37</v>
      </c>
      <c r="O230" s="36" t="s">
        <v>317</v>
      </c>
      <c r="P230" s="36">
        <v>0.33333333333333331</v>
      </c>
      <c r="Q230" s="36" t="s">
        <v>38</v>
      </c>
      <c r="R230" s="36" t="s">
        <v>273</v>
      </c>
      <c r="S230" s="36" t="s">
        <v>37</v>
      </c>
      <c r="T230" s="36" t="s">
        <v>275</v>
      </c>
      <c r="U230" s="37">
        <v>0.33333333333333331</v>
      </c>
      <c r="V230"/>
    </row>
    <row r="231" spans="1:22" ht="17" x14ac:dyDescent="0.2">
      <c r="A231" s="36" t="s">
        <v>92</v>
      </c>
      <c r="B231" s="45" t="str">
        <f>VLOOKUP(Tabella1[[#This Row],[test_id]],experiments_specs!A:J,2,FALSE)</f>
        <v>NN,RB</v>
      </c>
      <c r="C231" s="38">
        <f>VLOOKUP(Tabella1[[#This Row],[test_id]],experiments_specs!A:J,3,FALSE)</f>
        <v>1</v>
      </c>
      <c r="D231" s="38">
        <f>VLOOKUP(Tabella1[[#This Row],[test_id]],experiments_specs!A:J,4,FALSE)</f>
        <v>2</v>
      </c>
      <c r="E231" s="38" t="str">
        <f>VLOOKUP(Tabella1[[#This Row],[test_id]],experiments_specs!A:J,5,FALSE)</f>
        <v>True</v>
      </c>
      <c r="F231" s="38" t="str">
        <f>VLOOKUP(Tabella1[[#This Row],[test_id]],experiments_specs!A:J,6,FALSE)</f>
        <v>True</v>
      </c>
      <c r="G231" s="38" t="str">
        <f>VLOOKUP(Tabella1[[#This Row],[test_id]],experiments_specs!A:J,7,FALSE)</f>
        <v>True</v>
      </c>
      <c r="H231" s="38" t="str">
        <f>VLOOKUP(Tabella1[[#This Row],[test_id]],experiments_specs!A:J,8,FALSE)</f>
        <v>False</v>
      </c>
      <c r="I231" s="45" t="str">
        <f>VLOOKUP(Tabella1[[#This Row],[test_id]],experiments_specs!A:J,9,FALSE)</f>
        <v>wup_similarity</v>
      </c>
      <c r="J231" s="38" t="str">
        <f>VLOOKUP(Tabella1[[#This Row],[test_id]],experiments_specs!A:J,10,FALSE)</f>
        <v>False</v>
      </c>
      <c r="K231" s="40" t="s">
        <v>15</v>
      </c>
      <c r="L231" s="36" t="s">
        <v>26</v>
      </c>
      <c r="M231" s="36">
        <v>0.18033389999999999</v>
      </c>
      <c r="N231" s="36" t="s">
        <v>27</v>
      </c>
      <c r="O231" s="36">
        <v>2.0823100000000001E-2</v>
      </c>
      <c r="P231" s="36">
        <v>0.16666666666666666</v>
      </c>
      <c r="Q231" s="36" t="s">
        <v>365</v>
      </c>
      <c r="R231" s="36">
        <v>0</v>
      </c>
      <c r="S231" s="36" t="s">
        <v>26</v>
      </c>
      <c r="T231" s="36">
        <v>4.5083400000000003E-2</v>
      </c>
      <c r="U231" s="37">
        <v>0.18181818181818182</v>
      </c>
      <c r="V231"/>
    </row>
    <row r="232" spans="1:22" ht="17" x14ac:dyDescent="0.2">
      <c r="A232" s="36" t="s">
        <v>92</v>
      </c>
      <c r="B232" s="45" t="str">
        <f>VLOOKUP(Tabella1[[#This Row],[test_id]],experiments_specs!A:J,2,FALSE)</f>
        <v>NN,RB</v>
      </c>
      <c r="C232" s="38">
        <f>VLOOKUP(Tabella1[[#This Row],[test_id]],experiments_specs!A:J,3,FALSE)</f>
        <v>1</v>
      </c>
      <c r="D232" s="38">
        <f>VLOOKUP(Tabella1[[#This Row],[test_id]],experiments_specs!A:J,4,FALSE)</f>
        <v>2</v>
      </c>
      <c r="E232" s="38" t="str">
        <f>VLOOKUP(Tabella1[[#This Row],[test_id]],experiments_specs!A:J,5,FALSE)</f>
        <v>True</v>
      </c>
      <c r="F232" s="38" t="str">
        <f>VLOOKUP(Tabella1[[#This Row],[test_id]],experiments_specs!A:J,6,FALSE)</f>
        <v>True</v>
      </c>
      <c r="G232" s="38" t="str">
        <f>VLOOKUP(Tabella1[[#This Row],[test_id]],experiments_specs!A:J,7,FALSE)</f>
        <v>True</v>
      </c>
      <c r="H232" s="38" t="str">
        <f>VLOOKUP(Tabella1[[#This Row],[test_id]],experiments_specs!A:J,8,FALSE)</f>
        <v>False</v>
      </c>
      <c r="I232" s="45" t="str">
        <f>VLOOKUP(Tabella1[[#This Row],[test_id]],experiments_specs!A:J,9,FALSE)</f>
        <v>wup_similarity</v>
      </c>
      <c r="J232" s="38" t="str">
        <f>VLOOKUP(Tabella1[[#This Row],[test_id]],experiments_specs!A:J,10,FALSE)</f>
        <v>False</v>
      </c>
      <c r="K232" s="40" t="s">
        <v>16</v>
      </c>
      <c r="L232" s="36" t="s">
        <v>39</v>
      </c>
      <c r="M232" s="36">
        <v>6.4549700000000002E-2</v>
      </c>
      <c r="N232" s="36" t="s">
        <v>40</v>
      </c>
      <c r="O232" s="36">
        <v>1.7496299999999999E-2</v>
      </c>
      <c r="P232" s="36">
        <v>0.22222222222222221</v>
      </c>
      <c r="Q232" s="36" t="s">
        <v>41</v>
      </c>
      <c r="R232" s="36">
        <v>3.60843E-2</v>
      </c>
      <c r="S232" s="36" t="s">
        <v>40</v>
      </c>
      <c r="T232" s="36">
        <v>1.8556699999999999E-2</v>
      </c>
      <c r="U232" s="37">
        <v>0.22222222222222221</v>
      </c>
      <c r="V232"/>
    </row>
    <row r="233" spans="1:22" ht="68" x14ac:dyDescent="0.2">
      <c r="A233" s="36" t="s">
        <v>92</v>
      </c>
      <c r="B233" s="45" t="str">
        <f>VLOOKUP(Tabella1[[#This Row],[test_id]],experiments_specs!A:J,2,FALSE)</f>
        <v>NN,RB</v>
      </c>
      <c r="C233" s="38">
        <f>VLOOKUP(Tabella1[[#This Row],[test_id]],experiments_specs!A:J,3,FALSE)</f>
        <v>1</v>
      </c>
      <c r="D233" s="38">
        <f>VLOOKUP(Tabella1[[#This Row],[test_id]],experiments_specs!A:J,4,FALSE)</f>
        <v>2</v>
      </c>
      <c r="E233" s="38" t="str">
        <f>VLOOKUP(Tabella1[[#This Row],[test_id]],experiments_specs!A:J,5,FALSE)</f>
        <v>True</v>
      </c>
      <c r="F233" s="38" t="str">
        <f>VLOOKUP(Tabella1[[#This Row],[test_id]],experiments_specs!A:J,6,FALSE)</f>
        <v>True</v>
      </c>
      <c r="G233" s="38" t="str">
        <f>VLOOKUP(Tabella1[[#This Row],[test_id]],experiments_specs!A:J,7,FALSE)</f>
        <v>True</v>
      </c>
      <c r="H233" s="38" t="str">
        <f>VLOOKUP(Tabella1[[#This Row],[test_id]],experiments_specs!A:J,8,FALSE)</f>
        <v>False</v>
      </c>
      <c r="I233" s="45" t="str">
        <f>VLOOKUP(Tabella1[[#This Row],[test_id]],experiments_specs!A:J,9,FALSE)</f>
        <v>wup_similarity</v>
      </c>
      <c r="J233" s="38" t="str">
        <f>VLOOKUP(Tabella1[[#This Row],[test_id]],experiments_specs!A:J,10,FALSE)</f>
        <v>False</v>
      </c>
      <c r="K233" s="40" t="s">
        <v>17</v>
      </c>
      <c r="L233" s="36" t="s">
        <v>279</v>
      </c>
      <c r="M233" s="36" t="s">
        <v>281</v>
      </c>
      <c r="N233" s="36" t="s">
        <v>42</v>
      </c>
      <c r="O233" s="36" t="s">
        <v>321</v>
      </c>
      <c r="P233" s="36">
        <v>0.30769230769230771</v>
      </c>
      <c r="Q233" s="36" t="s">
        <v>43</v>
      </c>
      <c r="R233" s="36" t="s">
        <v>402</v>
      </c>
      <c r="S233" s="36" t="s">
        <v>42</v>
      </c>
      <c r="T233" s="36" t="s">
        <v>287</v>
      </c>
      <c r="U233" s="37">
        <v>0.30769230769230771</v>
      </c>
      <c r="V233"/>
    </row>
    <row r="234" spans="1:22" ht="34" x14ac:dyDescent="0.2">
      <c r="A234" s="36" t="s">
        <v>92</v>
      </c>
      <c r="B234" s="45" t="str">
        <f>VLOOKUP(Tabella1[[#This Row],[test_id]],experiments_specs!A:J,2,FALSE)</f>
        <v>NN,RB</v>
      </c>
      <c r="C234" s="38">
        <f>VLOOKUP(Tabella1[[#This Row],[test_id]],experiments_specs!A:J,3,FALSE)</f>
        <v>1</v>
      </c>
      <c r="D234" s="38">
        <f>VLOOKUP(Tabella1[[#This Row],[test_id]],experiments_specs!A:J,4,FALSE)</f>
        <v>2</v>
      </c>
      <c r="E234" s="38" t="str">
        <f>VLOOKUP(Tabella1[[#This Row],[test_id]],experiments_specs!A:J,5,FALSE)</f>
        <v>True</v>
      </c>
      <c r="F234" s="38" t="str">
        <f>VLOOKUP(Tabella1[[#This Row],[test_id]],experiments_specs!A:J,6,FALSE)</f>
        <v>True</v>
      </c>
      <c r="G234" s="38" t="str">
        <f>VLOOKUP(Tabella1[[#This Row],[test_id]],experiments_specs!A:J,7,FALSE)</f>
        <v>True</v>
      </c>
      <c r="H234" s="38" t="str">
        <f>VLOOKUP(Tabella1[[#This Row],[test_id]],experiments_specs!A:J,8,FALSE)</f>
        <v>False</v>
      </c>
      <c r="I234" s="45" t="str">
        <f>VLOOKUP(Tabella1[[#This Row],[test_id]],experiments_specs!A:J,9,FALSE)</f>
        <v>wup_similarity</v>
      </c>
      <c r="J234" s="38" t="str">
        <f>VLOOKUP(Tabella1[[#This Row],[test_id]],experiments_specs!A:J,10,FALSE)</f>
        <v>False</v>
      </c>
      <c r="K234" s="40" t="s">
        <v>18</v>
      </c>
      <c r="L234" s="36" t="s">
        <v>44</v>
      </c>
      <c r="M234" s="36">
        <v>3.5267199999999999E-2</v>
      </c>
      <c r="N234" s="36" t="s">
        <v>45</v>
      </c>
      <c r="O234" s="36">
        <v>1.5643600000000001E-2</v>
      </c>
      <c r="P234" s="36">
        <v>0.21052631578947367</v>
      </c>
      <c r="Q234" s="36" t="s">
        <v>46</v>
      </c>
      <c r="R234" s="36">
        <v>0</v>
      </c>
      <c r="S234" s="36" t="s">
        <v>45</v>
      </c>
      <c r="T234" s="36">
        <v>1.8864300000000001E-2</v>
      </c>
      <c r="U234" s="37">
        <v>0.21052631578947367</v>
      </c>
      <c r="V234"/>
    </row>
    <row r="235" spans="1:22" ht="17" x14ac:dyDescent="0.2">
      <c r="A235" s="36" t="s">
        <v>93</v>
      </c>
      <c r="B235" s="45" t="str">
        <f>VLOOKUP(Tabella1[[#This Row],[test_id]],experiments_specs!A:J,2,FALSE)</f>
        <v>NN,JJ,VB,VBD,VBG,VBN,VBP,VBZ</v>
      </c>
      <c r="C235" s="38">
        <f>VLOOKUP(Tabella1[[#This Row],[test_id]],experiments_specs!A:J,3,FALSE)</f>
        <v>1</v>
      </c>
      <c r="D235" s="38">
        <f>VLOOKUP(Tabella1[[#This Row],[test_id]],experiments_specs!A:J,4,FALSE)</f>
        <v>2</v>
      </c>
      <c r="E235" s="38" t="str">
        <f>VLOOKUP(Tabella1[[#This Row],[test_id]],experiments_specs!A:J,5,FALSE)</f>
        <v>True</v>
      </c>
      <c r="F235" s="38" t="str">
        <f>VLOOKUP(Tabella1[[#This Row],[test_id]],experiments_specs!A:J,6,FALSE)</f>
        <v>True</v>
      </c>
      <c r="G235" s="38" t="str">
        <f>VLOOKUP(Tabella1[[#This Row],[test_id]],experiments_specs!A:J,7,FALSE)</f>
        <v>True</v>
      </c>
      <c r="H235" s="38" t="str">
        <f>VLOOKUP(Tabella1[[#This Row],[test_id]],experiments_specs!A:J,8,FALSE)</f>
        <v>False</v>
      </c>
      <c r="I235" s="45" t="str">
        <f>VLOOKUP(Tabella1[[#This Row],[test_id]],experiments_specs!A:J,9,FALSE)</f>
        <v>wup_similarity</v>
      </c>
      <c r="J235" s="38" t="str">
        <f>VLOOKUP(Tabella1[[#This Row],[test_id]],experiments_specs!A:J,10,FALSE)</f>
        <v>False</v>
      </c>
      <c r="K235" s="40" t="s">
        <v>19</v>
      </c>
      <c r="L235" s="36" t="s">
        <v>225</v>
      </c>
      <c r="M235" s="36">
        <v>0.14024809999999999</v>
      </c>
      <c r="N235" s="36" t="s">
        <v>226</v>
      </c>
      <c r="O235" s="36">
        <v>1.97927E-2</v>
      </c>
      <c r="P235" s="36">
        <v>0.17391304347826086</v>
      </c>
      <c r="Q235" s="36" t="s">
        <v>288</v>
      </c>
      <c r="R235" s="36">
        <v>0.1561737</v>
      </c>
      <c r="S235" s="36" t="s">
        <v>226</v>
      </c>
      <c r="T235" s="36">
        <v>2.89822E-2</v>
      </c>
      <c r="U235" s="37">
        <v>0.17391304347826086</v>
      </c>
      <c r="V235"/>
    </row>
    <row r="236" spans="1:22" ht="34" x14ac:dyDescent="0.2">
      <c r="A236" s="36" t="s">
        <v>93</v>
      </c>
      <c r="B236" s="45" t="str">
        <f>VLOOKUP(Tabella1[[#This Row],[test_id]],experiments_specs!A:J,2,FALSE)</f>
        <v>NN,JJ,VB,VBD,VBG,VBN,VBP,VBZ</v>
      </c>
      <c r="C236" s="38">
        <f>VLOOKUP(Tabella1[[#This Row],[test_id]],experiments_specs!A:J,3,FALSE)</f>
        <v>1</v>
      </c>
      <c r="D236" s="38">
        <f>VLOOKUP(Tabella1[[#This Row],[test_id]],experiments_specs!A:J,4,FALSE)</f>
        <v>2</v>
      </c>
      <c r="E236" s="38" t="str">
        <f>VLOOKUP(Tabella1[[#This Row],[test_id]],experiments_specs!A:J,5,FALSE)</f>
        <v>True</v>
      </c>
      <c r="F236" s="38" t="str">
        <f>VLOOKUP(Tabella1[[#This Row],[test_id]],experiments_specs!A:J,6,FALSE)</f>
        <v>True</v>
      </c>
      <c r="G236" s="38" t="str">
        <f>VLOOKUP(Tabella1[[#This Row],[test_id]],experiments_specs!A:J,7,FALSE)</f>
        <v>True</v>
      </c>
      <c r="H236" s="38" t="str">
        <f>VLOOKUP(Tabella1[[#This Row],[test_id]],experiments_specs!A:J,8,FALSE)</f>
        <v>False</v>
      </c>
      <c r="I236" s="45" t="str">
        <f>VLOOKUP(Tabella1[[#This Row],[test_id]],experiments_specs!A:J,9,FALSE)</f>
        <v>wup_similarity</v>
      </c>
      <c r="J236" s="38" t="str">
        <f>VLOOKUP(Tabella1[[#This Row],[test_id]],experiments_specs!A:J,10,FALSE)</f>
        <v>False</v>
      </c>
      <c r="K236" s="40" t="s">
        <v>12</v>
      </c>
      <c r="L236" s="36" t="s">
        <v>22</v>
      </c>
      <c r="M236" s="36">
        <v>0.1102635</v>
      </c>
      <c r="N236" s="36" t="s">
        <v>23</v>
      </c>
      <c r="O236" s="36">
        <v>1.44145E-2</v>
      </c>
      <c r="P236" s="36">
        <v>0.42857142857142855</v>
      </c>
      <c r="Q236" s="36" t="s">
        <v>391</v>
      </c>
      <c r="R236" s="36" t="s">
        <v>393</v>
      </c>
      <c r="S236" s="36" t="s">
        <v>395</v>
      </c>
      <c r="T236" s="36" t="s">
        <v>412</v>
      </c>
      <c r="U236" s="37">
        <v>0.46153846153846156</v>
      </c>
      <c r="V236"/>
    </row>
    <row r="237" spans="1:22" ht="17" x14ac:dyDescent="0.2">
      <c r="A237" s="36" t="s">
        <v>93</v>
      </c>
      <c r="B237" s="45" t="str">
        <f>VLOOKUP(Tabella1[[#This Row],[test_id]],experiments_specs!A:J,2,FALSE)</f>
        <v>NN,JJ,VB,VBD,VBG,VBN,VBP,VBZ</v>
      </c>
      <c r="C237" s="38">
        <f>VLOOKUP(Tabella1[[#This Row],[test_id]],experiments_specs!A:J,3,FALSE)</f>
        <v>1</v>
      </c>
      <c r="D237" s="38">
        <f>VLOOKUP(Tabella1[[#This Row],[test_id]],experiments_specs!A:J,4,FALSE)</f>
        <v>2</v>
      </c>
      <c r="E237" s="38" t="str">
        <f>VLOOKUP(Tabella1[[#This Row],[test_id]],experiments_specs!A:J,5,FALSE)</f>
        <v>True</v>
      </c>
      <c r="F237" s="38" t="str">
        <f>VLOOKUP(Tabella1[[#This Row],[test_id]],experiments_specs!A:J,6,FALSE)</f>
        <v>True</v>
      </c>
      <c r="G237" s="38" t="str">
        <f>VLOOKUP(Tabella1[[#This Row],[test_id]],experiments_specs!A:J,7,FALSE)</f>
        <v>True</v>
      </c>
      <c r="H237" s="38" t="str">
        <f>VLOOKUP(Tabella1[[#This Row],[test_id]],experiments_specs!A:J,8,FALSE)</f>
        <v>False</v>
      </c>
      <c r="I237" s="45" t="str">
        <f>VLOOKUP(Tabella1[[#This Row],[test_id]],experiments_specs!A:J,9,FALSE)</f>
        <v>wup_similarity</v>
      </c>
      <c r="J237" s="38" t="str">
        <f>VLOOKUP(Tabella1[[#This Row],[test_id]],experiments_specs!A:J,10,FALSE)</f>
        <v>False</v>
      </c>
      <c r="K237" s="40" t="s">
        <v>13</v>
      </c>
      <c r="L237" s="36" t="s">
        <v>32</v>
      </c>
      <c r="M237" s="36">
        <v>0.10425719999999999</v>
      </c>
      <c r="N237" s="36" t="s">
        <v>398</v>
      </c>
      <c r="O237" s="36">
        <v>1.7025100000000001E-2</v>
      </c>
      <c r="P237" s="36">
        <v>0.4</v>
      </c>
      <c r="Q237" s="36" t="s">
        <v>34</v>
      </c>
      <c r="R237" s="36">
        <v>0</v>
      </c>
      <c r="S237" s="36" t="s">
        <v>35</v>
      </c>
      <c r="T237" s="36">
        <v>2.14974E-2</v>
      </c>
      <c r="U237" s="37" t="s">
        <v>25</v>
      </c>
      <c r="V237"/>
    </row>
    <row r="238" spans="1:22" ht="34" x14ac:dyDescent="0.2">
      <c r="A238" s="36" t="s">
        <v>93</v>
      </c>
      <c r="B238" s="45" t="str">
        <f>VLOOKUP(Tabella1[[#This Row],[test_id]],experiments_specs!A:J,2,FALSE)</f>
        <v>NN,JJ,VB,VBD,VBG,VBN,VBP,VBZ</v>
      </c>
      <c r="C238" s="38">
        <f>VLOOKUP(Tabella1[[#This Row],[test_id]],experiments_specs!A:J,3,FALSE)</f>
        <v>1</v>
      </c>
      <c r="D238" s="38">
        <f>VLOOKUP(Tabella1[[#This Row],[test_id]],experiments_specs!A:J,4,FALSE)</f>
        <v>2</v>
      </c>
      <c r="E238" s="38" t="str">
        <f>VLOOKUP(Tabella1[[#This Row],[test_id]],experiments_specs!A:J,5,FALSE)</f>
        <v>True</v>
      </c>
      <c r="F238" s="38" t="str">
        <f>VLOOKUP(Tabella1[[#This Row],[test_id]],experiments_specs!A:J,6,FALSE)</f>
        <v>True</v>
      </c>
      <c r="G238" s="38" t="str">
        <f>VLOOKUP(Tabella1[[#This Row],[test_id]],experiments_specs!A:J,7,FALSE)</f>
        <v>True</v>
      </c>
      <c r="H238" s="38" t="str">
        <f>VLOOKUP(Tabella1[[#This Row],[test_id]],experiments_specs!A:J,8,FALSE)</f>
        <v>False</v>
      </c>
      <c r="I238" s="45" t="str">
        <f>VLOOKUP(Tabella1[[#This Row],[test_id]],experiments_specs!A:J,9,FALSE)</f>
        <v>wup_similarity</v>
      </c>
      <c r="J238" s="38" t="str">
        <f>VLOOKUP(Tabella1[[#This Row],[test_id]],experiments_specs!A:J,10,FALSE)</f>
        <v>False</v>
      </c>
      <c r="K238" s="40" t="s">
        <v>14</v>
      </c>
      <c r="L238" s="36" t="s">
        <v>36</v>
      </c>
      <c r="M238" s="36" t="s">
        <v>400</v>
      </c>
      <c r="N238" s="36" t="s">
        <v>37</v>
      </c>
      <c r="O238" s="36" t="s">
        <v>323</v>
      </c>
      <c r="P238" s="36">
        <v>0.33333333333333331</v>
      </c>
      <c r="Q238" s="36" t="s">
        <v>38</v>
      </c>
      <c r="R238" s="36" t="s">
        <v>273</v>
      </c>
      <c r="S238" s="36" t="s">
        <v>37</v>
      </c>
      <c r="T238" s="36" t="s">
        <v>325</v>
      </c>
      <c r="U238" s="37">
        <v>0.33333333333333331</v>
      </c>
      <c r="V238"/>
    </row>
    <row r="239" spans="1:22" ht="17" x14ac:dyDescent="0.2">
      <c r="A239" s="36" t="s">
        <v>93</v>
      </c>
      <c r="B239" s="45" t="str">
        <f>VLOOKUP(Tabella1[[#This Row],[test_id]],experiments_specs!A:J,2,FALSE)</f>
        <v>NN,JJ,VB,VBD,VBG,VBN,VBP,VBZ</v>
      </c>
      <c r="C239" s="38">
        <f>VLOOKUP(Tabella1[[#This Row],[test_id]],experiments_specs!A:J,3,FALSE)</f>
        <v>1</v>
      </c>
      <c r="D239" s="38">
        <f>VLOOKUP(Tabella1[[#This Row],[test_id]],experiments_specs!A:J,4,FALSE)</f>
        <v>2</v>
      </c>
      <c r="E239" s="38" t="str">
        <f>VLOOKUP(Tabella1[[#This Row],[test_id]],experiments_specs!A:J,5,FALSE)</f>
        <v>True</v>
      </c>
      <c r="F239" s="38" t="str">
        <f>VLOOKUP(Tabella1[[#This Row],[test_id]],experiments_specs!A:J,6,FALSE)</f>
        <v>True</v>
      </c>
      <c r="G239" s="38" t="str">
        <f>VLOOKUP(Tabella1[[#This Row],[test_id]],experiments_specs!A:J,7,FALSE)</f>
        <v>True</v>
      </c>
      <c r="H239" s="38" t="str">
        <f>VLOOKUP(Tabella1[[#This Row],[test_id]],experiments_specs!A:J,8,FALSE)</f>
        <v>False</v>
      </c>
      <c r="I239" s="45" t="str">
        <f>VLOOKUP(Tabella1[[#This Row],[test_id]],experiments_specs!A:J,9,FALSE)</f>
        <v>wup_similarity</v>
      </c>
      <c r="J239" s="38" t="str">
        <f>VLOOKUP(Tabella1[[#This Row],[test_id]],experiments_specs!A:J,10,FALSE)</f>
        <v>False</v>
      </c>
      <c r="K239" s="40" t="s">
        <v>15</v>
      </c>
      <c r="L239" s="36" t="s">
        <v>26</v>
      </c>
      <c r="M239" s="36">
        <v>0.18033389999999999</v>
      </c>
      <c r="N239" s="36" t="s">
        <v>27</v>
      </c>
      <c r="O239" s="36">
        <v>1.1712999999999999E-2</v>
      </c>
      <c r="P239" s="36">
        <v>0.16666666666666666</v>
      </c>
      <c r="Q239" s="36" t="s">
        <v>365</v>
      </c>
      <c r="R239" s="36">
        <v>0</v>
      </c>
      <c r="S239" s="36" t="s">
        <v>26</v>
      </c>
      <c r="T239" s="36">
        <v>2.90861E-2</v>
      </c>
      <c r="U239" s="37">
        <v>0.18181818181818182</v>
      </c>
      <c r="V239"/>
    </row>
    <row r="240" spans="1:22" ht="17" x14ac:dyDescent="0.2">
      <c r="A240" s="36" t="s">
        <v>93</v>
      </c>
      <c r="B240" s="45" t="str">
        <f>VLOOKUP(Tabella1[[#This Row],[test_id]],experiments_specs!A:J,2,FALSE)</f>
        <v>NN,JJ,VB,VBD,VBG,VBN,VBP,VBZ</v>
      </c>
      <c r="C240" s="38">
        <f>VLOOKUP(Tabella1[[#This Row],[test_id]],experiments_specs!A:J,3,FALSE)</f>
        <v>1</v>
      </c>
      <c r="D240" s="38">
        <f>VLOOKUP(Tabella1[[#This Row],[test_id]],experiments_specs!A:J,4,FALSE)</f>
        <v>2</v>
      </c>
      <c r="E240" s="38" t="str">
        <f>VLOOKUP(Tabella1[[#This Row],[test_id]],experiments_specs!A:J,5,FALSE)</f>
        <v>True</v>
      </c>
      <c r="F240" s="38" t="str">
        <f>VLOOKUP(Tabella1[[#This Row],[test_id]],experiments_specs!A:J,6,FALSE)</f>
        <v>True</v>
      </c>
      <c r="G240" s="38" t="str">
        <f>VLOOKUP(Tabella1[[#This Row],[test_id]],experiments_specs!A:J,7,FALSE)</f>
        <v>True</v>
      </c>
      <c r="H240" s="38" t="str">
        <f>VLOOKUP(Tabella1[[#This Row],[test_id]],experiments_specs!A:J,8,FALSE)</f>
        <v>False</v>
      </c>
      <c r="I240" s="45" t="str">
        <f>VLOOKUP(Tabella1[[#This Row],[test_id]],experiments_specs!A:J,9,FALSE)</f>
        <v>wup_similarity</v>
      </c>
      <c r="J240" s="38" t="str">
        <f>VLOOKUP(Tabella1[[#This Row],[test_id]],experiments_specs!A:J,10,FALSE)</f>
        <v>False</v>
      </c>
      <c r="K240" s="40" t="s">
        <v>16</v>
      </c>
      <c r="L240" s="36" t="s">
        <v>39</v>
      </c>
      <c r="M240" s="36">
        <v>6.4549700000000002E-2</v>
      </c>
      <c r="N240" s="36" t="s">
        <v>40</v>
      </c>
      <c r="O240" s="36">
        <v>1.76645E-2</v>
      </c>
      <c r="P240" s="36">
        <v>0.22222222222222221</v>
      </c>
      <c r="Q240" s="36" t="s">
        <v>41</v>
      </c>
      <c r="R240" s="36">
        <v>3.60843E-2</v>
      </c>
      <c r="S240" s="36" t="s">
        <v>40</v>
      </c>
      <c r="T240" s="36">
        <v>1.95438E-2</v>
      </c>
      <c r="U240" s="37">
        <v>0.22222222222222221</v>
      </c>
      <c r="V240"/>
    </row>
    <row r="241" spans="1:22" ht="17" x14ac:dyDescent="0.2">
      <c r="A241" s="36" t="s">
        <v>93</v>
      </c>
      <c r="B241" s="45" t="str">
        <f>VLOOKUP(Tabella1[[#This Row],[test_id]],experiments_specs!A:J,2,FALSE)</f>
        <v>NN,JJ,VB,VBD,VBG,VBN,VBP,VBZ</v>
      </c>
      <c r="C241" s="38">
        <f>VLOOKUP(Tabella1[[#This Row],[test_id]],experiments_specs!A:J,3,FALSE)</f>
        <v>1</v>
      </c>
      <c r="D241" s="38">
        <f>VLOOKUP(Tabella1[[#This Row],[test_id]],experiments_specs!A:J,4,FALSE)</f>
        <v>2</v>
      </c>
      <c r="E241" s="38" t="str">
        <f>VLOOKUP(Tabella1[[#This Row],[test_id]],experiments_specs!A:J,5,FALSE)</f>
        <v>True</v>
      </c>
      <c r="F241" s="38" t="str">
        <f>VLOOKUP(Tabella1[[#This Row],[test_id]],experiments_specs!A:J,6,FALSE)</f>
        <v>True</v>
      </c>
      <c r="G241" s="38" t="str">
        <f>VLOOKUP(Tabella1[[#This Row],[test_id]],experiments_specs!A:J,7,FALSE)</f>
        <v>True</v>
      </c>
      <c r="H241" s="38" t="str">
        <f>VLOOKUP(Tabella1[[#This Row],[test_id]],experiments_specs!A:J,8,FALSE)</f>
        <v>False</v>
      </c>
      <c r="I241" s="45" t="str">
        <f>VLOOKUP(Tabella1[[#This Row],[test_id]],experiments_specs!A:J,9,FALSE)</f>
        <v>wup_similarity</v>
      </c>
      <c r="J241" s="38" t="str">
        <f>VLOOKUP(Tabella1[[#This Row],[test_id]],experiments_specs!A:J,10,FALSE)</f>
        <v>False</v>
      </c>
      <c r="K241" s="40" t="s">
        <v>17</v>
      </c>
      <c r="L241" s="36" t="s">
        <v>30</v>
      </c>
      <c r="M241" s="36">
        <v>0.1234426</v>
      </c>
      <c r="N241" s="36" t="s">
        <v>31</v>
      </c>
      <c r="O241" s="36">
        <v>1.9916300000000001E-2</v>
      </c>
      <c r="P241" s="36">
        <v>0.22222222222222221</v>
      </c>
      <c r="Q241" s="36" t="s">
        <v>30</v>
      </c>
      <c r="R241" s="36">
        <v>0.1234426</v>
      </c>
      <c r="S241" s="36" t="s">
        <v>380</v>
      </c>
      <c r="T241" s="36">
        <v>2.5843700000000001E-2</v>
      </c>
      <c r="U241" s="37">
        <v>0.2</v>
      </c>
      <c r="V241"/>
    </row>
    <row r="242" spans="1:22" ht="34" x14ac:dyDescent="0.2">
      <c r="A242" s="36" t="s">
        <v>93</v>
      </c>
      <c r="B242" s="45" t="str">
        <f>VLOOKUP(Tabella1[[#This Row],[test_id]],experiments_specs!A:J,2,FALSE)</f>
        <v>NN,JJ,VB,VBD,VBG,VBN,VBP,VBZ</v>
      </c>
      <c r="C242" s="38">
        <f>VLOOKUP(Tabella1[[#This Row],[test_id]],experiments_specs!A:J,3,FALSE)</f>
        <v>1</v>
      </c>
      <c r="D242" s="38">
        <f>VLOOKUP(Tabella1[[#This Row],[test_id]],experiments_specs!A:J,4,FALSE)</f>
        <v>2</v>
      </c>
      <c r="E242" s="38" t="str">
        <f>VLOOKUP(Tabella1[[#This Row],[test_id]],experiments_specs!A:J,5,FALSE)</f>
        <v>True</v>
      </c>
      <c r="F242" s="38" t="str">
        <f>VLOOKUP(Tabella1[[#This Row],[test_id]],experiments_specs!A:J,6,FALSE)</f>
        <v>True</v>
      </c>
      <c r="G242" s="38" t="str">
        <f>VLOOKUP(Tabella1[[#This Row],[test_id]],experiments_specs!A:J,7,FALSE)</f>
        <v>True</v>
      </c>
      <c r="H242" s="38" t="str">
        <f>VLOOKUP(Tabella1[[#This Row],[test_id]],experiments_specs!A:J,8,FALSE)</f>
        <v>False</v>
      </c>
      <c r="I242" s="45" t="str">
        <f>VLOOKUP(Tabella1[[#This Row],[test_id]],experiments_specs!A:J,9,FALSE)</f>
        <v>wup_similarity</v>
      </c>
      <c r="J242" s="38" t="str">
        <f>VLOOKUP(Tabella1[[#This Row],[test_id]],experiments_specs!A:J,10,FALSE)</f>
        <v>False</v>
      </c>
      <c r="K242" s="40" t="s">
        <v>18</v>
      </c>
      <c r="L242" s="36" t="s">
        <v>44</v>
      </c>
      <c r="M242" s="36">
        <v>3.5267199999999999E-2</v>
      </c>
      <c r="N242" s="36" t="s">
        <v>45</v>
      </c>
      <c r="O242" s="36">
        <v>8.1188000000000007E-3</v>
      </c>
      <c r="P242" s="36">
        <v>0.21052631578947367</v>
      </c>
      <c r="Q242" s="36" t="s">
        <v>46</v>
      </c>
      <c r="R242" s="36">
        <v>0</v>
      </c>
      <c r="S242" s="36" t="s">
        <v>45</v>
      </c>
      <c r="T242" s="36">
        <v>1.0871E-2</v>
      </c>
      <c r="U242" s="37">
        <v>0.21052631578947367</v>
      </c>
      <c r="V242"/>
    </row>
    <row r="243" spans="1:22" ht="17" x14ac:dyDescent="0.2">
      <c r="A243" s="36" t="s">
        <v>94</v>
      </c>
      <c r="B243" s="45" t="str">
        <f>VLOOKUP(Tabella1[[#This Row],[test_id]],experiments_specs!A:J,2,FALSE)</f>
        <v>NN</v>
      </c>
      <c r="C243" s="38">
        <f>VLOOKUP(Tabella1[[#This Row],[test_id]],experiments_specs!A:J,3,FALSE)</f>
        <v>1</v>
      </c>
      <c r="D243" s="38">
        <f>VLOOKUP(Tabella1[[#This Row],[test_id]],experiments_specs!A:J,4,FALSE)</f>
        <v>2</v>
      </c>
      <c r="E243" s="38" t="str">
        <f>VLOOKUP(Tabella1[[#This Row],[test_id]],experiments_specs!A:J,5,FALSE)</f>
        <v>True</v>
      </c>
      <c r="F243" s="38" t="str">
        <f>VLOOKUP(Tabella1[[#This Row],[test_id]],experiments_specs!A:J,6,FALSE)</f>
        <v>True</v>
      </c>
      <c r="G243" s="38" t="str">
        <f>VLOOKUP(Tabella1[[#This Row],[test_id]],experiments_specs!A:J,7,FALSE)</f>
        <v>True</v>
      </c>
      <c r="H243" s="38" t="str">
        <f>VLOOKUP(Tabella1[[#This Row],[test_id]],experiments_specs!A:J,8,FALSE)</f>
        <v>False</v>
      </c>
      <c r="I243" s="45" t="str">
        <f>VLOOKUP(Tabella1[[#This Row],[test_id]],experiments_specs!A:J,9,FALSE)</f>
        <v>wup_similarity</v>
      </c>
      <c r="J243" s="38" t="str">
        <f>VLOOKUP(Tabella1[[#This Row],[test_id]],experiments_specs!A:J,10,FALSE)</f>
        <v>True</v>
      </c>
      <c r="K243" s="40" t="s">
        <v>19</v>
      </c>
      <c r="L243" s="36" t="s">
        <v>354</v>
      </c>
      <c r="M243" s="36">
        <v>0.1180562</v>
      </c>
      <c r="N243" s="36" t="s">
        <v>288</v>
      </c>
      <c r="O243" s="36">
        <v>2.12964E-2</v>
      </c>
      <c r="P243" s="36">
        <v>0.19047619047619047</v>
      </c>
      <c r="Q243" s="36" t="s">
        <v>47</v>
      </c>
      <c r="R243" s="36">
        <v>4.7088100000000001E-2</v>
      </c>
      <c r="S243" s="36" t="s">
        <v>288</v>
      </c>
      <c r="T243" s="36">
        <v>2.23105E-2</v>
      </c>
      <c r="U243" s="37">
        <v>0.19047619047619047</v>
      </c>
      <c r="V243"/>
    </row>
    <row r="244" spans="1:22" ht="34" x14ac:dyDescent="0.2">
      <c r="A244" s="36" t="s">
        <v>94</v>
      </c>
      <c r="B244" s="45" t="str">
        <f>VLOOKUP(Tabella1[[#This Row],[test_id]],experiments_specs!A:J,2,FALSE)</f>
        <v>NN</v>
      </c>
      <c r="C244" s="38">
        <f>VLOOKUP(Tabella1[[#This Row],[test_id]],experiments_specs!A:J,3,FALSE)</f>
        <v>1</v>
      </c>
      <c r="D244" s="38">
        <f>VLOOKUP(Tabella1[[#This Row],[test_id]],experiments_specs!A:J,4,FALSE)</f>
        <v>2</v>
      </c>
      <c r="E244" s="38" t="str">
        <f>VLOOKUP(Tabella1[[#This Row],[test_id]],experiments_specs!A:J,5,FALSE)</f>
        <v>True</v>
      </c>
      <c r="F244" s="38" t="str">
        <f>VLOOKUP(Tabella1[[#This Row],[test_id]],experiments_specs!A:J,6,FALSE)</f>
        <v>True</v>
      </c>
      <c r="G244" s="38" t="str">
        <f>VLOOKUP(Tabella1[[#This Row],[test_id]],experiments_specs!A:J,7,FALSE)</f>
        <v>True</v>
      </c>
      <c r="H244" s="38" t="str">
        <f>VLOOKUP(Tabella1[[#This Row],[test_id]],experiments_specs!A:J,8,FALSE)</f>
        <v>False</v>
      </c>
      <c r="I244" s="45" t="str">
        <f>VLOOKUP(Tabella1[[#This Row],[test_id]],experiments_specs!A:J,9,FALSE)</f>
        <v>wup_similarity</v>
      </c>
      <c r="J244" s="38" t="str">
        <f>VLOOKUP(Tabella1[[#This Row],[test_id]],experiments_specs!A:J,10,FALSE)</f>
        <v>True</v>
      </c>
      <c r="K244" s="40" t="s">
        <v>12</v>
      </c>
      <c r="L244" s="36" t="s">
        <v>22</v>
      </c>
      <c r="M244" s="36">
        <v>0.1102635</v>
      </c>
      <c r="N244" s="36" t="s">
        <v>23</v>
      </c>
      <c r="O244" s="36">
        <v>3.8438800000000002E-2</v>
      </c>
      <c r="P244" s="36">
        <v>0.42857142857142855</v>
      </c>
      <c r="Q244" s="36" t="s">
        <v>391</v>
      </c>
      <c r="R244" s="36" t="s">
        <v>393</v>
      </c>
      <c r="S244" s="36" t="s">
        <v>395</v>
      </c>
      <c r="T244" s="36" t="s">
        <v>397</v>
      </c>
      <c r="U244" s="37">
        <v>0.46153846153846156</v>
      </c>
      <c r="V244"/>
    </row>
    <row r="245" spans="1:22" ht="17" x14ac:dyDescent="0.2">
      <c r="A245" s="36" t="s">
        <v>94</v>
      </c>
      <c r="B245" s="45" t="str">
        <f>VLOOKUP(Tabella1[[#This Row],[test_id]],experiments_specs!A:J,2,FALSE)</f>
        <v>NN</v>
      </c>
      <c r="C245" s="38">
        <f>VLOOKUP(Tabella1[[#This Row],[test_id]],experiments_specs!A:J,3,FALSE)</f>
        <v>1</v>
      </c>
      <c r="D245" s="38">
        <f>VLOOKUP(Tabella1[[#This Row],[test_id]],experiments_specs!A:J,4,FALSE)</f>
        <v>2</v>
      </c>
      <c r="E245" s="38" t="str">
        <f>VLOOKUP(Tabella1[[#This Row],[test_id]],experiments_specs!A:J,5,FALSE)</f>
        <v>True</v>
      </c>
      <c r="F245" s="38" t="str">
        <f>VLOOKUP(Tabella1[[#This Row],[test_id]],experiments_specs!A:J,6,FALSE)</f>
        <v>True</v>
      </c>
      <c r="G245" s="38" t="str">
        <f>VLOOKUP(Tabella1[[#This Row],[test_id]],experiments_specs!A:J,7,FALSE)</f>
        <v>True</v>
      </c>
      <c r="H245" s="38" t="str">
        <f>VLOOKUP(Tabella1[[#This Row],[test_id]],experiments_specs!A:J,8,FALSE)</f>
        <v>False</v>
      </c>
      <c r="I245" s="45" t="str">
        <f>VLOOKUP(Tabella1[[#This Row],[test_id]],experiments_specs!A:J,9,FALSE)</f>
        <v>wup_similarity</v>
      </c>
      <c r="J245" s="38" t="str">
        <f>VLOOKUP(Tabella1[[#This Row],[test_id]],experiments_specs!A:J,10,FALSE)</f>
        <v>True</v>
      </c>
      <c r="K245" s="40" t="s">
        <v>13</v>
      </c>
      <c r="L245" s="36" t="s">
        <v>326</v>
      </c>
      <c r="M245" s="36">
        <v>0.10425719999999999</v>
      </c>
      <c r="N245" s="36" t="s">
        <v>327</v>
      </c>
      <c r="O245" s="36">
        <v>2.4573600000000001E-2</v>
      </c>
      <c r="P245" s="36" t="s">
        <v>25</v>
      </c>
      <c r="Q245" s="36" t="s">
        <v>34</v>
      </c>
      <c r="R245" s="36">
        <v>0</v>
      </c>
      <c r="S245" s="36" t="s">
        <v>35</v>
      </c>
      <c r="T245" s="36">
        <v>2.50803E-2</v>
      </c>
      <c r="U245" s="37" t="s">
        <v>25</v>
      </c>
      <c r="V245"/>
    </row>
    <row r="246" spans="1:22" ht="34" x14ac:dyDescent="0.2">
      <c r="A246" s="36" t="s">
        <v>94</v>
      </c>
      <c r="B246" s="45" t="str">
        <f>VLOOKUP(Tabella1[[#This Row],[test_id]],experiments_specs!A:J,2,FALSE)</f>
        <v>NN</v>
      </c>
      <c r="C246" s="38">
        <f>VLOOKUP(Tabella1[[#This Row],[test_id]],experiments_specs!A:J,3,FALSE)</f>
        <v>1</v>
      </c>
      <c r="D246" s="38">
        <f>VLOOKUP(Tabella1[[#This Row],[test_id]],experiments_specs!A:J,4,FALSE)</f>
        <v>2</v>
      </c>
      <c r="E246" s="38" t="str">
        <f>VLOOKUP(Tabella1[[#This Row],[test_id]],experiments_specs!A:J,5,FALSE)</f>
        <v>True</v>
      </c>
      <c r="F246" s="38" t="str">
        <f>VLOOKUP(Tabella1[[#This Row],[test_id]],experiments_specs!A:J,6,FALSE)</f>
        <v>True</v>
      </c>
      <c r="G246" s="38" t="str">
        <f>VLOOKUP(Tabella1[[#This Row],[test_id]],experiments_specs!A:J,7,FALSE)</f>
        <v>True</v>
      </c>
      <c r="H246" s="38" t="str">
        <f>VLOOKUP(Tabella1[[#This Row],[test_id]],experiments_specs!A:J,8,FALSE)</f>
        <v>False</v>
      </c>
      <c r="I246" s="45" t="str">
        <f>VLOOKUP(Tabella1[[#This Row],[test_id]],experiments_specs!A:J,9,FALSE)</f>
        <v>wup_similarity</v>
      </c>
      <c r="J246" s="38" t="str">
        <f>VLOOKUP(Tabella1[[#This Row],[test_id]],experiments_specs!A:J,10,FALSE)</f>
        <v>True</v>
      </c>
      <c r="K246" s="40" t="s">
        <v>14</v>
      </c>
      <c r="L246" s="36" t="s">
        <v>36</v>
      </c>
      <c r="M246" s="36" t="s">
        <v>400</v>
      </c>
      <c r="N246" s="36" t="s">
        <v>37</v>
      </c>
      <c r="O246" s="36" t="s">
        <v>271</v>
      </c>
      <c r="P246" s="36">
        <v>0.33333333333333331</v>
      </c>
      <c r="Q246" s="36" t="s">
        <v>38</v>
      </c>
      <c r="R246" s="36" t="s">
        <v>273</v>
      </c>
      <c r="S246" s="36" t="s">
        <v>37</v>
      </c>
      <c r="T246" s="36" t="s">
        <v>292</v>
      </c>
      <c r="U246" s="37">
        <v>0.33333333333333331</v>
      </c>
      <c r="V246"/>
    </row>
    <row r="247" spans="1:22" ht="17" x14ac:dyDescent="0.2">
      <c r="A247" s="36" t="s">
        <v>94</v>
      </c>
      <c r="B247" s="45" t="str">
        <f>VLOOKUP(Tabella1[[#This Row],[test_id]],experiments_specs!A:J,2,FALSE)</f>
        <v>NN</v>
      </c>
      <c r="C247" s="38">
        <f>VLOOKUP(Tabella1[[#This Row],[test_id]],experiments_specs!A:J,3,FALSE)</f>
        <v>1</v>
      </c>
      <c r="D247" s="38">
        <f>VLOOKUP(Tabella1[[#This Row],[test_id]],experiments_specs!A:J,4,FALSE)</f>
        <v>2</v>
      </c>
      <c r="E247" s="38" t="str">
        <f>VLOOKUP(Tabella1[[#This Row],[test_id]],experiments_specs!A:J,5,FALSE)</f>
        <v>True</v>
      </c>
      <c r="F247" s="38" t="str">
        <f>VLOOKUP(Tabella1[[#This Row],[test_id]],experiments_specs!A:J,6,FALSE)</f>
        <v>True</v>
      </c>
      <c r="G247" s="38" t="str">
        <f>VLOOKUP(Tabella1[[#This Row],[test_id]],experiments_specs!A:J,7,FALSE)</f>
        <v>True</v>
      </c>
      <c r="H247" s="38" t="str">
        <f>VLOOKUP(Tabella1[[#This Row],[test_id]],experiments_specs!A:J,8,FALSE)</f>
        <v>False</v>
      </c>
      <c r="I247" s="45" t="str">
        <f>VLOOKUP(Tabella1[[#This Row],[test_id]],experiments_specs!A:J,9,FALSE)</f>
        <v>wup_similarity</v>
      </c>
      <c r="J247" s="38" t="str">
        <f>VLOOKUP(Tabella1[[#This Row],[test_id]],experiments_specs!A:J,10,FALSE)</f>
        <v>True</v>
      </c>
      <c r="K247" s="40" t="s">
        <v>15</v>
      </c>
      <c r="L247" s="36" t="s">
        <v>26</v>
      </c>
      <c r="M247" s="36">
        <v>0.18033389999999999</v>
      </c>
      <c r="N247" s="36" t="s">
        <v>27</v>
      </c>
      <c r="O247" s="36">
        <v>2.23105E-2</v>
      </c>
      <c r="P247" s="36">
        <v>0.16666666666666666</v>
      </c>
      <c r="Q247" s="36" t="s">
        <v>365</v>
      </c>
      <c r="R247" s="36">
        <v>0</v>
      </c>
      <c r="S247" s="36" t="s">
        <v>26</v>
      </c>
      <c r="T247" s="36">
        <v>4.8089E-2</v>
      </c>
      <c r="U247" s="37">
        <v>0.18181818181818182</v>
      </c>
      <c r="V247"/>
    </row>
    <row r="248" spans="1:22" ht="17" x14ac:dyDescent="0.2">
      <c r="A248" s="36" t="s">
        <v>94</v>
      </c>
      <c r="B248" s="45" t="str">
        <f>VLOOKUP(Tabella1[[#This Row],[test_id]],experiments_specs!A:J,2,FALSE)</f>
        <v>NN</v>
      </c>
      <c r="C248" s="38">
        <f>VLOOKUP(Tabella1[[#This Row],[test_id]],experiments_specs!A:J,3,FALSE)</f>
        <v>1</v>
      </c>
      <c r="D248" s="38">
        <f>VLOOKUP(Tabella1[[#This Row],[test_id]],experiments_specs!A:J,4,FALSE)</f>
        <v>2</v>
      </c>
      <c r="E248" s="38" t="str">
        <f>VLOOKUP(Tabella1[[#This Row],[test_id]],experiments_specs!A:J,5,FALSE)</f>
        <v>True</v>
      </c>
      <c r="F248" s="38" t="str">
        <f>VLOOKUP(Tabella1[[#This Row],[test_id]],experiments_specs!A:J,6,FALSE)</f>
        <v>True</v>
      </c>
      <c r="G248" s="38" t="str">
        <f>VLOOKUP(Tabella1[[#This Row],[test_id]],experiments_specs!A:J,7,FALSE)</f>
        <v>True</v>
      </c>
      <c r="H248" s="38" t="str">
        <f>VLOOKUP(Tabella1[[#This Row],[test_id]],experiments_specs!A:J,8,FALSE)</f>
        <v>False</v>
      </c>
      <c r="I248" s="45" t="str">
        <f>VLOOKUP(Tabella1[[#This Row],[test_id]],experiments_specs!A:J,9,FALSE)</f>
        <v>wup_similarity</v>
      </c>
      <c r="J248" s="38" t="str">
        <f>VLOOKUP(Tabella1[[#This Row],[test_id]],experiments_specs!A:J,10,FALSE)</f>
        <v>True</v>
      </c>
      <c r="K248" s="40" t="s">
        <v>16</v>
      </c>
      <c r="L248" s="36" t="s">
        <v>39</v>
      </c>
      <c r="M248" s="36">
        <v>6.4549700000000002E-2</v>
      </c>
      <c r="N248" s="36" t="s">
        <v>40</v>
      </c>
      <c r="O248" s="36">
        <v>1.9753900000000001E-2</v>
      </c>
      <c r="P248" s="36">
        <v>0.22222222222222221</v>
      </c>
      <c r="Q248" s="36" t="s">
        <v>41</v>
      </c>
      <c r="R248" s="36">
        <v>3.60843E-2</v>
      </c>
      <c r="S248" s="36" t="s">
        <v>40</v>
      </c>
      <c r="T248" s="36">
        <v>1.8556699999999999E-2</v>
      </c>
      <c r="U248" s="37">
        <v>0.22222222222222221</v>
      </c>
      <c r="V248"/>
    </row>
    <row r="249" spans="1:22" ht="68" x14ac:dyDescent="0.2">
      <c r="A249" s="36" t="s">
        <v>94</v>
      </c>
      <c r="B249" s="45" t="str">
        <f>VLOOKUP(Tabella1[[#This Row],[test_id]],experiments_specs!A:J,2,FALSE)</f>
        <v>NN</v>
      </c>
      <c r="C249" s="38">
        <f>VLOOKUP(Tabella1[[#This Row],[test_id]],experiments_specs!A:J,3,FALSE)</f>
        <v>1</v>
      </c>
      <c r="D249" s="38">
        <f>VLOOKUP(Tabella1[[#This Row],[test_id]],experiments_specs!A:J,4,FALSE)</f>
        <v>2</v>
      </c>
      <c r="E249" s="38" t="str">
        <f>VLOOKUP(Tabella1[[#This Row],[test_id]],experiments_specs!A:J,5,FALSE)</f>
        <v>True</v>
      </c>
      <c r="F249" s="38" t="str">
        <f>VLOOKUP(Tabella1[[#This Row],[test_id]],experiments_specs!A:J,6,FALSE)</f>
        <v>True</v>
      </c>
      <c r="G249" s="38" t="str">
        <f>VLOOKUP(Tabella1[[#This Row],[test_id]],experiments_specs!A:J,7,FALSE)</f>
        <v>True</v>
      </c>
      <c r="H249" s="38" t="str">
        <f>VLOOKUP(Tabella1[[#This Row],[test_id]],experiments_specs!A:J,8,FALSE)</f>
        <v>False</v>
      </c>
      <c r="I249" s="45" t="str">
        <f>VLOOKUP(Tabella1[[#This Row],[test_id]],experiments_specs!A:J,9,FALSE)</f>
        <v>wup_similarity</v>
      </c>
      <c r="J249" s="38" t="str">
        <f>VLOOKUP(Tabella1[[#This Row],[test_id]],experiments_specs!A:J,10,FALSE)</f>
        <v>True</v>
      </c>
      <c r="K249" s="40" t="s">
        <v>17</v>
      </c>
      <c r="L249" s="36" t="s">
        <v>279</v>
      </c>
      <c r="M249" s="36" t="s">
        <v>281</v>
      </c>
      <c r="N249" s="36" t="s">
        <v>42</v>
      </c>
      <c r="O249" s="36" t="s">
        <v>287</v>
      </c>
      <c r="P249" s="36">
        <v>0.30769230769230771</v>
      </c>
      <c r="Q249" s="36" t="s">
        <v>43</v>
      </c>
      <c r="R249" s="36" t="s">
        <v>402</v>
      </c>
      <c r="S249" s="36" t="s">
        <v>42</v>
      </c>
      <c r="T249" s="36" t="s">
        <v>287</v>
      </c>
      <c r="U249" s="37">
        <v>0.30769230769230771</v>
      </c>
      <c r="V249"/>
    </row>
    <row r="250" spans="1:22" ht="34" x14ac:dyDescent="0.2">
      <c r="A250" s="36" t="s">
        <v>94</v>
      </c>
      <c r="B250" s="45" t="str">
        <f>VLOOKUP(Tabella1[[#This Row],[test_id]],experiments_specs!A:J,2,FALSE)</f>
        <v>NN</v>
      </c>
      <c r="C250" s="38">
        <f>VLOOKUP(Tabella1[[#This Row],[test_id]],experiments_specs!A:J,3,FALSE)</f>
        <v>1</v>
      </c>
      <c r="D250" s="38">
        <f>VLOOKUP(Tabella1[[#This Row],[test_id]],experiments_specs!A:J,4,FALSE)</f>
        <v>2</v>
      </c>
      <c r="E250" s="38" t="str">
        <f>VLOOKUP(Tabella1[[#This Row],[test_id]],experiments_specs!A:J,5,FALSE)</f>
        <v>True</v>
      </c>
      <c r="F250" s="38" t="str">
        <f>VLOOKUP(Tabella1[[#This Row],[test_id]],experiments_specs!A:J,6,FALSE)</f>
        <v>True</v>
      </c>
      <c r="G250" s="38" t="str">
        <f>VLOOKUP(Tabella1[[#This Row],[test_id]],experiments_specs!A:J,7,FALSE)</f>
        <v>True</v>
      </c>
      <c r="H250" s="38" t="str">
        <f>VLOOKUP(Tabella1[[#This Row],[test_id]],experiments_specs!A:J,8,FALSE)</f>
        <v>False</v>
      </c>
      <c r="I250" s="45" t="str">
        <f>VLOOKUP(Tabella1[[#This Row],[test_id]],experiments_specs!A:J,9,FALSE)</f>
        <v>wup_similarity</v>
      </c>
      <c r="J250" s="38" t="str">
        <f>VLOOKUP(Tabella1[[#This Row],[test_id]],experiments_specs!A:J,10,FALSE)</f>
        <v>True</v>
      </c>
      <c r="K250" s="40" t="s">
        <v>18</v>
      </c>
      <c r="L250" s="36" t="s">
        <v>44</v>
      </c>
      <c r="M250" s="36">
        <v>3.5267199999999999E-2</v>
      </c>
      <c r="N250" s="36" t="s">
        <v>45</v>
      </c>
      <c r="O250" s="36">
        <v>1.8864300000000001E-2</v>
      </c>
      <c r="P250" s="36">
        <v>0.21052631578947367</v>
      </c>
      <c r="Q250" s="36" t="s">
        <v>46</v>
      </c>
      <c r="R250" s="36">
        <v>0</v>
      </c>
      <c r="S250" s="36" t="s">
        <v>45</v>
      </c>
      <c r="T250" s="36">
        <v>1.8864300000000001E-2</v>
      </c>
      <c r="U250" s="37">
        <v>0.21052631578947367</v>
      </c>
      <c r="V250"/>
    </row>
    <row r="251" spans="1:22" ht="17" x14ac:dyDescent="0.2">
      <c r="A251" s="36" t="s">
        <v>95</v>
      </c>
      <c r="B251" s="45" t="str">
        <f>VLOOKUP(Tabella1[[#This Row],[test_id]],experiments_specs!A:J,2,FALSE)</f>
        <v>NN,JJ</v>
      </c>
      <c r="C251" s="38">
        <f>VLOOKUP(Tabella1[[#This Row],[test_id]],experiments_specs!A:J,3,FALSE)</f>
        <v>1</v>
      </c>
      <c r="D251" s="38">
        <f>VLOOKUP(Tabella1[[#This Row],[test_id]],experiments_specs!A:J,4,FALSE)</f>
        <v>2</v>
      </c>
      <c r="E251" s="38" t="str">
        <f>VLOOKUP(Tabella1[[#This Row],[test_id]],experiments_specs!A:J,5,FALSE)</f>
        <v>True</v>
      </c>
      <c r="F251" s="38" t="str">
        <f>VLOOKUP(Tabella1[[#This Row],[test_id]],experiments_specs!A:J,6,FALSE)</f>
        <v>True</v>
      </c>
      <c r="G251" s="38" t="str">
        <f>VLOOKUP(Tabella1[[#This Row],[test_id]],experiments_specs!A:J,7,FALSE)</f>
        <v>True</v>
      </c>
      <c r="H251" s="38" t="str">
        <f>VLOOKUP(Tabella1[[#This Row],[test_id]],experiments_specs!A:J,8,FALSE)</f>
        <v>False</v>
      </c>
      <c r="I251" s="45" t="str">
        <f>VLOOKUP(Tabella1[[#This Row],[test_id]],experiments_specs!A:J,9,FALSE)</f>
        <v>wup_similarity</v>
      </c>
      <c r="J251" s="38" t="str">
        <f>VLOOKUP(Tabella1[[#This Row],[test_id]],experiments_specs!A:J,10,FALSE)</f>
        <v>True</v>
      </c>
      <c r="K251" s="40" t="s">
        <v>19</v>
      </c>
      <c r="L251" s="36" t="s">
        <v>225</v>
      </c>
      <c r="M251" s="36">
        <v>0.14024809999999999</v>
      </c>
      <c r="N251" s="36" t="s">
        <v>226</v>
      </c>
      <c r="O251" s="36">
        <v>2.7982799999999999E-2</v>
      </c>
      <c r="P251" s="36">
        <v>0.17391304347826086</v>
      </c>
      <c r="Q251" s="36" t="s">
        <v>288</v>
      </c>
      <c r="R251" s="36">
        <v>0.1561737</v>
      </c>
      <c r="S251" s="36" t="s">
        <v>226</v>
      </c>
      <c r="T251" s="36">
        <v>2.89822E-2</v>
      </c>
      <c r="U251" s="37">
        <v>0.17391304347826086</v>
      </c>
      <c r="V251"/>
    </row>
    <row r="252" spans="1:22" ht="34" x14ac:dyDescent="0.2">
      <c r="A252" s="36" t="s">
        <v>95</v>
      </c>
      <c r="B252" s="45" t="str">
        <f>VLOOKUP(Tabella1[[#This Row],[test_id]],experiments_specs!A:J,2,FALSE)</f>
        <v>NN,JJ</v>
      </c>
      <c r="C252" s="38">
        <f>VLOOKUP(Tabella1[[#This Row],[test_id]],experiments_specs!A:J,3,FALSE)</f>
        <v>1</v>
      </c>
      <c r="D252" s="38">
        <f>VLOOKUP(Tabella1[[#This Row],[test_id]],experiments_specs!A:J,4,FALSE)</f>
        <v>2</v>
      </c>
      <c r="E252" s="38" t="str">
        <f>VLOOKUP(Tabella1[[#This Row],[test_id]],experiments_specs!A:J,5,FALSE)</f>
        <v>True</v>
      </c>
      <c r="F252" s="38" t="str">
        <f>VLOOKUP(Tabella1[[#This Row],[test_id]],experiments_specs!A:J,6,FALSE)</f>
        <v>True</v>
      </c>
      <c r="G252" s="38" t="str">
        <f>VLOOKUP(Tabella1[[#This Row],[test_id]],experiments_specs!A:J,7,FALSE)</f>
        <v>True</v>
      </c>
      <c r="H252" s="38" t="str">
        <f>VLOOKUP(Tabella1[[#This Row],[test_id]],experiments_specs!A:J,8,FALSE)</f>
        <v>False</v>
      </c>
      <c r="I252" s="45" t="str">
        <f>VLOOKUP(Tabella1[[#This Row],[test_id]],experiments_specs!A:J,9,FALSE)</f>
        <v>wup_similarity</v>
      </c>
      <c r="J252" s="38" t="str">
        <f>VLOOKUP(Tabella1[[#This Row],[test_id]],experiments_specs!A:J,10,FALSE)</f>
        <v>True</v>
      </c>
      <c r="K252" s="40" t="s">
        <v>12</v>
      </c>
      <c r="L252" s="36" t="s">
        <v>22</v>
      </c>
      <c r="M252" s="36">
        <v>0.1102635</v>
      </c>
      <c r="N252" s="36" t="s">
        <v>23</v>
      </c>
      <c r="O252" s="36">
        <v>3.1449900000000003E-2</v>
      </c>
      <c r="P252" s="36">
        <v>0.42857142857142855</v>
      </c>
      <c r="Q252" s="36" t="s">
        <v>391</v>
      </c>
      <c r="R252" s="36" t="s">
        <v>393</v>
      </c>
      <c r="S252" s="36" t="s">
        <v>395</v>
      </c>
      <c r="T252" s="36" t="s">
        <v>414</v>
      </c>
      <c r="U252" s="37">
        <v>0.46153846153846156</v>
      </c>
      <c r="V252"/>
    </row>
    <row r="253" spans="1:22" ht="17" x14ac:dyDescent="0.2">
      <c r="A253" s="36" t="s">
        <v>95</v>
      </c>
      <c r="B253" s="45" t="str">
        <f>VLOOKUP(Tabella1[[#This Row],[test_id]],experiments_specs!A:J,2,FALSE)</f>
        <v>NN,JJ</v>
      </c>
      <c r="C253" s="38">
        <f>VLOOKUP(Tabella1[[#This Row],[test_id]],experiments_specs!A:J,3,FALSE)</f>
        <v>1</v>
      </c>
      <c r="D253" s="38">
        <f>VLOOKUP(Tabella1[[#This Row],[test_id]],experiments_specs!A:J,4,FALSE)</f>
        <v>2</v>
      </c>
      <c r="E253" s="38" t="str">
        <f>VLOOKUP(Tabella1[[#This Row],[test_id]],experiments_specs!A:J,5,FALSE)</f>
        <v>True</v>
      </c>
      <c r="F253" s="38" t="str">
        <f>VLOOKUP(Tabella1[[#This Row],[test_id]],experiments_specs!A:J,6,FALSE)</f>
        <v>True</v>
      </c>
      <c r="G253" s="38" t="str">
        <f>VLOOKUP(Tabella1[[#This Row],[test_id]],experiments_specs!A:J,7,FALSE)</f>
        <v>True</v>
      </c>
      <c r="H253" s="38" t="str">
        <f>VLOOKUP(Tabella1[[#This Row],[test_id]],experiments_specs!A:J,8,FALSE)</f>
        <v>False</v>
      </c>
      <c r="I253" s="45" t="str">
        <f>VLOOKUP(Tabella1[[#This Row],[test_id]],experiments_specs!A:J,9,FALSE)</f>
        <v>wup_similarity</v>
      </c>
      <c r="J253" s="38" t="str">
        <f>VLOOKUP(Tabella1[[#This Row],[test_id]],experiments_specs!A:J,10,FALSE)</f>
        <v>True</v>
      </c>
      <c r="K253" s="40" t="s">
        <v>13</v>
      </c>
      <c r="L253" s="36" t="s">
        <v>326</v>
      </c>
      <c r="M253" s="36">
        <v>0.10425719999999999</v>
      </c>
      <c r="N253" s="36" t="s">
        <v>327</v>
      </c>
      <c r="O253" s="36">
        <v>2.4573600000000001E-2</v>
      </c>
      <c r="P253" s="36" t="s">
        <v>25</v>
      </c>
      <c r="Q253" s="36" t="s">
        <v>34</v>
      </c>
      <c r="R253" s="36">
        <v>0</v>
      </c>
      <c r="S253" s="36" t="s">
        <v>35</v>
      </c>
      <c r="T253" s="36">
        <v>2.50803E-2</v>
      </c>
      <c r="U253" s="37" t="s">
        <v>25</v>
      </c>
      <c r="V253"/>
    </row>
    <row r="254" spans="1:22" ht="34" x14ac:dyDescent="0.2">
      <c r="A254" s="36" t="s">
        <v>95</v>
      </c>
      <c r="B254" s="45" t="str">
        <f>VLOOKUP(Tabella1[[#This Row],[test_id]],experiments_specs!A:J,2,FALSE)</f>
        <v>NN,JJ</v>
      </c>
      <c r="C254" s="38">
        <f>VLOOKUP(Tabella1[[#This Row],[test_id]],experiments_specs!A:J,3,FALSE)</f>
        <v>1</v>
      </c>
      <c r="D254" s="38">
        <f>VLOOKUP(Tabella1[[#This Row],[test_id]],experiments_specs!A:J,4,FALSE)</f>
        <v>2</v>
      </c>
      <c r="E254" s="38" t="str">
        <f>VLOOKUP(Tabella1[[#This Row],[test_id]],experiments_specs!A:J,5,FALSE)</f>
        <v>True</v>
      </c>
      <c r="F254" s="38" t="str">
        <f>VLOOKUP(Tabella1[[#This Row],[test_id]],experiments_specs!A:J,6,FALSE)</f>
        <v>True</v>
      </c>
      <c r="G254" s="38" t="str">
        <f>VLOOKUP(Tabella1[[#This Row],[test_id]],experiments_specs!A:J,7,FALSE)</f>
        <v>True</v>
      </c>
      <c r="H254" s="38" t="str">
        <f>VLOOKUP(Tabella1[[#This Row],[test_id]],experiments_specs!A:J,8,FALSE)</f>
        <v>False</v>
      </c>
      <c r="I254" s="45" t="str">
        <f>VLOOKUP(Tabella1[[#This Row],[test_id]],experiments_specs!A:J,9,FALSE)</f>
        <v>wup_similarity</v>
      </c>
      <c r="J254" s="38" t="str">
        <f>VLOOKUP(Tabella1[[#This Row],[test_id]],experiments_specs!A:J,10,FALSE)</f>
        <v>True</v>
      </c>
      <c r="K254" s="40" t="s">
        <v>14</v>
      </c>
      <c r="L254" s="36" t="s">
        <v>36</v>
      </c>
      <c r="M254" s="36" t="s">
        <v>400</v>
      </c>
      <c r="N254" s="36" t="s">
        <v>37</v>
      </c>
      <c r="O254" s="36" t="s">
        <v>329</v>
      </c>
      <c r="P254" s="36">
        <v>0.33333333333333331</v>
      </c>
      <c r="Q254" s="36" t="s">
        <v>38</v>
      </c>
      <c r="R254" s="36" t="s">
        <v>273</v>
      </c>
      <c r="S254" s="36" t="s">
        <v>37</v>
      </c>
      <c r="T254" s="36" t="s">
        <v>331</v>
      </c>
      <c r="U254" s="37">
        <v>0.33333333333333331</v>
      </c>
      <c r="V254"/>
    </row>
    <row r="255" spans="1:22" ht="17" x14ac:dyDescent="0.2">
      <c r="A255" s="36" t="s">
        <v>95</v>
      </c>
      <c r="B255" s="45" t="str">
        <f>VLOOKUP(Tabella1[[#This Row],[test_id]],experiments_specs!A:J,2,FALSE)</f>
        <v>NN,JJ</v>
      </c>
      <c r="C255" s="38">
        <f>VLOOKUP(Tabella1[[#This Row],[test_id]],experiments_specs!A:J,3,FALSE)</f>
        <v>1</v>
      </c>
      <c r="D255" s="38">
        <f>VLOOKUP(Tabella1[[#This Row],[test_id]],experiments_specs!A:J,4,FALSE)</f>
        <v>2</v>
      </c>
      <c r="E255" s="38" t="str">
        <f>VLOOKUP(Tabella1[[#This Row],[test_id]],experiments_specs!A:J,5,FALSE)</f>
        <v>True</v>
      </c>
      <c r="F255" s="38" t="str">
        <f>VLOOKUP(Tabella1[[#This Row],[test_id]],experiments_specs!A:J,6,FALSE)</f>
        <v>True</v>
      </c>
      <c r="G255" s="38" t="str">
        <f>VLOOKUP(Tabella1[[#This Row],[test_id]],experiments_specs!A:J,7,FALSE)</f>
        <v>True</v>
      </c>
      <c r="H255" s="38" t="str">
        <f>VLOOKUP(Tabella1[[#This Row],[test_id]],experiments_specs!A:J,8,FALSE)</f>
        <v>False</v>
      </c>
      <c r="I255" s="45" t="str">
        <f>VLOOKUP(Tabella1[[#This Row],[test_id]],experiments_specs!A:J,9,FALSE)</f>
        <v>wup_similarity</v>
      </c>
      <c r="J255" s="38" t="str">
        <f>VLOOKUP(Tabella1[[#This Row],[test_id]],experiments_specs!A:J,10,FALSE)</f>
        <v>True</v>
      </c>
      <c r="K255" s="40" t="s">
        <v>15</v>
      </c>
      <c r="L255" s="36" t="s">
        <v>26</v>
      </c>
      <c r="M255" s="36">
        <v>0.18033389999999999</v>
      </c>
      <c r="N255" s="36" t="s">
        <v>27</v>
      </c>
      <c r="O255" s="36">
        <v>2.3425999999999999E-2</v>
      </c>
      <c r="P255" s="36">
        <v>0.16666666666666666</v>
      </c>
      <c r="Q255" s="36" t="s">
        <v>365</v>
      </c>
      <c r="R255" s="36">
        <v>0</v>
      </c>
      <c r="S255" s="36" t="s">
        <v>26</v>
      </c>
      <c r="T255" s="36">
        <v>4.2936599999999998E-2</v>
      </c>
      <c r="U255" s="37">
        <v>0.18181818181818182</v>
      </c>
      <c r="V255"/>
    </row>
    <row r="256" spans="1:22" ht="17" x14ac:dyDescent="0.2">
      <c r="A256" s="36" t="s">
        <v>95</v>
      </c>
      <c r="B256" s="45" t="str">
        <f>VLOOKUP(Tabella1[[#This Row],[test_id]],experiments_specs!A:J,2,FALSE)</f>
        <v>NN,JJ</v>
      </c>
      <c r="C256" s="38">
        <f>VLOOKUP(Tabella1[[#This Row],[test_id]],experiments_specs!A:J,3,FALSE)</f>
        <v>1</v>
      </c>
      <c r="D256" s="38">
        <f>VLOOKUP(Tabella1[[#This Row],[test_id]],experiments_specs!A:J,4,FALSE)</f>
        <v>2</v>
      </c>
      <c r="E256" s="38" t="str">
        <f>VLOOKUP(Tabella1[[#This Row],[test_id]],experiments_specs!A:J,5,FALSE)</f>
        <v>True</v>
      </c>
      <c r="F256" s="38" t="str">
        <f>VLOOKUP(Tabella1[[#This Row],[test_id]],experiments_specs!A:J,6,FALSE)</f>
        <v>True</v>
      </c>
      <c r="G256" s="38" t="str">
        <f>VLOOKUP(Tabella1[[#This Row],[test_id]],experiments_specs!A:J,7,FALSE)</f>
        <v>True</v>
      </c>
      <c r="H256" s="38" t="str">
        <f>VLOOKUP(Tabella1[[#This Row],[test_id]],experiments_specs!A:J,8,FALSE)</f>
        <v>False</v>
      </c>
      <c r="I256" s="45" t="str">
        <f>VLOOKUP(Tabella1[[#This Row],[test_id]],experiments_specs!A:J,9,FALSE)</f>
        <v>wup_similarity</v>
      </c>
      <c r="J256" s="38" t="str">
        <f>VLOOKUP(Tabella1[[#This Row],[test_id]],experiments_specs!A:J,10,FALSE)</f>
        <v>True</v>
      </c>
      <c r="K256" s="40" t="s">
        <v>16</v>
      </c>
      <c r="L256" s="36" t="s">
        <v>39</v>
      </c>
      <c r="M256" s="36">
        <v>6.4549700000000002E-2</v>
      </c>
      <c r="N256" s="36" t="s">
        <v>40</v>
      </c>
      <c r="O256" s="36">
        <v>1.91366E-2</v>
      </c>
      <c r="P256" s="36">
        <v>0.22222222222222221</v>
      </c>
      <c r="Q256" s="36" t="s">
        <v>41</v>
      </c>
      <c r="R256" s="36">
        <v>3.60843E-2</v>
      </c>
      <c r="S256" s="36" t="s">
        <v>40</v>
      </c>
      <c r="T256" s="36">
        <v>1.80109E-2</v>
      </c>
      <c r="U256" s="37">
        <v>0.22222222222222221</v>
      </c>
      <c r="V256"/>
    </row>
    <row r="257" spans="1:22" ht="68" x14ac:dyDescent="0.2">
      <c r="A257" s="36" t="s">
        <v>95</v>
      </c>
      <c r="B257" s="45" t="str">
        <f>VLOOKUP(Tabella1[[#This Row],[test_id]],experiments_specs!A:J,2,FALSE)</f>
        <v>NN,JJ</v>
      </c>
      <c r="C257" s="38">
        <f>VLOOKUP(Tabella1[[#This Row],[test_id]],experiments_specs!A:J,3,FALSE)</f>
        <v>1</v>
      </c>
      <c r="D257" s="38">
        <f>VLOOKUP(Tabella1[[#This Row],[test_id]],experiments_specs!A:J,4,FALSE)</f>
        <v>2</v>
      </c>
      <c r="E257" s="38" t="str">
        <f>VLOOKUP(Tabella1[[#This Row],[test_id]],experiments_specs!A:J,5,FALSE)</f>
        <v>True</v>
      </c>
      <c r="F257" s="38" t="str">
        <f>VLOOKUP(Tabella1[[#This Row],[test_id]],experiments_specs!A:J,6,FALSE)</f>
        <v>True</v>
      </c>
      <c r="G257" s="38" t="str">
        <f>VLOOKUP(Tabella1[[#This Row],[test_id]],experiments_specs!A:J,7,FALSE)</f>
        <v>True</v>
      </c>
      <c r="H257" s="38" t="str">
        <f>VLOOKUP(Tabella1[[#This Row],[test_id]],experiments_specs!A:J,8,FALSE)</f>
        <v>False</v>
      </c>
      <c r="I257" s="45" t="str">
        <f>VLOOKUP(Tabella1[[#This Row],[test_id]],experiments_specs!A:J,9,FALSE)</f>
        <v>wup_similarity</v>
      </c>
      <c r="J257" s="38" t="str">
        <f>VLOOKUP(Tabella1[[#This Row],[test_id]],experiments_specs!A:J,10,FALSE)</f>
        <v>True</v>
      </c>
      <c r="K257" s="40" t="s">
        <v>17</v>
      </c>
      <c r="L257" s="36" t="s">
        <v>279</v>
      </c>
      <c r="M257" s="36" t="s">
        <v>281</v>
      </c>
      <c r="N257" s="36" t="s">
        <v>42</v>
      </c>
      <c r="O257" s="36" t="s">
        <v>333</v>
      </c>
      <c r="P257" s="36">
        <v>0.30769230769230771</v>
      </c>
      <c r="Q257" s="36" t="s">
        <v>43</v>
      </c>
      <c r="R257" s="36" t="s">
        <v>402</v>
      </c>
      <c r="S257" s="36" t="s">
        <v>42</v>
      </c>
      <c r="T257" s="36" t="s">
        <v>333</v>
      </c>
      <c r="U257" s="37">
        <v>0.30769230769230771</v>
      </c>
      <c r="V257"/>
    </row>
    <row r="258" spans="1:22" ht="34" x14ac:dyDescent="0.2">
      <c r="A258" s="36" t="s">
        <v>95</v>
      </c>
      <c r="B258" s="45" t="str">
        <f>VLOOKUP(Tabella1[[#This Row],[test_id]],experiments_specs!A:J,2,FALSE)</f>
        <v>NN,JJ</v>
      </c>
      <c r="C258" s="38">
        <f>VLOOKUP(Tabella1[[#This Row],[test_id]],experiments_specs!A:J,3,FALSE)</f>
        <v>1</v>
      </c>
      <c r="D258" s="38">
        <f>VLOOKUP(Tabella1[[#This Row],[test_id]],experiments_specs!A:J,4,FALSE)</f>
        <v>2</v>
      </c>
      <c r="E258" s="38" t="str">
        <f>VLOOKUP(Tabella1[[#This Row],[test_id]],experiments_specs!A:J,5,FALSE)</f>
        <v>True</v>
      </c>
      <c r="F258" s="38" t="str">
        <f>VLOOKUP(Tabella1[[#This Row],[test_id]],experiments_specs!A:J,6,FALSE)</f>
        <v>True</v>
      </c>
      <c r="G258" s="38" t="str">
        <f>VLOOKUP(Tabella1[[#This Row],[test_id]],experiments_specs!A:J,7,FALSE)</f>
        <v>True</v>
      </c>
      <c r="H258" s="38" t="str">
        <f>VLOOKUP(Tabella1[[#This Row],[test_id]],experiments_specs!A:J,8,FALSE)</f>
        <v>False</v>
      </c>
      <c r="I258" s="45" t="str">
        <f>VLOOKUP(Tabella1[[#This Row],[test_id]],experiments_specs!A:J,9,FALSE)</f>
        <v>wup_similarity</v>
      </c>
      <c r="J258" s="38" t="str">
        <f>VLOOKUP(Tabella1[[#This Row],[test_id]],experiments_specs!A:J,10,FALSE)</f>
        <v>True</v>
      </c>
      <c r="K258" s="40" t="s">
        <v>18</v>
      </c>
      <c r="L258" s="36" t="s">
        <v>44</v>
      </c>
      <c r="M258" s="36">
        <v>3.5267199999999999E-2</v>
      </c>
      <c r="N258" s="36" t="s">
        <v>45</v>
      </c>
      <c r="O258" s="36">
        <v>1.7334800000000001E-2</v>
      </c>
      <c r="P258" s="36">
        <v>0.21052631578947367</v>
      </c>
      <c r="Q258" s="36" t="s">
        <v>46</v>
      </c>
      <c r="R258" s="36">
        <v>0</v>
      </c>
      <c r="S258" s="36" t="s">
        <v>45</v>
      </c>
      <c r="T258" s="36">
        <v>1.7334800000000001E-2</v>
      </c>
      <c r="U258" s="37">
        <v>0.21052631578947367</v>
      </c>
      <c r="V258"/>
    </row>
    <row r="259" spans="1:22" ht="17" x14ac:dyDescent="0.2">
      <c r="A259" s="36" t="s">
        <v>96</v>
      </c>
      <c r="B259" s="45" t="str">
        <f>VLOOKUP(Tabella1[[#This Row],[test_id]],experiments_specs!A:J,2,FALSE)</f>
        <v>NN,VB</v>
      </c>
      <c r="C259" s="38">
        <f>VLOOKUP(Tabella1[[#This Row],[test_id]],experiments_specs!A:J,3,FALSE)</f>
        <v>1</v>
      </c>
      <c r="D259" s="38">
        <f>VLOOKUP(Tabella1[[#This Row],[test_id]],experiments_specs!A:J,4,FALSE)</f>
        <v>2</v>
      </c>
      <c r="E259" s="38" t="str">
        <f>VLOOKUP(Tabella1[[#This Row],[test_id]],experiments_specs!A:J,5,FALSE)</f>
        <v>True</v>
      </c>
      <c r="F259" s="38" t="str">
        <f>VLOOKUP(Tabella1[[#This Row],[test_id]],experiments_specs!A:J,6,FALSE)</f>
        <v>True</v>
      </c>
      <c r="G259" s="38" t="str">
        <f>VLOOKUP(Tabella1[[#This Row],[test_id]],experiments_specs!A:J,7,FALSE)</f>
        <v>True</v>
      </c>
      <c r="H259" s="38" t="str">
        <f>VLOOKUP(Tabella1[[#This Row],[test_id]],experiments_specs!A:J,8,FALSE)</f>
        <v>False</v>
      </c>
      <c r="I259" s="45" t="str">
        <f>VLOOKUP(Tabella1[[#This Row],[test_id]],experiments_specs!A:J,9,FALSE)</f>
        <v>wup_similarity</v>
      </c>
      <c r="J259" s="38" t="str">
        <f>VLOOKUP(Tabella1[[#This Row],[test_id]],experiments_specs!A:J,10,FALSE)</f>
        <v>True</v>
      </c>
      <c r="K259" s="40" t="s">
        <v>19</v>
      </c>
      <c r="L259" s="36" t="s">
        <v>354</v>
      </c>
      <c r="M259" s="36">
        <v>0.1180562</v>
      </c>
      <c r="N259" s="36" t="s">
        <v>288</v>
      </c>
      <c r="O259" s="36">
        <v>2.03704E-2</v>
      </c>
      <c r="P259" s="36">
        <v>0.19047619047619047</v>
      </c>
      <c r="Q259" s="36" t="s">
        <v>47</v>
      </c>
      <c r="R259" s="36">
        <v>4.7088100000000001E-2</v>
      </c>
      <c r="S259" s="36" t="s">
        <v>288</v>
      </c>
      <c r="T259" s="36">
        <v>2.12964E-2</v>
      </c>
      <c r="U259" s="37">
        <v>0.19047619047619047</v>
      </c>
      <c r="V259"/>
    </row>
    <row r="260" spans="1:22" ht="34" x14ac:dyDescent="0.2">
      <c r="A260" s="36" t="s">
        <v>96</v>
      </c>
      <c r="B260" s="45" t="str">
        <f>VLOOKUP(Tabella1[[#This Row],[test_id]],experiments_specs!A:J,2,FALSE)</f>
        <v>NN,VB</v>
      </c>
      <c r="C260" s="38">
        <f>VLOOKUP(Tabella1[[#This Row],[test_id]],experiments_specs!A:J,3,FALSE)</f>
        <v>1</v>
      </c>
      <c r="D260" s="38">
        <f>VLOOKUP(Tabella1[[#This Row],[test_id]],experiments_specs!A:J,4,FALSE)</f>
        <v>2</v>
      </c>
      <c r="E260" s="38" t="str">
        <f>VLOOKUP(Tabella1[[#This Row],[test_id]],experiments_specs!A:J,5,FALSE)</f>
        <v>True</v>
      </c>
      <c r="F260" s="38" t="str">
        <f>VLOOKUP(Tabella1[[#This Row],[test_id]],experiments_specs!A:J,6,FALSE)</f>
        <v>True</v>
      </c>
      <c r="G260" s="38" t="str">
        <f>VLOOKUP(Tabella1[[#This Row],[test_id]],experiments_specs!A:J,7,FALSE)</f>
        <v>True</v>
      </c>
      <c r="H260" s="38" t="str">
        <f>VLOOKUP(Tabella1[[#This Row],[test_id]],experiments_specs!A:J,8,FALSE)</f>
        <v>False</v>
      </c>
      <c r="I260" s="45" t="str">
        <f>VLOOKUP(Tabella1[[#This Row],[test_id]],experiments_specs!A:J,9,FALSE)</f>
        <v>wup_similarity</v>
      </c>
      <c r="J260" s="38" t="str">
        <f>VLOOKUP(Tabella1[[#This Row],[test_id]],experiments_specs!A:J,10,FALSE)</f>
        <v>True</v>
      </c>
      <c r="K260" s="40" t="s">
        <v>12</v>
      </c>
      <c r="L260" s="36" t="s">
        <v>22</v>
      </c>
      <c r="M260" s="36">
        <v>0.1102635</v>
      </c>
      <c r="N260" s="36" t="s">
        <v>23</v>
      </c>
      <c r="O260" s="36">
        <v>3.0082500000000002E-2</v>
      </c>
      <c r="P260" s="36">
        <v>0.42857142857142855</v>
      </c>
      <c r="Q260" s="36" t="s">
        <v>391</v>
      </c>
      <c r="R260" s="36" t="s">
        <v>393</v>
      </c>
      <c r="S260" s="36" t="s">
        <v>395</v>
      </c>
      <c r="T260" s="36" t="s">
        <v>416</v>
      </c>
      <c r="U260" s="37">
        <v>0.46153846153846156</v>
      </c>
      <c r="V260"/>
    </row>
    <row r="261" spans="1:22" ht="17" x14ac:dyDescent="0.2">
      <c r="A261" s="36" t="s">
        <v>96</v>
      </c>
      <c r="B261" s="45" t="str">
        <f>VLOOKUP(Tabella1[[#This Row],[test_id]],experiments_specs!A:J,2,FALSE)</f>
        <v>NN,VB</v>
      </c>
      <c r="C261" s="38">
        <f>VLOOKUP(Tabella1[[#This Row],[test_id]],experiments_specs!A:J,3,FALSE)</f>
        <v>1</v>
      </c>
      <c r="D261" s="38">
        <f>VLOOKUP(Tabella1[[#This Row],[test_id]],experiments_specs!A:J,4,FALSE)</f>
        <v>2</v>
      </c>
      <c r="E261" s="38" t="str">
        <f>VLOOKUP(Tabella1[[#This Row],[test_id]],experiments_specs!A:J,5,FALSE)</f>
        <v>True</v>
      </c>
      <c r="F261" s="38" t="str">
        <f>VLOOKUP(Tabella1[[#This Row],[test_id]],experiments_specs!A:J,6,FALSE)</f>
        <v>True</v>
      </c>
      <c r="G261" s="38" t="str">
        <f>VLOOKUP(Tabella1[[#This Row],[test_id]],experiments_specs!A:J,7,FALSE)</f>
        <v>True</v>
      </c>
      <c r="H261" s="38" t="str">
        <f>VLOOKUP(Tabella1[[#This Row],[test_id]],experiments_specs!A:J,8,FALSE)</f>
        <v>False</v>
      </c>
      <c r="I261" s="45" t="str">
        <f>VLOOKUP(Tabella1[[#This Row],[test_id]],experiments_specs!A:J,9,FALSE)</f>
        <v>wup_similarity</v>
      </c>
      <c r="J261" s="38" t="str">
        <f>VLOOKUP(Tabella1[[#This Row],[test_id]],experiments_specs!A:J,10,FALSE)</f>
        <v>True</v>
      </c>
      <c r="K261" s="40" t="s">
        <v>13</v>
      </c>
      <c r="L261" s="36" t="s">
        <v>326</v>
      </c>
      <c r="M261" s="36">
        <v>0.10425719999999999</v>
      </c>
      <c r="N261" s="36" t="s">
        <v>327</v>
      </c>
      <c r="O261" s="36">
        <v>2.5420999999999999E-2</v>
      </c>
      <c r="P261" s="36" t="s">
        <v>25</v>
      </c>
      <c r="Q261" s="36" t="s">
        <v>417</v>
      </c>
      <c r="R261" s="36">
        <v>0</v>
      </c>
      <c r="S261" s="36" t="s">
        <v>327</v>
      </c>
      <c r="T261" s="36">
        <v>2.5420999999999999E-2</v>
      </c>
      <c r="U261" s="37" t="s">
        <v>25</v>
      </c>
      <c r="V261"/>
    </row>
    <row r="262" spans="1:22" ht="34" x14ac:dyDescent="0.2">
      <c r="A262" s="36" t="s">
        <v>96</v>
      </c>
      <c r="B262" s="45" t="str">
        <f>VLOOKUP(Tabella1[[#This Row],[test_id]],experiments_specs!A:J,2,FALSE)</f>
        <v>NN,VB</v>
      </c>
      <c r="C262" s="38">
        <f>VLOOKUP(Tabella1[[#This Row],[test_id]],experiments_specs!A:J,3,FALSE)</f>
        <v>1</v>
      </c>
      <c r="D262" s="38">
        <f>VLOOKUP(Tabella1[[#This Row],[test_id]],experiments_specs!A:J,4,FALSE)</f>
        <v>2</v>
      </c>
      <c r="E262" s="38" t="str">
        <f>VLOOKUP(Tabella1[[#This Row],[test_id]],experiments_specs!A:J,5,FALSE)</f>
        <v>True</v>
      </c>
      <c r="F262" s="38" t="str">
        <f>VLOOKUP(Tabella1[[#This Row],[test_id]],experiments_specs!A:J,6,FALSE)</f>
        <v>True</v>
      </c>
      <c r="G262" s="38" t="str">
        <f>VLOOKUP(Tabella1[[#This Row],[test_id]],experiments_specs!A:J,7,FALSE)</f>
        <v>True</v>
      </c>
      <c r="H262" s="38" t="str">
        <f>VLOOKUP(Tabella1[[#This Row],[test_id]],experiments_specs!A:J,8,FALSE)</f>
        <v>False</v>
      </c>
      <c r="I262" s="45" t="str">
        <f>VLOOKUP(Tabella1[[#This Row],[test_id]],experiments_specs!A:J,9,FALSE)</f>
        <v>wup_similarity</v>
      </c>
      <c r="J262" s="38" t="str">
        <f>VLOOKUP(Tabella1[[#This Row],[test_id]],experiments_specs!A:J,10,FALSE)</f>
        <v>True</v>
      </c>
      <c r="K262" s="40" t="s">
        <v>14</v>
      </c>
      <c r="L262" s="36" t="s">
        <v>36</v>
      </c>
      <c r="M262" s="36" t="s">
        <v>400</v>
      </c>
      <c r="N262" s="36" t="s">
        <v>37</v>
      </c>
      <c r="O262" s="36" t="s">
        <v>299</v>
      </c>
      <c r="P262" s="36">
        <v>0.33333333333333331</v>
      </c>
      <c r="Q262" s="36" t="s">
        <v>38</v>
      </c>
      <c r="R262" s="36" t="s">
        <v>273</v>
      </c>
      <c r="S262" s="36" t="s">
        <v>37</v>
      </c>
      <c r="T262" s="36" t="s">
        <v>271</v>
      </c>
      <c r="U262" s="37">
        <v>0.33333333333333331</v>
      </c>
      <c r="V262"/>
    </row>
    <row r="263" spans="1:22" ht="17" x14ac:dyDescent="0.2">
      <c r="A263" s="36" t="s">
        <v>96</v>
      </c>
      <c r="B263" s="45" t="str">
        <f>VLOOKUP(Tabella1[[#This Row],[test_id]],experiments_specs!A:J,2,FALSE)</f>
        <v>NN,VB</v>
      </c>
      <c r="C263" s="38">
        <f>VLOOKUP(Tabella1[[#This Row],[test_id]],experiments_specs!A:J,3,FALSE)</f>
        <v>1</v>
      </c>
      <c r="D263" s="38">
        <f>VLOOKUP(Tabella1[[#This Row],[test_id]],experiments_specs!A:J,4,FALSE)</f>
        <v>2</v>
      </c>
      <c r="E263" s="38" t="str">
        <f>VLOOKUP(Tabella1[[#This Row],[test_id]],experiments_specs!A:J,5,FALSE)</f>
        <v>True</v>
      </c>
      <c r="F263" s="38" t="str">
        <f>VLOOKUP(Tabella1[[#This Row],[test_id]],experiments_specs!A:J,6,FALSE)</f>
        <v>True</v>
      </c>
      <c r="G263" s="38" t="str">
        <f>VLOOKUP(Tabella1[[#This Row],[test_id]],experiments_specs!A:J,7,FALSE)</f>
        <v>True</v>
      </c>
      <c r="H263" s="38" t="str">
        <f>VLOOKUP(Tabella1[[#This Row],[test_id]],experiments_specs!A:J,8,FALSE)</f>
        <v>False</v>
      </c>
      <c r="I263" s="45" t="str">
        <f>VLOOKUP(Tabella1[[#This Row],[test_id]],experiments_specs!A:J,9,FALSE)</f>
        <v>wup_similarity</v>
      </c>
      <c r="J263" s="38" t="str">
        <f>VLOOKUP(Tabella1[[#This Row],[test_id]],experiments_specs!A:J,10,FALSE)</f>
        <v>True</v>
      </c>
      <c r="K263" s="40" t="s">
        <v>15</v>
      </c>
      <c r="L263" s="36" t="s">
        <v>26</v>
      </c>
      <c r="M263" s="36">
        <v>0.18033389999999999</v>
      </c>
      <c r="N263" s="36" t="s">
        <v>27</v>
      </c>
      <c r="O263" s="36">
        <v>1.9521699999999999E-2</v>
      </c>
      <c r="P263" s="36">
        <v>0.16666666666666666</v>
      </c>
      <c r="Q263" s="36" t="s">
        <v>365</v>
      </c>
      <c r="R263" s="36">
        <v>0</v>
      </c>
      <c r="S263" s="36" t="s">
        <v>26</v>
      </c>
      <c r="T263" s="36">
        <v>4.2431499999999997E-2</v>
      </c>
      <c r="U263" s="37">
        <v>0.18181818181818182</v>
      </c>
      <c r="V263"/>
    </row>
    <row r="264" spans="1:22" ht="17" x14ac:dyDescent="0.2">
      <c r="A264" s="36" t="s">
        <v>96</v>
      </c>
      <c r="B264" s="45" t="str">
        <f>VLOOKUP(Tabella1[[#This Row],[test_id]],experiments_specs!A:J,2,FALSE)</f>
        <v>NN,VB</v>
      </c>
      <c r="C264" s="38">
        <f>VLOOKUP(Tabella1[[#This Row],[test_id]],experiments_specs!A:J,3,FALSE)</f>
        <v>1</v>
      </c>
      <c r="D264" s="38">
        <f>VLOOKUP(Tabella1[[#This Row],[test_id]],experiments_specs!A:J,4,FALSE)</f>
        <v>2</v>
      </c>
      <c r="E264" s="38" t="str">
        <f>VLOOKUP(Tabella1[[#This Row],[test_id]],experiments_specs!A:J,5,FALSE)</f>
        <v>True</v>
      </c>
      <c r="F264" s="38" t="str">
        <f>VLOOKUP(Tabella1[[#This Row],[test_id]],experiments_specs!A:J,6,FALSE)</f>
        <v>True</v>
      </c>
      <c r="G264" s="38" t="str">
        <f>VLOOKUP(Tabella1[[#This Row],[test_id]],experiments_specs!A:J,7,FALSE)</f>
        <v>True</v>
      </c>
      <c r="H264" s="38" t="str">
        <f>VLOOKUP(Tabella1[[#This Row],[test_id]],experiments_specs!A:J,8,FALSE)</f>
        <v>False</v>
      </c>
      <c r="I264" s="45" t="str">
        <f>VLOOKUP(Tabella1[[#This Row],[test_id]],experiments_specs!A:J,9,FALSE)</f>
        <v>wup_similarity</v>
      </c>
      <c r="J264" s="38" t="str">
        <f>VLOOKUP(Tabella1[[#This Row],[test_id]],experiments_specs!A:J,10,FALSE)</f>
        <v>True</v>
      </c>
      <c r="K264" s="40" t="s">
        <v>16</v>
      </c>
      <c r="L264" s="36" t="s">
        <v>39</v>
      </c>
      <c r="M264" s="36">
        <v>6.4549700000000002E-2</v>
      </c>
      <c r="N264" s="36" t="s">
        <v>40</v>
      </c>
      <c r="O264" s="36">
        <v>2.1870400000000002E-2</v>
      </c>
      <c r="P264" s="36">
        <v>0.22222222222222221</v>
      </c>
      <c r="Q264" s="36" t="s">
        <v>41</v>
      </c>
      <c r="R264" s="36">
        <v>3.60843E-2</v>
      </c>
      <c r="S264" s="36" t="s">
        <v>40</v>
      </c>
      <c r="T264" s="36">
        <v>2.06882E-2</v>
      </c>
      <c r="U264" s="37">
        <v>0.22222222222222221</v>
      </c>
      <c r="V264"/>
    </row>
    <row r="265" spans="1:22" ht="68" x14ac:dyDescent="0.2">
      <c r="A265" s="36" t="s">
        <v>96</v>
      </c>
      <c r="B265" s="45" t="str">
        <f>VLOOKUP(Tabella1[[#This Row],[test_id]],experiments_specs!A:J,2,FALSE)</f>
        <v>NN,VB</v>
      </c>
      <c r="C265" s="38">
        <f>VLOOKUP(Tabella1[[#This Row],[test_id]],experiments_specs!A:J,3,FALSE)</f>
        <v>1</v>
      </c>
      <c r="D265" s="38">
        <f>VLOOKUP(Tabella1[[#This Row],[test_id]],experiments_specs!A:J,4,FALSE)</f>
        <v>2</v>
      </c>
      <c r="E265" s="38" t="str">
        <f>VLOOKUP(Tabella1[[#This Row],[test_id]],experiments_specs!A:J,5,FALSE)</f>
        <v>True</v>
      </c>
      <c r="F265" s="38" t="str">
        <f>VLOOKUP(Tabella1[[#This Row],[test_id]],experiments_specs!A:J,6,FALSE)</f>
        <v>True</v>
      </c>
      <c r="G265" s="38" t="str">
        <f>VLOOKUP(Tabella1[[#This Row],[test_id]],experiments_specs!A:J,7,FALSE)</f>
        <v>True</v>
      </c>
      <c r="H265" s="38" t="str">
        <f>VLOOKUP(Tabella1[[#This Row],[test_id]],experiments_specs!A:J,8,FALSE)</f>
        <v>False</v>
      </c>
      <c r="I265" s="45" t="str">
        <f>VLOOKUP(Tabella1[[#This Row],[test_id]],experiments_specs!A:J,9,FALSE)</f>
        <v>wup_similarity</v>
      </c>
      <c r="J265" s="38" t="str">
        <f>VLOOKUP(Tabella1[[#This Row],[test_id]],experiments_specs!A:J,10,FALSE)</f>
        <v>True</v>
      </c>
      <c r="K265" s="40" t="s">
        <v>17</v>
      </c>
      <c r="L265" s="36" t="s">
        <v>279</v>
      </c>
      <c r="M265" s="36" t="s">
        <v>281</v>
      </c>
      <c r="N265" s="36" t="s">
        <v>42</v>
      </c>
      <c r="O265" s="36" t="s">
        <v>343</v>
      </c>
      <c r="P265" s="36">
        <v>0.30769230769230771</v>
      </c>
      <c r="Q265" s="36" t="s">
        <v>43</v>
      </c>
      <c r="R265" s="36" t="s">
        <v>402</v>
      </c>
      <c r="S265" s="36" t="s">
        <v>42</v>
      </c>
      <c r="T265" s="36" t="s">
        <v>343</v>
      </c>
      <c r="U265" s="37">
        <v>0.30769230769230771</v>
      </c>
      <c r="V265"/>
    </row>
    <row r="266" spans="1:22" ht="34" x14ac:dyDescent="0.2">
      <c r="A266" s="36" t="s">
        <v>96</v>
      </c>
      <c r="B266" s="45" t="str">
        <f>VLOOKUP(Tabella1[[#This Row],[test_id]],experiments_specs!A:J,2,FALSE)</f>
        <v>NN,VB</v>
      </c>
      <c r="C266" s="38">
        <f>VLOOKUP(Tabella1[[#This Row],[test_id]],experiments_specs!A:J,3,FALSE)</f>
        <v>1</v>
      </c>
      <c r="D266" s="38">
        <f>VLOOKUP(Tabella1[[#This Row],[test_id]],experiments_specs!A:J,4,FALSE)</f>
        <v>2</v>
      </c>
      <c r="E266" s="38" t="str">
        <f>VLOOKUP(Tabella1[[#This Row],[test_id]],experiments_specs!A:J,5,FALSE)</f>
        <v>True</v>
      </c>
      <c r="F266" s="38" t="str">
        <f>VLOOKUP(Tabella1[[#This Row],[test_id]],experiments_specs!A:J,6,FALSE)</f>
        <v>True</v>
      </c>
      <c r="G266" s="38" t="str">
        <f>VLOOKUP(Tabella1[[#This Row],[test_id]],experiments_specs!A:J,7,FALSE)</f>
        <v>True</v>
      </c>
      <c r="H266" s="38" t="str">
        <f>VLOOKUP(Tabella1[[#This Row],[test_id]],experiments_specs!A:J,8,FALSE)</f>
        <v>False</v>
      </c>
      <c r="I266" s="45" t="str">
        <f>VLOOKUP(Tabella1[[#This Row],[test_id]],experiments_specs!A:J,9,FALSE)</f>
        <v>wup_similarity</v>
      </c>
      <c r="J266" s="38" t="str">
        <f>VLOOKUP(Tabella1[[#This Row],[test_id]],experiments_specs!A:J,10,FALSE)</f>
        <v>True</v>
      </c>
      <c r="K266" s="40" t="s">
        <v>18</v>
      </c>
      <c r="L266" s="36" t="s">
        <v>44</v>
      </c>
      <c r="M266" s="36">
        <v>3.5267199999999999E-2</v>
      </c>
      <c r="N266" s="36" t="s">
        <v>45</v>
      </c>
      <c r="O266" s="36">
        <v>1.4577E-2</v>
      </c>
      <c r="P266" s="36">
        <v>0.21052631578947367</v>
      </c>
      <c r="Q266" s="36" t="s">
        <v>46</v>
      </c>
      <c r="R266" s="36">
        <v>0</v>
      </c>
      <c r="S266" s="36" t="s">
        <v>45</v>
      </c>
      <c r="T266" s="36">
        <v>1.4577E-2</v>
      </c>
      <c r="U266" s="37">
        <v>0.21052631578947367</v>
      </c>
      <c r="V266"/>
    </row>
    <row r="267" spans="1:22" ht="17" x14ac:dyDescent="0.2">
      <c r="A267" s="36" t="s">
        <v>97</v>
      </c>
      <c r="B267" s="45" t="str">
        <f>VLOOKUP(Tabella1[[#This Row],[test_id]],experiments_specs!A:J,2,FALSE)</f>
        <v>NN,VB,VBD,VBG,VBN,VBP,VBZ</v>
      </c>
      <c r="C267" s="38">
        <f>VLOOKUP(Tabella1[[#This Row],[test_id]],experiments_specs!A:J,3,FALSE)</f>
        <v>1</v>
      </c>
      <c r="D267" s="38">
        <f>VLOOKUP(Tabella1[[#This Row],[test_id]],experiments_specs!A:J,4,FALSE)</f>
        <v>2</v>
      </c>
      <c r="E267" s="38" t="str">
        <f>VLOOKUP(Tabella1[[#This Row],[test_id]],experiments_specs!A:J,5,FALSE)</f>
        <v>True</v>
      </c>
      <c r="F267" s="38" t="str">
        <f>VLOOKUP(Tabella1[[#This Row],[test_id]],experiments_specs!A:J,6,FALSE)</f>
        <v>True</v>
      </c>
      <c r="G267" s="38" t="str">
        <f>VLOOKUP(Tabella1[[#This Row],[test_id]],experiments_specs!A:J,7,FALSE)</f>
        <v>True</v>
      </c>
      <c r="H267" s="38" t="str">
        <f>VLOOKUP(Tabella1[[#This Row],[test_id]],experiments_specs!A:J,8,FALSE)</f>
        <v>False</v>
      </c>
      <c r="I267" s="45" t="str">
        <f>VLOOKUP(Tabella1[[#This Row],[test_id]],experiments_specs!A:J,9,FALSE)</f>
        <v>wup_similarity</v>
      </c>
      <c r="J267" s="38" t="str">
        <f>VLOOKUP(Tabella1[[#This Row],[test_id]],experiments_specs!A:J,10,FALSE)</f>
        <v>True</v>
      </c>
      <c r="K267" s="40" t="s">
        <v>19</v>
      </c>
      <c r="L267" s="36" t="s">
        <v>354</v>
      </c>
      <c r="M267" s="36">
        <v>0.1180562</v>
      </c>
      <c r="N267" s="36" t="s">
        <v>288</v>
      </c>
      <c r="O267" s="36">
        <v>2.03704E-2</v>
      </c>
      <c r="P267" s="36">
        <v>0.19047619047619047</v>
      </c>
      <c r="Q267" s="36" t="s">
        <v>47</v>
      </c>
      <c r="R267" s="36">
        <v>4.7088100000000001E-2</v>
      </c>
      <c r="S267" s="36" t="s">
        <v>288</v>
      </c>
      <c r="T267" s="36">
        <v>2.12964E-2</v>
      </c>
      <c r="U267" s="37">
        <v>0.19047619047619047</v>
      </c>
      <c r="V267"/>
    </row>
    <row r="268" spans="1:22" ht="34" x14ac:dyDescent="0.2">
      <c r="A268" s="36" t="s">
        <v>97</v>
      </c>
      <c r="B268" s="45" t="str">
        <f>VLOOKUP(Tabella1[[#This Row],[test_id]],experiments_specs!A:J,2,FALSE)</f>
        <v>NN,VB,VBD,VBG,VBN,VBP,VBZ</v>
      </c>
      <c r="C268" s="38">
        <f>VLOOKUP(Tabella1[[#This Row],[test_id]],experiments_specs!A:J,3,FALSE)</f>
        <v>1</v>
      </c>
      <c r="D268" s="38">
        <f>VLOOKUP(Tabella1[[#This Row],[test_id]],experiments_specs!A:J,4,FALSE)</f>
        <v>2</v>
      </c>
      <c r="E268" s="38" t="str">
        <f>VLOOKUP(Tabella1[[#This Row],[test_id]],experiments_specs!A:J,5,FALSE)</f>
        <v>True</v>
      </c>
      <c r="F268" s="38" t="str">
        <f>VLOOKUP(Tabella1[[#This Row],[test_id]],experiments_specs!A:J,6,FALSE)</f>
        <v>True</v>
      </c>
      <c r="G268" s="38" t="str">
        <f>VLOOKUP(Tabella1[[#This Row],[test_id]],experiments_specs!A:J,7,FALSE)</f>
        <v>True</v>
      </c>
      <c r="H268" s="38" t="str">
        <f>VLOOKUP(Tabella1[[#This Row],[test_id]],experiments_specs!A:J,8,FALSE)</f>
        <v>False</v>
      </c>
      <c r="I268" s="45" t="str">
        <f>VLOOKUP(Tabella1[[#This Row],[test_id]],experiments_specs!A:J,9,FALSE)</f>
        <v>wup_similarity</v>
      </c>
      <c r="J268" s="38" t="str">
        <f>VLOOKUP(Tabella1[[#This Row],[test_id]],experiments_specs!A:J,10,FALSE)</f>
        <v>True</v>
      </c>
      <c r="K268" s="40" t="s">
        <v>12</v>
      </c>
      <c r="L268" s="36" t="s">
        <v>22</v>
      </c>
      <c r="M268" s="36">
        <v>0.1102635</v>
      </c>
      <c r="N268" s="36" t="s">
        <v>23</v>
      </c>
      <c r="O268" s="36">
        <v>2.76759E-2</v>
      </c>
      <c r="P268" s="36">
        <v>0.42857142857142855</v>
      </c>
      <c r="Q268" s="36" t="s">
        <v>391</v>
      </c>
      <c r="R268" s="36" t="s">
        <v>393</v>
      </c>
      <c r="S268" s="36" t="s">
        <v>395</v>
      </c>
      <c r="T268" s="36" t="s">
        <v>419</v>
      </c>
      <c r="U268" s="37">
        <v>0.46153846153846156</v>
      </c>
      <c r="V268"/>
    </row>
    <row r="269" spans="1:22" ht="17" x14ac:dyDescent="0.2">
      <c r="A269" s="36" t="s">
        <v>97</v>
      </c>
      <c r="B269" s="45" t="str">
        <f>VLOOKUP(Tabella1[[#This Row],[test_id]],experiments_specs!A:J,2,FALSE)</f>
        <v>NN,VB,VBD,VBG,VBN,VBP,VBZ</v>
      </c>
      <c r="C269" s="38">
        <f>VLOOKUP(Tabella1[[#This Row],[test_id]],experiments_specs!A:J,3,FALSE)</f>
        <v>1</v>
      </c>
      <c r="D269" s="38">
        <f>VLOOKUP(Tabella1[[#This Row],[test_id]],experiments_specs!A:J,4,FALSE)</f>
        <v>2</v>
      </c>
      <c r="E269" s="38" t="str">
        <f>VLOOKUP(Tabella1[[#This Row],[test_id]],experiments_specs!A:J,5,FALSE)</f>
        <v>True</v>
      </c>
      <c r="F269" s="38" t="str">
        <f>VLOOKUP(Tabella1[[#This Row],[test_id]],experiments_specs!A:J,6,FALSE)</f>
        <v>True</v>
      </c>
      <c r="G269" s="38" t="str">
        <f>VLOOKUP(Tabella1[[#This Row],[test_id]],experiments_specs!A:J,7,FALSE)</f>
        <v>True</v>
      </c>
      <c r="H269" s="38" t="str">
        <f>VLOOKUP(Tabella1[[#This Row],[test_id]],experiments_specs!A:J,8,FALSE)</f>
        <v>False</v>
      </c>
      <c r="I269" s="45" t="str">
        <f>VLOOKUP(Tabella1[[#This Row],[test_id]],experiments_specs!A:J,9,FALSE)</f>
        <v>wup_similarity</v>
      </c>
      <c r="J269" s="38" t="str">
        <f>VLOOKUP(Tabella1[[#This Row],[test_id]],experiments_specs!A:J,10,FALSE)</f>
        <v>True</v>
      </c>
      <c r="K269" s="40" t="s">
        <v>13</v>
      </c>
      <c r="L269" s="36" t="s">
        <v>326</v>
      </c>
      <c r="M269" s="36">
        <v>0.10425719999999999</v>
      </c>
      <c r="N269" s="36" t="s">
        <v>327</v>
      </c>
      <c r="O269" s="36">
        <v>2.4573600000000001E-2</v>
      </c>
      <c r="P269" s="36" t="s">
        <v>25</v>
      </c>
      <c r="Q269" s="36" t="s">
        <v>417</v>
      </c>
      <c r="R269" s="36">
        <v>0</v>
      </c>
      <c r="S269" s="36" t="s">
        <v>327</v>
      </c>
      <c r="T269" s="36">
        <v>2.4573600000000001E-2</v>
      </c>
      <c r="U269" s="37" t="s">
        <v>25</v>
      </c>
      <c r="V269"/>
    </row>
    <row r="270" spans="1:22" ht="34" x14ac:dyDescent="0.2">
      <c r="A270" s="36" t="s">
        <v>97</v>
      </c>
      <c r="B270" s="45" t="str">
        <f>VLOOKUP(Tabella1[[#This Row],[test_id]],experiments_specs!A:J,2,FALSE)</f>
        <v>NN,VB,VBD,VBG,VBN,VBP,VBZ</v>
      </c>
      <c r="C270" s="38">
        <f>VLOOKUP(Tabella1[[#This Row],[test_id]],experiments_specs!A:J,3,FALSE)</f>
        <v>1</v>
      </c>
      <c r="D270" s="38">
        <f>VLOOKUP(Tabella1[[#This Row],[test_id]],experiments_specs!A:J,4,FALSE)</f>
        <v>2</v>
      </c>
      <c r="E270" s="38" t="str">
        <f>VLOOKUP(Tabella1[[#This Row],[test_id]],experiments_specs!A:J,5,FALSE)</f>
        <v>True</v>
      </c>
      <c r="F270" s="38" t="str">
        <f>VLOOKUP(Tabella1[[#This Row],[test_id]],experiments_specs!A:J,6,FALSE)</f>
        <v>True</v>
      </c>
      <c r="G270" s="38" t="str">
        <f>VLOOKUP(Tabella1[[#This Row],[test_id]],experiments_specs!A:J,7,FALSE)</f>
        <v>True</v>
      </c>
      <c r="H270" s="38" t="str">
        <f>VLOOKUP(Tabella1[[#This Row],[test_id]],experiments_specs!A:J,8,FALSE)</f>
        <v>False</v>
      </c>
      <c r="I270" s="45" t="str">
        <f>VLOOKUP(Tabella1[[#This Row],[test_id]],experiments_specs!A:J,9,FALSE)</f>
        <v>wup_similarity</v>
      </c>
      <c r="J270" s="38" t="str">
        <f>VLOOKUP(Tabella1[[#This Row],[test_id]],experiments_specs!A:J,10,FALSE)</f>
        <v>True</v>
      </c>
      <c r="K270" s="40" t="s">
        <v>14</v>
      </c>
      <c r="L270" s="36" t="s">
        <v>36</v>
      </c>
      <c r="M270" s="36" t="s">
        <v>400</v>
      </c>
      <c r="N270" s="36" t="s">
        <v>37</v>
      </c>
      <c r="O270" s="36" t="s">
        <v>311</v>
      </c>
      <c r="P270" s="36">
        <v>0.33333333333333331</v>
      </c>
      <c r="Q270" s="36" t="s">
        <v>38</v>
      </c>
      <c r="R270" s="36" t="s">
        <v>273</v>
      </c>
      <c r="S270" s="36" t="s">
        <v>37</v>
      </c>
      <c r="T270" s="36" t="s">
        <v>347</v>
      </c>
      <c r="U270" s="37">
        <v>0.33333333333333331</v>
      </c>
      <c r="V270"/>
    </row>
    <row r="271" spans="1:22" ht="17" x14ac:dyDescent="0.2">
      <c r="A271" s="36" t="s">
        <v>97</v>
      </c>
      <c r="B271" s="45" t="str">
        <f>VLOOKUP(Tabella1[[#This Row],[test_id]],experiments_specs!A:J,2,FALSE)</f>
        <v>NN,VB,VBD,VBG,VBN,VBP,VBZ</v>
      </c>
      <c r="C271" s="38">
        <f>VLOOKUP(Tabella1[[#This Row],[test_id]],experiments_specs!A:J,3,FALSE)</f>
        <v>1</v>
      </c>
      <c r="D271" s="38">
        <f>VLOOKUP(Tabella1[[#This Row],[test_id]],experiments_specs!A:J,4,FALSE)</f>
        <v>2</v>
      </c>
      <c r="E271" s="38" t="str">
        <f>VLOOKUP(Tabella1[[#This Row],[test_id]],experiments_specs!A:J,5,FALSE)</f>
        <v>True</v>
      </c>
      <c r="F271" s="38" t="str">
        <f>VLOOKUP(Tabella1[[#This Row],[test_id]],experiments_specs!A:J,6,FALSE)</f>
        <v>True</v>
      </c>
      <c r="G271" s="38" t="str">
        <f>VLOOKUP(Tabella1[[#This Row],[test_id]],experiments_specs!A:J,7,FALSE)</f>
        <v>True</v>
      </c>
      <c r="H271" s="38" t="str">
        <f>VLOOKUP(Tabella1[[#This Row],[test_id]],experiments_specs!A:J,8,FALSE)</f>
        <v>False</v>
      </c>
      <c r="I271" s="45" t="str">
        <f>VLOOKUP(Tabella1[[#This Row],[test_id]],experiments_specs!A:J,9,FALSE)</f>
        <v>wup_similarity</v>
      </c>
      <c r="J271" s="38" t="str">
        <f>VLOOKUP(Tabella1[[#This Row],[test_id]],experiments_specs!A:J,10,FALSE)</f>
        <v>True</v>
      </c>
      <c r="K271" s="40" t="s">
        <v>15</v>
      </c>
      <c r="L271" s="36" t="s">
        <v>26</v>
      </c>
      <c r="M271" s="36">
        <v>0.18033389999999999</v>
      </c>
      <c r="N271" s="36" t="s">
        <v>27</v>
      </c>
      <c r="O271" s="36">
        <v>1.7352599999999999E-2</v>
      </c>
      <c r="P271" s="36">
        <v>0.16666666666666666</v>
      </c>
      <c r="Q271" s="36" t="s">
        <v>365</v>
      </c>
      <c r="R271" s="36">
        <v>0</v>
      </c>
      <c r="S271" s="36" t="s">
        <v>26</v>
      </c>
      <c r="T271" s="36">
        <v>3.7964999999999999E-2</v>
      </c>
      <c r="U271" s="37">
        <v>0.18181818181818182</v>
      </c>
      <c r="V271"/>
    </row>
    <row r="272" spans="1:22" ht="17" x14ac:dyDescent="0.2">
      <c r="A272" s="36" t="s">
        <v>97</v>
      </c>
      <c r="B272" s="45" t="str">
        <f>VLOOKUP(Tabella1[[#This Row],[test_id]],experiments_specs!A:J,2,FALSE)</f>
        <v>NN,VB,VBD,VBG,VBN,VBP,VBZ</v>
      </c>
      <c r="C272" s="38">
        <f>VLOOKUP(Tabella1[[#This Row],[test_id]],experiments_specs!A:J,3,FALSE)</f>
        <v>1</v>
      </c>
      <c r="D272" s="38">
        <f>VLOOKUP(Tabella1[[#This Row],[test_id]],experiments_specs!A:J,4,FALSE)</f>
        <v>2</v>
      </c>
      <c r="E272" s="38" t="str">
        <f>VLOOKUP(Tabella1[[#This Row],[test_id]],experiments_specs!A:J,5,FALSE)</f>
        <v>True</v>
      </c>
      <c r="F272" s="38" t="str">
        <f>VLOOKUP(Tabella1[[#This Row],[test_id]],experiments_specs!A:J,6,FALSE)</f>
        <v>True</v>
      </c>
      <c r="G272" s="38" t="str">
        <f>VLOOKUP(Tabella1[[#This Row],[test_id]],experiments_specs!A:J,7,FALSE)</f>
        <v>True</v>
      </c>
      <c r="H272" s="38" t="str">
        <f>VLOOKUP(Tabella1[[#This Row],[test_id]],experiments_specs!A:J,8,FALSE)</f>
        <v>False</v>
      </c>
      <c r="I272" s="45" t="str">
        <f>VLOOKUP(Tabella1[[#This Row],[test_id]],experiments_specs!A:J,9,FALSE)</f>
        <v>wup_similarity</v>
      </c>
      <c r="J272" s="38" t="str">
        <f>VLOOKUP(Tabella1[[#This Row],[test_id]],experiments_specs!A:J,10,FALSE)</f>
        <v>True</v>
      </c>
      <c r="K272" s="40" t="s">
        <v>16</v>
      </c>
      <c r="L272" s="36" t="s">
        <v>39</v>
      </c>
      <c r="M272" s="36">
        <v>6.4549700000000002E-2</v>
      </c>
      <c r="N272" s="36" t="s">
        <v>40</v>
      </c>
      <c r="O272" s="36">
        <v>2.55155E-2</v>
      </c>
      <c r="P272" s="36">
        <v>0.22222222222222221</v>
      </c>
      <c r="Q272" s="36" t="s">
        <v>41</v>
      </c>
      <c r="R272" s="36">
        <v>3.60843E-2</v>
      </c>
      <c r="S272" s="36" t="s">
        <v>40</v>
      </c>
      <c r="T272" s="36">
        <v>2.41725E-2</v>
      </c>
      <c r="U272" s="37">
        <v>0.22222222222222221</v>
      </c>
      <c r="V272"/>
    </row>
    <row r="273" spans="1:22" ht="68" x14ac:dyDescent="0.2">
      <c r="A273" s="36" t="s">
        <v>97</v>
      </c>
      <c r="B273" s="45" t="str">
        <f>VLOOKUP(Tabella1[[#This Row],[test_id]],experiments_specs!A:J,2,FALSE)</f>
        <v>NN,VB,VBD,VBG,VBN,VBP,VBZ</v>
      </c>
      <c r="C273" s="38">
        <f>VLOOKUP(Tabella1[[#This Row],[test_id]],experiments_specs!A:J,3,FALSE)</f>
        <v>1</v>
      </c>
      <c r="D273" s="38">
        <f>VLOOKUP(Tabella1[[#This Row],[test_id]],experiments_specs!A:J,4,FALSE)</f>
        <v>2</v>
      </c>
      <c r="E273" s="38" t="str">
        <f>VLOOKUP(Tabella1[[#This Row],[test_id]],experiments_specs!A:J,5,FALSE)</f>
        <v>True</v>
      </c>
      <c r="F273" s="38" t="str">
        <f>VLOOKUP(Tabella1[[#This Row],[test_id]],experiments_specs!A:J,6,FALSE)</f>
        <v>True</v>
      </c>
      <c r="G273" s="38" t="str">
        <f>VLOOKUP(Tabella1[[#This Row],[test_id]],experiments_specs!A:J,7,FALSE)</f>
        <v>True</v>
      </c>
      <c r="H273" s="38" t="str">
        <f>VLOOKUP(Tabella1[[#This Row],[test_id]],experiments_specs!A:J,8,FALSE)</f>
        <v>False</v>
      </c>
      <c r="I273" s="45" t="str">
        <f>VLOOKUP(Tabella1[[#This Row],[test_id]],experiments_specs!A:J,9,FALSE)</f>
        <v>wup_similarity</v>
      </c>
      <c r="J273" s="38" t="str">
        <f>VLOOKUP(Tabella1[[#This Row],[test_id]],experiments_specs!A:J,10,FALSE)</f>
        <v>True</v>
      </c>
      <c r="K273" s="40" t="s">
        <v>17</v>
      </c>
      <c r="L273" s="36" t="s">
        <v>279</v>
      </c>
      <c r="M273" s="36" t="s">
        <v>281</v>
      </c>
      <c r="N273" s="36" t="s">
        <v>42</v>
      </c>
      <c r="O273" s="36" t="s">
        <v>295</v>
      </c>
      <c r="P273" s="36">
        <v>0.30769230769230771</v>
      </c>
      <c r="Q273" s="36" t="s">
        <v>43</v>
      </c>
      <c r="R273" s="36" t="s">
        <v>402</v>
      </c>
      <c r="S273" s="36" t="s">
        <v>42</v>
      </c>
      <c r="T273" s="36" t="s">
        <v>295</v>
      </c>
      <c r="U273" s="37">
        <v>0.30769230769230771</v>
      </c>
      <c r="V273"/>
    </row>
    <row r="274" spans="1:22" ht="34" x14ac:dyDescent="0.2">
      <c r="A274" s="36" t="s">
        <v>97</v>
      </c>
      <c r="B274" s="45" t="str">
        <f>VLOOKUP(Tabella1[[#This Row],[test_id]],experiments_specs!A:J,2,FALSE)</f>
        <v>NN,VB,VBD,VBG,VBN,VBP,VBZ</v>
      </c>
      <c r="C274" s="38">
        <f>VLOOKUP(Tabella1[[#This Row],[test_id]],experiments_specs!A:J,3,FALSE)</f>
        <v>1</v>
      </c>
      <c r="D274" s="38">
        <f>VLOOKUP(Tabella1[[#This Row],[test_id]],experiments_specs!A:J,4,FALSE)</f>
        <v>2</v>
      </c>
      <c r="E274" s="38" t="str">
        <f>VLOOKUP(Tabella1[[#This Row],[test_id]],experiments_specs!A:J,5,FALSE)</f>
        <v>True</v>
      </c>
      <c r="F274" s="38" t="str">
        <f>VLOOKUP(Tabella1[[#This Row],[test_id]],experiments_specs!A:J,6,FALSE)</f>
        <v>True</v>
      </c>
      <c r="G274" s="38" t="str">
        <f>VLOOKUP(Tabella1[[#This Row],[test_id]],experiments_specs!A:J,7,FALSE)</f>
        <v>True</v>
      </c>
      <c r="H274" s="38" t="str">
        <f>VLOOKUP(Tabella1[[#This Row],[test_id]],experiments_specs!A:J,8,FALSE)</f>
        <v>False</v>
      </c>
      <c r="I274" s="45" t="str">
        <f>VLOOKUP(Tabella1[[#This Row],[test_id]],experiments_specs!A:J,9,FALSE)</f>
        <v>wup_similarity</v>
      </c>
      <c r="J274" s="38" t="str">
        <f>VLOOKUP(Tabella1[[#This Row],[test_id]],experiments_specs!A:J,10,FALSE)</f>
        <v>True</v>
      </c>
      <c r="K274" s="40" t="s">
        <v>18</v>
      </c>
      <c r="L274" s="36" t="s">
        <v>44</v>
      </c>
      <c r="M274" s="36">
        <v>3.5267199999999999E-2</v>
      </c>
      <c r="N274" s="36" t="s">
        <v>45</v>
      </c>
      <c r="O274" s="36">
        <v>1.3362199999999999E-2</v>
      </c>
      <c r="P274" s="36">
        <v>0.21052631578947367</v>
      </c>
      <c r="Q274" s="36" t="s">
        <v>46</v>
      </c>
      <c r="R274" s="36">
        <v>0</v>
      </c>
      <c r="S274" s="36" t="s">
        <v>45</v>
      </c>
      <c r="T274" s="36">
        <v>1.3646500000000001E-2</v>
      </c>
      <c r="U274" s="37">
        <v>0.21052631578947367</v>
      </c>
      <c r="V274"/>
    </row>
    <row r="275" spans="1:22" ht="17" x14ac:dyDescent="0.2">
      <c r="A275" s="36" t="s">
        <v>98</v>
      </c>
      <c r="B275" s="45" t="str">
        <f>VLOOKUP(Tabella1[[#This Row],[test_id]],experiments_specs!A:J,2,FALSE)</f>
        <v>NN,RB</v>
      </c>
      <c r="C275" s="38">
        <f>VLOOKUP(Tabella1[[#This Row],[test_id]],experiments_specs!A:J,3,FALSE)</f>
        <v>1</v>
      </c>
      <c r="D275" s="38">
        <f>VLOOKUP(Tabella1[[#This Row],[test_id]],experiments_specs!A:J,4,FALSE)</f>
        <v>2</v>
      </c>
      <c r="E275" s="38" t="str">
        <f>VLOOKUP(Tabella1[[#This Row],[test_id]],experiments_specs!A:J,5,FALSE)</f>
        <v>True</v>
      </c>
      <c r="F275" s="38" t="str">
        <f>VLOOKUP(Tabella1[[#This Row],[test_id]],experiments_specs!A:J,6,FALSE)</f>
        <v>True</v>
      </c>
      <c r="G275" s="38" t="str">
        <f>VLOOKUP(Tabella1[[#This Row],[test_id]],experiments_specs!A:J,7,FALSE)</f>
        <v>True</v>
      </c>
      <c r="H275" s="38" t="str">
        <f>VLOOKUP(Tabella1[[#This Row],[test_id]],experiments_specs!A:J,8,FALSE)</f>
        <v>False</v>
      </c>
      <c r="I275" s="45" t="str">
        <f>VLOOKUP(Tabella1[[#This Row],[test_id]],experiments_specs!A:J,9,FALSE)</f>
        <v>wup_similarity</v>
      </c>
      <c r="J275" s="38" t="str">
        <f>VLOOKUP(Tabella1[[#This Row],[test_id]],experiments_specs!A:J,10,FALSE)</f>
        <v>True</v>
      </c>
      <c r="K275" s="40" t="s">
        <v>19</v>
      </c>
      <c r="L275" s="36" t="s">
        <v>354</v>
      </c>
      <c r="M275" s="36">
        <v>0.1180562</v>
      </c>
      <c r="N275" s="36" t="s">
        <v>288</v>
      </c>
      <c r="O275" s="36">
        <v>2.12964E-2</v>
      </c>
      <c r="P275" s="36">
        <v>0.19047619047619047</v>
      </c>
      <c r="Q275" s="36" t="s">
        <v>47</v>
      </c>
      <c r="R275" s="36">
        <v>4.7088100000000001E-2</v>
      </c>
      <c r="S275" s="36" t="s">
        <v>288</v>
      </c>
      <c r="T275" s="36">
        <v>2.23105E-2</v>
      </c>
      <c r="U275" s="37">
        <v>0.19047619047619047</v>
      </c>
      <c r="V275"/>
    </row>
    <row r="276" spans="1:22" ht="34" x14ac:dyDescent="0.2">
      <c r="A276" s="36" t="s">
        <v>98</v>
      </c>
      <c r="B276" s="45" t="str">
        <f>VLOOKUP(Tabella1[[#This Row],[test_id]],experiments_specs!A:J,2,FALSE)</f>
        <v>NN,RB</v>
      </c>
      <c r="C276" s="38">
        <f>VLOOKUP(Tabella1[[#This Row],[test_id]],experiments_specs!A:J,3,FALSE)</f>
        <v>1</v>
      </c>
      <c r="D276" s="38">
        <f>VLOOKUP(Tabella1[[#This Row],[test_id]],experiments_specs!A:J,4,FALSE)</f>
        <v>2</v>
      </c>
      <c r="E276" s="38" t="str">
        <f>VLOOKUP(Tabella1[[#This Row],[test_id]],experiments_specs!A:J,5,FALSE)</f>
        <v>True</v>
      </c>
      <c r="F276" s="38" t="str">
        <f>VLOOKUP(Tabella1[[#This Row],[test_id]],experiments_specs!A:J,6,FALSE)</f>
        <v>True</v>
      </c>
      <c r="G276" s="38" t="str">
        <f>VLOOKUP(Tabella1[[#This Row],[test_id]],experiments_specs!A:J,7,FALSE)</f>
        <v>True</v>
      </c>
      <c r="H276" s="38" t="str">
        <f>VLOOKUP(Tabella1[[#This Row],[test_id]],experiments_specs!A:J,8,FALSE)</f>
        <v>False</v>
      </c>
      <c r="I276" s="45" t="str">
        <f>VLOOKUP(Tabella1[[#This Row],[test_id]],experiments_specs!A:J,9,FALSE)</f>
        <v>wup_similarity</v>
      </c>
      <c r="J276" s="38" t="str">
        <f>VLOOKUP(Tabella1[[#This Row],[test_id]],experiments_specs!A:J,10,FALSE)</f>
        <v>True</v>
      </c>
      <c r="K276" s="40" t="s">
        <v>12</v>
      </c>
      <c r="L276" s="36" t="s">
        <v>22</v>
      </c>
      <c r="M276" s="36">
        <v>0.1102635</v>
      </c>
      <c r="N276" s="36" t="s">
        <v>23</v>
      </c>
      <c r="O276" s="36">
        <v>3.8438800000000002E-2</v>
      </c>
      <c r="P276" s="36">
        <v>0.42857142857142855</v>
      </c>
      <c r="Q276" s="36" t="s">
        <v>391</v>
      </c>
      <c r="R276" s="36" t="s">
        <v>393</v>
      </c>
      <c r="S276" s="36" t="s">
        <v>395</v>
      </c>
      <c r="T276" s="36" t="s">
        <v>397</v>
      </c>
      <c r="U276" s="37">
        <v>0.46153846153846156</v>
      </c>
      <c r="V276"/>
    </row>
    <row r="277" spans="1:22" ht="17" x14ac:dyDescent="0.2">
      <c r="A277" s="36" t="s">
        <v>98</v>
      </c>
      <c r="B277" s="45" t="str">
        <f>VLOOKUP(Tabella1[[#This Row],[test_id]],experiments_specs!A:J,2,FALSE)</f>
        <v>NN,RB</v>
      </c>
      <c r="C277" s="38">
        <f>VLOOKUP(Tabella1[[#This Row],[test_id]],experiments_specs!A:J,3,FALSE)</f>
        <v>1</v>
      </c>
      <c r="D277" s="38">
        <f>VLOOKUP(Tabella1[[#This Row],[test_id]],experiments_specs!A:J,4,FALSE)</f>
        <v>2</v>
      </c>
      <c r="E277" s="38" t="str">
        <f>VLOOKUP(Tabella1[[#This Row],[test_id]],experiments_specs!A:J,5,FALSE)</f>
        <v>True</v>
      </c>
      <c r="F277" s="38" t="str">
        <f>VLOOKUP(Tabella1[[#This Row],[test_id]],experiments_specs!A:J,6,FALSE)</f>
        <v>True</v>
      </c>
      <c r="G277" s="38" t="str">
        <f>VLOOKUP(Tabella1[[#This Row],[test_id]],experiments_specs!A:J,7,FALSE)</f>
        <v>True</v>
      </c>
      <c r="H277" s="38" t="str">
        <f>VLOOKUP(Tabella1[[#This Row],[test_id]],experiments_specs!A:J,8,FALSE)</f>
        <v>False</v>
      </c>
      <c r="I277" s="45" t="str">
        <f>VLOOKUP(Tabella1[[#This Row],[test_id]],experiments_specs!A:J,9,FALSE)</f>
        <v>wup_similarity</v>
      </c>
      <c r="J277" s="38" t="str">
        <f>VLOOKUP(Tabella1[[#This Row],[test_id]],experiments_specs!A:J,10,FALSE)</f>
        <v>True</v>
      </c>
      <c r="K277" s="40" t="s">
        <v>13</v>
      </c>
      <c r="L277" s="36" t="s">
        <v>326</v>
      </c>
      <c r="M277" s="36">
        <v>0.10425719999999999</v>
      </c>
      <c r="N277" s="36" t="s">
        <v>327</v>
      </c>
      <c r="O277" s="36">
        <v>2.4573600000000001E-2</v>
      </c>
      <c r="P277" s="36" t="s">
        <v>25</v>
      </c>
      <c r="Q277" s="36" t="s">
        <v>34</v>
      </c>
      <c r="R277" s="36">
        <v>0</v>
      </c>
      <c r="S277" s="36" t="s">
        <v>35</v>
      </c>
      <c r="T277" s="36">
        <v>2.50803E-2</v>
      </c>
      <c r="U277" s="37" t="s">
        <v>25</v>
      </c>
      <c r="V277"/>
    </row>
    <row r="278" spans="1:22" ht="34" x14ac:dyDescent="0.2">
      <c r="A278" s="36" t="s">
        <v>98</v>
      </c>
      <c r="B278" s="45" t="str">
        <f>VLOOKUP(Tabella1[[#This Row],[test_id]],experiments_specs!A:J,2,FALSE)</f>
        <v>NN,RB</v>
      </c>
      <c r="C278" s="38">
        <f>VLOOKUP(Tabella1[[#This Row],[test_id]],experiments_specs!A:J,3,FALSE)</f>
        <v>1</v>
      </c>
      <c r="D278" s="38">
        <f>VLOOKUP(Tabella1[[#This Row],[test_id]],experiments_specs!A:J,4,FALSE)</f>
        <v>2</v>
      </c>
      <c r="E278" s="38" t="str">
        <f>VLOOKUP(Tabella1[[#This Row],[test_id]],experiments_specs!A:J,5,FALSE)</f>
        <v>True</v>
      </c>
      <c r="F278" s="38" t="str">
        <f>VLOOKUP(Tabella1[[#This Row],[test_id]],experiments_specs!A:J,6,FALSE)</f>
        <v>True</v>
      </c>
      <c r="G278" s="38" t="str">
        <f>VLOOKUP(Tabella1[[#This Row],[test_id]],experiments_specs!A:J,7,FALSE)</f>
        <v>True</v>
      </c>
      <c r="H278" s="38" t="str">
        <f>VLOOKUP(Tabella1[[#This Row],[test_id]],experiments_specs!A:J,8,FALSE)</f>
        <v>False</v>
      </c>
      <c r="I278" s="45" t="str">
        <f>VLOOKUP(Tabella1[[#This Row],[test_id]],experiments_specs!A:J,9,FALSE)</f>
        <v>wup_similarity</v>
      </c>
      <c r="J278" s="38" t="str">
        <f>VLOOKUP(Tabella1[[#This Row],[test_id]],experiments_specs!A:J,10,FALSE)</f>
        <v>True</v>
      </c>
      <c r="K278" s="40" t="s">
        <v>14</v>
      </c>
      <c r="L278" s="36" t="s">
        <v>36</v>
      </c>
      <c r="M278" s="36" t="s">
        <v>400</v>
      </c>
      <c r="N278" s="36" t="s">
        <v>37</v>
      </c>
      <c r="O278" s="36" t="s">
        <v>271</v>
      </c>
      <c r="P278" s="36">
        <v>0.33333333333333331</v>
      </c>
      <c r="Q278" s="36" t="s">
        <v>38</v>
      </c>
      <c r="R278" s="36" t="s">
        <v>273</v>
      </c>
      <c r="S278" s="36" t="s">
        <v>37</v>
      </c>
      <c r="T278" s="36" t="s">
        <v>292</v>
      </c>
      <c r="U278" s="37">
        <v>0.33333333333333331</v>
      </c>
      <c r="V278"/>
    </row>
    <row r="279" spans="1:22" ht="17" x14ac:dyDescent="0.2">
      <c r="A279" s="36" t="s">
        <v>98</v>
      </c>
      <c r="B279" s="45" t="str">
        <f>VLOOKUP(Tabella1[[#This Row],[test_id]],experiments_specs!A:J,2,FALSE)</f>
        <v>NN,RB</v>
      </c>
      <c r="C279" s="38">
        <f>VLOOKUP(Tabella1[[#This Row],[test_id]],experiments_specs!A:J,3,FALSE)</f>
        <v>1</v>
      </c>
      <c r="D279" s="38">
        <f>VLOOKUP(Tabella1[[#This Row],[test_id]],experiments_specs!A:J,4,FALSE)</f>
        <v>2</v>
      </c>
      <c r="E279" s="38" t="str">
        <f>VLOOKUP(Tabella1[[#This Row],[test_id]],experiments_specs!A:J,5,FALSE)</f>
        <v>True</v>
      </c>
      <c r="F279" s="38" t="str">
        <f>VLOOKUP(Tabella1[[#This Row],[test_id]],experiments_specs!A:J,6,FALSE)</f>
        <v>True</v>
      </c>
      <c r="G279" s="38" t="str">
        <f>VLOOKUP(Tabella1[[#This Row],[test_id]],experiments_specs!A:J,7,FALSE)</f>
        <v>True</v>
      </c>
      <c r="H279" s="38" t="str">
        <f>VLOOKUP(Tabella1[[#This Row],[test_id]],experiments_specs!A:J,8,FALSE)</f>
        <v>False</v>
      </c>
      <c r="I279" s="45" t="str">
        <f>VLOOKUP(Tabella1[[#This Row],[test_id]],experiments_specs!A:J,9,FALSE)</f>
        <v>wup_similarity</v>
      </c>
      <c r="J279" s="38" t="str">
        <f>VLOOKUP(Tabella1[[#This Row],[test_id]],experiments_specs!A:J,10,FALSE)</f>
        <v>True</v>
      </c>
      <c r="K279" s="40" t="s">
        <v>15</v>
      </c>
      <c r="L279" s="36" t="s">
        <v>26</v>
      </c>
      <c r="M279" s="36">
        <v>0.18033389999999999</v>
      </c>
      <c r="N279" s="36" t="s">
        <v>27</v>
      </c>
      <c r="O279" s="36">
        <v>2.23105E-2</v>
      </c>
      <c r="P279" s="36">
        <v>0.16666666666666666</v>
      </c>
      <c r="Q279" s="36" t="s">
        <v>365</v>
      </c>
      <c r="R279" s="36">
        <v>0</v>
      </c>
      <c r="S279" s="36" t="s">
        <v>26</v>
      </c>
      <c r="T279" s="36">
        <v>4.8089E-2</v>
      </c>
      <c r="U279" s="37">
        <v>0.18181818181818182</v>
      </c>
      <c r="V279"/>
    </row>
    <row r="280" spans="1:22" ht="17" x14ac:dyDescent="0.2">
      <c r="A280" s="36" t="s">
        <v>98</v>
      </c>
      <c r="B280" s="45" t="str">
        <f>VLOOKUP(Tabella1[[#This Row],[test_id]],experiments_specs!A:J,2,FALSE)</f>
        <v>NN,RB</v>
      </c>
      <c r="C280" s="38">
        <f>VLOOKUP(Tabella1[[#This Row],[test_id]],experiments_specs!A:J,3,FALSE)</f>
        <v>1</v>
      </c>
      <c r="D280" s="38">
        <f>VLOOKUP(Tabella1[[#This Row],[test_id]],experiments_specs!A:J,4,FALSE)</f>
        <v>2</v>
      </c>
      <c r="E280" s="38" t="str">
        <f>VLOOKUP(Tabella1[[#This Row],[test_id]],experiments_specs!A:J,5,FALSE)</f>
        <v>True</v>
      </c>
      <c r="F280" s="38" t="str">
        <f>VLOOKUP(Tabella1[[#This Row],[test_id]],experiments_specs!A:J,6,FALSE)</f>
        <v>True</v>
      </c>
      <c r="G280" s="38" t="str">
        <f>VLOOKUP(Tabella1[[#This Row],[test_id]],experiments_specs!A:J,7,FALSE)</f>
        <v>True</v>
      </c>
      <c r="H280" s="38" t="str">
        <f>VLOOKUP(Tabella1[[#This Row],[test_id]],experiments_specs!A:J,8,FALSE)</f>
        <v>False</v>
      </c>
      <c r="I280" s="45" t="str">
        <f>VLOOKUP(Tabella1[[#This Row],[test_id]],experiments_specs!A:J,9,FALSE)</f>
        <v>wup_similarity</v>
      </c>
      <c r="J280" s="38" t="str">
        <f>VLOOKUP(Tabella1[[#This Row],[test_id]],experiments_specs!A:J,10,FALSE)</f>
        <v>True</v>
      </c>
      <c r="K280" s="40" t="s">
        <v>16</v>
      </c>
      <c r="L280" s="36" t="s">
        <v>39</v>
      </c>
      <c r="M280" s="36">
        <v>6.4549700000000002E-2</v>
      </c>
      <c r="N280" s="36" t="s">
        <v>40</v>
      </c>
      <c r="O280" s="36">
        <v>1.9753900000000001E-2</v>
      </c>
      <c r="P280" s="36">
        <v>0.22222222222222221</v>
      </c>
      <c r="Q280" s="36" t="s">
        <v>41</v>
      </c>
      <c r="R280" s="36">
        <v>3.60843E-2</v>
      </c>
      <c r="S280" s="36" t="s">
        <v>40</v>
      </c>
      <c r="T280" s="36">
        <v>1.8556699999999999E-2</v>
      </c>
      <c r="U280" s="37">
        <v>0.22222222222222221</v>
      </c>
      <c r="V280"/>
    </row>
    <row r="281" spans="1:22" ht="68" x14ac:dyDescent="0.2">
      <c r="A281" s="36" t="s">
        <v>98</v>
      </c>
      <c r="B281" s="45" t="str">
        <f>VLOOKUP(Tabella1[[#This Row],[test_id]],experiments_specs!A:J,2,FALSE)</f>
        <v>NN,RB</v>
      </c>
      <c r="C281" s="38">
        <f>VLOOKUP(Tabella1[[#This Row],[test_id]],experiments_specs!A:J,3,FALSE)</f>
        <v>1</v>
      </c>
      <c r="D281" s="38">
        <f>VLOOKUP(Tabella1[[#This Row],[test_id]],experiments_specs!A:J,4,FALSE)</f>
        <v>2</v>
      </c>
      <c r="E281" s="38" t="str">
        <f>VLOOKUP(Tabella1[[#This Row],[test_id]],experiments_specs!A:J,5,FALSE)</f>
        <v>True</v>
      </c>
      <c r="F281" s="38" t="str">
        <f>VLOOKUP(Tabella1[[#This Row],[test_id]],experiments_specs!A:J,6,FALSE)</f>
        <v>True</v>
      </c>
      <c r="G281" s="38" t="str">
        <f>VLOOKUP(Tabella1[[#This Row],[test_id]],experiments_specs!A:J,7,FALSE)</f>
        <v>True</v>
      </c>
      <c r="H281" s="38" t="str">
        <f>VLOOKUP(Tabella1[[#This Row],[test_id]],experiments_specs!A:J,8,FALSE)</f>
        <v>False</v>
      </c>
      <c r="I281" s="45" t="str">
        <f>VLOOKUP(Tabella1[[#This Row],[test_id]],experiments_specs!A:J,9,FALSE)</f>
        <v>wup_similarity</v>
      </c>
      <c r="J281" s="38" t="str">
        <f>VLOOKUP(Tabella1[[#This Row],[test_id]],experiments_specs!A:J,10,FALSE)</f>
        <v>True</v>
      </c>
      <c r="K281" s="40" t="s">
        <v>17</v>
      </c>
      <c r="L281" s="36" t="s">
        <v>279</v>
      </c>
      <c r="M281" s="36" t="s">
        <v>281</v>
      </c>
      <c r="N281" s="36" t="s">
        <v>42</v>
      </c>
      <c r="O281" s="36" t="s">
        <v>287</v>
      </c>
      <c r="P281" s="36">
        <v>0.30769230769230771</v>
      </c>
      <c r="Q281" s="36" t="s">
        <v>43</v>
      </c>
      <c r="R281" s="36" t="s">
        <v>402</v>
      </c>
      <c r="S281" s="36" t="s">
        <v>42</v>
      </c>
      <c r="T281" s="36" t="s">
        <v>287</v>
      </c>
      <c r="U281" s="37">
        <v>0.30769230769230771</v>
      </c>
      <c r="V281"/>
    </row>
    <row r="282" spans="1:22" ht="34" x14ac:dyDescent="0.2">
      <c r="A282" s="36" t="s">
        <v>98</v>
      </c>
      <c r="B282" s="45" t="str">
        <f>VLOOKUP(Tabella1[[#This Row],[test_id]],experiments_specs!A:J,2,FALSE)</f>
        <v>NN,RB</v>
      </c>
      <c r="C282" s="38">
        <f>VLOOKUP(Tabella1[[#This Row],[test_id]],experiments_specs!A:J,3,FALSE)</f>
        <v>1</v>
      </c>
      <c r="D282" s="38">
        <f>VLOOKUP(Tabella1[[#This Row],[test_id]],experiments_specs!A:J,4,FALSE)</f>
        <v>2</v>
      </c>
      <c r="E282" s="38" t="str">
        <f>VLOOKUP(Tabella1[[#This Row],[test_id]],experiments_specs!A:J,5,FALSE)</f>
        <v>True</v>
      </c>
      <c r="F282" s="38" t="str">
        <f>VLOOKUP(Tabella1[[#This Row],[test_id]],experiments_specs!A:J,6,FALSE)</f>
        <v>True</v>
      </c>
      <c r="G282" s="38" t="str">
        <f>VLOOKUP(Tabella1[[#This Row],[test_id]],experiments_specs!A:J,7,FALSE)</f>
        <v>True</v>
      </c>
      <c r="H282" s="38" t="str">
        <f>VLOOKUP(Tabella1[[#This Row],[test_id]],experiments_specs!A:J,8,FALSE)</f>
        <v>False</v>
      </c>
      <c r="I282" s="45" t="str">
        <f>VLOOKUP(Tabella1[[#This Row],[test_id]],experiments_specs!A:J,9,FALSE)</f>
        <v>wup_similarity</v>
      </c>
      <c r="J282" s="38" t="str">
        <f>VLOOKUP(Tabella1[[#This Row],[test_id]],experiments_specs!A:J,10,FALSE)</f>
        <v>True</v>
      </c>
      <c r="K282" s="40" t="s">
        <v>18</v>
      </c>
      <c r="L282" s="36" t="s">
        <v>44</v>
      </c>
      <c r="M282" s="36">
        <v>3.5267199999999999E-2</v>
      </c>
      <c r="N282" s="36" t="s">
        <v>45</v>
      </c>
      <c r="O282" s="36">
        <v>1.8864300000000001E-2</v>
      </c>
      <c r="P282" s="36">
        <v>0.21052631578947367</v>
      </c>
      <c r="Q282" s="36" t="s">
        <v>46</v>
      </c>
      <c r="R282" s="36">
        <v>0</v>
      </c>
      <c r="S282" s="36" t="s">
        <v>45</v>
      </c>
      <c r="T282" s="36">
        <v>1.8864300000000001E-2</v>
      </c>
      <c r="U282" s="37">
        <v>0.21052631578947367</v>
      </c>
      <c r="V282"/>
    </row>
    <row r="283" spans="1:22" ht="17" x14ac:dyDescent="0.2">
      <c r="A283" s="36" t="s">
        <v>99</v>
      </c>
      <c r="B283" s="45" t="str">
        <f>VLOOKUP(Tabella1[[#This Row],[test_id]],experiments_specs!A:J,2,FALSE)</f>
        <v>NN,JJ,VB,VBD,VBG,VBN,VBP,VBZ</v>
      </c>
      <c r="C283" s="38">
        <f>VLOOKUP(Tabella1[[#This Row],[test_id]],experiments_specs!A:J,3,FALSE)</f>
        <v>1</v>
      </c>
      <c r="D283" s="38">
        <f>VLOOKUP(Tabella1[[#This Row],[test_id]],experiments_specs!A:J,4,FALSE)</f>
        <v>2</v>
      </c>
      <c r="E283" s="38" t="str">
        <f>VLOOKUP(Tabella1[[#This Row],[test_id]],experiments_specs!A:J,5,FALSE)</f>
        <v>True</v>
      </c>
      <c r="F283" s="38" t="str">
        <f>VLOOKUP(Tabella1[[#This Row],[test_id]],experiments_specs!A:J,6,FALSE)</f>
        <v>True</v>
      </c>
      <c r="G283" s="38" t="str">
        <f>VLOOKUP(Tabella1[[#This Row],[test_id]],experiments_specs!A:J,7,FALSE)</f>
        <v>True</v>
      </c>
      <c r="H283" s="38" t="str">
        <f>VLOOKUP(Tabella1[[#This Row],[test_id]],experiments_specs!A:J,8,FALSE)</f>
        <v>False</v>
      </c>
      <c r="I283" s="45" t="str">
        <f>VLOOKUP(Tabella1[[#This Row],[test_id]],experiments_specs!A:J,9,FALSE)</f>
        <v>wup_similarity</v>
      </c>
      <c r="J283" s="38" t="str">
        <f>VLOOKUP(Tabella1[[#This Row],[test_id]],experiments_specs!A:J,10,FALSE)</f>
        <v>True</v>
      </c>
      <c r="K283" s="40" t="s">
        <v>19</v>
      </c>
      <c r="L283" s="36" t="s">
        <v>225</v>
      </c>
      <c r="M283" s="36">
        <v>0.14024809999999999</v>
      </c>
      <c r="N283" s="36" t="s">
        <v>226</v>
      </c>
      <c r="O283" s="36">
        <v>2.7050000000000001E-2</v>
      </c>
      <c r="P283" s="36">
        <v>0.17391304347826086</v>
      </c>
      <c r="Q283" s="36" t="s">
        <v>288</v>
      </c>
      <c r="R283" s="36">
        <v>0.1561737</v>
      </c>
      <c r="S283" s="36" t="s">
        <v>226</v>
      </c>
      <c r="T283" s="36">
        <v>2.7982799999999999E-2</v>
      </c>
      <c r="U283" s="37">
        <v>0.17391304347826086</v>
      </c>
      <c r="V283"/>
    </row>
    <row r="284" spans="1:22" ht="34" x14ac:dyDescent="0.2">
      <c r="A284" s="36" t="s">
        <v>99</v>
      </c>
      <c r="B284" s="45" t="str">
        <f>VLOOKUP(Tabella1[[#This Row],[test_id]],experiments_specs!A:J,2,FALSE)</f>
        <v>NN,JJ,VB,VBD,VBG,VBN,VBP,VBZ</v>
      </c>
      <c r="C284" s="38">
        <f>VLOOKUP(Tabella1[[#This Row],[test_id]],experiments_specs!A:J,3,FALSE)</f>
        <v>1</v>
      </c>
      <c r="D284" s="38">
        <f>VLOOKUP(Tabella1[[#This Row],[test_id]],experiments_specs!A:J,4,FALSE)</f>
        <v>2</v>
      </c>
      <c r="E284" s="38" t="str">
        <f>VLOOKUP(Tabella1[[#This Row],[test_id]],experiments_specs!A:J,5,FALSE)</f>
        <v>True</v>
      </c>
      <c r="F284" s="38" t="str">
        <f>VLOOKUP(Tabella1[[#This Row],[test_id]],experiments_specs!A:J,6,FALSE)</f>
        <v>True</v>
      </c>
      <c r="G284" s="38" t="str">
        <f>VLOOKUP(Tabella1[[#This Row],[test_id]],experiments_specs!A:J,7,FALSE)</f>
        <v>True</v>
      </c>
      <c r="H284" s="38" t="str">
        <f>VLOOKUP(Tabella1[[#This Row],[test_id]],experiments_specs!A:J,8,FALSE)</f>
        <v>False</v>
      </c>
      <c r="I284" s="45" t="str">
        <f>VLOOKUP(Tabella1[[#This Row],[test_id]],experiments_specs!A:J,9,FALSE)</f>
        <v>wup_similarity</v>
      </c>
      <c r="J284" s="38" t="str">
        <f>VLOOKUP(Tabella1[[#This Row],[test_id]],experiments_specs!A:J,10,FALSE)</f>
        <v>True</v>
      </c>
      <c r="K284" s="40" t="s">
        <v>12</v>
      </c>
      <c r="L284" s="36" t="s">
        <v>22</v>
      </c>
      <c r="M284" s="36">
        <v>0.1102635</v>
      </c>
      <c r="N284" s="36" t="s">
        <v>23</v>
      </c>
      <c r="O284" s="36">
        <v>2.3858500000000001E-2</v>
      </c>
      <c r="P284" s="36">
        <v>0.42857142857142855</v>
      </c>
      <c r="Q284" s="36" t="s">
        <v>391</v>
      </c>
      <c r="R284" s="36" t="s">
        <v>393</v>
      </c>
      <c r="S284" s="36" t="s">
        <v>395</v>
      </c>
      <c r="T284" s="36" t="s">
        <v>421</v>
      </c>
      <c r="U284" s="37">
        <v>0.46153846153846156</v>
      </c>
      <c r="V284"/>
    </row>
    <row r="285" spans="1:22" ht="17" x14ac:dyDescent="0.2">
      <c r="A285" s="36" t="s">
        <v>99</v>
      </c>
      <c r="B285" s="45" t="str">
        <f>VLOOKUP(Tabella1[[#This Row],[test_id]],experiments_specs!A:J,2,FALSE)</f>
        <v>NN,JJ,VB,VBD,VBG,VBN,VBP,VBZ</v>
      </c>
      <c r="C285" s="38">
        <f>VLOOKUP(Tabella1[[#This Row],[test_id]],experiments_specs!A:J,3,FALSE)</f>
        <v>1</v>
      </c>
      <c r="D285" s="38">
        <f>VLOOKUP(Tabella1[[#This Row],[test_id]],experiments_specs!A:J,4,FALSE)</f>
        <v>2</v>
      </c>
      <c r="E285" s="38" t="str">
        <f>VLOOKUP(Tabella1[[#This Row],[test_id]],experiments_specs!A:J,5,FALSE)</f>
        <v>True</v>
      </c>
      <c r="F285" s="38" t="str">
        <f>VLOOKUP(Tabella1[[#This Row],[test_id]],experiments_specs!A:J,6,FALSE)</f>
        <v>True</v>
      </c>
      <c r="G285" s="38" t="str">
        <f>VLOOKUP(Tabella1[[#This Row],[test_id]],experiments_specs!A:J,7,FALSE)</f>
        <v>True</v>
      </c>
      <c r="H285" s="38" t="str">
        <f>VLOOKUP(Tabella1[[#This Row],[test_id]],experiments_specs!A:J,8,FALSE)</f>
        <v>False</v>
      </c>
      <c r="I285" s="45" t="str">
        <f>VLOOKUP(Tabella1[[#This Row],[test_id]],experiments_specs!A:J,9,FALSE)</f>
        <v>wup_similarity</v>
      </c>
      <c r="J285" s="38" t="str">
        <f>VLOOKUP(Tabella1[[#This Row],[test_id]],experiments_specs!A:J,10,FALSE)</f>
        <v>True</v>
      </c>
      <c r="K285" s="40" t="s">
        <v>13</v>
      </c>
      <c r="L285" s="36" t="s">
        <v>326</v>
      </c>
      <c r="M285" s="36">
        <v>0.10425719999999999</v>
      </c>
      <c r="N285" s="36" t="s">
        <v>327</v>
      </c>
      <c r="O285" s="36">
        <v>2.4573600000000001E-2</v>
      </c>
      <c r="P285" s="36" t="s">
        <v>25</v>
      </c>
      <c r="Q285" s="36" t="s">
        <v>417</v>
      </c>
      <c r="R285" s="36">
        <v>0</v>
      </c>
      <c r="S285" s="36" t="s">
        <v>327</v>
      </c>
      <c r="T285" s="36">
        <v>2.4573600000000001E-2</v>
      </c>
      <c r="U285" s="37" t="s">
        <v>25</v>
      </c>
      <c r="V285"/>
    </row>
    <row r="286" spans="1:22" ht="34" x14ac:dyDescent="0.2">
      <c r="A286" s="36" t="s">
        <v>99</v>
      </c>
      <c r="B286" s="45" t="str">
        <f>VLOOKUP(Tabella1[[#This Row],[test_id]],experiments_specs!A:J,2,FALSE)</f>
        <v>NN,JJ,VB,VBD,VBG,VBN,VBP,VBZ</v>
      </c>
      <c r="C286" s="38">
        <f>VLOOKUP(Tabella1[[#This Row],[test_id]],experiments_specs!A:J,3,FALSE)</f>
        <v>1</v>
      </c>
      <c r="D286" s="38">
        <f>VLOOKUP(Tabella1[[#This Row],[test_id]],experiments_specs!A:J,4,FALSE)</f>
        <v>2</v>
      </c>
      <c r="E286" s="38" t="str">
        <f>VLOOKUP(Tabella1[[#This Row],[test_id]],experiments_specs!A:J,5,FALSE)</f>
        <v>True</v>
      </c>
      <c r="F286" s="38" t="str">
        <f>VLOOKUP(Tabella1[[#This Row],[test_id]],experiments_specs!A:J,6,FALSE)</f>
        <v>True</v>
      </c>
      <c r="G286" s="38" t="str">
        <f>VLOOKUP(Tabella1[[#This Row],[test_id]],experiments_specs!A:J,7,FALSE)</f>
        <v>True</v>
      </c>
      <c r="H286" s="38" t="str">
        <f>VLOOKUP(Tabella1[[#This Row],[test_id]],experiments_specs!A:J,8,FALSE)</f>
        <v>False</v>
      </c>
      <c r="I286" s="45" t="str">
        <f>VLOOKUP(Tabella1[[#This Row],[test_id]],experiments_specs!A:J,9,FALSE)</f>
        <v>wup_similarity</v>
      </c>
      <c r="J286" s="38" t="str">
        <f>VLOOKUP(Tabella1[[#This Row],[test_id]],experiments_specs!A:J,10,FALSE)</f>
        <v>True</v>
      </c>
      <c r="K286" s="40" t="s">
        <v>14</v>
      </c>
      <c r="L286" s="36" t="s">
        <v>36</v>
      </c>
      <c r="M286" s="36" t="s">
        <v>400</v>
      </c>
      <c r="N286" s="36" t="s">
        <v>37</v>
      </c>
      <c r="O286" s="36" t="s">
        <v>349</v>
      </c>
      <c r="P286" s="36">
        <v>0.33333333333333331</v>
      </c>
      <c r="Q286" s="36" t="s">
        <v>38</v>
      </c>
      <c r="R286" s="36" t="s">
        <v>273</v>
      </c>
      <c r="S286" s="36" t="s">
        <v>37</v>
      </c>
      <c r="T286" s="36" t="s">
        <v>351</v>
      </c>
      <c r="U286" s="37">
        <v>0.33333333333333331</v>
      </c>
      <c r="V286"/>
    </row>
    <row r="287" spans="1:22" ht="17" x14ac:dyDescent="0.2">
      <c r="A287" s="36" t="s">
        <v>99</v>
      </c>
      <c r="B287" s="45" t="str">
        <f>VLOOKUP(Tabella1[[#This Row],[test_id]],experiments_specs!A:J,2,FALSE)</f>
        <v>NN,JJ,VB,VBD,VBG,VBN,VBP,VBZ</v>
      </c>
      <c r="C287" s="38">
        <f>VLOOKUP(Tabella1[[#This Row],[test_id]],experiments_specs!A:J,3,FALSE)</f>
        <v>1</v>
      </c>
      <c r="D287" s="38">
        <f>VLOOKUP(Tabella1[[#This Row],[test_id]],experiments_specs!A:J,4,FALSE)</f>
        <v>2</v>
      </c>
      <c r="E287" s="38" t="str">
        <f>VLOOKUP(Tabella1[[#This Row],[test_id]],experiments_specs!A:J,5,FALSE)</f>
        <v>True</v>
      </c>
      <c r="F287" s="38" t="str">
        <f>VLOOKUP(Tabella1[[#This Row],[test_id]],experiments_specs!A:J,6,FALSE)</f>
        <v>True</v>
      </c>
      <c r="G287" s="38" t="str">
        <f>VLOOKUP(Tabella1[[#This Row],[test_id]],experiments_specs!A:J,7,FALSE)</f>
        <v>True</v>
      </c>
      <c r="H287" s="38" t="str">
        <f>VLOOKUP(Tabella1[[#This Row],[test_id]],experiments_specs!A:J,8,FALSE)</f>
        <v>False</v>
      </c>
      <c r="I287" s="45" t="str">
        <f>VLOOKUP(Tabella1[[#This Row],[test_id]],experiments_specs!A:J,9,FALSE)</f>
        <v>wup_similarity</v>
      </c>
      <c r="J287" s="38" t="str">
        <f>VLOOKUP(Tabella1[[#This Row],[test_id]],experiments_specs!A:J,10,FALSE)</f>
        <v>True</v>
      </c>
      <c r="K287" s="40" t="s">
        <v>15</v>
      </c>
      <c r="L287" s="36" t="s">
        <v>26</v>
      </c>
      <c r="M287" s="36">
        <v>0.18033389999999999</v>
      </c>
      <c r="N287" s="36" t="s">
        <v>27</v>
      </c>
      <c r="O287" s="36">
        <v>1.9521699999999999E-2</v>
      </c>
      <c r="P287" s="36">
        <v>0.16666666666666666</v>
      </c>
      <c r="Q287" s="36" t="s">
        <v>15</v>
      </c>
      <c r="R287" s="36">
        <v>0.1770844</v>
      </c>
      <c r="S287" s="36" t="s">
        <v>293</v>
      </c>
      <c r="T287" s="36">
        <v>4.4172599999999999E-2</v>
      </c>
      <c r="U287" s="37">
        <v>0.90909090909090906</v>
      </c>
      <c r="V287"/>
    </row>
    <row r="288" spans="1:22" ht="17" x14ac:dyDescent="0.2">
      <c r="A288" s="36" t="s">
        <v>99</v>
      </c>
      <c r="B288" s="45" t="str">
        <f>VLOOKUP(Tabella1[[#This Row],[test_id]],experiments_specs!A:J,2,FALSE)</f>
        <v>NN,JJ,VB,VBD,VBG,VBN,VBP,VBZ</v>
      </c>
      <c r="C288" s="38">
        <f>VLOOKUP(Tabella1[[#This Row],[test_id]],experiments_specs!A:J,3,FALSE)</f>
        <v>1</v>
      </c>
      <c r="D288" s="38">
        <f>VLOOKUP(Tabella1[[#This Row],[test_id]],experiments_specs!A:J,4,FALSE)</f>
        <v>2</v>
      </c>
      <c r="E288" s="38" t="str">
        <f>VLOOKUP(Tabella1[[#This Row],[test_id]],experiments_specs!A:J,5,FALSE)</f>
        <v>True</v>
      </c>
      <c r="F288" s="38" t="str">
        <f>VLOOKUP(Tabella1[[#This Row],[test_id]],experiments_specs!A:J,6,FALSE)</f>
        <v>True</v>
      </c>
      <c r="G288" s="38" t="str">
        <f>VLOOKUP(Tabella1[[#This Row],[test_id]],experiments_specs!A:J,7,FALSE)</f>
        <v>True</v>
      </c>
      <c r="H288" s="38" t="str">
        <f>VLOOKUP(Tabella1[[#This Row],[test_id]],experiments_specs!A:J,8,FALSE)</f>
        <v>False</v>
      </c>
      <c r="I288" s="45" t="str">
        <f>VLOOKUP(Tabella1[[#This Row],[test_id]],experiments_specs!A:J,9,FALSE)</f>
        <v>wup_similarity</v>
      </c>
      <c r="J288" s="38" t="str">
        <f>VLOOKUP(Tabella1[[#This Row],[test_id]],experiments_specs!A:J,10,FALSE)</f>
        <v>True</v>
      </c>
      <c r="K288" s="40" t="s">
        <v>16</v>
      </c>
      <c r="L288" s="36" t="s">
        <v>39</v>
      </c>
      <c r="M288" s="36">
        <v>6.4549700000000002E-2</v>
      </c>
      <c r="N288" s="36" t="s">
        <v>40</v>
      </c>
      <c r="O288" s="36">
        <v>2.4825900000000001E-2</v>
      </c>
      <c r="P288" s="36">
        <v>0.22222222222222221</v>
      </c>
      <c r="Q288" s="36" t="s">
        <v>41</v>
      </c>
      <c r="R288" s="36">
        <v>3.60843E-2</v>
      </c>
      <c r="S288" s="36" t="s">
        <v>40</v>
      </c>
      <c r="T288" s="36">
        <v>2.3552699999999999E-2</v>
      </c>
      <c r="U288" s="37">
        <v>0.22222222222222221</v>
      </c>
      <c r="V288"/>
    </row>
    <row r="289" spans="1:22" ht="68" x14ac:dyDescent="0.2">
      <c r="A289" s="36" t="s">
        <v>99</v>
      </c>
      <c r="B289" s="45" t="str">
        <f>VLOOKUP(Tabella1[[#This Row],[test_id]],experiments_specs!A:J,2,FALSE)</f>
        <v>NN,JJ,VB,VBD,VBG,VBN,VBP,VBZ</v>
      </c>
      <c r="C289" s="38">
        <f>VLOOKUP(Tabella1[[#This Row],[test_id]],experiments_specs!A:J,3,FALSE)</f>
        <v>1</v>
      </c>
      <c r="D289" s="38">
        <f>VLOOKUP(Tabella1[[#This Row],[test_id]],experiments_specs!A:J,4,FALSE)</f>
        <v>2</v>
      </c>
      <c r="E289" s="38" t="str">
        <f>VLOOKUP(Tabella1[[#This Row],[test_id]],experiments_specs!A:J,5,FALSE)</f>
        <v>True</v>
      </c>
      <c r="F289" s="38" t="str">
        <f>VLOOKUP(Tabella1[[#This Row],[test_id]],experiments_specs!A:J,6,FALSE)</f>
        <v>True</v>
      </c>
      <c r="G289" s="38" t="str">
        <f>VLOOKUP(Tabella1[[#This Row],[test_id]],experiments_specs!A:J,7,FALSE)</f>
        <v>True</v>
      </c>
      <c r="H289" s="38" t="str">
        <f>VLOOKUP(Tabella1[[#This Row],[test_id]],experiments_specs!A:J,8,FALSE)</f>
        <v>False</v>
      </c>
      <c r="I289" s="45" t="str">
        <f>VLOOKUP(Tabella1[[#This Row],[test_id]],experiments_specs!A:J,9,FALSE)</f>
        <v>wup_similarity</v>
      </c>
      <c r="J289" s="38" t="str">
        <f>VLOOKUP(Tabella1[[#This Row],[test_id]],experiments_specs!A:J,10,FALSE)</f>
        <v>True</v>
      </c>
      <c r="K289" s="40" t="s">
        <v>17</v>
      </c>
      <c r="L289" s="36" t="s">
        <v>279</v>
      </c>
      <c r="M289" s="36" t="s">
        <v>281</v>
      </c>
      <c r="N289" s="36" t="s">
        <v>42</v>
      </c>
      <c r="O289" s="36" t="s">
        <v>353</v>
      </c>
      <c r="P289" s="36">
        <v>0.30769230769230771</v>
      </c>
      <c r="Q289" s="36" t="s">
        <v>43</v>
      </c>
      <c r="R289" s="36" t="s">
        <v>402</v>
      </c>
      <c r="S289" s="36" t="s">
        <v>42</v>
      </c>
      <c r="T289" s="36" t="s">
        <v>353</v>
      </c>
      <c r="U289" s="37">
        <v>0.30769230769230771</v>
      </c>
      <c r="V289"/>
    </row>
    <row r="290" spans="1:22" ht="34" x14ac:dyDescent="0.2">
      <c r="A290" s="36" t="s">
        <v>99</v>
      </c>
      <c r="B290" s="45" t="str">
        <f>VLOOKUP(Tabella1[[#This Row],[test_id]],experiments_specs!A:J,2,FALSE)</f>
        <v>NN,JJ,VB,VBD,VBG,VBN,VBP,VBZ</v>
      </c>
      <c r="C290" s="38">
        <f>VLOOKUP(Tabella1[[#This Row],[test_id]],experiments_specs!A:J,3,FALSE)</f>
        <v>1</v>
      </c>
      <c r="D290" s="38">
        <f>VLOOKUP(Tabella1[[#This Row],[test_id]],experiments_specs!A:J,4,FALSE)</f>
        <v>2</v>
      </c>
      <c r="E290" s="38" t="str">
        <f>VLOOKUP(Tabella1[[#This Row],[test_id]],experiments_specs!A:J,5,FALSE)</f>
        <v>True</v>
      </c>
      <c r="F290" s="38" t="str">
        <f>VLOOKUP(Tabella1[[#This Row],[test_id]],experiments_specs!A:J,6,FALSE)</f>
        <v>True</v>
      </c>
      <c r="G290" s="38" t="str">
        <f>VLOOKUP(Tabella1[[#This Row],[test_id]],experiments_specs!A:J,7,FALSE)</f>
        <v>True</v>
      </c>
      <c r="H290" s="38" t="str">
        <f>VLOOKUP(Tabella1[[#This Row],[test_id]],experiments_specs!A:J,8,FALSE)</f>
        <v>False</v>
      </c>
      <c r="I290" s="45" t="str">
        <f>VLOOKUP(Tabella1[[#This Row],[test_id]],experiments_specs!A:J,9,FALSE)</f>
        <v>wup_similarity</v>
      </c>
      <c r="J290" s="38" t="str">
        <f>VLOOKUP(Tabella1[[#This Row],[test_id]],experiments_specs!A:J,10,FALSE)</f>
        <v>True</v>
      </c>
      <c r="K290" s="40" t="s">
        <v>18</v>
      </c>
      <c r="L290" s="36" t="s">
        <v>44</v>
      </c>
      <c r="M290" s="36">
        <v>3.5267199999999999E-2</v>
      </c>
      <c r="N290" s="36" t="s">
        <v>45</v>
      </c>
      <c r="O290" s="36">
        <v>1.2576199999999999E-2</v>
      </c>
      <c r="P290" s="36">
        <v>0.21052631578947367</v>
      </c>
      <c r="Q290" s="36" t="s">
        <v>46</v>
      </c>
      <c r="R290" s="36">
        <v>0</v>
      </c>
      <c r="S290" s="36" t="s">
        <v>45</v>
      </c>
      <c r="T290" s="36">
        <v>1.2827699999999999E-2</v>
      </c>
      <c r="U290" s="37">
        <v>0.21052631578947367</v>
      </c>
      <c r="V290"/>
    </row>
    <row r="291" spans="1:22" ht="17" x14ac:dyDescent="0.2">
      <c r="A291" s="36" t="s">
        <v>100</v>
      </c>
      <c r="B291" s="45" t="str">
        <f>VLOOKUP(Tabella1[[#This Row],[test_id]],experiments_specs!A:J,2,FALSE)</f>
        <v>NN</v>
      </c>
      <c r="C291" s="38">
        <f>VLOOKUP(Tabella1[[#This Row],[test_id]],experiments_specs!A:J,3,FALSE)</f>
        <v>1</v>
      </c>
      <c r="D291" s="38">
        <f>VLOOKUP(Tabella1[[#This Row],[test_id]],experiments_specs!A:J,4,FALSE)</f>
        <v>2</v>
      </c>
      <c r="E291" s="38" t="str">
        <f>VLOOKUP(Tabella1[[#This Row],[test_id]],experiments_specs!A:J,5,FALSE)</f>
        <v>False</v>
      </c>
      <c r="F291" s="38" t="str">
        <f>VLOOKUP(Tabella1[[#This Row],[test_id]],experiments_specs!A:J,6,FALSE)</f>
        <v>True</v>
      </c>
      <c r="G291" s="38" t="str">
        <f>VLOOKUP(Tabella1[[#This Row],[test_id]],experiments_specs!A:J,7,FALSE)</f>
        <v>True</v>
      </c>
      <c r="H291" s="38" t="str">
        <f>VLOOKUP(Tabella1[[#This Row],[test_id]],experiments_specs!A:J,8,FALSE)</f>
        <v>True</v>
      </c>
      <c r="I291" s="45" t="str">
        <f>VLOOKUP(Tabella1[[#This Row],[test_id]],experiments_specs!A:J,9,FALSE)</f>
        <v>wup_similarity</v>
      </c>
      <c r="J291" s="38" t="str">
        <f>VLOOKUP(Tabella1[[#This Row],[test_id]],experiments_specs!A:J,10,FALSE)</f>
        <v>False</v>
      </c>
      <c r="K291" s="40" t="s">
        <v>19</v>
      </c>
      <c r="L291" s="36" t="s">
        <v>354</v>
      </c>
      <c r="M291" s="36">
        <v>0.13693060000000001</v>
      </c>
      <c r="N291" s="36" t="s">
        <v>288</v>
      </c>
      <c r="O291" s="36">
        <v>3.7112999999999998E-3</v>
      </c>
      <c r="P291" s="36">
        <v>0.19047619047619047</v>
      </c>
      <c r="Q291" s="36" t="s">
        <v>197</v>
      </c>
      <c r="R291" s="36">
        <v>0.1613743</v>
      </c>
      <c r="S291" s="36" t="s">
        <v>198</v>
      </c>
      <c r="T291" s="36">
        <v>5.2909000000000003E-3</v>
      </c>
      <c r="U291" s="37">
        <v>9.5238095238095233E-2</v>
      </c>
      <c r="V291"/>
    </row>
    <row r="292" spans="1:22" ht="17" x14ac:dyDescent="0.2">
      <c r="A292" s="36" t="s">
        <v>100</v>
      </c>
      <c r="B292" s="45" t="str">
        <f>VLOOKUP(Tabella1[[#This Row],[test_id]],experiments_specs!A:J,2,FALSE)</f>
        <v>NN</v>
      </c>
      <c r="C292" s="38">
        <f>VLOOKUP(Tabella1[[#This Row],[test_id]],experiments_specs!A:J,3,FALSE)</f>
        <v>1</v>
      </c>
      <c r="D292" s="38">
        <f>VLOOKUP(Tabella1[[#This Row],[test_id]],experiments_specs!A:J,4,FALSE)</f>
        <v>2</v>
      </c>
      <c r="E292" s="38" t="str">
        <f>VLOOKUP(Tabella1[[#This Row],[test_id]],experiments_specs!A:J,5,FALSE)</f>
        <v>False</v>
      </c>
      <c r="F292" s="38" t="str">
        <f>VLOOKUP(Tabella1[[#This Row],[test_id]],experiments_specs!A:J,6,FALSE)</f>
        <v>True</v>
      </c>
      <c r="G292" s="38" t="str">
        <f>VLOOKUP(Tabella1[[#This Row],[test_id]],experiments_specs!A:J,7,FALSE)</f>
        <v>True</v>
      </c>
      <c r="H292" s="38" t="str">
        <f>VLOOKUP(Tabella1[[#This Row],[test_id]],experiments_specs!A:J,8,FALSE)</f>
        <v>True</v>
      </c>
      <c r="I292" s="45" t="str">
        <f>VLOOKUP(Tabella1[[#This Row],[test_id]],experiments_specs!A:J,9,FALSE)</f>
        <v>wup_similarity</v>
      </c>
      <c r="J292" s="38" t="str">
        <f>VLOOKUP(Tabella1[[#This Row],[test_id]],experiments_specs!A:J,10,FALSE)</f>
        <v>False</v>
      </c>
      <c r="K292" s="40" t="s">
        <v>12</v>
      </c>
      <c r="L292" s="36" t="s">
        <v>422</v>
      </c>
      <c r="M292" s="36">
        <v>0.134687</v>
      </c>
      <c r="N292" s="36" t="s">
        <v>423</v>
      </c>
      <c r="O292" s="36">
        <v>8.8275000000000003E-3</v>
      </c>
      <c r="P292" s="36">
        <v>0.2857142857142857</v>
      </c>
      <c r="Q292" s="36" t="s">
        <v>24</v>
      </c>
      <c r="R292" s="36">
        <v>0.11396050000000001</v>
      </c>
      <c r="S292" s="36" t="s">
        <v>424</v>
      </c>
      <c r="T292" s="36">
        <v>1.31637E-2</v>
      </c>
      <c r="U292" s="37">
        <v>0.42857142857142855</v>
      </c>
      <c r="V292"/>
    </row>
    <row r="293" spans="1:22" ht="34" x14ac:dyDescent="0.2">
      <c r="A293" s="36" t="s">
        <v>100</v>
      </c>
      <c r="B293" s="45" t="str">
        <f>VLOOKUP(Tabella1[[#This Row],[test_id]],experiments_specs!A:J,2,FALSE)</f>
        <v>NN</v>
      </c>
      <c r="C293" s="38">
        <f>VLOOKUP(Tabella1[[#This Row],[test_id]],experiments_specs!A:J,3,FALSE)</f>
        <v>1</v>
      </c>
      <c r="D293" s="38">
        <f>VLOOKUP(Tabella1[[#This Row],[test_id]],experiments_specs!A:J,4,FALSE)</f>
        <v>2</v>
      </c>
      <c r="E293" s="38" t="str">
        <f>VLOOKUP(Tabella1[[#This Row],[test_id]],experiments_specs!A:J,5,FALSE)</f>
        <v>False</v>
      </c>
      <c r="F293" s="38" t="str">
        <f>VLOOKUP(Tabella1[[#This Row],[test_id]],experiments_specs!A:J,6,FALSE)</f>
        <v>True</v>
      </c>
      <c r="G293" s="38" t="str">
        <f>VLOOKUP(Tabella1[[#This Row],[test_id]],experiments_specs!A:J,7,FALSE)</f>
        <v>True</v>
      </c>
      <c r="H293" s="38" t="str">
        <f>VLOOKUP(Tabella1[[#This Row],[test_id]],experiments_specs!A:J,8,FALSE)</f>
        <v>True</v>
      </c>
      <c r="I293" s="45" t="str">
        <f>VLOOKUP(Tabella1[[#This Row],[test_id]],experiments_specs!A:J,9,FALSE)</f>
        <v>wup_similarity</v>
      </c>
      <c r="J293" s="38" t="str">
        <f>VLOOKUP(Tabella1[[#This Row],[test_id]],experiments_specs!A:J,10,FALSE)</f>
        <v>False</v>
      </c>
      <c r="K293" s="40" t="s">
        <v>13</v>
      </c>
      <c r="L293" s="36" t="s">
        <v>425</v>
      </c>
      <c r="M293" s="36">
        <v>0.1074172</v>
      </c>
      <c r="N293" s="36" t="s">
        <v>426</v>
      </c>
      <c r="O293" s="36">
        <v>1.3437899999999999E-2</v>
      </c>
      <c r="P293" s="36" t="s">
        <v>25</v>
      </c>
      <c r="Q293" s="36" t="s">
        <v>427</v>
      </c>
      <c r="R293" s="36">
        <v>0.1121936</v>
      </c>
      <c r="S293" s="36" t="s">
        <v>426</v>
      </c>
      <c r="T293" s="36">
        <v>1.42153E-2</v>
      </c>
      <c r="U293" s="37" t="s">
        <v>25</v>
      </c>
      <c r="V293"/>
    </row>
    <row r="294" spans="1:22" ht="34" x14ac:dyDescent="0.2">
      <c r="A294" s="36" t="s">
        <v>100</v>
      </c>
      <c r="B294" s="45" t="str">
        <f>VLOOKUP(Tabella1[[#This Row],[test_id]],experiments_specs!A:J,2,FALSE)</f>
        <v>NN</v>
      </c>
      <c r="C294" s="38">
        <f>VLOOKUP(Tabella1[[#This Row],[test_id]],experiments_specs!A:J,3,FALSE)</f>
        <v>1</v>
      </c>
      <c r="D294" s="38">
        <f>VLOOKUP(Tabella1[[#This Row],[test_id]],experiments_specs!A:J,4,FALSE)</f>
        <v>2</v>
      </c>
      <c r="E294" s="38" t="str">
        <f>VLOOKUP(Tabella1[[#This Row],[test_id]],experiments_specs!A:J,5,FALSE)</f>
        <v>False</v>
      </c>
      <c r="F294" s="38" t="str">
        <f>VLOOKUP(Tabella1[[#This Row],[test_id]],experiments_specs!A:J,6,FALSE)</f>
        <v>True</v>
      </c>
      <c r="G294" s="38" t="str">
        <f>VLOOKUP(Tabella1[[#This Row],[test_id]],experiments_specs!A:J,7,FALSE)</f>
        <v>True</v>
      </c>
      <c r="H294" s="38" t="str">
        <f>VLOOKUP(Tabella1[[#This Row],[test_id]],experiments_specs!A:J,8,FALSE)</f>
        <v>True</v>
      </c>
      <c r="I294" s="45" t="str">
        <f>VLOOKUP(Tabella1[[#This Row],[test_id]],experiments_specs!A:J,9,FALSE)</f>
        <v>wup_similarity</v>
      </c>
      <c r="J294" s="38" t="str">
        <f>VLOOKUP(Tabella1[[#This Row],[test_id]],experiments_specs!A:J,10,FALSE)</f>
        <v>False</v>
      </c>
      <c r="K294" s="40" t="s">
        <v>14</v>
      </c>
      <c r="L294" s="36" t="s">
        <v>428</v>
      </c>
      <c r="M294" s="36">
        <v>0.1256148</v>
      </c>
      <c r="N294" s="36" t="s">
        <v>429</v>
      </c>
      <c r="O294" s="36">
        <v>6.2627999999999998E-3</v>
      </c>
      <c r="P294" s="36">
        <v>0.125</v>
      </c>
      <c r="Q294" s="36" t="s">
        <v>430</v>
      </c>
      <c r="R294" s="36">
        <v>9.2450000000000004E-2</v>
      </c>
      <c r="S294" s="36" t="s">
        <v>429</v>
      </c>
      <c r="T294" s="36">
        <v>1.11641E-2</v>
      </c>
      <c r="U294" s="37">
        <v>0.125</v>
      </c>
      <c r="V294"/>
    </row>
    <row r="295" spans="1:22" ht="17" x14ac:dyDescent="0.2">
      <c r="A295" s="36" t="s">
        <v>100</v>
      </c>
      <c r="B295" s="45" t="str">
        <f>VLOOKUP(Tabella1[[#This Row],[test_id]],experiments_specs!A:J,2,FALSE)</f>
        <v>NN</v>
      </c>
      <c r="C295" s="38">
        <f>VLOOKUP(Tabella1[[#This Row],[test_id]],experiments_specs!A:J,3,FALSE)</f>
        <v>1</v>
      </c>
      <c r="D295" s="38">
        <f>VLOOKUP(Tabella1[[#This Row],[test_id]],experiments_specs!A:J,4,FALSE)</f>
        <v>2</v>
      </c>
      <c r="E295" s="38" t="str">
        <f>VLOOKUP(Tabella1[[#This Row],[test_id]],experiments_specs!A:J,5,FALSE)</f>
        <v>False</v>
      </c>
      <c r="F295" s="38" t="str">
        <f>VLOOKUP(Tabella1[[#This Row],[test_id]],experiments_specs!A:J,6,FALSE)</f>
        <v>True</v>
      </c>
      <c r="G295" s="38" t="str">
        <f>VLOOKUP(Tabella1[[#This Row],[test_id]],experiments_specs!A:J,7,FALSE)</f>
        <v>True</v>
      </c>
      <c r="H295" s="38" t="str">
        <f>VLOOKUP(Tabella1[[#This Row],[test_id]],experiments_specs!A:J,8,FALSE)</f>
        <v>True</v>
      </c>
      <c r="I295" s="45" t="str">
        <f>VLOOKUP(Tabella1[[#This Row],[test_id]],experiments_specs!A:J,9,FALSE)</f>
        <v>wup_similarity</v>
      </c>
      <c r="J295" s="38" t="str">
        <f>VLOOKUP(Tabella1[[#This Row],[test_id]],experiments_specs!A:J,10,FALSE)</f>
        <v>False</v>
      </c>
      <c r="K295" s="40" t="s">
        <v>15</v>
      </c>
      <c r="L295" s="36" t="s">
        <v>26</v>
      </c>
      <c r="M295" s="36">
        <v>0.19889799999999999</v>
      </c>
      <c r="N295" s="36" t="s">
        <v>27</v>
      </c>
      <c r="O295" s="36">
        <v>5.3302000000000002E-3</v>
      </c>
      <c r="P295" s="36">
        <v>0.16666666666666666</v>
      </c>
      <c r="Q295" s="36" t="s">
        <v>365</v>
      </c>
      <c r="R295" s="36">
        <v>7.1611400000000006E-2</v>
      </c>
      <c r="S295" s="36" t="s">
        <v>27</v>
      </c>
      <c r="T295" s="36">
        <v>1.3173799999999999E-2</v>
      </c>
      <c r="U295" s="37">
        <v>0.16666666666666666</v>
      </c>
      <c r="V295"/>
    </row>
    <row r="296" spans="1:22" ht="17" x14ac:dyDescent="0.2">
      <c r="A296" s="36" t="s">
        <v>100</v>
      </c>
      <c r="B296" s="45" t="str">
        <f>VLOOKUP(Tabella1[[#This Row],[test_id]],experiments_specs!A:J,2,FALSE)</f>
        <v>NN</v>
      </c>
      <c r="C296" s="38">
        <f>VLOOKUP(Tabella1[[#This Row],[test_id]],experiments_specs!A:J,3,FALSE)</f>
        <v>1</v>
      </c>
      <c r="D296" s="38">
        <f>VLOOKUP(Tabella1[[#This Row],[test_id]],experiments_specs!A:J,4,FALSE)</f>
        <v>2</v>
      </c>
      <c r="E296" s="38" t="str">
        <f>VLOOKUP(Tabella1[[#This Row],[test_id]],experiments_specs!A:J,5,FALSE)</f>
        <v>False</v>
      </c>
      <c r="F296" s="38" t="str">
        <f>VLOOKUP(Tabella1[[#This Row],[test_id]],experiments_specs!A:J,6,FALSE)</f>
        <v>True</v>
      </c>
      <c r="G296" s="38" t="str">
        <f>VLOOKUP(Tabella1[[#This Row],[test_id]],experiments_specs!A:J,7,FALSE)</f>
        <v>True</v>
      </c>
      <c r="H296" s="38" t="str">
        <f>VLOOKUP(Tabella1[[#This Row],[test_id]],experiments_specs!A:J,8,FALSE)</f>
        <v>True</v>
      </c>
      <c r="I296" s="45" t="str">
        <f>VLOOKUP(Tabella1[[#This Row],[test_id]],experiments_specs!A:J,9,FALSE)</f>
        <v>wup_similarity</v>
      </c>
      <c r="J296" s="38" t="str">
        <f>VLOOKUP(Tabella1[[#This Row],[test_id]],experiments_specs!A:J,10,FALSE)</f>
        <v>False</v>
      </c>
      <c r="K296" s="40" t="s">
        <v>16</v>
      </c>
      <c r="L296" s="36" t="s">
        <v>208</v>
      </c>
      <c r="M296" s="36">
        <v>0.1977969</v>
      </c>
      <c r="N296" s="36" t="s">
        <v>431</v>
      </c>
      <c r="O296" s="36">
        <v>3.6021999999999998E-3</v>
      </c>
      <c r="P296" s="36">
        <v>0.55555555555555558</v>
      </c>
      <c r="Q296" s="36" t="s">
        <v>432</v>
      </c>
      <c r="R296" s="36">
        <v>0.19749240000000001</v>
      </c>
      <c r="S296" s="36" t="s">
        <v>433</v>
      </c>
      <c r="T296" s="36">
        <v>5.3680000000000004E-3</v>
      </c>
      <c r="U296" s="37">
        <v>0.13333333333333333</v>
      </c>
      <c r="V296"/>
    </row>
    <row r="297" spans="1:22" ht="17" x14ac:dyDescent="0.2">
      <c r="A297" s="36" t="s">
        <v>100</v>
      </c>
      <c r="B297" s="45" t="str">
        <f>VLOOKUP(Tabella1[[#This Row],[test_id]],experiments_specs!A:J,2,FALSE)</f>
        <v>NN</v>
      </c>
      <c r="C297" s="38">
        <f>VLOOKUP(Tabella1[[#This Row],[test_id]],experiments_specs!A:J,3,FALSE)</f>
        <v>1</v>
      </c>
      <c r="D297" s="38">
        <f>VLOOKUP(Tabella1[[#This Row],[test_id]],experiments_specs!A:J,4,FALSE)</f>
        <v>2</v>
      </c>
      <c r="E297" s="38" t="str">
        <f>VLOOKUP(Tabella1[[#This Row],[test_id]],experiments_specs!A:J,5,FALSE)</f>
        <v>False</v>
      </c>
      <c r="F297" s="38" t="str">
        <f>VLOOKUP(Tabella1[[#This Row],[test_id]],experiments_specs!A:J,6,FALSE)</f>
        <v>True</v>
      </c>
      <c r="G297" s="38" t="str">
        <f>VLOOKUP(Tabella1[[#This Row],[test_id]],experiments_specs!A:J,7,FALSE)</f>
        <v>True</v>
      </c>
      <c r="H297" s="38" t="str">
        <f>VLOOKUP(Tabella1[[#This Row],[test_id]],experiments_specs!A:J,8,FALSE)</f>
        <v>True</v>
      </c>
      <c r="I297" s="45" t="str">
        <f>VLOOKUP(Tabella1[[#This Row],[test_id]],experiments_specs!A:J,9,FALSE)</f>
        <v>wup_similarity</v>
      </c>
      <c r="J297" s="38" t="str">
        <f>VLOOKUP(Tabella1[[#This Row],[test_id]],experiments_specs!A:J,10,FALSE)</f>
        <v>False</v>
      </c>
      <c r="K297" s="40" t="s">
        <v>17</v>
      </c>
      <c r="L297" s="36" t="s">
        <v>218</v>
      </c>
      <c r="M297" s="36">
        <v>0.21759700000000001</v>
      </c>
      <c r="N297" s="36" t="s">
        <v>219</v>
      </c>
      <c r="O297" s="36">
        <v>2.9616E-3</v>
      </c>
      <c r="P297" s="36">
        <v>0.13333333333333333</v>
      </c>
      <c r="Q297" s="36" t="s">
        <v>434</v>
      </c>
      <c r="R297" s="36">
        <v>6.1545700000000002E-2</v>
      </c>
      <c r="S297" s="36" t="s">
        <v>435</v>
      </c>
      <c r="T297" s="36">
        <v>7.0571999999999996E-3</v>
      </c>
      <c r="U297" s="37">
        <v>0.44444444444444442</v>
      </c>
      <c r="V297"/>
    </row>
    <row r="298" spans="1:22" ht="34" x14ac:dyDescent="0.2">
      <c r="A298" s="36" t="s">
        <v>100</v>
      </c>
      <c r="B298" s="45" t="str">
        <f>VLOOKUP(Tabella1[[#This Row],[test_id]],experiments_specs!A:J,2,FALSE)</f>
        <v>NN</v>
      </c>
      <c r="C298" s="38">
        <f>VLOOKUP(Tabella1[[#This Row],[test_id]],experiments_specs!A:J,3,FALSE)</f>
        <v>1</v>
      </c>
      <c r="D298" s="38">
        <f>VLOOKUP(Tabella1[[#This Row],[test_id]],experiments_specs!A:J,4,FALSE)</f>
        <v>2</v>
      </c>
      <c r="E298" s="38" t="str">
        <f>VLOOKUP(Tabella1[[#This Row],[test_id]],experiments_specs!A:J,5,FALSE)</f>
        <v>False</v>
      </c>
      <c r="F298" s="38" t="str">
        <f>VLOOKUP(Tabella1[[#This Row],[test_id]],experiments_specs!A:J,6,FALSE)</f>
        <v>True</v>
      </c>
      <c r="G298" s="38" t="str">
        <f>VLOOKUP(Tabella1[[#This Row],[test_id]],experiments_specs!A:J,7,FALSE)</f>
        <v>True</v>
      </c>
      <c r="H298" s="38" t="str">
        <f>VLOOKUP(Tabella1[[#This Row],[test_id]],experiments_specs!A:J,8,FALSE)</f>
        <v>True</v>
      </c>
      <c r="I298" s="45" t="str">
        <f>VLOOKUP(Tabella1[[#This Row],[test_id]],experiments_specs!A:J,9,FALSE)</f>
        <v>wup_similarity</v>
      </c>
      <c r="J298" s="38" t="str">
        <f>VLOOKUP(Tabella1[[#This Row],[test_id]],experiments_specs!A:J,10,FALSE)</f>
        <v>False</v>
      </c>
      <c r="K298" s="40" t="s">
        <v>18</v>
      </c>
      <c r="L298" s="36" t="s">
        <v>222</v>
      </c>
      <c r="M298" s="36">
        <v>0.1231288</v>
      </c>
      <c r="N298" s="36" t="s">
        <v>223</v>
      </c>
      <c r="O298" s="36">
        <v>2.9762999999999999E-3</v>
      </c>
      <c r="P298" s="36">
        <v>0.21052631578947367</v>
      </c>
      <c r="Q298" s="36" t="s">
        <v>46</v>
      </c>
      <c r="R298" s="36">
        <v>5.4272500000000001E-2</v>
      </c>
      <c r="S298" s="36" t="s">
        <v>436</v>
      </c>
      <c r="T298" s="36">
        <v>3.6729000000000002E-3</v>
      </c>
      <c r="U298" s="37">
        <v>0.22222222222222221</v>
      </c>
      <c r="V298"/>
    </row>
    <row r="299" spans="1:22" ht="17" x14ac:dyDescent="0.2">
      <c r="A299" s="36" t="s">
        <v>101</v>
      </c>
      <c r="B299" s="45" t="str">
        <f>VLOOKUP(Tabella1[[#This Row],[test_id]],experiments_specs!A:J,2,FALSE)</f>
        <v>NN,JJ</v>
      </c>
      <c r="C299" s="38">
        <f>VLOOKUP(Tabella1[[#This Row],[test_id]],experiments_specs!A:J,3,FALSE)</f>
        <v>1</v>
      </c>
      <c r="D299" s="38">
        <f>VLOOKUP(Tabella1[[#This Row],[test_id]],experiments_specs!A:J,4,FALSE)</f>
        <v>2</v>
      </c>
      <c r="E299" s="38" t="str">
        <f>VLOOKUP(Tabella1[[#This Row],[test_id]],experiments_specs!A:J,5,FALSE)</f>
        <v>False</v>
      </c>
      <c r="F299" s="38" t="str">
        <f>VLOOKUP(Tabella1[[#This Row],[test_id]],experiments_specs!A:J,6,FALSE)</f>
        <v>True</v>
      </c>
      <c r="G299" s="38" t="str">
        <f>VLOOKUP(Tabella1[[#This Row],[test_id]],experiments_specs!A:J,7,FALSE)</f>
        <v>True</v>
      </c>
      <c r="H299" s="38" t="str">
        <f>VLOOKUP(Tabella1[[#This Row],[test_id]],experiments_specs!A:J,8,FALSE)</f>
        <v>True</v>
      </c>
      <c r="I299" s="45" t="str">
        <f>VLOOKUP(Tabella1[[#This Row],[test_id]],experiments_specs!A:J,9,FALSE)</f>
        <v>wup_similarity</v>
      </c>
      <c r="J299" s="38" t="str">
        <f>VLOOKUP(Tabella1[[#This Row],[test_id]],experiments_specs!A:J,10,FALSE)</f>
        <v>False</v>
      </c>
      <c r="K299" s="40" t="s">
        <v>19</v>
      </c>
      <c r="L299" s="36" t="s">
        <v>225</v>
      </c>
      <c r="M299" s="36">
        <v>0.13470389999999999</v>
      </c>
      <c r="N299" s="36" t="s">
        <v>226</v>
      </c>
      <c r="O299" s="36">
        <v>2.6365999999999998E-3</v>
      </c>
      <c r="P299" s="36">
        <v>0.17391304347826086</v>
      </c>
      <c r="Q299" s="36" t="s">
        <v>227</v>
      </c>
      <c r="R299" s="36">
        <v>8.5194199999999998E-2</v>
      </c>
      <c r="S299" s="36" t="s">
        <v>437</v>
      </c>
      <c r="T299" s="36">
        <v>8.0210000000000004E-3</v>
      </c>
      <c r="U299" s="37">
        <v>0.11764705882352941</v>
      </c>
      <c r="V299"/>
    </row>
    <row r="300" spans="1:22" ht="17" x14ac:dyDescent="0.2">
      <c r="A300" s="36" t="s">
        <v>101</v>
      </c>
      <c r="B300" s="45" t="str">
        <f>VLOOKUP(Tabella1[[#This Row],[test_id]],experiments_specs!A:J,2,FALSE)</f>
        <v>NN,JJ</v>
      </c>
      <c r="C300" s="38">
        <f>VLOOKUP(Tabella1[[#This Row],[test_id]],experiments_specs!A:J,3,FALSE)</f>
        <v>1</v>
      </c>
      <c r="D300" s="38">
        <f>VLOOKUP(Tabella1[[#This Row],[test_id]],experiments_specs!A:J,4,FALSE)</f>
        <v>2</v>
      </c>
      <c r="E300" s="38" t="str">
        <f>VLOOKUP(Tabella1[[#This Row],[test_id]],experiments_specs!A:J,5,FALSE)</f>
        <v>False</v>
      </c>
      <c r="F300" s="38" t="str">
        <f>VLOOKUP(Tabella1[[#This Row],[test_id]],experiments_specs!A:J,6,FALSE)</f>
        <v>True</v>
      </c>
      <c r="G300" s="38" t="str">
        <f>VLOOKUP(Tabella1[[#This Row],[test_id]],experiments_specs!A:J,7,FALSE)</f>
        <v>True</v>
      </c>
      <c r="H300" s="38" t="str">
        <f>VLOOKUP(Tabella1[[#This Row],[test_id]],experiments_specs!A:J,8,FALSE)</f>
        <v>True</v>
      </c>
      <c r="I300" s="45" t="str">
        <f>VLOOKUP(Tabella1[[#This Row],[test_id]],experiments_specs!A:J,9,FALSE)</f>
        <v>wup_similarity</v>
      </c>
      <c r="J300" s="38" t="str">
        <f>VLOOKUP(Tabella1[[#This Row],[test_id]],experiments_specs!A:J,10,FALSE)</f>
        <v>False</v>
      </c>
      <c r="K300" s="40" t="s">
        <v>12</v>
      </c>
      <c r="L300" s="36" t="s">
        <v>422</v>
      </c>
      <c r="M300" s="36">
        <v>0.12512219999999999</v>
      </c>
      <c r="N300" s="36" t="s">
        <v>423</v>
      </c>
      <c r="O300" s="36">
        <v>4.0804999999999999E-3</v>
      </c>
      <c r="P300" s="36">
        <v>0.2857142857142857</v>
      </c>
      <c r="Q300" s="36" t="s">
        <v>24</v>
      </c>
      <c r="R300" s="36">
        <v>0.1058677</v>
      </c>
      <c r="S300" s="36" t="s">
        <v>424</v>
      </c>
      <c r="T300" s="36">
        <v>9.9606E-3</v>
      </c>
      <c r="U300" s="37">
        <v>0.42857142857142855</v>
      </c>
      <c r="V300"/>
    </row>
    <row r="301" spans="1:22" ht="34" x14ac:dyDescent="0.2">
      <c r="A301" s="36" t="s">
        <v>101</v>
      </c>
      <c r="B301" s="45" t="str">
        <f>VLOOKUP(Tabella1[[#This Row],[test_id]],experiments_specs!A:J,2,FALSE)</f>
        <v>NN,JJ</v>
      </c>
      <c r="C301" s="38">
        <f>VLOOKUP(Tabella1[[#This Row],[test_id]],experiments_specs!A:J,3,FALSE)</f>
        <v>1</v>
      </c>
      <c r="D301" s="38">
        <f>VLOOKUP(Tabella1[[#This Row],[test_id]],experiments_specs!A:J,4,FALSE)</f>
        <v>2</v>
      </c>
      <c r="E301" s="38" t="str">
        <f>VLOOKUP(Tabella1[[#This Row],[test_id]],experiments_specs!A:J,5,FALSE)</f>
        <v>False</v>
      </c>
      <c r="F301" s="38" t="str">
        <f>VLOOKUP(Tabella1[[#This Row],[test_id]],experiments_specs!A:J,6,FALSE)</f>
        <v>True</v>
      </c>
      <c r="G301" s="38" t="str">
        <f>VLOOKUP(Tabella1[[#This Row],[test_id]],experiments_specs!A:J,7,FALSE)</f>
        <v>True</v>
      </c>
      <c r="H301" s="38" t="str">
        <f>VLOOKUP(Tabella1[[#This Row],[test_id]],experiments_specs!A:J,8,FALSE)</f>
        <v>True</v>
      </c>
      <c r="I301" s="45" t="str">
        <f>VLOOKUP(Tabella1[[#This Row],[test_id]],experiments_specs!A:J,9,FALSE)</f>
        <v>wup_similarity</v>
      </c>
      <c r="J301" s="38" t="str">
        <f>VLOOKUP(Tabella1[[#This Row],[test_id]],experiments_specs!A:J,10,FALSE)</f>
        <v>False</v>
      </c>
      <c r="K301" s="40" t="s">
        <v>13</v>
      </c>
      <c r="L301" s="36" t="s">
        <v>425</v>
      </c>
      <c r="M301" s="36">
        <v>0.1058018</v>
      </c>
      <c r="N301" s="36" t="s">
        <v>426</v>
      </c>
      <c r="O301" s="36">
        <v>1.0024699999999999E-2</v>
      </c>
      <c r="P301" s="36" t="s">
        <v>25</v>
      </c>
      <c r="Q301" s="36" t="s">
        <v>427</v>
      </c>
      <c r="R301" s="36">
        <v>0.1105064</v>
      </c>
      <c r="S301" s="36" t="s">
        <v>426</v>
      </c>
      <c r="T301" s="36">
        <v>1.40015E-2</v>
      </c>
      <c r="U301" s="37" t="s">
        <v>25</v>
      </c>
      <c r="V301"/>
    </row>
    <row r="302" spans="1:22" ht="34" x14ac:dyDescent="0.2">
      <c r="A302" s="36" t="s">
        <v>101</v>
      </c>
      <c r="B302" s="45" t="str">
        <f>VLOOKUP(Tabella1[[#This Row],[test_id]],experiments_specs!A:J,2,FALSE)</f>
        <v>NN,JJ</v>
      </c>
      <c r="C302" s="38">
        <f>VLOOKUP(Tabella1[[#This Row],[test_id]],experiments_specs!A:J,3,FALSE)</f>
        <v>1</v>
      </c>
      <c r="D302" s="38">
        <f>VLOOKUP(Tabella1[[#This Row],[test_id]],experiments_specs!A:J,4,FALSE)</f>
        <v>2</v>
      </c>
      <c r="E302" s="38" t="str">
        <f>VLOOKUP(Tabella1[[#This Row],[test_id]],experiments_specs!A:J,5,FALSE)</f>
        <v>False</v>
      </c>
      <c r="F302" s="38" t="str">
        <f>VLOOKUP(Tabella1[[#This Row],[test_id]],experiments_specs!A:J,6,FALSE)</f>
        <v>True</v>
      </c>
      <c r="G302" s="38" t="str">
        <f>VLOOKUP(Tabella1[[#This Row],[test_id]],experiments_specs!A:J,7,FALSE)</f>
        <v>True</v>
      </c>
      <c r="H302" s="38" t="str">
        <f>VLOOKUP(Tabella1[[#This Row],[test_id]],experiments_specs!A:J,8,FALSE)</f>
        <v>True</v>
      </c>
      <c r="I302" s="45" t="str">
        <f>VLOOKUP(Tabella1[[#This Row],[test_id]],experiments_specs!A:J,9,FALSE)</f>
        <v>wup_similarity</v>
      </c>
      <c r="J302" s="38" t="str">
        <f>VLOOKUP(Tabella1[[#This Row],[test_id]],experiments_specs!A:J,10,FALSE)</f>
        <v>False</v>
      </c>
      <c r="K302" s="40" t="s">
        <v>14</v>
      </c>
      <c r="L302" s="36" t="s">
        <v>428</v>
      </c>
      <c r="M302" s="36">
        <v>0.1248172</v>
      </c>
      <c r="N302" s="36" t="s">
        <v>429</v>
      </c>
      <c r="O302" s="36">
        <v>4.8367999999999996E-3</v>
      </c>
      <c r="P302" s="36">
        <v>0.125</v>
      </c>
      <c r="Q302" s="36" t="s">
        <v>430</v>
      </c>
      <c r="R302" s="36">
        <v>9.1863E-2</v>
      </c>
      <c r="S302" s="36" t="s">
        <v>429</v>
      </c>
      <c r="T302" s="36">
        <v>1.01382E-2</v>
      </c>
      <c r="U302" s="37">
        <v>0.125</v>
      </c>
      <c r="V302"/>
    </row>
    <row r="303" spans="1:22" ht="17" x14ac:dyDescent="0.2">
      <c r="A303" s="36" t="s">
        <v>101</v>
      </c>
      <c r="B303" s="45" t="str">
        <f>VLOOKUP(Tabella1[[#This Row],[test_id]],experiments_specs!A:J,2,FALSE)</f>
        <v>NN,JJ</v>
      </c>
      <c r="C303" s="38">
        <f>VLOOKUP(Tabella1[[#This Row],[test_id]],experiments_specs!A:J,3,FALSE)</f>
        <v>1</v>
      </c>
      <c r="D303" s="38">
        <f>VLOOKUP(Tabella1[[#This Row],[test_id]],experiments_specs!A:J,4,FALSE)</f>
        <v>2</v>
      </c>
      <c r="E303" s="38" t="str">
        <f>VLOOKUP(Tabella1[[#This Row],[test_id]],experiments_specs!A:J,5,FALSE)</f>
        <v>False</v>
      </c>
      <c r="F303" s="38" t="str">
        <f>VLOOKUP(Tabella1[[#This Row],[test_id]],experiments_specs!A:J,6,FALSE)</f>
        <v>True</v>
      </c>
      <c r="G303" s="38" t="str">
        <f>VLOOKUP(Tabella1[[#This Row],[test_id]],experiments_specs!A:J,7,FALSE)</f>
        <v>True</v>
      </c>
      <c r="H303" s="38" t="str">
        <f>VLOOKUP(Tabella1[[#This Row],[test_id]],experiments_specs!A:J,8,FALSE)</f>
        <v>True</v>
      </c>
      <c r="I303" s="45" t="str">
        <f>VLOOKUP(Tabella1[[#This Row],[test_id]],experiments_specs!A:J,9,FALSE)</f>
        <v>wup_similarity</v>
      </c>
      <c r="J303" s="38" t="str">
        <f>VLOOKUP(Tabella1[[#This Row],[test_id]],experiments_specs!A:J,10,FALSE)</f>
        <v>False</v>
      </c>
      <c r="K303" s="40" t="s">
        <v>15</v>
      </c>
      <c r="L303" s="36" t="s">
        <v>26</v>
      </c>
      <c r="M303" s="36">
        <v>0.19889799999999999</v>
      </c>
      <c r="N303" s="36" t="s">
        <v>27</v>
      </c>
      <c r="O303" s="36">
        <v>5.2472999999999999E-3</v>
      </c>
      <c r="P303" s="36">
        <v>0.16666666666666666</v>
      </c>
      <c r="Q303" s="36" t="s">
        <v>365</v>
      </c>
      <c r="R303" s="36">
        <v>7.1611400000000006E-2</v>
      </c>
      <c r="S303" s="36" t="s">
        <v>27</v>
      </c>
      <c r="T303" s="36">
        <v>1.36039E-2</v>
      </c>
      <c r="U303" s="37">
        <v>0.16666666666666666</v>
      </c>
      <c r="V303"/>
    </row>
    <row r="304" spans="1:22" ht="17" x14ac:dyDescent="0.2">
      <c r="A304" s="36" t="s">
        <v>101</v>
      </c>
      <c r="B304" s="45" t="str">
        <f>VLOOKUP(Tabella1[[#This Row],[test_id]],experiments_specs!A:J,2,FALSE)</f>
        <v>NN,JJ</v>
      </c>
      <c r="C304" s="38">
        <f>VLOOKUP(Tabella1[[#This Row],[test_id]],experiments_specs!A:J,3,FALSE)</f>
        <v>1</v>
      </c>
      <c r="D304" s="38">
        <f>VLOOKUP(Tabella1[[#This Row],[test_id]],experiments_specs!A:J,4,FALSE)</f>
        <v>2</v>
      </c>
      <c r="E304" s="38" t="str">
        <f>VLOOKUP(Tabella1[[#This Row],[test_id]],experiments_specs!A:J,5,FALSE)</f>
        <v>False</v>
      </c>
      <c r="F304" s="38" t="str">
        <f>VLOOKUP(Tabella1[[#This Row],[test_id]],experiments_specs!A:J,6,FALSE)</f>
        <v>True</v>
      </c>
      <c r="G304" s="38" t="str">
        <f>VLOOKUP(Tabella1[[#This Row],[test_id]],experiments_specs!A:J,7,FALSE)</f>
        <v>True</v>
      </c>
      <c r="H304" s="38" t="str">
        <f>VLOOKUP(Tabella1[[#This Row],[test_id]],experiments_specs!A:J,8,FALSE)</f>
        <v>True</v>
      </c>
      <c r="I304" s="45" t="str">
        <f>VLOOKUP(Tabella1[[#This Row],[test_id]],experiments_specs!A:J,9,FALSE)</f>
        <v>wup_similarity</v>
      </c>
      <c r="J304" s="38" t="str">
        <f>VLOOKUP(Tabella1[[#This Row],[test_id]],experiments_specs!A:J,10,FALSE)</f>
        <v>False</v>
      </c>
      <c r="K304" s="40" t="s">
        <v>16</v>
      </c>
      <c r="L304" s="36" t="s">
        <v>208</v>
      </c>
      <c r="M304" s="36">
        <v>0.1977969</v>
      </c>
      <c r="N304" s="36" t="s">
        <v>431</v>
      </c>
      <c r="O304" s="36">
        <v>2.8584000000000001E-3</v>
      </c>
      <c r="P304" s="36">
        <v>0.55555555555555558</v>
      </c>
      <c r="Q304" s="36" t="s">
        <v>432</v>
      </c>
      <c r="R304" s="36">
        <v>0.19749240000000001</v>
      </c>
      <c r="S304" s="36" t="s">
        <v>433</v>
      </c>
      <c r="T304" s="36">
        <v>5.3099000000000002E-3</v>
      </c>
      <c r="U304" s="37">
        <v>0.13333333333333333</v>
      </c>
      <c r="V304"/>
    </row>
    <row r="305" spans="1:22" ht="17" x14ac:dyDescent="0.2">
      <c r="A305" s="36" t="s">
        <v>101</v>
      </c>
      <c r="B305" s="45" t="str">
        <f>VLOOKUP(Tabella1[[#This Row],[test_id]],experiments_specs!A:J,2,FALSE)</f>
        <v>NN,JJ</v>
      </c>
      <c r="C305" s="38">
        <f>VLOOKUP(Tabella1[[#This Row],[test_id]],experiments_specs!A:J,3,FALSE)</f>
        <v>1</v>
      </c>
      <c r="D305" s="38">
        <f>VLOOKUP(Tabella1[[#This Row],[test_id]],experiments_specs!A:J,4,FALSE)</f>
        <v>2</v>
      </c>
      <c r="E305" s="38" t="str">
        <f>VLOOKUP(Tabella1[[#This Row],[test_id]],experiments_specs!A:J,5,FALSE)</f>
        <v>False</v>
      </c>
      <c r="F305" s="38" t="str">
        <f>VLOOKUP(Tabella1[[#This Row],[test_id]],experiments_specs!A:J,6,FALSE)</f>
        <v>True</v>
      </c>
      <c r="G305" s="38" t="str">
        <f>VLOOKUP(Tabella1[[#This Row],[test_id]],experiments_specs!A:J,7,FALSE)</f>
        <v>True</v>
      </c>
      <c r="H305" s="38" t="str">
        <f>VLOOKUP(Tabella1[[#This Row],[test_id]],experiments_specs!A:J,8,FALSE)</f>
        <v>True</v>
      </c>
      <c r="I305" s="45" t="str">
        <f>VLOOKUP(Tabella1[[#This Row],[test_id]],experiments_specs!A:J,9,FALSE)</f>
        <v>wup_similarity</v>
      </c>
      <c r="J305" s="38" t="str">
        <f>VLOOKUP(Tabella1[[#This Row],[test_id]],experiments_specs!A:J,10,FALSE)</f>
        <v>False</v>
      </c>
      <c r="K305" s="40" t="s">
        <v>17</v>
      </c>
      <c r="L305" s="36" t="s">
        <v>218</v>
      </c>
      <c r="M305" s="36">
        <v>0.21437320000000001</v>
      </c>
      <c r="N305" s="36" t="s">
        <v>219</v>
      </c>
      <c r="O305" s="36">
        <v>2.6843000000000001E-3</v>
      </c>
      <c r="P305" s="36">
        <v>0.13333333333333333</v>
      </c>
      <c r="Q305" s="36" t="s">
        <v>434</v>
      </c>
      <c r="R305" s="36">
        <v>6.0633899999999998E-2</v>
      </c>
      <c r="S305" s="36" t="s">
        <v>435</v>
      </c>
      <c r="T305" s="36">
        <v>6.8729999999999998E-3</v>
      </c>
      <c r="U305" s="37">
        <v>0.44444444444444442</v>
      </c>
      <c r="V305"/>
    </row>
    <row r="306" spans="1:22" ht="17" x14ac:dyDescent="0.2">
      <c r="A306" s="36" t="s">
        <v>101</v>
      </c>
      <c r="B306" s="45" t="str">
        <f>VLOOKUP(Tabella1[[#This Row],[test_id]],experiments_specs!A:J,2,FALSE)</f>
        <v>NN,JJ</v>
      </c>
      <c r="C306" s="38">
        <f>VLOOKUP(Tabella1[[#This Row],[test_id]],experiments_specs!A:J,3,FALSE)</f>
        <v>1</v>
      </c>
      <c r="D306" s="38">
        <f>VLOOKUP(Tabella1[[#This Row],[test_id]],experiments_specs!A:J,4,FALSE)</f>
        <v>2</v>
      </c>
      <c r="E306" s="38" t="str">
        <f>VLOOKUP(Tabella1[[#This Row],[test_id]],experiments_specs!A:J,5,FALSE)</f>
        <v>False</v>
      </c>
      <c r="F306" s="38" t="str">
        <f>VLOOKUP(Tabella1[[#This Row],[test_id]],experiments_specs!A:J,6,FALSE)</f>
        <v>True</v>
      </c>
      <c r="G306" s="38" t="str">
        <f>VLOOKUP(Tabella1[[#This Row],[test_id]],experiments_specs!A:J,7,FALSE)</f>
        <v>True</v>
      </c>
      <c r="H306" s="38" t="str">
        <f>VLOOKUP(Tabella1[[#This Row],[test_id]],experiments_specs!A:J,8,FALSE)</f>
        <v>True</v>
      </c>
      <c r="I306" s="45" t="str">
        <f>VLOOKUP(Tabella1[[#This Row],[test_id]],experiments_specs!A:J,9,FALSE)</f>
        <v>wup_similarity</v>
      </c>
      <c r="J306" s="38" t="str">
        <f>VLOOKUP(Tabella1[[#This Row],[test_id]],experiments_specs!A:J,10,FALSE)</f>
        <v>False</v>
      </c>
      <c r="K306" s="40" t="s">
        <v>18</v>
      </c>
      <c r="L306" s="36" t="s">
        <v>222</v>
      </c>
      <c r="M306" s="36">
        <v>0.12249889999999999</v>
      </c>
      <c r="N306" s="36" t="s">
        <v>223</v>
      </c>
      <c r="O306" s="36">
        <v>2.1499000000000002E-3</v>
      </c>
      <c r="P306" s="36">
        <v>0.21052631578947367</v>
      </c>
      <c r="Q306" s="36" t="s">
        <v>438</v>
      </c>
      <c r="R306" s="36">
        <v>6.09144E-2</v>
      </c>
      <c r="S306" s="36" t="s">
        <v>439</v>
      </c>
      <c r="T306" s="36">
        <v>3.5171999999999998E-3</v>
      </c>
      <c r="U306" s="37">
        <v>0.125</v>
      </c>
      <c r="V306"/>
    </row>
    <row r="307" spans="1:22" ht="17" x14ac:dyDescent="0.2">
      <c r="A307" s="36" t="s">
        <v>102</v>
      </c>
      <c r="B307" s="45" t="str">
        <f>VLOOKUP(Tabella1[[#This Row],[test_id]],experiments_specs!A:J,2,FALSE)</f>
        <v>NN,VB</v>
      </c>
      <c r="C307" s="38">
        <f>VLOOKUP(Tabella1[[#This Row],[test_id]],experiments_specs!A:J,3,FALSE)</f>
        <v>1</v>
      </c>
      <c r="D307" s="38">
        <f>VLOOKUP(Tabella1[[#This Row],[test_id]],experiments_specs!A:J,4,FALSE)</f>
        <v>2</v>
      </c>
      <c r="E307" s="38" t="str">
        <f>VLOOKUP(Tabella1[[#This Row],[test_id]],experiments_specs!A:J,5,FALSE)</f>
        <v>False</v>
      </c>
      <c r="F307" s="38" t="str">
        <f>VLOOKUP(Tabella1[[#This Row],[test_id]],experiments_specs!A:J,6,FALSE)</f>
        <v>True</v>
      </c>
      <c r="G307" s="38" t="str">
        <f>VLOOKUP(Tabella1[[#This Row],[test_id]],experiments_specs!A:J,7,FALSE)</f>
        <v>True</v>
      </c>
      <c r="H307" s="38" t="str">
        <f>VLOOKUP(Tabella1[[#This Row],[test_id]],experiments_specs!A:J,8,FALSE)</f>
        <v>True</v>
      </c>
      <c r="I307" s="45" t="str">
        <f>VLOOKUP(Tabella1[[#This Row],[test_id]],experiments_specs!A:J,9,FALSE)</f>
        <v>wup_similarity</v>
      </c>
      <c r="J307" s="38" t="str">
        <f>VLOOKUP(Tabella1[[#This Row],[test_id]],experiments_specs!A:J,10,FALSE)</f>
        <v>False</v>
      </c>
      <c r="K307" s="40" t="s">
        <v>19</v>
      </c>
      <c r="L307" s="36" t="s">
        <v>354</v>
      </c>
      <c r="M307" s="36">
        <v>0.13693060000000001</v>
      </c>
      <c r="N307" s="36" t="s">
        <v>288</v>
      </c>
      <c r="O307" s="36">
        <v>3.4743999999999999E-3</v>
      </c>
      <c r="P307" s="36">
        <v>0.19047619047619047</v>
      </c>
      <c r="Q307" s="36" t="s">
        <v>197</v>
      </c>
      <c r="R307" s="36">
        <v>0.1613743</v>
      </c>
      <c r="S307" s="36" t="s">
        <v>198</v>
      </c>
      <c r="T307" s="36">
        <v>6.5699E-3</v>
      </c>
      <c r="U307" s="37">
        <v>9.5238095238095233E-2</v>
      </c>
      <c r="V307"/>
    </row>
    <row r="308" spans="1:22" ht="17" x14ac:dyDescent="0.2">
      <c r="A308" s="36" t="s">
        <v>102</v>
      </c>
      <c r="B308" s="45" t="str">
        <f>VLOOKUP(Tabella1[[#This Row],[test_id]],experiments_specs!A:J,2,FALSE)</f>
        <v>NN,VB</v>
      </c>
      <c r="C308" s="38">
        <f>VLOOKUP(Tabella1[[#This Row],[test_id]],experiments_specs!A:J,3,FALSE)</f>
        <v>1</v>
      </c>
      <c r="D308" s="38">
        <f>VLOOKUP(Tabella1[[#This Row],[test_id]],experiments_specs!A:J,4,FALSE)</f>
        <v>2</v>
      </c>
      <c r="E308" s="38" t="str">
        <f>VLOOKUP(Tabella1[[#This Row],[test_id]],experiments_specs!A:J,5,FALSE)</f>
        <v>False</v>
      </c>
      <c r="F308" s="38" t="str">
        <f>VLOOKUP(Tabella1[[#This Row],[test_id]],experiments_specs!A:J,6,FALSE)</f>
        <v>True</v>
      </c>
      <c r="G308" s="38" t="str">
        <f>VLOOKUP(Tabella1[[#This Row],[test_id]],experiments_specs!A:J,7,FALSE)</f>
        <v>True</v>
      </c>
      <c r="H308" s="38" t="str">
        <f>VLOOKUP(Tabella1[[#This Row],[test_id]],experiments_specs!A:J,8,FALSE)</f>
        <v>True</v>
      </c>
      <c r="I308" s="45" t="str">
        <f>VLOOKUP(Tabella1[[#This Row],[test_id]],experiments_specs!A:J,9,FALSE)</f>
        <v>wup_similarity</v>
      </c>
      <c r="J308" s="38" t="str">
        <f>VLOOKUP(Tabella1[[#This Row],[test_id]],experiments_specs!A:J,10,FALSE)</f>
        <v>False</v>
      </c>
      <c r="K308" s="40" t="s">
        <v>12</v>
      </c>
      <c r="L308" s="36" t="s">
        <v>251</v>
      </c>
      <c r="M308" s="36">
        <v>0.23784130000000001</v>
      </c>
      <c r="N308" s="36" t="s">
        <v>236</v>
      </c>
      <c r="O308" s="36">
        <v>4.1742000000000003E-3</v>
      </c>
      <c r="P308" s="36">
        <v>0.125</v>
      </c>
      <c r="Q308" s="36" t="s">
        <v>235</v>
      </c>
      <c r="R308" s="36">
        <v>0.1004087</v>
      </c>
      <c r="S308" s="36" t="s">
        <v>251</v>
      </c>
      <c r="T308" s="36">
        <v>9.9561000000000007E-3</v>
      </c>
      <c r="U308" s="37">
        <v>0.13333333333333333</v>
      </c>
      <c r="V308"/>
    </row>
    <row r="309" spans="1:22" ht="34" x14ac:dyDescent="0.2">
      <c r="A309" s="36" t="s">
        <v>102</v>
      </c>
      <c r="B309" s="45" t="str">
        <f>VLOOKUP(Tabella1[[#This Row],[test_id]],experiments_specs!A:J,2,FALSE)</f>
        <v>NN,VB</v>
      </c>
      <c r="C309" s="38">
        <f>VLOOKUP(Tabella1[[#This Row],[test_id]],experiments_specs!A:J,3,FALSE)</f>
        <v>1</v>
      </c>
      <c r="D309" s="38">
        <f>VLOOKUP(Tabella1[[#This Row],[test_id]],experiments_specs!A:J,4,FALSE)</f>
        <v>2</v>
      </c>
      <c r="E309" s="38" t="str">
        <f>VLOOKUP(Tabella1[[#This Row],[test_id]],experiments_specs!A:J,5,FALSE)</f>
        <v>False</v>
      </c>
      <c r="F309" s="38" t="str">
        <f>VLOOKUP(Tabella1[[#This Row],[test_id]],experiments_specs!A:J,6,FALSE)</f>
        <v>True</v>
      </c>
      <c r="G309" s="38" t="str">
        <f>VLOOKUP(Tabella1[[#This Row],[test_id]],experiments_specs!A:J,7,FALSE)</f>
        <v>True</v>
      </c>
      <c r="H309" s="38" t="str">
        <f>VLOOKUP(Tabella1[[#This Row],[test_id]],experiments_specs!A:J,8,FALSE)</f>
        <v>True</v>
      </c>
      <c r="I309" s="45" t="str">
        <f>VLOOKUP(Tabella1[[#This Row],[test_id]],experiments_specs!A:J,9,FALSE)</f>
        <v>wup_similarity</v>
      </c>
      <c r="J309" s="38" t="str">
        <f>VLOOKUP(Tabella1[[#This Row],[test_id]],experiments_specs!A:J,10,FALSE)</f>
        <v>False</v>
      </c>
      <c r="K309" s="40" t="s">
        <v>13</v>
      </c>
      <c r="L309" s="36" t="s">
        <v>425</v>
      </c>
      <c r="M309" s="36">
        <v>0.1058018</v>
      </c>
      <c r="N309" s="36" t="s">
        <v>426</v>
      </c>
      <c r="O309" s="36">
        <v>8.3870000000000004E-3</v>
      </c>
      <c r="P309" s="36" t="s">
        <v>25</v>
      </c>
      <c r="Q309" s="36" t="s">
        <v>427</v>
      </c>
      <c r="R309" s="36">
        <v>0.1105064</v>
      </c>
      <c r="S309" s="36" t="s">
        <v>426</v>
      </c>
      <c r="T309" s="36">
        <v>9.3086999999999996E-3</v>
      </c>
      <c r="U309" s="37" t="s">
        <v>25</v>
      </c>
      <c r="V309"/>
    </row>
    <row r="310" spans="1:22" ht="34" x14ac:dyDescent="0.2">
      <c r="A310" s="36" t="s">
        <v>102</v>
      </c>
      <c r="B310" s="45" t="str">
        <f>VLOOKUP(Tabella1[[#This Row],[test_id]],experiments_specs!A:J,2,FALSE)</f>
        <v>NN,VB</v>
      </c>
      <c r="C310" s="38">
        <f>VLOOKUP(Tabella1[[#This Row],[test_id]],experiments_specs!A:J,3,FALSE)</f>
        <v>1</v>
      </c>
      <c r="D310" s="38">
        <f>VLOOKUP(Tabella1[[#This Row],[test_id]],experiments_specs!A:J,4,FALSE)</f>
        <v>2</v>
      </c>
      <c r="E310" s="38" t="str">
        <f>VLOOKUP(Tabella1[[#This Row],[test_id]],experiments_specs!A:J,5,FALSE)</f>
        <v>False</v>
      </c>
      <c r="F310" s="38" t="str">
        <f>VLOOKUP(Tabella1[[#This Row],[test_id]],experiments_specs!A:J,6,FALSE)</f>
        <v>True</v>
      </c>
      <c r="G310" s="38" t="str">
        <f>VLOOKUP(Tabella1[[#This Row],[test_id]],experiments_specs!A:J,7,FALSE)</f>
        <v>True</v>
      </c>
      <c r="H310" s="38" t="str">
        <f>VLOOKUP(Tabella1[[#This Row],[test_id]],experiments_specs!A:J,8,FALSE)</f>
        <v>True</v>
      </c>
      <c r="I310" s="45" t="str">
        <f>VLOOKUP(Tabella1[[#This Row],[test_id]],experiments_specs!A:J,9,FALSE)</f>
        <v>wup_similarity</v>
      </c>
      <c r="J310" s="38" t="str">
        <f>VLOOKUP(Tabella1[[#This Row],[test_id]],experiments_specs!A:J,10,FALSE)</f>
        <v>False</v>
      </c>
      <c r="K310" s="40" t="s">
        <v>14</v>
      </c>
      <c r="L310" s="36" t="s">
        <v>428</v>
      </c>
      <c r="M310" s="36">
        <v>0.1256148</v>
      </c>
      <c r="N310" s="36" t="s">
        <v>429</v>
      </c>
      <c r="O310" s="36">
        <v>5.5519000000000002E-3</v>
      </c>
      <c r="P310" s="36">
        <v>0.125</v>
      </c>
      <c r="Q310" s="36" t="s">
        <v>430</v>
      </c>
      <c r="R310" s="36">
        <v>9.2450000000000004E-2</v>
      </c>
      <c r="S310" s="36" t="s">
        <v>429</v>
      </c>
      <c r="T310" s="36">
        <v>9.7508999999999998E-3</v>
      </c>
      <c r="U310" s="37">
        <v>0.125</v>
      </c>
      <c r="V310"/>
    </row>
    <row r="311" spans="1:22" ht="17" x14ac:dyDescent="0.2">
      <c r="A311" s="36" t="s">
        <v>102</v>
      </c>
      <c r="B311" s="45" t="str">
        <f>VLOOKUP(Tabella1[[#This Row],[test_id]],experiments_specs!A:J,2,FALSE)</f>
        <v>NN,VB</v>
      </c>
      <c r="C311" s="38">
        <f>VLOOKUP(Tabella1[[#This Row],[test_id]],experiments_specs!A:J,3,FALSE)</f>
        <v>1</v>
      </c>
      <c r="D311" s="38">
        <f>VLOOKUP(Tabella1[[#This Row],[test_id]],experiments_specs!A:J,4,FALSE)</f>
        <v>2</v>
      </c>
      <c r="E311" s="38" t="str">
        <f>VLOOKUP(Tabella1[[#This Row],[test_id]],experiments_specs!A:J,5,FALSE)</f>
        <v>False</v>
      </c>
      <c r="F311" s="38" t="str">
        <f>VLOOKUP(Tabella1[[#This Row],[test_id]],experiments_specs!A:J,6,FALSE)</f>
        <v>True</v>
      </c>
      <c r="G311" s="38" t="str">
        <f>VLOOKUP(Tabella1[[#This Row],[test_id]],experiments_specs!A:J,7,FALSE)</f>
        <v>True</v>
      </c>
      <c r="H311" s="38" t="str">
        <f>VLOOKUP(Tabella1[[#This Row],[test_id]],experiments_specs!A:J,8,FALSE)</f>
        <v>True</v>
      </c>
      <c r="I311" s="45" t="str">
        <f>VLOOKUP(Tabella1[[#This Row],[test_id]],experiments_specs!A:J,9,FALSE)</f>
        <v>wup_similarity</v>
      </c>
      <c r="J311" s="38" t="str">
        <f>VLOOKUP(Tabella1[[#This Row],[test_id]],experiments_specs!A:J,10,FALSE)</f>
        <v>False</v>
      </c>
      <c r="K311" s="40" t="s">
        <v>15</v>
      </c>
      <c r="L311" s="36" t="s">
        <v>26</v>
      </c>
      <c r="M311" s="36">
        <v>0.19590689999999999</v>
      </c>
      <c r="N311" s="36" t="s">
        <v>27</v>
      </c>
      <c r="O311" s="36">
        <v>3.6605000000000001E-3</v>
      </c>
      <c r="P311" s="36">
        <v>0.16666666666666666</v>
      </c>
      <c r="Q311" s="36" t="s">
        <v>376</v>
      </c>
      <c r="R311" s="36">
        <v>2.80275E-2</v>
      </c>
      <c r="S311" s="36" t="s">
        <v>377</v>
      </c>
      <c r="T311" s="36">
        <v>1.0030799999999999E-2</v>
      </c>
      <c r="U311" s="37">
        <v>0.2</v>
      </c>
      <c r="V311"/>
    </row>
    <row r="312" spans="1:22" ht="17" x14ac:dyDescent="0.2">
      <c r="A312" s="36" t="s">
        <v>102</v>
      </c>
      <c r="B312" s="45" t="str">
        <f>VLOOKUP(Tabella1[[#This Row],[test_id]],experiments_specs!A:J,2,FALSE)</f>
        <v>NN,VB</v>
      </c>
      <c r="C312" s="38">
        <f>VLOOKUP(Tabella1[[#This Row],[test_id]],experiments_specs!A:J,3,FALSE)</f>
        <v>1</v>
      </c>
      <c r="D312" s="38">
        <f>VLOOKUP(Tabella1[[#This Row],[test_id]],experiments_specs!A:J,4,FALSE)</f>
        <v>2</v>
      </c>
      <c r="E312" s="38" t="str">
        <f>VLOOKUP(Tabella1[[#This Row],[test_id]],experiments_specs!A:J,5,FALSE)</f>
        <v>False</v>
      </c>
      <c r="F312" s="38" t="str">
        <f>VLOOKUP(Tabella1[[#This Row],[test_id]],experiments_specs!A:J,6,FALSE)</f>
        <v>True</v>
      </c>
      <c r="G312" s="38" t="str">
        <f>VLOOKUP(Tabella1[[#This Row],[test_id]],experiments_specs!A:J,7,FALSE)</f>
        <v>True</v>
      </c>
      <c r="H312" s="38" t="str">
        <f>VLOOKUP(Tabella1[[#This Row],[test_id]],experiments_specs!A:J,8,FALSE)</f>
        <v>True</v>
      </c>
      <c r="I312" s="45" t="str">
        <f>VLOOKUP(Tabella1[[#This Row],[test_id]],experiments_specs!A:J,9,FALSE)</f>
        <v>wup_similarity</v>
      </c>
      <c r="J312" s="38" t="str">
        <f>VLOOKUP(Tabella1[[#This Row],[test_id]],experiments_specs!A:J,10,FALSE)</f>
        <v>False</v>
      </c>
      <c r="K312" s="40" t="s">
        <v>16</v>
      </c>
      <c r="L312" s="36" t="s">
        <v>208</v>
      </c>
      <c r="M312" s="36">
        <v>0.1964185</v>
      </c>
      <c r="N312" s="36" t="s">
        <v>431</v>
      </c>
      <c r="O312" s="36">
        <v>3.3371999999999998E-3</v>
      </c>
      <c r="P312" s="36">
        <v>0.55555555555555558</v>
      </c>
      <c r="Q312" s="36" t="s">
        <v>438</v>
      </c>
      <c r="R312" s="36">
        <v>7.1066900000000002E-2</v>
      </c>
      <c r="S312" s="36" t="s">
        <v>439</v>
      </c>
      <c r="T312" s="36">
        <v>5.4964999999999996E-3</v>
      </c>
      <c r="U312" s="37">
        <v>0.15384615384615385</v>
      </c>
      <c r="V312"/>
    </row>
    <row r="313" spans="1:22" ht="17" x14ac:dyDescent="0.2">
      <c r="A313" s="36" t="s">
        <v>102</v>
      </c>
      <c r="B313" s="45" t="str">
        <f>VLOOKUP(Tabella1[[#This Row],[test_id]],experiments_specs!A:J,2,FALSE)</f>
        <v>NN,VB</v>
      </c>
      <c r="C313" s="38">
        <f>VLOOKUP(Tabella1[[#This Row],[test_id]],experiments_specs!A:J,3,FALSE)</f>
        <v>1</v>
      </c>
      <c r="D313" s="38">
        <f>VLOOKUP(Tabella1[[#This Row],[test_id]],experiments_specs!A:J,4,FALSE)</f>
        <v>2</v>
      </c>
      <c r="E313" s="38" t="str">
        <f>VLOOKUP(Tabella1[[#This Row],[test_id]],experiments_specs!A:J,5,FALSE)</f>
        <v>False</v>
      </c>
      <c r="F313" s="38" t="str">
        <f>VLOOKUP(Tabella1[[#This Row],[test_id]],experiments_specs!A:J,6,FALSE)</f>
        <v>True</v>
      </c>
      <c r="G313" s="38" t="str">
        <f>VLOOKUP(Tabella1[[#This Row],[test_id]],experiments_specs!A:J,7,FALSE)</f>
        <v>True</v>
      </c>
      <c r="H313" s="38" t="str">
        <f>VLOOKUP(Tabella1[[#This Row],[test_id]],experiments_specs!A:J,8,FALSE)</f>
        <v>True</v>
      </c>
      <c r="I313" s="45" t="str">
        <f>VLOOKUP(Tabella1[[#This Row],[test_id]],experiments_specs!A:J,9,FALSE)</f>
        <v>wup_similarity</v>
      </c>
      <c r="J313" s="38" t="str">
        <f>VLOOKUP(Tabella1[[#This Row],[test_id]],experiments_specs!A:J,10,FALSE)</f>
        <v>False</v>
      </c>
      <c r="K313" s="40" t="s">
        <v>17</v>
      </c>
      <c r="L313" s="36" t="s">
        <v>218</v>
      </c>
      <c r="M313" s="36">
        <v>0.21759700000000001</v>
      </c>
      <c r="N313" s="36" t="s">
        <v>219</v>
      </c>
      <c r="O313" s="36">
        <v>3.7737999999999999E-3</v>
      </c>
      <c r="P313" s="36">
        <v>0.13333333333333333</v>
      </c>
      <c r="Q313" s="36" t="s">
        <v>246</v>
      </c>
      <c r="R313" s="36">
        <v>3.7113399999999998E-2</v>
      </c>
      <c r="S313" s="36" t="s">
        <v>218</v>
      </c>
      <c r="T313" s="36">
        <v>6.1199000000000002E-3</v>
      </c>
      <c r="U313" s="37">
        <v>0.14285714285714285</v>
      </c>
      <c r="V313"/>
    </row>
    <row r="314" spans="1:22" ht="17" x14ac:dyDescent="0.2">
      <c r="A314" s="36" t="s">
        <v>102</v>
      </c>
      <c r="B314" s="45" t="str">
        <f>VLOOKUP(Tabella1[[#This Row],[test_id]],experiments_specs!A:J,2,FALSE)</f>
        <v>NN,VB</v>
      </c>
      <c r="C314" s="38">
        <f>VLOOKUP(Tabella1[[#This Row],[test_id]],experiments_specs!A:J,3,FALSE)</f>
        <v>1</v>
      </c>
      <c r="D314" s="38">
        <f>VLOOKUP(Tabella1[[#This Row],[test_id]],experiments_specs!A:J,4,FALSE)</f>
        <v>2</v>
      </c>
      <c r="E314" s="38" t="str">
        <f>VLOOKUP(Tabella1[[#This Row],[test_id]],experiments_specs!A:J,5,FALSE)</f>
        <v>False</v>
      </c>
      <c r="F314" s="38" t="str">
        <f>VLOOKUP(Tabella1[[#This Row],[test_id]],experiments_specs!A:J,6,FALSE)</f>
        <v>True</v>
      </c>
      <c r="G314" s="38" t="str">
        <f>VLOOKUP(Tabella1[[#This Row],[test_id]],experiments_specs!A:J,7,FALSE)</f>
        <v>True</v>
      </c>
      <c r="H314" s="38" t="str">
        <f>VLOOKUP(Tabella1[[#This Row],[test_id]],experiments_specs!A:J,8,FALSE)</f>
        <v>True</v>
      </c>
      <c r="I314" s="45" t="str">
        <f>VLOOKUP(Tabella1[[#This Row],[test_id]],experiments_specs!A:J,9,FALSE)</f>
        <v>wup_similarity</v>
      </c>
      <c r="J314" s="38" t="str">
        <f>VLOOKUP(Tabella1[[#This Row],[test_id]],experiments_specs!A:J,10,FALSE)</f>
        <v>False</v>
      </c>
      <c r="K314" s="40" t="s">
        <v>18</v>
      </c>
      <c r="L314" s="36" t="s">
        <v>222</v>
      </c>
      <c r="M314" s="36">
        <v>0.12249889999999999</v>
      </c>
      <c r="N314" s="36" t="s">
        <v>223</v>
      </c>
      <c r="O314" s="36">
        <v>2.1608E-3</v>
      </c>
      <c r="P314" s="36">
        <v>0.21052631578947367</v>
      </c>
      <c r="Q314" s="36" t="s">
        <v>388</v>
      </c>
      <c r="R314" s="36">
        <v>5.8321100000000001E-2</v>
      </c>
      <c r="S314" s="36" t="s">
        <v>440</v>
      </c>
      <c r="T314" s="36">
        <v>4.1694000000000002E-3</v>
      </c>
      <c r="U314" s="37">
        <v>0.11764705882352941</v>
      </c>
      <c r="V314"/>
    </row>
    <row r="315" spans="1:22" ht="17" x14ac:dyDescent="0.2">
      <c r="A315" s="36" t="s">
        <v>103</v>
      </c>
      <c r="B315" s="45" t="str">
        <f>VLOOKUP(Tabella1[[#This Row],[test_id]],experiments_specs!A:J,2,FALSE)</f>
        <v>NN,VB,VBD,VBG,VBN,VBP,VBZ</v>
      </c>
      <c r="C315" s="38">
        <f>VLOOKUP(Tabella1[[#This Row],[test_id]],experiments_specs!A:J,3,FALSE)</f>
        <v>1</v>
      </c>
      <c r="D315" s="38">
        <f>VLOOKUP(Tabella1[[#This Row],[test_id]],experiments_specs!A:J,4,FALSE)</f>
        <v>2</v>
      </c>
      <c r="E315" s="38" t="str">
        <f>VLOOKUP(Tabella1[[#This Row],[test_id]],experiments_specs!A:J,5,FALSE)</f>
        <v>False</v>
      </c>
      <c r="F315" s="38" t="str">
        <f>VLOOKUP(Tabella1[[#This Row],[test_id]],experiments_specs!A:J,6,FALSE)</f>
        <v>True</v>
      </c>
      <c r="G315" s="38" t="str">
        <f>VLOOKUP(Tabella1[[#This Row],[test_id]],experiments_specs!A:J,7,FALSE)</f>
        <v>True</v>
      </c>
      <c r="H315" s="38" t="str">
        <f>VLOOKUP(Tabella1[[#This Row],[test_id]],experiments_specs!A:J,8,FALSE)</f>
        <v>True</v>
      </c>
      <c r="I315" s="45" t="str">
        <f>VLOOKUP(Tabella1[[#This Row],[test_id]],experiments_specs!A:J,9,FALSE)</f>
        <v>wup_similarity</v>
      </c>
      <c r="J315" s="38" t="str">
        <f>VLOOKUP(Tabella1[[#This Row],[test_id]],experiments_specs!A:J,10,FALSE)</f>
        <v>False</v>
      </c>
      <c r="K315" s="40" t="s">
        <v>19</v>
      </c>
      <c r="L315" s="36" t="s">
        <v>354</v>
      </c>
      <c r="M315" s="36">
        <v>0.13258249999999999</v>
      </c>
      <c r="N315" s="36" t="s">
        <v>288</v>
      </c>
      <c r="O315" s="36">
        <v>2.248E-3</v>
      </c>
      <c r="P315" s="36">
        <v>0.19047619047619047</v>
      </c>
      <c r="Q315" s="36" t="s">
        <v>197</v>
      </c>
      <c r="R315" s="36">
        <v>0.15625</v>
      </c>
      <c r="S315" s="36" t="s">
        <v>198</v>
      </c>
      <c r="T315" s="36">
        <v>4.7892000000000004E-3</v>
      </c>
      <c r="U315" s="37">
        <v>9.5238095238095233E-2</v>
      </c>
      <c r="V315"/>
    </row>
    <row r="316" spans="1:22" ht="17" x14ac:dyDescent="0.2">
      <c r="A316" s="36" t="s">
        <v>103</v>
      </c>
      <c r="B316" s="45" t="str">
        <f>VLOOKUP(Tabella1[[#This Row],[test_id]],experiments_specs!A:J,2,FALSE)</f>
        <v>NN,VB,VBD,VBG,VBN,VBP,VBZ</v>
      </c>
      <c r="C316" s="38">
        <f>VLOOKUP(Tabella1[[#This Row],[test_id]],experiments_specs!A:J,3,FALSE)</f>
        <v>1</v>
      </c>
      <c r="D316" s="38">
        <f>VLOOKUP(Tabella1[[#This Row],[test_id]],experiments_specs!A:J,4,FALSE)</f>
        <v>2</v>
      </c>
      <c r="E316" s="38" t="str">
        <f>VLOOKUP(Tabella1[[#This Row],[test_id]],experiments_specs!A:J,5,FALSE)</f>
        <v>False</v>
      </c>
      <c r="F316" s="38" t="str">
        <f>VLOOKUP(Tabella1[[#This Row],[test_id]],experiments_specs!A:J,6,FALSE)</f>
        <v>True</v>
      </c>
      <c r="G316" s="38" t="str">
        <f>VLOOKUP(Tabella1[[#This Row],[test_id]],experiments_specs!A:J,7,FALSE)</f>
        <v>True</v>
      </c>
      <c r="H316" s="38" t="str">
        <f>VLOOKUP(Tabella1[[#This Row],[test_id]],experiments_specs!A:J,8,FALSE)</f>
        <v>True</v>
      </c>
      <c r="I316" s="45" t="str">
        <f>VLOOKUP(Tabella1[[#This Row],[test_id]],experiments_specs!A:J,9,FALSE)</f>
        <v>wup_similarity</v>
      </c>
      <c r="J316" s="38" t="str">
        <f>VLOOKUP(Tabella1[[#This Row],[test_id]],experiments_specs!A:J,10,FALSE)</f>
        <v>False</v>
      </c>
      <c r="K316" s="40" t="s">
        <v>12</v>
      </c>
      <c r="L316" s="36" t="s">
        <v>251</v>
      </c>
      <c r="M316" s="36">
        <v>0.23613629999999999</v>
      </c>
      <c r="N316" s="36" t="s">
        <v>236</v>
      </c>
      <c r="O316" s="36">
        <v>3.9234999999999999E-3</v>
      </c>
      <c r="P316" s="36">
        <v>0.125</v>
      </c>
      <c r="Q316" s="36" t="s">
        <v>235</v>
      </c>
      <c r="R316" s="36">
        <v>9.9688899999999997E-2</v>
      </c>
      <c r="S316" s="36" t="s">
        <v>251</v>
      </c>
      <c r="T316" s="36">
        <v>8.9785000000000004E-3</v>
      </c>
      <c r="U316" s="37">
        <v>0.13333333333333333</v>
      </c>
      <c r="V316"/>
    </row>
    <row r="317" spans="1:22" ht="17" x14ac:dyDescent="0.2">
      <c r="A317" s="36" t="s">
        <v>103</v>
      </c>
      <c r="B317" s="45" t="str">
        <f>VLOOKUP(Tabella1[[#This Row],[test_id]],experiments_specs!A:J,2,FALSE)</f>
        <v>NN,VB,VBD,VBG,VBN,VBP,VBZ</v>
      </c>
      <c r="C317" s="38">
        <f>VLOOKUP(Tabella1[[#This Row],[test_id]],experiments_specs!A:J,3,FALSE)</f>
        <v>1</v>
      </c>
      <c r="D317" s="38">
        <f>VLOOKUP(Tabella1[[#This Row],[test_id]],experiments_specs!A:J,4,FALSE)</f>
        <v>2</v>
      </c>
      <c r="E317" s="38" t="str">
        <f>VLOOKUP(Tabella1[[#This Row],[test_id]],experiments_specs!A:J,5,FALSE)</f>
        <v>False</v>
      </c>
      <c r="F317" s="38" t="str">
        <f>VLOOKUP(Tabella1[[#This Row],[test_id]],experiments_specs!A:J,6,FALSE)</f>
        <v>True</v>
      </c>
      <c r="G317" s="38" t="str">
        <f>VLOOKUP(Tabella1[[#This Row],[test_id]],experiments_specs!A:J,7,FALSE)</f>
        <v>True</v>
      </c>
      <c r="H317" s="38" t="str">
        <f>VLOOKUP(Tabella1[[#This Row],[test_id]],experiments_specs!A:J,8,FALSE)</f>
        <v>True</v>
      </c>
      <c r="I317" s="45" t="str">
        <f>VLOOKUP(Tabella1[[#This Row],[test_id]],experiments_specs!A:J,9,FALSE)</f>
        <v>wup_similarity</v>
      </c>
      <c r="J317" s="38" t="str">
        <f>VLOOKUP(Tabella1[[#This Row],[test_id]],experiments_specs!A:J,10,FALSE)</f>
        <v>False</v>
      </c>
      <c r="K317" s="40" t="s">
        <v>13</v>
      </c>
      <c r="L317" s="36" t="s">
        <v>425</v>
      </c>
      <c r="M317" s="36">
        <v>0.1058018</v>
      </c>
      <c r="N317" s="36" t="s">
        <v>426</v>
      </c>
      <c r="O317" s="36">
        <v>7.3340999999999996E-3</v>
      </c>
      <c r="P317" s="36" t="s">
        <v>25</v>
      </c>
      <c r="Q317" s="36" t="s">
        <v>252</v>
      </c>
      <c r="R317" s="36">
        <v>0.1018963</v>
      </c>
      <c r="S317" s="36" t="s">
        <v>441</v>
      </c>
      <c r="T317" s="36">
        <v>8.5092999999999992E-3</v>
      </c>
      <c r="U317" s="37">
        <v>0.33333333333333331</v>
      </c>
      <c r="V317"/>
    </row>
    <row r="318" spans="1:22" ht="34" x14ac:dyDescent="0.2">
      <c r="A318" s="36" t="s">
        <v>103</v>
      </c>
      <c r="B318" s="45" t="str">
        <f>VLOOKUP(Tabella1[[#This Row],[test_id]],experiments_specs!A:J,2,FALSE)</f>
        <v>NN,VB,VBD,VBG,VBN,VBP,VBZ</v>
      </c>
      <c r="C318" s="38">
        <f>VLOOKUP(Tabella1[[#This Row],[test_id]],experiments_specs!A:J,3,FALSE)</f>
        <v>1</v>
      </c>
      <c r="D318" s="38">
        <f>VLOOKUP(Tabella1[[#This Row],[test_id]],experiments_specs!A:J,4,FALSE)</f>
        <v>2</v>
      </c>
      <c r="E318" s="38" t="str">
        <f>VLOOKUP(Tabella1[[#This Row],[test_id]],experiments_specs!A:J,5,FALSE)</f>
        <v>False</v>
      </c>
      <c r="F318" s="38" t="str">
        <f>VLOOKUP(Tabella1[[#This Row],[test_id]],experiments_specs!A:J,6,FALSE)</f>
        <v>True</v>
      </c>
      <c r="G318" s="38" t="str">
        <f>VLOOKUP(Tabella1[[#This Row],[test_id]],experiments_specs!A:J,7,FALSE)</f>
        <v>True</v>
      </c>
      <c r="H318" s="38" t="str">
        <f>VLOOKUP(Tabella1[[#This Row],[test_id]],experiments_specs!A:J,8,FALSE)</f>
        <v>True</v>
      </c>
      <c r="I318" s="45" t="str">
        <f>VLOOKUP(Tabella1[[#This Row],[test_id]],experiments_specs!A:J,9,FALSE)</f>
        <v>wup_similarity</v>
      </c>
      <c r="J318" s="38" t="str">
        <f>VLOOKUP(Tabella1[[#This Row],[test_id]],experiments_specs!A:J,10,FALSE)</f>
        <v>False</v>
      </c>
      <c r="K318" s="40" t="s">
        <v>14</v>
      </c>
      <c r="L318" s="36" t="s">
        <v>428</v>
      </c>
      <c r="M318" s="36">
        <v>0.1256148</v>
      </c>
      <c r="N318" s="36" t="s">
        <v>429</v>
      </c>
      <c r="O318" s="36">
        <v>4.1922000000000001E-3</v>
      </c>
      <c r="P318" s="36">
        <v>0.125</v>
      </c>
      <c r="Q318" s="36" t="s">
        <v>430</v>
      </c>
      <c r="R318" s="36">
        <v>9.2450000000000004E-2</v>
      </c>
      <c r="S318" s="36" t="s">
        <v>429</v>
      </c>
      <c r="T318" s="36">
        <v>7.3714999999999996E-3</v>
      </c>
      <c r="U318" s="37">
        <v>0.125</v>
      </c>
      <c r="V318"/>
    </row>
    <row r="319" spans="1:22" ht="17" x14ac:dyDescent="0.2">
      <c r="A319" s="36" t="s">
        <v>103</v>
      </c>
      <c r="B319" s="45" t="str">
        <f>VLOOKUP(Tabella1[[#This Row],[test_id]],experiments_specs!A:J,2,FALSE)</f>
        <v>NN,VB,VBD,VBG,VBN,VBP,VBZ</v>
      </c>
      <c r="C319" s="38">
        <f>VLOOKUP(Tabella1[[#This Row],[test_id]],experiments_specs!A:J,3,FALSE)</f>
        <v>1</v>
      </c>
      <c r="D319" s="38">
        <f>VLOOKUP(Tabella1[[#This Row],[test_id]],experiments_specs!A:J,4,FALSE)</f>
        <v>2</v>
      </c>
      <c r="E319" s="38" t="str">
        <f>VLOOKUP(Tabella1[[#This Row],[test_id]],experiments_specs!A:J,5,FALSE)</f>
        <v>False</v>
      </c>
      <c r="F319" s="38" t="str">
        <f>VLOOKUP(Tabella1[[#This Row],[test_id]],experiments_specs!A:J,6,FALSE)</f>
        <v>True</v>
      </c>
      <c r="G319" s="38" t="str">
        <f>VLOOKUP(Tabella1[[#This Row],[test_id]],experiments_specs!A:J,7,FALSE)</f>
        <v>True</v>
      </c>
      <c r="H319" s="38" t="str">
        <f>VLOOKUP(Tabella1[[#This Row],[test_id]],experiments_specs!A:J,8,FALSE)</f>
        <v>True</v>
      </c>
      <c r="I319" s="45" t="str">
        <f>VLOOKUP(Tabella1[[#This Row],[test_id]],experiments_specs!A:J,9,FALSE)</f>
        <v>wup_similarity</v>
      </c>
      <c r="J319" s="38" t="str">
        <f>VLOOKUP(Tabella1[[#This Row],[test_id]],experiments_specs!A:J,10,FALSE)</f>
        <v>False</v>
      </c>
      <c r="K319" s="40" t="s">
        <v>15</v>
      </c>
      <c r="L319" s="36" t="s">
        <v>442</v>
      </c>
      <c r="M319" s="36">
        <v>0.18926399999999999</v>
      </c>
      <c r="N319" s="36" t="s">
        <v>443</v>
      </c>
      <c r="O319" s="36">
        <v>3.8376999999999999E-3</v>
      </c>
      <c r="P319" s="36">
        <v>0.2</v>
      </c>
      <c r="Q319" s="36" t="s">
        <v>383</v>
      </c>
      <c r="R319" s="36">
        <v>0.1151824</v>
      </c>
      <c r="S319" s="36" t="s">
        <v>443</v>
      </c>
      <c r="T319" s="36">
        <v>1.48947E-2</v>
      </c>
      <c r="U319" s="37">
        <v>0.2</v>
      </c>
      <c r="V319"/>
    </row>
    <row r="320" spans="1:22" ht="17" x14ac:dyDescent="0.2">
      <c r="A320" s="36" t="s">
        <v>103</v>
      </c>
      <c r="B320" s="45" t="str">
        <f>VLOOKUP(Tabella1[[#This Row],[test_id]],experiments_specs!A:J,2,FALSE)</f>
        <v>NN,VB,VBD,VBG,VBN,VBP,VBZ</v>
      </c>
      <c r="C320" s="38">
        <f>VLOOKUP(Tabella1[[#This Row],[test_id]],experiments_specs!A:J,3,FALSE)</f>
        <v>1</v>
      </c>
      <c r="D320" s="38">
        <f>VLOOKUP(Tabella1[[#This Row],[test_id]],experiments_specs!A:J,4,FALSE)</f>
        <v>2</v>
      </c>
      <c r="E320" s="38" t="str">
        <f>VLOOKUP(Tabella1[[#This Row],[test_id]],experiments_specs!A:J,5,FALSE)</f>
        <v>False</v>
      </c>
      <c r="F320" s="38" t="str">
        <f>VLOOKUP(Tabella1[[#This Row],[test_id]],experiments_specs!A:J,6,FALSE)</f>
        <v>True</v>
      </c>
      <c r="G320" s="38" t="str">
        <f>VLOOKUP(Tabella1[[#This Row],[test_id]],experiments_specs!A:J,7,FALSE)</f>
        <v>True</v>
      </c>
      <c r="H320" s="38" t="str">
        <f>VLOOKUP(Tabella1[[#This Row],[test_id]],experiments_specs!A:J,8,FALSE)</f>
        <v>True</v>
      </c>
      <c r="I320" s="45" t="str">
        <f>VLOOKUP(Tabella1[[#This Row],[test_id]],experiments_specs!A:J,9,FALSE)</f>
        <v>wup_similarity</v>
      </c>
      <c r="J320" s="38" t="str">
        <f>VLOOKUP(Tabella1[[#This Row],[test_id]],experiments_specs!A:J,10,FALSE)</f>
        <v>False</v>
      </c>
      <c r="K320" s="40" t="s">
        <v>16</v>
      </c>
      <c r="L320" s="36" t="s">
        <v>208</v>
      </c>
      <c r="M320" s="36">
        <v>0.1964185</v>
      </c>
      <c r="N320" s="36" t="s">
        <v>431</v>
      </c>
      <c r="O320" s="36">
        <v>3.1697000000000001E-3</v>
      </c>
      <c r="P320" s="36">
        <v>0.55555555555555558</v>
      </c>
      <c r="Q320" s="36" t="s">
        <v>444</v>
      </c>
      <c r="R320" s="36">
        <v>5.8925499999999999E-2</v>
      </c>
      <c r="S320" s="36" t="s">
        <v>445</v>
      </c>
      <c r="T320" s="36">
        <v>5.8183999999999996E-3</v>
      </c>
      <c r="U320" s="37">
        <v>0.14285714285714285</v>
      </c>
      <c r="V320"/>
    </row>
    <row r="321" spans="1:22" ht="17" x14ac:dyDescent="0.2">
      <c r="A321" s="36" t="s">
        <v>103</v>
      </c>
      <c r="B321" s="45" t="str">
        <f>VLOOKUP(Tabella1[[#This Row],[test_id]],experiments_specs!A:J,2,FALSE)</f>
        <v>NN,VB,VBD,VBG,VBN,VBP,VBZ</v>
      </c>
      <c r="C321" s="38">
        <f>VLOOKUP(Tabella1[[#This Row],[test_id]],experiments_specs!A:J,3,FALSE)</f>
        <v>1</v>
      </c>
      <c r="D321" s="38">
        <f>VLOOKUP(Tabella1[[#This Row],[test_id]],experiments_specs!A:J,4,FALSE)</f>
        <v>2</v>
      </c>
      <c r="E321" s="38" t="str">
        <f>VLOOKUP(Tabella1[[#This Row],[test_id]],experiments_specs!A:J,5,FALSE)</f>
        <v>False</v>
      </c>
      <c r="F321" s="38" t="str">
        <f>VLOOKUP(Tabella1[[#This Row],[test_id]],experiments_specs!A:J,6,FALSE)</f>
        <v>True</v>
      </c>
      <c r="G321" s="38" t="str">
        <f>VLOOKUP(Tabella1[[#This Row],[test_id]],experiments_specs!A:J,7,FALSE)</f>
        <v>True</v>
      </c>
      <c r="H321" s="38" t="str">
        <f>VLOOKUP(Tabella1[[#This Row],[test_id]],experiments_specs!A:J,8,FALSE)</f>
        <v>True</v>
      </c>
      <c r="I321" s="45" t="str">
        <f>VLOOKUP(Tabella1[[#This Row],[test_id]],experiments_specs!A:J,9,FALSE)</f>
        <v>wup_similarity</v>
      </c>
      <c r="J321" s="38" t="str">
        <f>VLOOKUP(Tabella1[[#This Row],[test_id]],experiments_specs!A:J,10,FALSE)</f>
        <v>False</v>
      </c>
      <c r="K321" s="40" t="s">
        <v>17</v>
      </c>
      <c r="L321" s="36" t="s">
        <v>218</v>
      </c>
      <c r="M321" s="36">
        <v>0.21437320000000001</v>
      </c>
      <c r="N321" s="36" t="s">
        <v>219</v>
      </c>
      <c r="O321" s="36">
        <v>2.5861E-3</v>
      </c>
      <c r="P321" s="36">
        <v>0.13333333333333333</v>
      </c>
      <c r="Q321" s="36" t="s">
        <v>30</v>
      </c>
      <c r="R321" s="36">
        <v>0.14002800000000001</v>
      </c>
      <c r="S321" s="36" t="s">
        <v>446</v>
      </c>
      <c r="T321" s="36">
        <v>1.2126700000000001E-2</v>
      </c>
      <c r="U321" s="37">
        <v>0.22222222222222221</v>
      </c>
      <c r="V321"/>
    </row>
    <row r="322" spans="1:22" ht="17" x14ac:dyDescent="0.2">
      <c r="A322" s="36" t="s">
        <v>103</v>
      </c>
      <c r="B322" s="45" t="str">
        <f>VLOOKUP(Tabella1[[#This Row],[test_id]],experiments_specs!A:J,2,FALSE)</f>
        <v>NN,VB,VBD,VBG,VBN,VBP,VBZ</v>
      </c>
      <c r="C322" s="38">
        <f>VLOOKUP(Tabella1[[#This Row],[test_id]],experiments_specs!A:J,3,FALSE)</f>
        <v>1</v>
      </c>
      <c r="D322" s="38">
        <f>VLOOKUP(Tabella1[[#This Row],[test_id]],experiments_specs!A:J,4,FALSE)</f>
        <v>2</v>
      </c>
      <c r="E322" s="38" t="str">
        <f>VLOOKUP(Tabella1[[#This Row],[test_id]],experiments_specs!A:J,5,FALSE)</f>
        <v>False</v>
      </c>
      <c r="F322" s="38" t="str">
        <f>VLOOKUP(Tabella1[[#This Row],[test_id]],experiments_specs!A:J,6,FALSE)</f>
        <v>True</v>
      </c>
      <c r="G322" s="38" t="str">
        <f>VLOOKUP(Tabella1[[#This Row],[test_id]],experiments_specs!A:J,7,FALSE)</f>
        <v>True</v>
      </c>
      <c r="H322" s="38" t="str">
        <f>VLOOKUP(Tabella1[[#This Row],[test_id]],experiments_specs!A:J,8,FALSE)</f>
        <v>True</v>
      </c>
      <c r="I322" s="45" t="str">
        <f>VLOOKUP(Tabella1[[#This Row],[test_id]],experiments_specs!A:J,9,FALSE)</f>
        <v>wup_similarity</v>
      </c>
      <c r="J322" s="38" t="str">
        <f>VLOOKUP(Tabella1[[#This Row],[test_id]],experiments_specs!A:J,10,FALSE)</f>
        <v>False</v>
      </c>
      <c r="K322" s="40" t="s">
        <v>18</v>
      </c>
      <c r="L322" s="36" t="s">
        <v>222</v>
      </c>
      <c r="M322" s="36">
        <v>0.12187870000000001</v>
      </c>
      <c r="N322" s="36" t="s">
        <v>223</v>
      </c>
      <c r="O322" s="36">
        <v>1.4316000000000001E-3</v>
      </c>
      <c r="P322" s="36">
        <v>0.21052631578947367</v>
      </c>
      <c r="Q322" s="36" t="s">
        <v>388</v>
      </c>
      <c r="R322" s="36">
        <v>5.8025800000000002E-2</v>
      </c>
      <c r="S322" s="36" t="s">
        <v>440</v>
      </c>
      <c r="T322" s="36">
        <v>5.9198999999999996E-3</v>
      </c>
      <c r="U322" s="37">
        <v>0.11764705882352941</v>
      </c>
      <c r="V322"/>
    </row>
    <row r="323" spans="1:22" ht="17" x14ac:dyDescent="0.2">
      <c r="A323" s="36" t="s">
        <v>104</v>
      </c>
      <c r="B323" s="45" t="str">
        <f>VLOOKUP(Tabella1[[#This Row],[test_id]],experiments_specs!A:J,2,FALSE)</f>
        <v>NN,RB</v>
      </c>
      <c r="C323" s="38">
        <f>VLOOKUP(Tabella1[[#This Row],[test_id]],experiments_specs!A:J,3,FALSE)</f>
        <v>1</v>
      </c>
      <c r="D323" s="38">
        <f>VLOOKUP(Tabella1[[#This Row],[test_id]],experiments_specs!A:J,4,FALSE)</f>
        <v>2</v>
      </c>
      <c r="E323" s="38" t="str">
        <f>VLOOKUP(Tabella1[[#This Row],[test_id]],experiments_specs!A:J,5,FALSE)</f>
        <v>False</v>
      </c>
      <c r="F323" s="38" t="str">
        <f>VLOOKUP(Tabella1[[#This Row],[test_id]],experiments_specs!A:J,6,FALSE)</f>
        <v>True</v>
      </c>
      <c r="G323" s="38" t="str">
        <f>VLOOKUP(Tabella1[[#This Row],[test_id]],experiments_specs!A:J,7,FALSE)</f>
        <v>True</v>
      </c>
      <c r="H323" s="38" t="str">
        <f>VLOOKUP(Tabella1[[#This Row],[test_id]],experiments_specs!A:J,8,FALSE)</f>
        <v>True</v>
      </c>
      <c r="I323" s="45" t="str">
        <f>VLOOKUP(Tabella1[[#This Row],[test_id]],experiments_specs!A:J,9,FALSE)</f>
        <v>wup_similarity</v>
      </c>
      <c r="J323" s="38" t="str">
        <f>VLOOKUP(Tabella1[[#This Row],[test_id]],experiments_specs!A:J,10,FALSE)</f>
        <v>False</v>
      </c>
      <c r="K323" s="40" t="s">
        <v>19</v>
      </c>
      <c r="L323" s="36" t="s">
        <v>354</v>
      </c>
      <c r="M323" s="36">
        <v>0.1358036</v>
      </c>
      <c r="N323" s="36" t="s">
        <v>288</v>
      </c>
      <c r="O323" s="36">
        <v>3.5990000000000002E-3</v>
      </c>
      <c r="P323" s="36">
        <v>0.19047619047619047</v>
      </c>
      <c r="Q323" s="36" t="s">
        <v>197</v>
      </c>
      <c r="R323" s="36">
        <v>0.16004599999999999</v>
      </c>
      <c r="S323" s="36" t="s">
        <v>198</v>
      </c>
      <c r="T323" s="36">
        <v>5.2474000000000002E-3</v>
      </c>
      <c r="U323" s="37">
        <v>9.5238095238095233E-2</v>
      </c>
      <c r="V323"/>
    </row>
    <row r="324" spans="1:22" ht="17" x14ac:dyDescent="0.2">
      <c r="A324" s="36" t="s">
        <v>104</v>
      </c>
      <c r="B324" s="45" t="str">
        <f>VLOOKUP(Tabella1[[#This Row],[test_id]],experiments_specs!A:J,2,FALSE)</f>
        <v>NN,RB</v>
      </c>
      <c r="C324" s="38">
        <f>VLOOKUP(Tabella1[[#This Row],[test_id]],experiments_specs!A:J,3,FALSE)</f>
        <v>1</v>
      </c>
      <c r="D324" s="38">
        <f>VLOOKUP(Tabella1[[#This Row],[test_id]],experiments_specs!A:J,4,FALSE)</f>
        <v>2</v>
      </c>
      <c r="E324" s="38" t="str">
        <f>VLOOKUP(Tabella1[[#This Row],[test_id]],experiments_specs!A:J,5,FALSE)</f>
        <v>False</v>
      </c>
      <c r="F324" s="38" t="str">
        <f>VLOOKUP(Tabella1[[#This Row],[test_id]],experiments_specs!A:J,6,FALSE)</f>
        <v>True</v>
      </c>
      <c r="G324" s="38" t="str">
        <f>VLOOKUP(Tabella1[[#This Row],[test_id]],experiments_specs!A:J,7,FALSE)</f>
        <v>True</v>
      </c>
      <c r="H324" s="38" t="str">
        <f>VLOOKUP(Tabella1[[#This Row],[test_id]],experiments_specs!A:J,8,FALSE)</f>
        <v>True</v>
      </c>
      <c r="I324" s="45" t="str">
        <f>VLOOKUP(Tabella1[[#This Row],[test_id]],experiments_specs!A:J,9,FALSE)</f>
        <v>wup_similarity</v>
      </c>
      <c r="J324" s="38" t="str">
        <f>VLOOKUP(Tabella1[[#This Row],[test_id]],experiments_specs!A:J,10,FALSE)</f>
        <v>False</v>
      </c>
      <c r="K324" s="40" t="s">
        <v>12</v>
      </c>
      <c r="L324" s="36" t="s">
        <v>422</v>
      </c>
      <c r="M324" s="36">
        <v>0.134687</v>
      </c>
      <c r="N324" s="36" t="s">
        <v>423</v>
      </c>
      <c r="O324" s="36">
        <v>8.8275000000000003E-3</v>
      </c>
      <c r="P324" s="36">
        <v>0.2857142857142857</v>
      </c>
      <c r="Q324" s="36" t="s">
        <v>24</v>
      </c>
      <c r="R324" s="36">
        <v>0.11396050000000001</v>
      </c>
      <c r="S324" s="36" t="s">
        <v>424</v>
      </c>
      <c r="T324" s="36">
        <v>1.31637E-2</v>
      </c>
      <c r="U324" s="37">
        <v>0.42857142857142855</v>
      </c>
      <c r="V324"/>
    </row>
    <row r="325" spans="1:22" ht="34" x14ac:dyDescent="0.2">
      <c r="A325" s="36" t="s">
        <v>104</v>
      </c>
      <c r="B325" s="45" t="str">
        <f>VLOOKUP(Tabella1[[#This Row],[test_id]],experiments_specs!A:J,2,FALSE)</f>
        <v>NN,RB</v>
      </c>
      <c r="C325" s="38">
        <f>VLOOKUP(Tabella1[[#This Row],[test_id]],experiments_specs!A:J,3,FALSE)</f>
        <v>1</v>
      </c>
      <c r="D325" s="38">
        <f>VLOOKUP(Tabella1[[#This Row],[test_id]],experiments_specs!A:J,4,FALSE)</f>
        <v>2</v>
      </c>
      <c r="E325" s="38" t="str">
        <f>VLOOKUP(Tabella1[[#This Row],[test_id]],experiments_specs!A:J,5,FALSE)</f>
        <v>False</v>
      </c>
      <c r="F325" s="38" t="str">
        <f>VLOOKUP(Tabella1[[#This Row],[test_id]],experiments_specs!A:J,6,FALSE)</f>
        <v>True</v>
      </c>
      <c r="G325" s="38" t="str">
        <f>VLOOKUP(Tabella1[[#This Row],[test_id]],experiments_specs!A:J,7,FALSE)</f>
        <v>True</v>
      </c>
      <c r="H325" s="38" t="str">
        <f>VLOOKUP(Tabella1[[#This Row],[test_id]],experiments_specs!A:J,8,FALSE)</f>
        <v>True</v>
      </c>
      <c r="I325" s="45" t="str">
        <f>VLOOKUP(Tabella1[[#This Row],[test_id]],experiments_specs!A:J,9,FALSE)</f>
        <v>wup_similarity</v>
      </c>
      <c r="J325" s="38" t="str">
        <f>VLOOKUP(Tabella1[[#This Row],[test_id]],experiments_specs!A:J,10,FALSE)</f>
        <v>False</v>
      </c>
      <c r="K325" s="40" t="s">
        <v>13</v>
      </c>
      <c r="L325" s="36" t="s">
        <v>425</v>
      </c>
      <c r="M325" s="36">
        <v>0.1074172</v>
      </c>
      <c r="N325" s="36" t="s">
        <v>426</v>
      </c>
      <c r="O325" s="36">
        <v>1.3437899999999999E-2</v>
      </c>
      <c r="P325" s="36" t="s">
        <v>25</v>
      </c>
      <c r="Q325" s="36" t="s">
        <v>427</v>
      </c>
      <c r="R325" s="36">
        <v>0.1121936</v>
      </c>
      <c r="S325" s="36" t="s">
        <v>426</v>
      </c>
      <c r="T325" s="36">
        <v>1.42153E-2</v>
      </c>
      <c r="U325" s="37" t="s">
        <v>25</v>
      </c>
      <c r="V325"/>
    </row>
    <row r="326" spans="1:22" ht="34" x14ac:dyDescent="0.2">
      <c r="A326" s="36" t="s">
        <v>104</v>
      </c>
      <c r="B326" s="45" t="str">
        <f>VLOOKUP(Tabella1[[#This Row],[test_id]],experiments_specs!A:J,2,FALSE)</f>
        <v>NN,RB</v>
      </c>
      <c r="C326" s="38">
        <f>VLOOKUP(Tabella1[[#This Row],[test_id]],experiments_specs!A:J,3,FALSE)</f>
        <v>1</v>
      </c>
      <c r="D326" s="38">
        <f>VLOOKUP(Tabella1[[#This Row],[test_id]],experiments_specs!A:J,4,FALSE)</f>
        <v>2</v>
      </c>
      <c r="E326" s="38" t="str">
        <f>VLOOKUP(Tabella1[[#This Row],[test_id]],experiments_specs!A:J,5,FALSE)</f>
        <v>False</v>
      </c>
      <c r="F326" s="38" t="str">
        <f>VLOOKUP(Tabella1[[#This Row],[test_id]],experiments_specs!A:J,6,FALSE)</f>
        <v>True</v>
      </c>
      <c r="G326" s="38" t="str">
        <f>VLOOKUP(Tabella1[[#This Row],[test_id]],experiments_specs!A:J,7,FALSE)</f>
        <v>True</v>
      </c>
      <c r="H326" s="38" t="str">
        <f>VLOOKUP(Tabella1[[#This Row],[test_id]],experiments_specs!A:J,8,FALSE)</f>
        <v>True</v>
      </c>
      <c r="I326" s="45" t="str">
        <f>VLOOKUP(Tabella1[[#This Row],[test_id]],experiments_specs!A:J,9,FALSE)</f>
        <v>wup_similarity</v>
      </c>
      <c r="J326" s="38" t="str">
        <f>VLOOKUP(Tabella1[[#This Row],[test_id]],experiments_specs!A:J,10,FALSE)</f>
        <v>False</v>
      </c>
      <c r="K326" s="40" t="s">
        <v>14</v>
      </c>
      <c r="L326" s="36" t="s">
        <v>428</v>
      </c>
      <c r="M326" s="36">
        <v>0.1256148</v>
      </c>
      <c r="N326" s="36" t="s">
        <v>429</v>
      </c>
      <c r="O326" s="36">
        <v>6.1872999999999997E-3</v>
      </c>
      <c r="P326" s="36">
        <v>0.125</v>
      </c>
      <c r="Q326" s="36" t="s">
        <v>430</v>
      </c>
      <c r="R326" s="36">
        <v>9.2450000000000004E-2</v>
      </c>
      <c r="S326" s="36" t="s">
        <v>429</v>
      </c>
      <c r="T326" s="36">
        <v>1.11641E-2</v>
      </c>
      <c r="U326" s="37">
        <v>0.125</v>
      </c>
      <c r="V326"/>
    </row>
    <row r="327" spans="1:22" ht="17" x14ac:dyDescent="0.2">
      <c r="A327" s="36" t="s">
        <v>104</v>
      </c>
      <c r="B327" s="45" t="str">
        <f>VLOOKUP(Tabella1[[#This Row],[test_id]],experiments_specs!A:J,2,FALSE)</f>
        <v>NN,RB</v>
      </c>
      <c r="C327" s="38">
        <f>VLOOKUP(Tabella1[[#This Row],[test_id]],experiments_specs!A:J,3,FALSE)</f>
        <v>1</v>
      </c>
      <c r="D327" s="38">
        <f>VLOOKUP(Tabella1[[#This Row],[test_id]],experiments_specs!A:J,4,FALSE)</f>
        <v>2</v>
      </c>
      <c r="E327" s="38" t="str">
        <f>VLOOKUP(Tabella1[[#This Row],[test_id]],experiments_specs!A:J,5,FALSE)</f>
        <v>False</v>
      </c>
      <c r="F327" s="38" t="str">
        <f>VLOOKUP(Tabella1[[#This Row],[test_id]],experiments_specs!A:J,6,FALSE)</f>
        <v>True</v>
      </c>
      <c r="G327" s="38" t="str">
        <f>VLOOKUP(Tabella1[[#This Row],[test_id]],experiments_specs!A:J,7,FALSE)</f>
        <v>True</v>
      </c>
      <c r="H327" s="38" t="str">
        <f>VLOOKUP(Tabella1[[#This Row],[test_id]],experiments_specs!A:J,8,FALSE)</f>
        <v>True</v>
      </c>
      <c r="I327" s="45" t="str">
        <f>VLOOKUP(Tabella1[[#This Row],[test_id]],experiments_specs!A:J,9,FALSE)</f>
        <v>wup_similarity</v>
      </c>
      <c r="J327" s="38" t="str">
        <f>VLOOKUP(Tabella1[[#This Row],[test_id]],experiments_specs!A:J,10,FALSE)</f>
        <v>False</v>
      </c>
      <c r="K327" s="40" t="s">
        <v>15</v>
      </c>
      <c r="L327" s="36" t="s">
        <v>26</v>
      </c>
      <c r="M327" s="36">
        <v>0.19889799999999999</v>
      </c>
      <c r="N327" s="36" t="s">
        <v>27</v>
      </c>
      <c r="O327" s="36">
        <v>5.0321999999999997E-3</v>
      </c>
      <c r="P327" s="36">
        <v>0.16666666666666666</v>
      </c>
      <c r="Q327" s="36" t="s">
        <v>365</v>
      </c>
      <c r="R327" s="36">
        <v>7.1611400000000006E-2</v>
      </c>
      <c r="S327" s="36" t="s">
        <v>27</v>
      </c>
      <c r="T327" s="36">
        <v>1.24644E-2</v>
      </c>
      <c r="U327" s="37">
        <v>0.16666666666666666</v>
      </c>
      <c r="V327"/>
    </row>
    <row r="328" spans="1:22" ht="17" x14ac:dyDescent="0.2">
      <c r="A328" s="36" t="s">
        <v>104</v>
      </c>
      <c r="B328" s="45" t="str">
        <f>VLOOKUP(Tabella1[[#This Row],[test_id]],experiments_specs!A:J,2,FALSE)</f>
        <v>NN,RB</v>
      </c>
      <c r="C328" s="38">
        <f>VLOOKUP(Tabella1[[#This Row],[test_id]],experiments_specs!A:J,3,FALSE)</f>
        <v>1</v>
      </c>
      <c r="D328" s="38">
        <f>VLOOKUP(Tabella1[[#This Row],[test_id]],experiments_specs!A:J,4,FALSE)</f>
        <v>2</v>
      </c>
      <c r="E328" s="38" t="str">
        <f>VLOOKUP(Tabella1[[#This Row],[test_id]],experiments_specs!A:J,5,FALSE)</f>
        <v>False</v>
      </c>
      <c r="F328" s="38" t="str">
        <f>VLOOKUP(Tabella1[[#This Row],[test_id]],experiments_specs!A:J,6,FALSE)</f>
        <v>True</v>
      </c>
      <c r="G328" s="38" t="str">
        <f>VLOOKUP(Tabella1[[#This Row],[test_id]],experiments_specs!A:J,7,FALSE)</f>
        <v>True</v>
      </c>
      <c r="H328" s="38" t="str">
        <f>VLOOKUP(Tabella1[[#This Row],[test_id]],experiments_specs!A:J,8,FALSE)</f>
        <v>True</v>
      </c>
      <c r="I328" s="45" t="str">
        <f>VLOOKUP(Tabella1[[#This Row],[test_id]],experiments_specs!A:J,9,FALSE)</f>
        <v>wup_similarity</v>
      </c>
      <c r="J328" s="38" t="str">
        <f>VLOOKUP(Tabella1[[#This Row],[test_id]],experiments_specs!A:J,10,FALSE)</f>
        <v>False</v>
      </c>
      <c r="K328" s="40" t="s">
        <v>16</v>
      </c>
      <c r="L328" s="36" t="s">
        <v>208</v>
      </c>
      <c r="M328" s="36">
        <v>0.1977969</v>
      </c>
      <c r="N328" s="36" t="s">
        <v>431</v>
      </c>
      <c r="O328" s="36">
        <v>3.5236E-3</v>
      </c>
      <c r="P328" s="36">
        <v>0.55555555555555558</v>
      </c>
      <c r="Q328" s="36" t="s">
        <v>432</v>
      </c>
      <c r="R328" s="36">
        <v>0.19749240000000001</v>
      </c>
      <c r="S328" s="36" t="s">
        <v>433</v>
      </c>
      <c r="T328" s="36">
        <v>5.3680000000000004E-3</v>
      </c>
      <c r="U328" s="37">
        <v>0.13333333333333333</v>
      </c>
      <c r="V328"/>
    </row>
    <row r="329" spans="1:22" ht="17" x14ac:dyDescent="0.2">
      <c r="A329" s="36" t="s">
        <v>104</v>
      </c>
      <c r="B329" s="45" t="str">
        <f>VLOOKUP(Tabella1[[#This Row],[test_id]],experiments_specs!A:J,2,FALSE)</f>
        <v>NN,RB</v>
      </c>
      <c r="C329" s="38">
        <f>VLOOKUP(Tabella1[[#This Row],[test_id]],experiments_specs!A:J,3,FALSE)</f>
        <v>1</v>
      </c>
      <c r="D329" s="38">
        <f>VLOOKUP(Tabella1[[#This Row],[test_id]],experiments_specs!A:J,4,FALSE)</f>
        <v>2</v>
      </c>
      <c r="E329" s="38" t="str">
        <f>VLOOKUP(Tabella1[[#This Row],[test_id]],experiments_specs!A:J,5,FALSE)</f>
        <v>False</v>
      </c>
      <c r="F329" s="38" t="str">
        <f>VLOOKUP(Tabella1[[#This Row],[test_id]],experiments_specs!A:J,6,FALSE)</f>
        <v>True</v>
      </c>
      <c r="G329" s="38" t="str">
        <f>VLOOKUP(Tabella1[[#This Row],[test_id]],experiments_specs!A:J,7,FALSE)</f>
        <v>True</v>
      </c>
      <c r="H329" s="38" t="str">
        <f>VLOOKUP(Tabella1[[#This Row],[test_id]],experiments_specs!A:J,8,FALSE)</f>
        <v>True</v>
      </c>
      <c r="I329" s="45" t="str">
        <f>VLOOKUP(Tabella1[[#This Row],[test_id]],experiments_specs!A:J,9,FALSE)</f>
        <v>wup_similarity</v>
      </c>
      <c r="J329" s="38" t="str">
        <f>VLOOKUP(Tabella1[[#This Row],[test_id]],experiments_specs!A:J,10,FALSE)</f>
        <v>False</v>
      </c>
      <c r="K329" s="40" t="s">
        <v>17</v>
      </c>
      <c r="L329" s="36" t="s">
        <v>218</v>
      </c>
      <c r="M329" s="36">
        <v>0.2159671</v>
      </c>
      <c r="N329" s="36" t="s">
        <v>219</v>
      </c>
      <c r="O329" s="36">
        <v>2.8871000000000001E-3</v>
      </c>
      <c r="P329" s="36">
        <v>0.13333333333333333</v>
      </c>
      <c r="Q329" s="36" t="s">
        <v>434</v>
      </c>
      <c r="R329" s="36">
        <v>6.1084699999999999E-2</v>
      </c>
      <c r="S329" s="36" t="s">
        <v>435</v>
      </c>
      <c r="T329" s="36">
        <v>7.0042999999999998E-3</v>
      </c>
      <c r="U329" s="37">
        <v>0.44444444444444442</v>
      </c>
      <c r="V329"/>
    </row>
    <row r="330" spans="1:22" ht="34" x14ac:dyDescent="0.2">
      <c r="A330" s="36" t="s">
        <v>104</v>
      </c>
      <c r="B330" s="45" t="str">
        <f>VLOOKUP(Tabella1[[#This Row],[test_id]],experiments_specs!A:J,2,FALSE)</f>
        <v>NN,RB</v>
      </c>
      <c r="C330" s="38">
        <f>VLOOKUP(Tabella1[[#This Row],[test_id]],experiments_specs!A:J,3,FALSE)</f>
        <v>1</v>
      </c>
      <c r="D330" s="38">
        <f>VLOOKUP(Tabella1[[#This Row],[test_id]],experiments_specs!A:J,4,FALSE)</f>
        <v>2</v>
      </c>
      <c r="E330" s="38" t="str">
        <f>VLOOKUP(Tabella1[[#This Row],[test_id]],experiments_specs!A:J,5,FALSE)</f>
        <v>False</v>
      </c>
      <c r="F330" s="38" t="str">
        <f>VLOOKUP(Tabella1[[#This Row],[test_id]],experiments_specs!A:J,6,FALSE)</f>
        <v>True</v>
      </c>
      <c r="G330" s="38" t="str">
        <f>VLOOKUP(Tabella1[[#This Row],[test_id]],experiments_specs!A:J,7,FALSE)</f>
        <v>True</v>
      </c>
      <c r="H330" s="38" t="str">
        <f>VLOOKUP(Tabella1[[#This Row],[test_id]],experiments_specs!A:J,8,FALSE)</f>
        <v>True</v>
      </c>
      <c r="I330" s="45" t="str">
        <f>VLOOKUP(Tabella1[[#This Row],[test_id]],experiments_specs!A:J,9,FALSE)</f>
        <v>wup_similarity</v>
      </c>
      <c r="J330" s="38" t="str">
        <f>VLOOKUP(Tabella1[[#This Row],[test_id]],experiments_specs!A:J,10,FALSE)</f>
        <v>False</v>
      </c>
      <c r="K330" s="40" t="s">
        <v>18</v>
      </c>
      <c r="L330" s="36" t="s">
        <v>222</v>
      </c>
      <c r="M330" s="36">
        <v>0.1231288</v>
      </c>
      <c r="N330" s="36" t="s">
        <v>223</v>
      </c>
      <c r="O330" s="36">
        <v>2.6730999999999999E-3</v>
      </c>
      <c r="P330" s="36">
        <v>0.21052631578947367</v>
      </c>
      <c r="Q330" s="36" t="s">
        <v>46</v>
      </c>
      <c r="R330" s="36">
        <v>5.4272500000000001E-2</v>
      </c>
      <c r="S330" s="36" t="s">
        <v>436</v>
      </c>
      <c r="T330" s="36">
        <v>3.6635999999999999E-3</v>
      </c>
      <c r="U330" s="37">
        <v>0.22222222222222221</v>
      </c>
      <c r="V330"/>
    </row>
    <row r="331" spans="1:22" ht="17" x14ac:dyDescent="0.2">
      <c r="A331" s="36" t="s">
        <v>105</v>
      </c>
      <c r="B331" s="45" t="str">
        <f>VLOOKUP(Tabella1[[#This Row],[test_id]],experiments_specs!A:J,2,FALSE)</f>
        <v>NN,JJ,VB,VBD,VBG,VBN,VBP,VBZ</v>
      </c>
      <c r="C331" s="38">
        <f>VLOOKUP(Tabella1[[#This Row],[test_id]],experiments_specs!A:J,3,FALSE)</f>
        <v>1</v>
      </c>
      <c r="D331" s="38">
        <f>VLOOKUP(Tabella1[[#This Row],[test_id]],experiments_specs!A:J,4,FALSE)</f>
        <v>2</v>
      </c>
      <c r="E331" s="38" t="str">
        <f>VLOOKUP(Tabella1[[#This Row],[test_id]],experiments_specs!A:J,5,FALSE)</f>
        <v>False</v>
      </c>
      <c r="F331" s="38" t="str">
        <f>VLOOKUP(Tabella1[[#This Row],[test_id]],experiments_specs!A:J,6,FALSE)</f>
        <v>True</v>
      </c>
      <c r="G331" s="38" t="str">
        <f>VLOOKUP(Tabella1[[#This Row],[test_id]],experiments_specs!A:J,7,FALSE)</f>
        <v>True</v>
      </c>
      <c r="H331" s="38" t="str">
        <f>VLOOKUP(Tabella1[[#This Row],[test_id]],experiments_specs!A:J,8,FALSE)</f>
        <v>True</v>
      </c>
      <c r="I331" s="45" t="str">
        <f>VLOOKUP(Tabella1[[#This Row],[test_id]],experiments_specs!A:J,9,FALSE)</f>
        <v>wup_similarity</v>
      </c>
      <c r="J331" s="38" t="str">
        <f>VLOOKUP(Tabella1[[#This Row],[test_id]],experiments_specs!A:J,10,FALSE)</f>
        <v>False</v>
      </c>
      <c r="K331" s="40" t="s">
        <v>19</v>
      </c>
      <c r="L331" s="36" t="s">
        <v>225</v>
      </c>
      <c r="M331" s="36">
        <v>0.13258249999999999</v>
      </c>
      <c r="N331" s="36" t="s">
        <v>226</v>
      </c>
      <c r="O331" s="36">
        <v>2.0379999999999999E-3</v>
      </c>
      <c r="P331" s="36">
        <v>0.17391304347826086</v>
      </c>
      <c r="Q331" s="36" t="s">
        <v>227</v>
      </c>
      <c r="R331" s="36">
        <v>8.3852499999999996E-2</v>
      </c>
      <c r="S331" s="36" t="s">
        <v>437</v>
      </c>
      <c r="T331" s="36">
        <v>8.0716999999999994E-3</v>
      </c>
      <c r="U331" s="37">
        <v>0.11764705882352941</v>
      </c>
      <c r="V331"/>
    </row>
    <row r="332" spans="1:22" ht="17" x14ac:dyDescent="0.2">
      <c r="A332" s="36" t="s">
        <v>105</v>
      </c>
      <c r="B332" s="45" t="str">
        <f>VLOOKUP(Tabella1[[#This Row],[test_id]],experiments_specs!A:J,2,FALSE)</f>
        <v>NN,JJ,VB,VBD,VBG,VBN,VBP,VBZ</v>
      </c>
      <c r="C332" s="38">
        <f>VLOOKUP(Tabella1[[#This Row],[test_id]],experiments_specs!A:J,3,FALSE)</f>
        <v>1</v>
      </c>
      <c r="D332" s="38">
        <f>VLOOKUP(Tabella1[[#This Row],[test_id]],experiments_specs!A:J,4,FALSE)</f>
        <v>2</v>
      </c>
      <c r="E332" s="38" t="str">
        <f>VLOOKUP(Tabella1[[#This Row],[test_id]],experiments_specs!A:J,5,FALSE)</f>
        <v>False</v>
      </c>
      <c r="F332" s="38" t="str">
        <f>VLOOKUP(Tabella1[[#This Row],[test_id]],experiments_specs!A:J,6,FALSE)</f>
        <v>True</v>
      </c>
      <c r="G332" s="38" t="str">
        <f>VLOOKUP(Tabella1[[#This Row],[test_id]],experiments_specs!A:J,7,FALSE)</f>
        <v>True</v>
      </c>
      <c r="H332" s="38" t="str">
        <f>VLOOKUP(Tabella1[[#This Row],[test_id]],experiments_specs!A:J,8,FALSE)</f>
        <v>True</v>
      </c>
      <c r="I332" s="45" t="str">
        <f>VLOOKUP(Tabella1[[#This Row],[test_id]],experiments_specs!A:J,9,FALSE)</f>
        <v>wup_similarity</v>
      </c>
      <c r="J332" s="38" t="str">
        <f>VLOOKUP(Tabella1[[#This Row],[test_id]],experiments_specs!A:J,10,FALSE)</f>
        <v>False</v>
      </c>
      <c r="K332" s="40" t="s">
        <v>12</v>
      </c>
      <c r="L332" s="36" t="s">
        <v>251</v>
      </c>
      <c r="M332" s="36">
        <v>0.2312333</v>
      </c>
      <c r="N332" s="36" t="s">
        <v>236</v>
      </c>
      <c r="O332" s="36">
        <v>2.8253000000000002E-3</v>
      </c>
      <c r="P332" s="36">
        <v>0.125</v>
      </c>
      <c r="Q332" s="36" t="s">
        <v>235</v>
      </c>
      <c r="R332" s="36">
        <v>9.7618999999999997E-2</v>
      </c>
      <c r="S332" s="36" t="s">
        <v>251</v>
      </c>
      <c r="T332" s="36">
        <v>8.0850000000000002E-3</v>
      </c>
      <c r="U332" s="37">
        <v>0.13333333333333333</v>
      </c>
      <c r="V332"/>
    </row>
    <row r="333" spans="1:22" ht="17" x14ac:dyDescent="0.2">
      <c r="A333" s="36" t="s">
        <v>105</v>
      </c>
      <c r="B333" s="45" t="str">
        <f>VLOOKUP(Tabella1[[#This Row],[test_id]],experiments_specs!A:J,2,FALSE)</f>
        <v>NN,JJ,VB,VBD,VBG,VBN,VBP,VBZ</v>
      </c>
      <c r="C333" s="38">
        <f>VLOOKUP(Tabella1[[#This Row],[test_id]],experiments_specs!A:J,3,FALSE)</f>
        <v>1</v>
      </c>
      <c r="D333" s="38">
        <f>VLOOKUP(Tabella1[[#This Row],[test_id]],experiments_specs!A:J,4,FALSE)</f>
        <v>2</v>
      </c>
      <c r="E333" s="38" t="str">
        <f>VLOOKUP(Tabella1[[#This Row],[test_id]],experiments_specs!A:J,5,FALSE)</f>
        <v>False</v>
      </c>
      <c r="F333" s="38" t="str">
        <f>VLOOKUP(Tabella1[[#This Row],[test_id]],experiments_specs!A:J,6,FALSE)</f>
        <v>True</v>
      </c>
      <c r="G333" s="38" t="str">
        <f>VLOOKUP(Tabella1[[#This Row],[test_id]],experiments_specs!A:J,7,FALSE)</f>
        <v>True</v>
      </c>
      <c r="H333" s="38" t="str">
        <f>VLOOKUP(Tabella1[[#This Row],[test_id]],experiments_specs!A:J,8,FALSE)</f>
        <v>True</v>
      </c>
      <c r="I333" s="45" t="str">
        <f>VLOOKUP(Tabella1[[#This Row],[test_id]],experiments_specs!A:J,9,FALSE)</f>
        <v>wup_similarity</v>
      </c>
      <c r="J333" s="38" t="str">
        <f>VLOOKUP(Tabella1[[#This Row],[test_id]],experiments_specs!A:J,10,FALSE)</f>
        <v>False</v>
      </c>
      <c r="K333" s="40" t="s">
        <v>13</v>
      </c>
      <c r="L333" s="36" t="s">
        <v>425</v>
      </c>
      <c r="M333" s="36">
        <v>0.1058018</v>
      </c>
      <c r="N333" s="36" t="s">
        <v>426</v>
      </c>
      <c r="O333" s="36">
        <v>6.2285999999999999E-3</v>
      </c>
      <c r="P333" s="36" t="s">
        <v>25</v>
      </c>
      <c r="Q333" s="36" t="s">
        <v>252</v>
      </c>
      <c r="R333" s="36">
        <v>0.1018963</v>
      </c>
      <c r="S333" s="36" t="s">
        <v>441</v>
      </c>
      <c r="T333" s="36">
        <v>8.5092999999999992E-3</v>
      </c>
      <c r="U333" s="37">
        <v>0.33333333333333331</v>
      </c>
      <c r="V333"/>
    </row>
    <row r="334" spans="1:22" ht="34" x14ac:dyDescent="0.2">
      <c r="A334" s="36" t="s">
        <v>105</v>
      </c>
      <c r="B334" s="45" t="str">
        <f>VLOOKUP(Tabella1[[#This Row],[test_id]],experiments_specs!A:J,2,FALSE)</f>
        <v>NN,JJ,VB,VBD,VBG,VBN,VBP,VBZ</v>
      </c>
      <c r="C334" s="38">
        <f>VLOOKUP(Tabella1[[#This Row],[test_id]],experiments_specs!A:J,3,FALSE)</f>
        <v>1</v>
      </c>
      <c r="D334" s="38">
        <f>VLOOKUP(Tabella1[[#This Row],[test_id]],experiments_specs!A:J,4,FALSE)</f>
        <v>2</v>
      </c>
      <c r="E334" s="38" t="str">
        <f>VLOOKUP(Tabella1[[#This Row],[test_id]],experiments_specs!A:J,5,FALSE)</f>
        <v>False</v>
      </c>
      <c r="F334" s="38" t="str">
        <f>VLOOKUP(Tabella1[[#This Row],[test_id]],experiments_specs!A:J,6,FALSE)</f>
        <v>True</v>
      </c>
      <c r="G334" s="38" t="str">
        <f>VLOOKUP(Tabella1[[#This Row],[test_id]],experiments_specs!A:J,7,FALSE)</f>
        <v>True</v>
      </c>
      <c r="H334" s="38" t="str">
        <f>VLOOKUP(Tabella1[[#This Row],[test_id]],experiments_specs!A:J,8,FALSE)</f>
        <v>True</v>
      </c>
      <c r="I334" s="45" t="str">
        <f>VLOOKUP(Tabella1[[#This Row],[test_id]],experiments_specs!A:J,9,FALSE)</f>
        <v>wup_similarity</v>
      </c>
      <c r="J334" s="38" t="str">
        <f>VLOOKUP(Tabella1[[#This Row],[test_id]],experiments_specs!A:J,10,FALSE)</f>
        <v>False</v>
      </c>
      <c r="K334" s="40" t="s">
        <v>14</v>
      </c>
      <c r="L334" s="36" t="s">
        <v>428</v>
      </c>
      <c r="M334" s="36">
        <v>0.1248172</v>
      </c>
      <c r="N334" s="36" t="s">
        <v>429</v>
      </c>
      <c r="O334" s="36">
        <v>3.4951000000000001E-3</v>
      </c>
      <c r="P334" s="36">
        <v>0.125</v>
      </c>
      <c r="Q334" s="36" t="s">
        <v>430</v>
      </c>
      <c r="R334" s="36">
        <v>9.1863E-2</v>
      </c>
      <c r="S334" s="36" t="s">
        <v>429</v>
      </c>
      <c r="T334" s="36">
        <v>6.8957999999999997E-3</v>
      </c>
      <c r="U334" s="37">
        <v>0.125</v>
      </c>
      <c r="V334"/>
    </row>
    <row r="335" spans="1:22" ht="17" x14ac:dyDescent="0.2">
      <c r="A335" s="36" t="s">
        <v>105</v>
      </c>
      <c r="B335" s="45" t="str">
        <f>VLOOKUP(Tabella1[[#This Row],[test_id]],experiments_specs!A:J,2,FALSE)</f>
        <v>NN,JJ,VB,VBD,VBG,VBN,VBP,VBZ</v>
      </c>
      <c r="C335" s="38">
        <f>VLOOKUP(Tabella1[[#This Row],[test_id]],experiments_specs!A:J,3,FALSE)</f>
        <v>1</v>
      </c>
      <c r="D335" s="38">
        <f>VLOOKUP(Tabella1[[#This Row],[test_id]],experiments_specs!A:J,4,FALSE)</f>
        <v>2</v>
      </c>
      <c r="E335" s="38" t="str">
        <f>VLOOKUP(Tabella1[[#This Row],[test_id]],experiments_specs!A:J,5,FALSE)</f>
        <v>False</v>
      </c>
      <c r="F335" s="38" t="str">
        <f>VLOOKUP(Tabella1[[#This Row],[test_id]],experiments_specs!A:J,6,FALSE)</f>
        <v>True</v>
      </c>
      <c r="G335" s="38" t="str">
        <f>VLOOKUP(Tabella1[[#This Row],[test_id]],experiments_specs!A:J,7,FALSE)</f>
        <v>True</v>
      </c>
      <c r="H335" s="38" t="str">
        <f>VLOOKUP(Tabella1[[#This Row],[test_id]],experiments_specs!A:J,8,FALSE)</f>
        <v>True</v>
      </c>
      <c r="I335" s="45" t="str">
        <f>VLOOKUP(Tabella1[[#This Row],[test_id]],experiments_specs!A:J,9,FALSE)</f>
        <v>wup_similarity</v>
      </c>
      <c r="J335" s="38" t="str">
        <f>VLOOKUP(Tabella1[[#This Row],[test_id]],experiments_specs!A:J,10,FALSE)</f>
        <v>False</v>
      </c>
      <c r="K335" s="40" t="s">
        <v>15</v>
      </c>
      <c r="L335" s="36" t="s">
        <v>442</v>
      </c>
      <c r="M335" s="36">
        <v>0.18926399999999999</v>
      </c>
      <c r="N335" s="36" t="s">
        <v>443</v>
      </c>
      <c r="O335" s="36">
        <v>3.3790000000000001E-3</v>
      </c>
      <c r="P335" s="36">
        <v>0.2</v>
      </c>
      <c r="Q335" s="36" t="s">
        <v>383</v>
      </c>
      <c r="R335" s="36">
        <v>0.1151824</v>
      </c>
      <c r="S335" s="36" t="s">
        <v>443</v>
      </c>
      <c r="T335" s="36">
        <v>1.4264600000000001E-2</v>
      </c>
      <c r="U335" s="37">
        <v>0.2</v>
      </c>
      <c r="V335"/>
    </row>
    <row r="336" spans="1:22" ht="17" x14ac:dyDescent="0.2">
      <c r="A336" s="36" t="s">
        <v>105</v>
      </c>
      <c r="B336" s="45" t="str">
        <f>VLOOKUP(Tabella1[[#This Row],[test_id]],experiments_specs!A:J,2,FALSE)</f>
        <v>NN,JJ,VB,VBD,VBG,VBN,VBP,VBZ</v>
      </c>
      <c r="C336" s="38">
        <f>VLOOKUP(Tabella1[[#This Row],[test_id]],experiments_specs!A:J,3,FALSE)</f>
        <v>1</v>
      </c>
      <c r="D336" s="38">
        <f>VLOOKUP(Tabella1[[#This Row],[test_id]],experiments_specs!A:J,4,FALSE)</f>
        <v>2</v>
      </c>
      <c r="E336" s="38" t="str">
        <f>VLOOKUP(Tabella1[[#This Row],[test_id]],experiments_specs!A:J,5,FALSE)</f>
        <v>False</v>
      </c>
      <c r="F336" s="38" t="str">
        <f>VLOOKUP(Tabella1[[#This Row],[test_id]],experiments_specs!A:J,6,FALSE)</f>
        <v>True</v>
      </c>
      <c r="G336" s="38" t="str">
        <f>VLOOKUP(Tabella1[[#This Row],[test_id]],experiments_specs!A:J,7,FALSE)</f>
        <v>True</v>
      </c>
      <c r="H336" s="38" t="str">
        <f>VLOOKUP(Tabella1[[#This Row],[test_id]],experiments_specs!A:J,8,FALSE)</f>
        <v>True</v>
      </c>
      <c r="I336" s="45" t="str">
        <f>VLOOKUP(Tabella1[[#This Row],[test_id]],experiments_specs!A:J,9,FALSE)</f>
        <v>wup_similarity</v>
      </c>
      <c r="J336" s="38" t="str">
        <f>VLOOKUP(Tabella1[[#This Row],[test_id]],experiments_specs!A:J,10,FALSE)</f>
        <v>False</v>
      </c>
      <c r="K336" s="40" t="s">
        <v>16</v>
      </c>
      <c r="L336" s="36" t="s">
        <v>208</v>
      </c>
      <c r="M336" s="36">
        <v>0.1964185</v>
      </c>
      <c r="N336" s="36" t="s">
        <v>431</v>
      </c>
      <c r="O336" s="36">
        <v>2.7215E-3</v>
      </c>
      <c r="P336" s="36">
        <v>0.55555555555555558</v>
      </c>
      <c r="Q336" s="36" t="s">
        <v>444</v>
      </c>
      <c r="R336" s="36">
        <v>5.8925499999999999E-2</v>
      </c>
      <c r="S336" s="36" t="s">
        <v>445</v>
      </c>
      <c r="T336" s="36">
        <v>5.7742999999999996E-3</v>
      </c>
      <c r="U336" s="37">
        <v>0.14285714285714285</v>
      </c>
      <c r="V336"/>
    </row>
    <row r="337" spans="1:22" ht="17" x14ac:dyDescent="0.2">
      <c r="A337" s="36" t="s">
        <v>105</v>
      </c>
      <c r="B337" s="45" t="str">
        <f>VLOOKUP(Tabella1[[#This Row],[test_id]],experiments_specs!A:J,2,FALSE)</f>
        <v>NN,JJ,VB,VBD,VBG,VBN,VBP,VBZ</v>
      </c>
      <c r="C337" s="38">
        <f>VLOOKUP(Tabella1[[#This Row],[test_id]],experiments_specs!A:J,3,FALSE)</f>
        <v>1</v>
      </c>
      <c r="D337" s="38">
        <f>VLOOKUP(Tabella1[[#This Row],[test_id]],experiments_specs!A:J,4,FALSE)</f>
        <v>2</v>
      </c>
      <c r="E337" s="38" t="str">
        <f>VLOOKUP(Tabella1[[#This Row],[test_id]],experiments_specs!A:J,5,FALSE)</f>
        <v>False</v>
      </c>
      <c r="F337" s="38" t="str">
        <f>VLOOKUP(Tabella1[[#This Row],[test_id]],experiments_specs!A:J,6,FALSE)</f>
        <v>True</v>
      </c>
      <c r="G337" s="38" t="str">
        <f>VLOOKUP(Tabella1[[#This Row],[test_id]],experiments_specs!A:J,7,FALSE)</f>
        <v>True</v>
      </c>
      <c r="H337" s="38" t="str">
        <f>VLOOKUP(Tabella1[[#This Row],[test_id]],experiments_specs!A:J,8,FALSE)</f>
        <v>True</v>
      </c>
      <c r="I337" s="45" t="str">
        <f>VLOOKUP(Tabella1[[#This Row],[test_id]],experiments_specs!A:J,9,FALSE)</f>
        <v>wup_similarity</v>
      </c>
      <c r="J337" s="38" t="str">
        <f>VLOOKUP(Tabella1[[#This Row],[test_id]],experiments_specs!A:J,10,FALSE)</f>
        <v>False</v>
      </c>
      <c r="K337" s="40" t="s">
        <v>17</v>
      </c>
      <c r="L337" s="36" t="s">
        <v>218</v>
      </c>
      <c r="M337" s="36">
        <v>0.21437320000000001</v>
      </c>
      <c r="N337" s="36" t="s">
        <v>219</v>
      </c>
      <c r="O337" s="36">
        <v>2.4718000000000001E-3</v>
      </c>
      <c r="P337" s="36">
        <v>0.13333333333333333</v>
      </c>
      <c r="Q337" s="36" t="s">
        <v>30</v>
      </c>
      <c r="R337" s="36">
        <v>0.14002800000000001</v>
      </c>
      <c r="S337" s="36" t="s">
        <v>446</v>
      </c>
      <c r="T337" s="36">
        <v>1.20407E-2</v>
      </c>
      <c r="U337" s="37">
        <v>0.22222222222222221</v>
      </c>
      <c r="V337"/>
    </row>
    <row r="338" spans="1:22" ht="17" x14ac:dyDescent="0.2">
      <c r="A338" s="36" t="s">
        <v>105</v>
      </c>
      <c r="B338" s="45" t="str">
        <f>VLOOKUP(Tabella1[[#This Row],[test_id]],experiments_specs!A:J,2,FALSE)</f>
        <v>NN,JJ,VB,VBD,VBG,VBN,VBP,VBZ</v>
      </c>
      <c r="C338" s="38">
        <f>VLOOKUP(Tabella1[[#This Row],[test_id]],experiments_specs!A:J,3,FALSE)</f>
        <v>1</v>
      </c>
      <c r="D338" s="38">
        <f>VLOOKUP(Tabella1[[#This Row],[test_id]],experiments_specs!A:J,4,FALSE)</f>
        <v>2</v>
      </c>
      <c r="E338" s="38" t="str">
        <f>VLOOKUP(Tabella1[[#This Row],[test_id]],experiments_specs!A:J,5,FALSE)</f>
        <v>False</v>
      </c>
      <c r="F338" s="38" t="str">
        <f>VLOOKUP(Tabella1[[#This Row],[test_id]],experiments_specs!A:J,6,FALSE)</f>
        <v>True</v>
      </c>
      <c r="G338" s="38" t="str">
        <f>VLOOKUP(Tabella1[[#This Row],[test_id]],experiments_specs!A:J,7,FALSE)</f>
        <v>True</v>
      </c>
      <c r="H338" s="38" t="str">
        <f>VLOOKUP(Tabella1[[#This Row],[test_id]],experiments_specs!A:J,8,FALSE)</f>
        <v>True</v>
      </c>
      <c r="I338" s="45" t="str">
        <f>VLOOKUP(Tabella1[[#This Row],[test_id]],experiments_specs!A:J,9,FALSE)</f>
        <v>wup_similarity</v>
      </c>
      <c r="J338" s="38" t="str">
        <f>VLOOKUP(Tabella1[[#This Row],[test_id]],experiments_specs!A:J,10,FALSE)</f>
        <v>False</v>
      </c>
      <c r="K338" s="40" t="s">
        <v>18</v>
      </c>
      <c r="L338" s="36" t="s">
        <v>222</v>
      </c>
      <c r="M338" s="36">
        <v>0.1212678</v>
      </c>
      <c r="N338" s="36" t="s">
        <v>223</v>
      </c>
      <c r="O338" s="36">
        <v>1.2037E-3</v>
      </c>
      <c r="P338" s="36">
        <v>0.21052631578947367</v>
      </c>
      <c r="Q338" s="36" t="s">
        <v>388</v>
      </c>
      <c r="R338" s="36">
        <v>5.7735000000000002E-2</v>
      </c>
      <c r="S338" s="36" t="s">
        <v>440</v>
      </c>
      <c r="T338" s="36">
        <v>5.3593E-3</v>
      </c>
      <c r="U338" s="37">
        <v>0.11764705882352941</v>
      </c>
      <c r="V338"/>
    </row>
    <row r="339" spans="1:22" ht="17" x14ac:dyDescent="0.2">
      <c r="A339" s="36" t="s">
        <v>106</v>
      </c>
      <c r="B339" s="45" t="str">
        <f>VLOOKUP(Tabella1[[#This Row],[test_id]],experiments_specs!A:J,2,FALSE)</f>
        <v>NN</v>
      </c>
      <c r="C339" s="38">
        <f>VLOOKUP(Tabella1[[#This Row],[test_id]],experiments_specs!A:J,3,FALSE)</f>
        <v>1</v>
      </c>
      <c r="D339" s="38">
        <f>VLOOKUP(Tabella1[[#This Row],[test_id]],experiments_specs!A:J,4,FALSE)</f>
        <v>2</v>
      </c>
      <c r="E339" s="38" t="str">
        <f>VLOOKUP(Tabella1[[#This Row],[test_id]],experiments_specs!A:J,5,FALSE)</f>
        <v>True</v>
      </c>
      <c r="F339" s="38" t="str">
        <f>VLOOKUP(Tabella1[[#This Row],[test_id]],experiments_specs!A:J,6,FALSE)</f>
        <v>True</v>
      </c>
      <c r="G339" s="38" t="str">
        <f>VLOOKUP(Tabella1[[#This Row],[test_id]],experiments_specs!A:J,7,FALSE)</f>
        <v>True</v>
      </c>
      <c r="H339" s="38" t="str">
        <f>VLOOKUP(Tabella1[[#This Row],[test_id]],experiments_specs!A:J,8,FALSE)</f>
        <v>True</v>
      </c>
      <c r="I339" s="45" t="str">
        <f>VLOOKUP(Tabella1[[#This Row],[test_id]],experiments_specs!A:J,9,FALSE)</f>
        <v>wup_similarity</v>
      </c>
      <c r="J339" s="38" t="str">
        <f>VLOOKUP(Tabella1[[#This Row],[test_id]],experiments_specs!A:J,10,FALSE)</f>
        <v>False</v>
      </c>
      <c r="K339" s="40" t="s">
        <v>19</v>
      </c>
      <c r="L339" s="36" t="s">
        <v>354</v>
      </c>
      <c r="M339" s="36">
        <v>0.1404878</v>
      </c>
      <c r="N339" s="36" t="s">
        <v>288</v>
      </c>
      <c r="O339" s="36">
        <v>2.2846499999999999E-2</v>
      </c>
      <c r="P339" s="36">
        <v>0.19047619047619047</v>
      </c>
      <c r="Q339" s="36" t="s">
        <v>47</v>
      </c>
      <c r="R339" s="36">
        <v>0.11020770000000001</v>
      </c>
      <c r="S339" s="36" t="s">
        <v>447</v>
      </c>
      <c r="T339" s="36">
        <v>2.95763E-2</v>
      </c>
      <c r="U339" s="37">
        <v>0.19047619047619047</v>
      </c>
      <c r="V339"/>
    </row>
    <row r="340" spans="1:22" ht="17" x14ac:dyDescent="0.2">
      <c r="A340" s="36" t="s">
        <v>106</v>
      </c>
      <c r="B340" s="45" t="str">
        <f>VLOOKUP(Tabella1[[#This Row],[test_id]],experiments_specs!A:J,2,FALSE)</f>
        <v>NN</v>
      </c>
      <c r="C340" s="38">
        <f>VLOOKUP(Tabella1[[#This Row],[test_id]],experiments_specs!A:J,3,FALSE)</f>
        <v>1</v>
      </c>
      <c r="D340" s="38">
        <f>VLOOKUP(Tabella1[[#This Row],[test_id]],experiments_specs!A:J,4,FALSE)</f>
        <v>2</v>
      </c>
      <c r="E340" s="38" t="str">
        <f>VLOOKUP(Tabella1[[#This Row],[test_id]],experiments_specs!A:J,5,FALSE)</f>
        <v>True</v>
      </c>
      <c r="F340" s="38" t="str">
        <f>VLOOKUP(Tabella1[[#This Row],[test_id]],experiments_specs!A:J,6,FALSE)</f>
        <v>True</v>
      </c>
      <c r="G340" s="38" t="str">
        <f>VLOOKUP(Tabella1[[#This Row],[test_id]],experiments_specs!A:J,7,FALSE)</f>
        <v>True</v>
      </c>
      <c r="H340" s="38" t="str">
        <f>VLOOKUP(Tabella1[[#This Row],[test_id]],experiments_specs!A:J,8,FALSE)</f>
        <v>True</v>
      </c>
      <c r="I340" s="45" t="str">
        <f>VLOOKUP(Tabella1[[#This Row],[test_id]],experiments_specs!A:J,9,FALSE)</f>
        <v>wup_similarity</v>
      </c>
      <c r="J340" s="38" t="str">
        <f>VLOOKUP(Tabella1[[#This Row],[test_id]],experiments_specs!A:J,10,FALSE)</f>
        <v>False</v>
      </c>
      <c r="K340" s="40" t="s">
        <v>12</v>
      </c>
      <c r="L340" s="36" t="s">
        <v>22</v>
      </c>
      <c r="M340" s="36">
        <v>0.13693060000000001</v>
      </c>
      <c r="N340" s="36" t="s">
        <v>23</v>
      </c>
      <c r="O340" s="36">
        <v>4.3249900000000001E-2</v>
      </c>
      <c r="P340" s="36">
        <v>0.42857142857142855</v>
      </c>
      <c r="Q340" s="36" t="s">
        <v>24</v>
      </c>
      <c r="R340" s="36">
        <v>0.1167748</v>
      </c>
      <c r="S340" s="36" t="s">
        <v>448</v>
      </c>
      <c r="T340" s="36">
        <v>6.7770800000000006E-2</v>
      </c>
      <c r="U340" s="37">
        <v>0.42857142857142855</v>
      </c>
      <c r="V340"/>
    </row>
    <row r="341" spans="1:22" ht="17" x14ac:dyDescent="0.2">
      <c r="A341" s="36" t="s">
        <v>106</v>
      </c>
      <c r="B341" s="45" t="str">
        <f>VLOOKUP(Tabella1[[#This Row],[test_id]],experiments_specs!A:J,2,FALSE)</f>
        <v>NN</v>
      </c>
      <c r="C341" s="38">
        <f>VLOOKUP(Tabella1[[#This Row],[test_id]],experiments_specs!A:J,3,FALSE)</f>
        <v>1</v>
      </c>
      <c r="D341" s="38">
        <f>VLOOKUP(Tabella1[[#This Row],[test_id]],experiments_specs!A:J,4,FALSE)</f>
        <v>2</v>
      </c>
      <c r="E341" s="38" t="str">
        <f>VLOOKUP(Tabella1[[#This Row],[test_id]],experiments_specs!A:J,5,FALSE)</f>
        <v>True</v>
      </c>
      <c r="F341" s="38" t="str">
        <f>VLOOKUP(Tabella1[[#This Row],[test_id]],experiments_specs!A:J,6,FALSE)</f>
        <v>True</v>
      </c>
      <c r="G341" s="38" t="str">
        <f>VLOOKUP(Tabella1[[#This Row],[test_id]],experiments_specs!A:J,7,FALSE)</f>
        <v>True</v>
      </c>
      <c r="H341" s="38" t="str">
        <f>VLOOKUP(Tabella1[[#This Row],[test_id]],experiments_specs!A:J,8,FALSE)</f>
        <v>True</v>
      </c>
      <c r="I341" s="45" t="str">
        <f>VLOOKUP(Tabella1[[#This Row],[test_id]],experiments_specs!A:J,9,FALSE)</f>
        <v>wup_similarity</v>
      </c>
      <c r="J341" s="38" t="str">
        <f>VLOOKUP(Tabella1[[#This Row],[test_id]],experiments_specs!A:J,10,FALSE)</f>
        <v>False</v>
      </c>
      <c r="K341" s="40" t="s">
        <v>13</v>
      </c>
      <c r="L341" s="36" t="s">
        <v>32</v>
      </c>
      <c r="M341" s="36">
        <v>0.16329930000000001</v>
      </c>
      <c r="N341" s="36" t="s">
        <v>398</v>
      </c>
      <c r="O341" s="36">
        <v>3.2274799999999999E-2</v>
      </c>
      <c r="P341" s="36">
        <v>0.4</v>
      </c>
      <c r="Q341" s="36" t="s">
        <v>34</v>
      </c>
      <c r="R341" s="36">
        <v>4.8794999999999998E-2</v>
      </c>
      <c r="S341" s="36" t="s">
        <v>35</v>
      </c>
      <c r="T341" s="36">
        <v>3.6596200000000002E-2</v>
      </c>
      <c r="U341" s="37" t="s">
        <v>25</v>
      </c>
      <c r="V341"/>
    </row>
    <row r="342" spans="1:22" ht="17" x14ac:dyDescent="0.2">
      <c r="A342" s="36" t="s">
        <v>106</v>
      </c>
      <c r="B342" s="45" t="str">
        <f>VLOOKUP(Tabella1[[#This Row],[test_id]],experiments_specs!A:J,2,FALSE)</f>
        <v>NN</v>
      </c>
      <c r="C342" s="38">
        <f>VLOOKUP(Tabella1[[#This Row],[test_id]],experiments_specs!A:J,3,FALSE)</f>
        <v>1</v>
      </c>
      <c r="D342" s="38">
        <f>VLOOKUP(Tabella1[[#This Row],[test_id]],experiments_specs!A:J,4,FALSE)</f>
        <v>2</v>
      </c>
      <c r="E342" s="38" t="str">
        <f>VLOOKUP(Tabella1[[#This Row],[test_id]],experiments_specs!A:J,5,FALSE)</f>
        <v>True</v>
      </c>
      <c r="F342" s="38" t="str">
        <f>VLOOKUP(Tabella1[[#This Row],[test_id]],experiments_specs!A:J,6,FALSE)</f>
        <v>True</v>
      </c>
      <c r="G342" s="38" t="str">
        <f>VLOOKUP(Tabella1[[#This Row],[test_id]],experiments_specs!A:J,7,FALSE)</f>
        <v>True</v>
      </c>
      <c r="H342" s="38" t="str">
        <f>VLOOKUP(Tabella1[[#This Row],[test_id]],experiments_specs!A:J,8,FALSE)</f>
        <v>True</v>
      </c>
      <c r="I342" s="45" t="str">
        <f>VLOOKUP(Tabella1[[#This Row],[test_id]],experiments_specs!A:J,9,FALSE)</f>
        <v>wup_similarity</v>
      </c>
      <c r="J342" s="38" t="str">
        <f>VLOOKUP(Tabella1[[#This Row],[test_id]],experiments_specs!A:J,10,FALSE)</f>
        <v>False</v>
      </c>
      <c r="K342" s="40" t="s">
        <v>14</v>
      </c>
      <c r="L342" s="36" t="s">
        <v>449</v>
      </c>
      <c r="M342" s="36">
        <v>0.14165759999999999</v>
      </c>
      <c r="N342" s="36" t="s">
        <v>450</v>
      </c>
      <c r="O342" s="36">
        <v>1.95006E-2</v>
      </c>
      <c r="P342" s="36">
        <v>0.2857142857142857</v>
      </c>
      <c r="Q342" s="36" t="s">
        <v>451</v>
      </c>
      <c r="R342" s="36">
        <v>0.1243339</v>
      </c>
      <c r="S342" s="36" t="s">
        <v>450</v>
      </c>
      <c r="T342" s="36">
        <v>2.2750699999999999E-2</v>
      </c>
      <c r="U342" s="37">
        <v>0.2857142857142857</v>
      </c>
      <c r="V342"/>
    </row>
    <row r="343" spans="1:22" ht="17" x14ac:dyDescent="0.2">
      <c r="A343" s="36" t="s">
        <v>106</v>
      </c>
      <c r="B343" s="45" t="str">
        <f>VLOOKUP(Tabella1[[#This Row],[test_id]],experiments_specs!A:J,2,FALSE)</f>
        <v>NN</v>
      </c>
      <c r="C343" s="38">
        <f>VLOOKUP(Tabella1[[#This Row],[test_id]],experiments_specs!A:J,3,FALSE)</f>
        <v>1</v>
      </c>
      <c r="D343" s="38">
        <f>VLOOKUP(Tabella1[[#This Row],[test_id]],experiments_specs!A:J,4,FALSE)</f>
        <v>2</v>
      </c>
      <c r="E343" s="38" t="str">
        <f>VLOOKUP(Tabella1[[#This Row],[test_id]],experiments_specs!A:J,5,FALSE)</f>
        <v>True</v>
      </c>
      <c r="F343" s="38" t="str">
        <f>VLOOKUP(Tabella1[[#This Row],[test_id]],experiments_specs!A:J,6,FALSE)</f>
        <v>True</v>
      </c>
      <c r="G343" s="38" t="str">
        <f>VLOOKUP(Tabella1[[#This Row],[test_id]],experiments_specs!A:J,7,FALSE)</f>
        <v>True</v>
      </c>
      <c r="H343" s="38" t="str">
        <f>VLOOKUP(Tabella1[[#This Row],[test_id]],experiments_specs!A:J,8,FALSE)</f>
        <v>True</v>
      </c>
      <c r="I343" s="45" t="str">
        <f>VLOOKUP(Tabella1[[#This Row],[test_id]],experiments_specs!A:J,9,FALSE)</f>
        <v>wup_similarity</v>
      </c>
      <c r="J343" s="38" t="str">
        <f>VLOOKUP(Tabella1[[#This Row],[test_id]],experiments_specs!A:J,10,FALSE)</f>
        <v>False</v>
      </c>
      <c r="K343" s="40" t="s">
        <v>15</v>
      </c>
      <c r="L343" s="36" t="s">
        <v>26</v>
      </c>
      <c r="M343" s="36">
        <v>0.2142857</v>
      </c>
      <c r="N343" s="36" t="s">
        <v>27</v>
      </c>
      <c r="O343" s="36">
        <v>2.3380399999999999E-2</v>
      </c>
      <c r="P343" s="36">
        <v>0.16666666666666666</v>
      </c>
      <c r="Q343" s="36" t="s">
        <v>365</v>
      </c>
      <c r="R343" s="36">
        <v>3.85758E-2</v>
      </c>
      <c r="S343" s="36" t="s">
        <v>26</v>
      </c>
      <c r="T343" s="36">
        <v>5.7142800000000001E-2</v>
      </c>
      <c r="U343" s="37">
        <v>0.18181818181818182</v>
      </c>
      <c r="V343"/>
    </row>
    <row r="344" spans="1:22" ht="34" x14ac:dyDescent="0.2">
      <c r="A344" s="36" t="s">
        <v>106</v>
      </c>
      <c r="B344" s="45" t="str">
        <f>VLOOKUP(Tabella1[[#This Row],[test_id]],experiments_specs!A:J,2,FALSE)</f>
        <v>NN</v>
      </c>
      <c r="C344" s="38">
        <f>VLOOKUP(Tabella1[[#This Row],[test_id]],experiments_specs!A:J,3,FALSE)</f>
        <v>1</v>
      </c>
      <c r="D344" s="38">
        <f>VLOOKUP(Tabella1[[#This Row],[test_id]],experiments_specs!A:J,4,FALSE)</f>
        <v>2</v>
      </c>
      <c r="E344" s="38" t="str">
        <f>VLOOKUP(Tabella1[[#This Row],[test_id]],experiments_specs!A:J,5,FALSE)</f>
        <v>True</v>
      </c>
      <c r="F344" s="38" t="str">
        <f>VLOOKUP(Tabella1[[#This Row],[test_id]],experiments_specs!A:J,6,FALSE)</f>
        <v>True</v>
      </c>
      <c r="G344" s="38" t="str">
        <f>VLOOKUP(Tabella1[[#This Row],[test_id]],experiments_specs!A:J,7,FALSE)</f>
        <v>True</v>
      </c>
      <c r="H344" s="38" t="str">
        <f>VLOOKUP(Tabella1[[#This Row],[test_id]],experiments_specs!A:J,8,FALSE)</f>
        <v>True</v>
      </c>
      <c r="I344" s="45" t="str">
        <f>VLOOKUP(Tabella1[[#This Row],[test_id]],experiments_specs!A:J,9,FALSE)</f>
        <v>wup_similarity</v>
      </c>
      <c r="J344" s="38" t="str">
        <f>VLOOKUP(Tabella1[[#This Row],[test_id]],experiments_specs!A:J,10,FALSE)</f>
        <v>False</v>
      </c>
      <c r="K344" s="40" t="s">
        <v>16</v>
      </c>
      <c r="L344" s="36" t="s">
        <v>453</v>
      </c>
      <c r="M344" s="36" t="s">
        <v>455</v>
      </c>
      <c r="N344" s="36" t="s">
        <v>457</v>
      </c>
      <c r="O344" s="36" t="s">
        <v>459</v>
      </c>
      <c r="P344" s="36">
        <v>0.22222222222222221</v>
      </c>
      <c r="Q344" s="36" t="s">
        <v>461</v>
      </c>
      <c r="R344" s="36" t="s">
        <v>463</v>
      </c>
      <c r="S344" s="36" t="s">
        <v>457</v>
      </c>
      <c r="T344" s="36" t="s">
        <v>465</v>
      </c>
      <c r="U344" s="37">
        <v>0.22222222222222221</v>
      </c>
      <c r="V344"/>
    </row>
    <row r="345" spans="1:22" ht="68" x14ac:dyDescent="0.2">
      <c r="A345" s="36" t="s">
        <v>106</v>
      </c>
      <c r="B345" s="45" t="str">
        <f>VLOOKUP(Tabella1[[#This Row],[test_id]],experiments_specs!A:J,2,FALSE)</f>
        <v>NN</v>
      </c>
      <c r="C345" s="38">
        <f>VLOOKUP(Tabella1[[#This Row],[test_id]],experiments_specs!A:J,3,FALSE)</f>
        <v>1</v>
      </c>
      <c r="D345" s="38">
        <f>VLOOKUP(Tabella1[[#This Row],[test_id]],experiments_specs!A:J,4,FALSE)</f>
        <v>2</v>
      </c>
      <c r="E345" s="38" t="str">
        <f>VLOOKUP(Tabella1[[#This Row],[test_id]],experiments_specs!A:J,5,FALSE)</f>
        <v>True</v>
      </c>
      <c r="F345" s="38" t="str">
        <f>VLOOKUP(Tabella1[[#This Row],[test_id]],experiments_specs!A:J,6,FALSE)</f>
        <v>True</v>
      </c>
      <c r="G345" s="38" t="str">
        <f>VLOOKUP(Tabella1[[#This Row],[test_id]],experiments_specs!A:J,7,FALSE)</f>
        <v>True</v>
      </c>
      <c r="H345" s="38" t="str">
        <f>VLOOKUP(Tabella1[[#This Row],[test_id]],experiments_specs!A:J,8,FALSE)</f>
        <v>True</v>
      </c>
      <c r="I345" s="45" t="str">
        <f>VLOOKUP(Tabella1[[#This Row],[test_id]],experiments_specs!A:J,9,FALSE)</f>
        <v>wup_similarity</v>
      </c>
      <c r="J345" s="38" t="str">
        <f>VLOOKUP(Tabella1[[#This Row],[test_id]],experiments_specs!A:J,10,FALSE)</f>
        <v>False</v>
      </c>
      <c r="K345" s="40" t="s">
        <v>17</v>
      </c>
      <c r="L345" s="36" t="s">
        <v>279</v>
      </c>
      <c r="M345" s="36" t="s">
        <v>467</v>
      </c>
      <c r="N345" s="36" t="s">
        <v>42</v>
      </c>
      <c r="O345" s="36" t="s">
        <v>469</v>
      </c>
      <c r="P345" s="36">
        <v>0.30769230769230771</v>
      </c>
      <c r="Q345" s="36" t="s">
        <v>470</v>
      </c>
      <c r="R345" s="36">
        <v>3.3709900000000001E-2</v>
      </c>
      <c r="S345" s="36" t="s">
        <v>471</v>
      </c>
      <c r="T345" s="36">
        <v>2.7524E-2</v>
      </c>
      <c r="U345" s="37">
        <v>0.16666666666666666</v>
      </c>
      <c r="V345"/>
    </row>
    <row r="346" spans="1:22" ht="34" x14ac:dyDescent="0.2">
      <c r="A346" s="36" t="s">
        <v>106</v>
      </c>
      <c r="B346" s="45" t="str">
        <f>VLOOKUP(Tabella1[[#This Row],[test_id]],experiments_specs!A:J,2,FALSE)</f>
        <v>NN</v>
      </c>
      <c r="C346" s="38">
        <f>VLOOKUP(Tabella1[[#This Row],[test_id]],experiments_specs!A:J,3,FALSE)</f>
        <v>1</v>
      </c>
      <c r="D346" s="38">
        <f>VLOOKUP(Tabella1[[#This Row],[test_id]],experiments_specs!A:J,4,FALSE)</f>
        <v>2</v>
      </c>
      <c r="E346" s="38" t="str">
        <f>VLOOKUP(Tabella1[[#This Row],[test_id]],experiments_specs!A:J,5,FALSE)</f>
        <v>True</v>
      </c>
      <c r="F346" s="38" t="str">
        <f>VLOOKUP(Tabella1[[#This Row],[test_id]],experiments_specs!A:J,6,FALSE)</f>
        <v>True</v>
      </c>
      <c r="G346" s="38" t="str">
        <f>VLOOKUP(Tabella1[[#This Row],[test_id]],experiments_specs!A:J,7,FALSE)</f>
        <v>True</v>
      </c>
      <c r="H346" s="38" t="str">
        <f>VLOOKUP(Tabella1[[#This Row],[test_id]],experiments_specs!A:J,8,FALSE)</f>
        <v>True</v>
      </c>
      <c r="I346" s="45" t="str">
        <f>VLOOKUP(Tabella1[[#This Row],[test_id]],experiments_specs!A:J,9,FALSE)</f>
        <v>wup_similarity</v>
      </c>
      <c r="J346" s="38" t="str">
        <f>VLOOKUP(Tabella1[[#This Row],[test_id]],experiments_specs!A:J,10,FALSE)</f>
        <v>False</v>
      </c>
      <c r="K346" s="40" t="s">
        <v>18</v>
      </c>
      <c r="L346" s="36" t="s">
        <v>44</v>
      </c>
      <c r="M346" s="36">
        <v>6.12563E-2</v>
      </c>
      <c r="N346" s="36" t="s">
        <v>472</v>
      </c>
      <c r="O346" s="36">
        <v>2.48069E-2</v>
      </c>
      <c r="P346" s="36">
        <v>0.21052631578947367</v>
      </c>
      <c r="Q346" s="36" t="s">
        <v>46</v>
      </c>
      <c r="R346" s="36">
        <v>5.90281E-2</v>
      </c>
      <c r="S346" s="36" t="s">
        <v>436</v>
      </c>
      <c r="T346" s="36">
        <v>3.7127500000000001E-2</v>
      </c>
      <c r="U346" s="37">
        <v>0.22222222222222221</v>
      </c>
      <c r="V346"/>
    </row>
    <row r="347" spans="1:22" ht="17" x14ac:dyDescent="0.2">
      <c r="A347" s="36" t="s">
        <v>107</v>
      </c>
      <c r="B347" s="45" t="str">
        <f>VLOOKUP(Tabella1[[#This Row],[test_id]],experiments_specs!A:J,2,FALSE)</f>
        <v>NN,JJ</v>
      </c>
      <c r="C347" s="38">
        <f>VLOOKUP(Tabella1[[#This Row],[test_id]],experiments_specs!A:J,3,FALSE)</f>
        <v>1</v>
      </c>
      <c r="D347" s="38">
        <f>VLOOKUP(Tabella1[[#This Row],[test_id]],experiments_specs!A:J,4,FALSE)</f>
        <v>2</v>
      </c>
      <c r="E347" s="38" t="str">
        <f>VLOOKUP(Tabella1[[#This Row],[test_id]],experiments_specs!A:J,5,FALSE)</f>
        <v>True</v>
      </c>
      <c r="F347" s="38" t="str">
        <f>VLOOKUP(Tabella1[[#This Row],[test_id]],experiments_specs!A:J,6,FALSE)</f>
        <v>True</v>
      </c>
      <c r="G347" s="38" t="str">
        <f>VLOOKUP(Tabella1[[#This Row],[test_id]],experiments_specs!A:J,7,FALSE)</f>
        <v>True</v>
      </c>
      <c r="H347" s="38" t="str">
        <f>VLOOKUP(Tabella1[[#This Row],[test_id]],experiments_specs!A:J,8,FALSE)</f>
        <v>True</v>
      </c>
      <c r="I347" s="45" t="str">
        <f>VLOOKUP(Tabella1[[#This Row],[test_id]],experiments_specs!A:J,9,FALSE)</f>
        <v>wup_similarity</v>
      </c>
      <c r="J347" s="38" t="str">
        <f>VLOOKUP(Tabella1[[#This Row],[test_id]],experiments_specs!A:J,10,FALSE)</f>
        <v>False</v>
      </c>
      <c r="K347" s="40" t="s">
        <v>19</v>
      </c>
      <c r="L347" s="36" t="s">
        <v>225</v>
      </c>
      <c r="M347" s="36">
        <v>0.1404878</v>
      </c>
      <c r="N347" s="36" t="s">
        <v>226</v>
      </c>
      <c r="O347" s="36">
        <v>2.5636099999999998E-2</v>
      </c>
      <c r="P347" s="36">
        <v>0.17391304347826086</v>
      </c>
      <c r="Q347" s="36" t="s">
        <v>288</v>
      </c>
      <c r="R347" s="36">
        <v>0.16754150000000001</v>
      </c>
      <c r="S347" s="36" t="s">
        <v>226</v>
      </c>
      <c r="T347" s="36">
        <v>3.6123599999999999E-2</v>
      </c>
      <c r="U347" s="37">
        <v>0.17391304347826086</v>
      </c>
      <c r="V347"/>
    </row>
    <row r="348" spans="1:22" ht="17" x14ac:dyDescent="0.2">
      <c r="A348" s="36" t="s">
        <v>107</v>
      </c>
      <c r="B348" s="45" t="str">
        <f>VLOOKUP(Tabella1[[#This Row],[test_id]],experiments_specs!A:J,2,FALSE)</f>
        <v>NN,JJ</v>
      </c>
      <c r="C348" s="38">
        <f>VLOOKUP(Tabella1[[#This Row],[test_id]],experiments_specs!A:J,3,FALSE)</f>
        <v>1</v>
      </c>
      <c r="D348" s="38">
        <f>VLOOKUP(Tabella1[[#This Row],[test_id]],experiments_specs!A:J,4,FALSE)</f>
        <v>2</v>
      </c>
      <c r="E348" s="38" t="str">
        <f>VLOOKUP(Tabella1[[#This Row],[test_id]],experiments_specs!A:J,5,FALSE)</f>
        <v>True</v>
      </c>
      <c r="F348" s="38" t="str">
        <f>VLOOKUP(Tabella1[[#This Row],[test_id]],experiments_specs!A:J,6,FALSE)</f>
        <v>True</v>
      </c>
      <c r="G348" s="38" t="str">
        <f>VLOOKUP(Tabella1[[#This Row],[test_id]],experiments_specs!A:J,7,FALSE)</f>
        <v>True</v>
      </c>
      <c r="H348" s="38" t="str">
        <f>VLOOKUP(Tabella1[[#This Row],[test_id]],experiments_specs!A:J,8,FALSE)</f>
        <v>True</v>
      </c>
      <c r="I348" s="45" t="str">
        <f>VLOOKUP(Tabella1[[#This Row],[test_id]],experiments_specs!A:J,9,FALSE)</f>
        <v>wup_similarity</v>
      </c>
      <c r="J348" s="38" t="str">
        <f>VLOOKUP(Tabella1[[#This Row],[test_id]],experiments_specs!A:J,10,FALSE)</f>
        <v>False</v>
      </c>
      <c r="K348" s="40" t="s">
        <v>12</v>
      </c>
      <c r="L348" s="36" t="s">
        <v>22</v>
      </c>
      <c r="M348" s="36">
        <v>0.13363059999999999</v>
      </c>
      <c r="N348" s="36" t="s">
        <v>23</v>
      </c>
      <c r="O348" s="36">
        <v>2.53245E-2</v>
      </c>
      <c r="P348" s="36">
        <v>0.42857142857142855</v>
      </c>
      <c r="Q348" s="36" t="s">
        <v>24</v>
      </c>
      <c r="R348" s="36">
        <v>0.11396050000000001</v>
      </c>
      <c r="S348" s="36" t="s">
        <v>448</v>
      </c>
      <c r="T348" s="36">
        <v>6.2656600000000007E-2</v>
      </c>
      <c r="U348" s="37">
        <v>0.42857142857142855</v>
      </c>
      <c r="V348"/>
    </row>
    <row r="349" spans="1:22" ht="17" x14ac:dyDescent="0.2">
      <c r="A349" s="36" t="s">
        <v>107</v>
      </c>
      <c r="B349" s="45" t="str">
        <f>VLOOKUP(Tabella1[[#This Row],[test_id]],experiments_specs!A:J,2,FALSE)</f>
        <v>NN,JJ</v>
      </c>
      <c r="C349" s="38">
        <f>VLOOKUP(Tabella1[[#This Row],[test_id]],experiments_specs!A:J,3,FALSE)</f>
        <v>1</v>
      </c>
      <c r="D349" s="38">
        <f>VLOOKUP(Tabella1[[#This Row],[test_id]],experiments_specs!A:J,4,FALSE)</f>
        <v>2</v>
      </c>
      <c r="E349" s="38" t="str">
        <f>VLOOKUP(Tabella1[[#This Row],[test_id]],experiments_specs!A:J,5,FALSE)</f>
        <v>True</v>
      </c>
      <c r="F349" s="38" t="str">
        <f>VLOOKUP(Tabella1[[#This Row],[test_id]],experiments_specs!A:J,6,FALSE)</f>
        <v>True</v>
      </c>
      <c r="G349" s="38" t="str">
        <f>VLOOKUP(Tabella1[[#This Row],[test_id]],experiments_specs!A:J,7,FALSE)</f>
        <v>True</v>
      </c>
      <c r="H349" s="38" t="str">
        <f>VLOOKUP(Tabella1[[#This Row],[test_id]],experiments_specs!A:J,8,FALSE)</f>
        <v>True</v>
      </c>
      <c r="I349" s="45" t="str">
        <f>VLOOKUP(Tabella1[[#This Row],[test_id]],experiments_specs!A:J,9,FALSE)</f>
        <v>wup_similarity</v>
      </c>
      <c r="J349" s="38" t="str">
        <f>VLOOKUP(Tabella1[[#This Row],[test_id]],experiments_specs!A:J,10,FALSE)</f>
        <v>False</v>
      </c>
      <c r="K349" s="40" t="s">
        <v>13</v>
      </c>
      <c r="L349" s="36" t="s">
        <v>32</v>
      </c>
      <c r="M349" s="36">
        <v>0.1581138</v>
      </c>
      <c r="N349" s="36" t="s">
        <v>473</v>
      </c>
      <c r="O349" s="36">
        <v>2.3148100000000001E-2</v>
      </c>
      <c r="P349" s="36">
        <v>0.4</v>
      </c>
      <c r="Q349" s="36" t="s">
        <v>34</v>
      </c>
      <c r="R349" s="36">
        <v>4.7245500000000003E-2</v>
      </c>
      <c r="S349" s="36" t="s">
        <v>35</v>
      </c>
      <c r="T349" s="36">
        <v>3.5434100000000003E-2</v>
      </c>
      <c r="U349" s="37" t="s">
        <v>25</v>
      </c>
      <c r="V349"/>
    </row>
    <row r="350" spans="1:22" ht="17" x14ac:dyDescent="0.2">
      <c r="A350" s="36" t="s">
        <v>107</v>
      </c>
      <c r="B350" s="45" t="str">
        <f>VLOOKUP(Tabella1[[#This Row],[test_id]],experiments_specs!A:J,2,FALSE)</f>
        <v>NN,JJ</v>
      </c>
      <c r="C350" s="38">
        <f>VLOOKUP(Tabella1[[#This Row],[test_id]],experiments_specs!A:J,3,FALSE)</f>
        <v>1</v>
      </c>
      <c r="D350" s="38">
        <f>VLOOKUP(Tabella1[[#This Row],[test_id]],experiments_specs!A:J,4,FALSE)</f>
        <v>2</v>
      </c>
      <c r="E350" s="38" t="str">
        <f>VLOOKUP(Tabella1[[#This Row],[test_id]],experiments_specs!A:J,5,FALSE)</f>
        <v>True</v>
      </c>
      <c r="F350" s="38" t="str">
        <f>VLOOKUP(Tabella1[[#This Row],[test_id]],experiments_specs!A:J,6,FALSE)</f>
        <v>True</v>
      </c>
      <c r="G350" s="38" t="str">
        <f>VLOOKUP(Tabella1[[#This Row],[test_id]],experiments_specs!A:J,7,FALSE)</f>
        <v>True</v>
      </c>
      <c r="H350" s="38" t="str">
        <f>VLOOKUP(Tabella1[[#This Row],[test_id]],experiments_specs!A:J,8,FALSE)</f>
        <v>True</v>
      </c>
      <c r="I350" s="45" t="str">
        <f>VLOOKUP(Tabella1[[#This Row],[test_id]],experiments_specs!A:J,9,FALSE)</f>
        <v>wup_similarity</v>
      </c>
      <c r="J350" s="38" t="str">
        <f>VLOOKUP(Tabella1[[#This Row],[test_id]],experiments_specs!A:J,10,FALSE)</f>
        <v>False</v>
      </c>
      <c r="K350" s="40" t="s">
        <v>14</v>
      </c>
      <c r="L350" s="36" t="s">
        <v>449</v>
      </c>
      <c r="M350" s="36">
        <v>0.1396482</v>
      </c>
      <c r="N350" s="36" t="s">
        <v>450</v>
      </c>
      <c r="O350" s="36">
        <v>1.5379200000000001E-2</v>
      </c>
      <c r="P350" s="36">
        <v>0.2857142857142857</v>
      </c>
      <c r="Q350" s="36" t="s">
        <v>451</v>
      </c>
      <c r="R350" s="36">
        <v>0.1225702</v>
      </c>
      <c r="S350" s="36" t="s">
        <v>450</v>
      </c>
      <c r="T350" s="36">
        <v>2.07028E-2</v>
      </c>
      <c r="U350" s="37">
        <v>0.2857142857142857</v>
      </c>
      <c r="V350"/>
    </row>
    <row r="351" spans="1:22" ht="17" x14ac:dyDescent="0.2">
      <c r="A351" s="36" t="s">
        <v>107</v>
      </c>
      <c r="B351" s="45" t="str">
        <f>VLOOKUP(Tabella1[[#This Row],[test_id]],experiments_specs!A:J,2,FALSE)</f>
        <v>NN,JJ</v>
      </c>
      <c r="C351" s="38">
        <f>VLOOKUP(Tabella1[[#This Row],[test_id]],experiments_specs!A:J,3,FALSE)</f>
        <v>1</v>
      </c>
      <c r="D351" s="38">
        <f>VLOOKUP(Tabella1[[#This Row],[test_id]],experiments_specs!A:J,4,FALSE)</f>
        <v>2</v>
      </c>
      <c r="E351" s="38" t="str">
        <f>VLOOKUP(Tabella1[[#This Row],[test_id]],experiments_specs!A:J,5,FALSE)</f>
        <v>True</v>
      </c>
      <c r="F351" s="38" t="str">
        <f>VLOOKUP(Tabella1[[#This Row],[test_id]],experiments_specs!A:J,6,FALSE)</f>
        <v>True</v>
      </c>
      <c r="G351" s="38" t="str">
        <f>VLOOKUP(Tabella1[[#This Row],[test_id]],experiments_specs!A:J,7,FALSE)</f>
        <v>True</v>
      </c>
      <c r="H351" s="38" t="str">
        <f>VLOOKUP(Tabella1[[#This Row],[test_id]],experiments_specs!A:J,8,FALSE)</f>
        <v>True</v>
      </c>
      <c r="I351" s="45" t="str">
        <f>VLOOKUP(Tabella1[[#This Row],[test_id]],experiments_specs!A:J,9,FALSE)</f>
        <v>wup_similarity</v>
      </c>
      <c r="J351" s="38" t="str">
        <f>VLOOKUP(Tabella1[[#This Row],[test_id]],experiments_specs!A:J,10,FALSE)</f>
        <v>False</v>
      </c>
      <c r="K351" s="40" t="s">
        <v>15</v>
      </c>
      <c r="L351" s="36" t="s">
        <v>26</v>
      </c>
      <c r="M351" s="36">
        <v>0.2070196</v>
      </c>
      <c r="N351" s="36" t="s">
        <v>27</v>
      </c>
      <c r="O351" s="36">
        <v>2.7498000000000002E-2</v>
      </c>
      <c r="P351" s="36">
        <v>0.16666666666666666</v>
      </c>
      <c r="Q351" s="36" t="s">
        <v>15</v>
      </c>
      <c r="R351" s="36">
        <v>0.21516569999999999</v>
      </c>
      <c r="S351" s="36" t="s">
        <v>474</v>
      </c>
      <c r="T351" s="36">
        <v>5.5765700000000001E-2</v>
      </c>
      <c r="U351" s="37">
        <v>0.90909090909090906</v>
      </c>
      <c r="V351"/>
    </row>
    <row r="352" spans="1:22" ht="34" x14ac:dyDescent="0.2">
      <c r="A352" s="36" t="s">
        <v>107</v>
      </c>
      <c r="B352" s="45" t="str">
        <f>VLOOKUP(Tabella1[[#This Row],[test_id]],experiments_specs!A:J,2,FALSE)</f>
        <v>NN,JJ</v>
      </c>
      <c r="C352" s="38">
        <f>VLOOKUP(Tabella1[[#This Row],[test_id]],experiments_specs!A:J,3,FALSE)</f>
        <v>1</v>
      </c>
      <c r="D352" s="38">
        <f>VLOOKUP(Tabella1[[#This Row],[test_id]],experiments_specs!A:J,4,FALSE)</f>
        <v>2</v>
      </c>
      <c r="E352" s="38" t="str">
        <f>VLOOKUP(Tabella1[[#This Row],[test_id]],experiments_specs!A:J,5,FALSE)</f>
        <v>True</v>
      </c>
      <c r="F352" s="38" t="str">
        <f>VLOOKUP(Tabella1[[#This Row],[test_id]],experiments_specs!A:J,6,FALSE)</f>
        <v>True</v>
      </c>
      <c r="G352" s="38" t="str">
        <f>VLOOKUP(Tabella1[[#This Row],[test_id]],experiments_specs!A:J,7,FALSE)</f>
        <v>True</v>
      </c>
      <c r="H352" s="38" t="str">
        <f>VLOOKUP(Tabella1[[#This Row],[test_id]],experiments_specs!A:J,8,FALSE)</f>
        <v>True</v>
      </c>
      <c r="I352" s="45" t="str">
        <f>VLOOKUP(Tabella1[[#This Row],[test_id]],experiments_specs!A:J,9,FALSE)</f>
        <v>wup_similarity</v>
      </c>
      <c r="J352" s="38" t="str">
        <f>VLOOKUP(Tabella1[[#This Row],[test_id]],experiments_specs!A:J,10,FALSE)</f>
        <v>False</v>
      </c>
      <c r="K352" s="40" t="s">
        <v>16</v>
      </c>
      <c r="L352" s="36" t="s">
        <v>453</v>
      </c>
      <c r="M352" s="36" t="s">
        <v>455</v>
      </c>
      <c r="N352" s="36" t="s">
        <v>457</v>
      </c>
      <c r="O352" s="36" t="s">
        <v>476</v>
      </c>
      <c r="P352" s="36">
        <v>0.22222222222222221</v>
      </c>
      <c r="Q352" s="36" t="s">
        <v>461</v>
      </c>
      <c r="R352" s="36" t="s">
        <v>463</v>
      </c>
      <c r="S352" s="36" t="s">
        <v>457</v>
      </c>
      <c r="T352" s="36" t="s">
        <v>478</v>
      </c>
      <c r="U352" s="37">
        <v>0.22222222222222221</v>
      </c>
      <c r="V352"/>
    </row>
    <row r="353" spans="1:22" ht="68" x14ac:dyDescent="0.2">
      <c r="A353" s="36" t="s">
        <v>107</v>
      </c>
      <c r="B353" s="45" t="str">
        <f>VLOOKUP(Tabella1[[#This Row],[test_id]],experiments_specs!A:J,2,FALSE)</f>
        <v>NN,JJ</v>
      </c>
      <c r="C353" s="38">
        <f>VLOOKUP(Tabella1[[#This Row],[test_id]],experiments_specs!A:J,3,FALSE)</f>
        <v>1</v>
      </c>
      <c r="D353" s="38">
        <f>VLOOKUP(Tabella1[[#This Row],[test_id]],experiments_specs!A:J,4,FALSE)</f>
        <v>2</v>
      </c>
      <c r="E353" s="38" t="str">
        <f>VLOOKUP(Tabella1[[#This Row],[test_id]],experiments_specs!A:J,5,FALSE)</f>
        <v>True</v>
      </c>
      <c r="F353" s="38" t="str">
        <f>VLOOKUP(Tabella1[[#This Row],[test_id]],experiments_specs!A:J,6,FALSE)</f>
        <v>True</v>
      </c>
      <c r="G353" s="38" t="str">
        <f>VLOOKUP(Tabella1[[#This Row],[test_id]],experiments_specs!A:J,7,FALSE)</f>
        <v>True</v>
      </c>
      <c r="H353" s="38" t="str">
        <f>VLOOKUP(Tabella1[[#This Row],[test_id]],experiments_specs!A:J,8,FALSE)</f>
        <v>True</v>
      </c>
      <c r="I353" s="45" t="str">
        <f>VLOOKUP(Tabella1[[#This Row],[test_id]],experiments_specs!A:J,9,FALSE)</f>
        <v>wup_similarity</v>
      </c>
      <c r="J353" s="38" t="str">
        <f>VLOOKUP(Tabella1[[#This Row],[test_id]],experiments_specs!A:J,10,FALSE)</f>
        <v>False</v>
      </c>
      <c r="K353" s="40" t="s">
        <v>17</v>
      </c>
      <c r="L353" s="36" t="s">
        <v>279</v>
      </c>
      <c r="M353" s="36" t="s">
        <v>467</v>
      </c>
      <c r="N353" s="36" t="s">
        <v>42</v>
      </c>
      <c r="O353" s="36" t="s">
        <v>480</v>
      </c>
      <c r="P353" s="36">
        <v>0.30769230769230771</v>
      </c>
      <c r="Q353" s="36" t="s">
        <v>470</v>
      </c>
      <c r="R353" s="36">
        <v>3.3709900000000001E-2</v>
      </c>
      <c r="S353" s="36" t="s">
        <v>471</v>
      </c>
      <c r="T353" s="36">
        <v>2.6423100000000001E-2</v>
      </c>
      <c r="U353" s="37">
        <v>0.16666666666666666</v>
      </c>
      <c r="V353"/>
    </row>
    <row r="354" spans="1:22" ht="34" x14ac:dyDescent="0.2">
      <c r="A354" s="36" t="s">
        <v>107</v>
      </c>
      <c r="B354" s="45" t="str">
        <f>VLOOKUP(Tabella1[[#This Row],[test_id]],experiments_specs!A:J,2,FALSE)</f>
        <v>NN,JJ</v>
      </c>
      <c r="C354" s="38">
        <f>VLOOKUP(Tabella1[[#This Row],[test_id]],experiments_specs!A:J,3,FALSE)</f>
        <v>1</v>
      </c>
      <c r="D354" s="38">
        <f>VLOOKUP(Tabella1[[#This Row],[test_id]],experiments_specs!A:J,4,FALSE)</f>
        <v>2</v>
      </c>
      <c r="E354" s="38" t="str">
        <f>VLOOKUP(Tabella1[[#This Row],[test_id]],experiments_specs!A:J,5,FALSE)</f>
        <v>True</v>
      </c>
      <c r="F354" s="38" t="str">
        <f>VLOOKUP(Tabella1[[#This Row],[test_id]],experiments_specs!A:J,6,FALSE)</f>
        <v>True</v>
      </c>
      <c r="G354" s="38" t="str">
        <f>VLOOKUP(Tabella1[[#This Row],[test_id]],experiments_specs!A:J,7,FALSE)</f>
        <v>True</v>
      </c>
      <c r="H354" s="38" t="str">
        <f>VLOOKUP(Tabella1[[#This Row],[test_id]],experiments_specs!A:J,8,FALSE)</f>
        <v>True</v>
      </c>
      <c r="I354" s="45" t="str">
        <f>VLOOKUP(Tabella1[[#This Row],[test_id]],experiments_specs!A:J,9,FALSE)</f>
        <v>wup_similarity</v>
      </c>
      <c r="J354" s="38" t="str">
        <f>VLOOKUP(Tabella1[[#This Row],[test_id]],experiments_specs!A:J,10,FALSE)</f>
        <v>False</v>
      </c>
      <c r="K354" s="40" t="s">
        <v>18</v>
      </c>
      <c r="L354" s="36" t="s">
        <v>44</v>
      </c>
      <c r="M354" s="36">
        <v>5.9814800000000001E-2</v>
      </c>
      <c r="N354" s="36" t="s">
        <v>472</v>
      </c>
      <c r="O354" s="36">
        <v>2.0169400000000001E-2</v>
      </c>
      <c r="P354" s="36">
        <v>0.21052631578947367</v>
      </c>
      <c r="Q354" s="36" t="s">
        <v>46</v>
      </c>
      <c r="R354" s="36">
        <v>5.7639000000000003E-2</v>
      </c>
      <c r="S354" s="36" t="s">
        <v>436</v>
      </c>
      <c r="T354" s="36">
        <v>4.0547E-2</v>
      </c>
      <c r="U354" s="37">
        <v>0.22222222222222221</v>
      </c>
      <c r="V354"/>
    </row>
    <row r="355" spans="1:22" ht="17" x14ac:dyDescent="0.2">
      <c r="A355" s="36" t="s">
        <v>108</v>
      </c>
      <c r="B355" s="45" t="str">
        <f>VLOOKUP(Tabella1[[#This Row],[test_id]],experiments_specs!A:J,2,FALSE)</f>
        <v>NN,VB</v>
      </c>
      <c r="C355" s="38">
        <f>VLOOKUP(Tabella1[[#This Row],[test_id]],experiments_specs!A:J,3,FALSE)</f>
        <v>1</v>
      </c>
      <c r="D355" s="38">
        <f>VLOOKUP(Tabella1[[#This Row],[test_id]],experiments_specs!A:J,4,FALSE)</f>
        <v>2</v>
      </c>
      <c r="E355" s="38" t="str">
        <f>VLOOKUP(Tabella1[[#This Row],[test_id]],experiments_specs!A:J,5,FALSE)</f>
        <v>True</v>
      </c>
      <c r="F355" s="38" t="str">
        <f>VLOOKUP(Tabella1[[#This Row],[test_id]],experiments_specs!A:J,6,FALSE)</f>
        <v>True</v>
      </c>
      <c r="G355" s="38" t="str">
        <f>VLOOKUP(Tabella1[[#This Row],[test_id]],experiments_specs!A:J,7,FALSE)</f>
        <v>True</v>
      </c>
      <c r="H355" s="38" t="str">
        <f>VLOOKUP(Tabella1[[#This Row],[test_id]],experiments_specs!A:J,8,FALSE)</f>
        <v>True</v>
      </c>
      <c r="I355" s="45" t="str">
        <f>VLOOKUP(Tabella1[[#This Row],[test_id]],experiments_specs!A:J,9,FALSE)</f>
        <v>wup_similarity</v>
      </c>
      <c r="J355" s="38" t="str">
        <f>VLOOKUP(Tabella1[[#This Row],[test_id]],experiments_specs!A:J,10,FALSE)</f>
        <v>False</v>
      </c>
      <c r="K355" s="40" t="s">
        <v>19</v>
      </c>
      <c r="L355" s="36" t="s">
        <v>354</v>
      </c>
      <c r="M355" s="36">
        <v>0.1404878</v>
      </c>
      <c r="N355" s="36" t="s">
        <v>288</v>
      </c>
      <c r="O355" s="36">
        <v>2.18532E-2</v>
      </c>
      <c r="P355" s="36">
        <v>0.19047619047619047</v>
      </c>
      <c r="Q355" s="36" t="s">
        <v>47</v>
      </c>
      <c r="R355" s="36">
        <v>0.11020770000000001</v>
      </c>
      <c r="S355" s="36" t="s">
        <v>447</v>
      </c>
      <c r="T355" s="36">
        <v>2.8097500000000001E-2</v>
      </c>
      <c r="U355" s="37">
        <v>0.19047619047619047</v>
      </c>
      <c r="V355"/>
    </row>
    <row r="356" spans="1:22" ht="17" x14ac:dyDescent="0.2">
      <c r="A356" s="36" t="s">
        <v>108</v>
      </c>
      <c r="B356" s="45" t="str">
        <f>VLOOKUP(Tabella1[[#This Row],[test_id]],experiments_specs!A:J,2,FALSE)</f>
        <v>NN,VB</v>
      </c>
      <c r="C356" s="38">
        <f>VLOOKUP(Tabella1[[#This Row],[test_id]],experiments_specs!A:J,3,FALSE)</f>
        <v>1</v>
      </c>
      <c r="D356" s="38">
        <f>VLOOKUP(Tabella1[[#This Row],[test_id]],experiments_specs!A:J,4,FALSE)</f>
        <v>2</v>
      </c>
      <c r="E356" s="38" t="str">
        <f>VLOOKUP(Tabella1[[#This Row],[test_id]],experiments_specs!A:J,5,FALSE)</f>
        <v>True</v>
      </c>
      <c r="F356" s="38" t="str">
        <f>VLOOKUP(Tabella1[[#This Row],[test_id]],experiments_specs!A:J,6,FALSE)</f>
        <v>True</v>
      </c>
      <c r="G356" s="38" t="str">
        <f>VLOOKUP(Tabella1[[#This Row],[test_id]],experiments_specs!A:J,7,FALSE)</f>
        <v>True</v>
      </c>
      <c r="H356" s="38" t="str">
        <f>VLOOKUP(Tabella1[[#This Row],[test_id]],experiments_specs!A:J,8,FALSE)</f>
        <v>True</v>
      </c>
      <c r="I356" s="45" t="str">
        <f>VLOOKUP(Tabella1[[#This Row],[test_id]],experiments_specs!A:J,9,FALSE)</f>
        <v>wup_similarity</v>
      </c>
      <c r="J356" s="38" t="str">
        <f>VLOOKUP(Tabella1[[#This Row],[test_id]],experiments_specs!A:J,10,FALSE)</f>
        <v>False</v>
      </c>
      <c r="K356" s="40" t="s">
        <v>12</v>
      </c>
      <c r="L356" s="36" t="s">
        <v>22</v>
      </c>
      <c r="M356" s="36">
        <v>0.13470389999999999</v>
      </c>
      <c r="N356" s="36" t="s">
        <v>23</v>
      </c>
      <c r="O356" s="36">
        <v>2.5527899999999999E-2</v>
      </c>
      <c r="P356" s="36">
        <v>0.42857142857142855</v>
      </c>
      <c r="Q356" s="36" t="s">
        <v>24</v>
      </c>
      <c r="R356" s="36">
        <v>0.1148759</v>
      </c>
      <c r="S356" s="36" t="s">
        <v>481</v>
      </c>
      <c r="T356" s="36">
        <v>4.7037000000000002E-2</v>
      </c>
      <c r="U356" s="37">
        <v>0.42857142857142855</v>
      </c>
      <c r="V356"/>
    </row>
    <row r="357" spans="1:22" ht="17" x14ac:dyDescent="0.2">
      <c r="A357" s="36" t="s">
        <v>108</v>
      </c>
      <c r="B357" s="45" t="str">
        <f>VLOOKUP(Tabella1[[#This Row],[test_id]],experiments_specs!A:J,2,FALSE)</f>
        <v>NN,VB</v>
      </c>
      <c r="C357" s="38">
        <f>VLOOKUP(Tabella1[[#This Row],[test_id]],experiments_specs!A:J,3,FALSE)</f>
        <v>1</v>
      </c>
      <c r="D357" s="38">
        <f>VLOOKUP(Tabella1[[#This Row],[test_id]],experiments_specs!A:J,4,FALSE)</f>
        <v>2</v>
      </c>
      <c r="E357" s="38" t="str">
        <f>VLOOKUP(Tabella1[[#This Row],[test_id]],experiments_specs!A:J,5,FALSE)</f>
        <v>True</v>
      </c>
      <c r="F357" s="38" t="str">
        <f>VLOOKUP(Tabella1[[#This Row],[test_id]],experiments_specs!A:J,6,FALSE)</f>
        <v>True</v>
      </c>
      <c r="G357" s="38" t="str">
        <f>VLOOKUP(Tabella1[[#This Row],[test_id]],experiments_specs!A:J,7,FALSE)</f>
        <v>True</v>
      </c>
      <c r="H357" s="38" t="str">
        <f>VLOOKUP(Tabella1[[#This Row],[test_id]],experiments_specs!A:J,8,FALSE)</f>
        <v>True</v>
      </c>
      <c r="I357" s="45" t="str">
        <f>VLOOKUP(Tabella1[[#This Row],[test_id]],experiments_specs!A:J,9,FALSE)</f>
        <v>wup_similarity</v>
      </c>
      <c r="J357" s="38" t="str">
        <f>VLOOKUP(Tabella1[[#This Row],[test_id]],experiments_specs!A:J,10,FALSE)</f>
        <v>False</v>
      </c>
      <c r="K357" s="40" t="s">
        <v>13</v>
      </c>
      <c r="L357" s="36" t="s">
        <v>32</v>
      </c>
      <c r="M357" s="36">
        <v>0.1581138</v>
      </c>
      <c r="N357" s="36" t="s">
        <v>473</v>
      </c>
      <c r="O357" s="36">
        <v>3.1565599999999999E-2</v>
      </c>
      <c r="P357" s="36">
        <v>0.4</v>
      </c>
      <c r="Q357" s="36" t="s">
        <v>34</v>
      </c>
      <c r="R357" s="36">
        <v>4.7245500000000003E-2</v>
      </c>
      <c r="S357" s="36" t="s">
        <v>35</v>
      </c>
      <c r="T357" s="36">
        <v>2.7257E-2</v>
      </c>
      <c r="U357" s="37" t="s">
        <v>25</v>
      </c>
      <c r="V357"/>
    </row>
    <row r="358" spans="1:22" ht="17" x14ac:dyDescent="0.2">
      <c r="A358" s="36" t="s">
        <v>108</v>
      </c>
      <c r="B358" s="45" t="str">
        <f>VLOOKUP(Tabella1[[#This Row],[test_id]],experiments_specs!A:J,2,FALSE)</f>
        <v>NN,VB</v>
      </c>
      <c r="C358" s="38">
        <f>VLOOKUP(Tabella1[[#This Row],[test_id]],experiments_specs!A:J,3,FALSE)</f>
        <v>1</v>
      </c>
      <c r="D358" s="38">
        <f>VLOOKUP(Tabella1[[#This Row],[test_id]],experiments_specs!A:J,4,FALSE)</f>
        <v>2</v>
      </c>
      <c r="E358" s="38" t="str">
        <f>VLOOKUP(Tabella1[[#This Row],[test_id]],experiments_specs!A:J,5,FALSE)</f>
        <v>True</v>
      </c>
      <c r="F358" s="38" t="str">
        <f>VLOOKUP(Tabella1[[#This Row],[test_id]],experiments_specs!A:J,6,FALSE)</f>
        <v>True</v>
      </c>
      <c r="G358" s="38" t="str">
        <f>VLOOKUP(Tabella1[[#This Row],[test_id]],experiments_specs!A:J,7,FALSE)</f>
        <v>True</v>
      </c>
      <c r="H358" s="38" t="str">
        <f>VLOOKUP(Tabella1[[#This Row],[test_id]],experiments_specs!A:J,8,FALSE)</f>
        <v>True</v>
      </c>
      <c r="I358" s="45" t="str">
        <f>VLOOKUP(Tabella1[[#This Row],[test_id]],experiments_specs!A:J,9,FALSE)</f>
        <v>wup_similarity</v>
      </c>
      <c r="J358" s="38" t="str">
        <f>VLOOKUP(Tabella1[[#This Row],[test_id]],experiments_specs!A:J,10,FALSE)</f>
        <v>False</v>
      </c>
      <c r="K358" s="40" t="s">
        <v>14</v>
      </c>
      <c r="L358" s="36" t="s">
        <v>449</v>
      </c>
      <c r="M358" s="36">
        <v>0.1396482</v>
      </c>
      <c r="N358" s="36" t="s">
        <v>450</v>
      </c>
      <c r="O358" s="36">
        <v>1.7942400000000001E-2</v>
      </c>
      <c r="P358" s="36">
        <v>0.2857142857142857</v>
      </c>
      <c r="Q358" s="36" t="s">
        <v>451</v>
      </c>
      <c r="R358" s="36">
        <v>0.1225702</v>
      </c>
      <c r="S358" s="36" t="s">
        <v>450</v>
      </c>
      <c r="T358" s="36">
        <v>2.1530899999999999E-2</v>
      </c>
      <c r="U358" s="37">
        <v>0.2857142857142857</v>
      </c>
      <c r="V358"/>
    </row>
    <row r="359" spans="1:22" ht="17" x14ac:dyDescent="0.2">
      <c r="A359" s="36" t="s">
        <v>108</v>
      </c>
      <c r="B359" s="45" t="str">
        <f>VLOOKUP(Tabella1[[#This Row],[test_id]],experiments_specs!A:J,2,FALSE)</f>
        <v>NN,VB</v>
      </c>
      <c r="C359" s="38">
        <f>VLOOKUP(Tabella1[[#This Row],[test_id]],experiments_specs!A:J,3,FALSE)</f>
        <v>1</v>
      </c>
      <c r="D359" s="38">
        <f>VLOOKUP(Tabella1[[#This Row],[test_id]],experiments_specs!A:J,4,FALSE)</f>
        <v>2</v>
      </c>
      <c r="E359" s="38" t="str">
        <f>VLOOKUP(Tabella1[[#This Row],[test_id]],experiments_specs!A:J,5,FALSE)</f>
        <v>True</v>
      </c>
      <c r="F359" s="38" t="str">
        <f>VLOOKUP(Tabella1[[#This Row],[test_id]],experiments_specs!A:J,6,FALSE)</f>
        <v>True</v>
      </c>
      <c r="G359" s="38" t="str">
        <f>VLOOKUP(Tabella1[[#This Row],[test_id]],experiments_specs!A:J,7,FALSE)</f>
        <v>True</v>
      </c>
      <c r="H359" s="38" t="str">
        <f>VLOOKUP(Tabella1[[#This Row],[test_id]],experiments_specs!A:J,8,FALSE)</f>
        <v>True</v>
      </c>
      <c r="I359" s="45" t="str">
        <f>VLOOKUP(Tabella1[[#This Row],[test_id]],experiments_specs!A:J,9,FALSE)</f>
        <v>wup_similarity</v>
      </c>
      <c r="J359" s="38" t="str">
        <f>VLOOKUP(Tabella1[[#This Row],[test_id]],experiments_specs!A:J,10,FALSE)</f>
        <v>False</v>
      </c>
      <c r="K359" s="40" t="s">
        <v>15</v>
      </c>
      <c r="L359" s="36" t="s">
        <v>26</v>
      </c>
      <c r="M359" s="36">
        <v>0.2070196</v>
      </c>
      <c r="N359" s="36" t="s">
        <v>27</v>
      </c>
      <c r="O359" s="36">
        <v>2.1081800000000001E-2</v>
      </c>
      <c r="P359" s="36">
        <v>0.16666666666666666</v>
      </c>
      <c r="Q359" s="36" t="s">
        <v>365</v>
      </c>
      <c r="R359" s="36">
        <v>7.4535500000000005E-2</v>
      </c>
      <c r="S359" s="36" t="s">
        <v>27</v>
      </c>
      <c r="T359" s="36">
        <v>4.43828E-2</v>
      </c>
      <c r="U359" s="37">
        <v>0.16666666666666666</v>
      </c>
      <c r="V359"/>
    </row>
    <row r="360" spans="1:22" ht="34" x14ac:dyDescent="0.2">
      <c r="A360" s="36" t="s">
        <v>108</v>
      </c>
      <c r="B360" s="45" t="str">
        <f>VLOOKUP(Tabella1[[#This Row],[test_id]],experiments_specs!A:J,2,FALSE)</f>
        <v>NN,VB</v>
      </c>
      <c r="C360" s="38">
        <f>VLOOKUP(Tabella1[[#This Row],[test_id]],experiments_specs!A:J,3,FALSE)</f>
        <v>1</v>
      </c>
      <c r="D360" s="38">
        <f>VLOOKUP(Tabella1[[#This Row],[test_id]],experiments_specs!A:J,4,FALSE)</f>
        <v>2</v>
      </c>
      <c r="E360" s="38" t="str">
        <f>VLOOKUP(Tabella1[[#This Row],[test_id]],experiments_specs!A:J,5,FALSE)</f>
        <v>True</v>
      </c>
      <c r="F360" s="38" t="str">
        <f>VLOOKUP(Tabella1[[#This Row],[test_id]],experiments_specs!A:J,6,FALSE)</f>
        <v>True</v>
      </c>
      <c r="G360" s="38" t="str">
        <f>VLOOKUP(Tabella1[[#This Row],[test_id]],experiments_specs!A:J,7,FALSE)</f>
        <v>True</v>
      </c>
      <c r="H360" s="38" t="str">
        <f>VLOOKUP(Tabella1[[#This Row],[test_id]],experiments_specs!A:J,8,FALSE)</f>
        <v>True</v>
      </c>
      <c r="I360" s="45" t="str">
        <f>VLOOKUP(Tabella1[[#This Row],[test_id]],experiments_specs!A:J,9,FALSE)</f>
        <v>wup_similarity</v>
      </c>
      <c r="J360" s="38" t="str">
        <f>VLOOKUP(Tabella1[[#This Row],[test_id]],experiments_specs!A:J,10,FALSE)</f>
        <v>False</v>
      </c>
      <c r="K360" s="40" t="s">
        <v>16</v>
      </c>
      <c r="L360" s="36" t="s">
        <v>453</v>
      </c>
      <c r="M360" s="36" t="s">
        <v>455</v>
      </c>
      <c r="N360" s="36" t="s">
        <v>457</v>
      </c>
      <c r="O360" s="36" t="s">
        <v>483</v>
      </c>
      <c r="P360" s="36">
        <v>0.22222222222222221</v>
      </c>
      <c r="Q360" s="36" t="s">
        <v>461</v>
      </c>
      <c r="R360" s="36" t="s">
        <v>463</v>
      </c>
      <c r="S360" s="36" t="s">
        <v>457</v>
      </c>
      <c r="T360" s="36" t="s">
        <v>483</v>
      </c>
      <c r="U360" s="37">
        <v>0.22222222222222221</v>
      </c>
      <c r="V360"/>
    </row>
    <row r="361" spans="1:22" ht="17" x14ac:dyDescent="0.2">
      <c r="A361" s="36" t="s">
        <v>108</v>
      </c>
      <c r="B361" s="45" t="str">
        <f>VLOOKUP(Tabella1[[#This Row],[test_id]],experiments_specs!A:J,2,FALSE)</f>
        <v>NN,VB</v>
      </c>
      <c r="C361" s="38">
        <f>VLOOKUP(Tabella1[[#This Row],[test_id]],experiments_specs!A:J,3,FALSE)</f>
        <v>1</v>
      </c>
      <c r="D361" s="38">
        <f>VLOOKUP(Tabella1[[#This Row],[test_id]],experiments_specs!A:J,4,FALSE)</f>
        <v>2</v>
      </c>
      <c r="E361" s="38" t="str">
        <f>VLOOKUP(Tabella1[[#This Row],[test_id]],experiments_specs!A:J,5,FALSE)</f>
        <v>True</v>
      </c>
      <c r="F361" s="38" t="str">
        <f>VLOOKUP(Tabella1[[#This Row],[test_id]],experiments_specs!A:J,6,FALSE)</f>
        <v>True</v>
      </c>
      <c r="G361" s="38" t="str">
        <f>VLOOKUP(Tabella1[[#This Row],[test_id]],experiments_specs!A:J,7,FALSE)</f>
        <v>True</v>
      </c>
      <c r="H361" s="38" t="str">
        <f>VLOOKUP(Tabella1[[#This Row],[test_id]],experiments_specs!A:J,8,FALSE)</f>
        <v>True</v>
      </c>
      <c r="I361" s="45" t="str">
        <f>VLOOKUP(Tabella1[[#This Row],[test_id]],experiments_specs!A:J,9,FALSE)</f>
        <v>wup_similarity</v>
      </c>
      <c r="J361" s="38" t="str">
        <f>VLOOKUP(Tabella1[[#This Row],[test_id]],experiments_specs!A:J,10,FALSE)</f>
        <v>False</v>
      </c>
      <c r="K361" s="40" t="s">
        <v>17</v>
      </c>
      <c r="L361" s="36" t="s">
        <v>30</v>
      </c>
      <c r="M361" s="36">
        <v>0.1543033</v>
      </c>
      <c r="N361" s="36" t="s">
        <v>484</v>
      </c>
      <c r="O361" s="36">
        <v>2.2271699999999998E-2</v>
      </c>
      <c r="P361" s="36">
        <v>0.22222222222222221</v>
      </c>
      <c r="Q361" s="36" t="s">
        <v>470</v>
      </c>
      <c r="R361" s="36">
        <v>3.3407600000000003E-2</v>
      </c>
      <c r="S361" s="36" t="s">
        <v>471</v>
      </c>
      <c r="T361" s="36">
        <v>2.5178900000000001E-2</v>
      </c>
      <c r="U361" s="37">
        <v>0.16666666666666666</v>
      </c>
      <c r="V361"/>
    </row>
    <row r="362" spans="1:22" ht="34" x14ac:dyDescent="0.2">
      <c r="A362" s="36" t="s">
        <v>108</v>
      </c>
      <c r="B362" s="45" t="str">
        <f>VLOOKUP(Tabella1[[#This Row],[test_id]],experiments_specs!A:J,2,FALSE)</f>
        <v>NN,VB</v>
      </c>
      <c r="C362" s="38">
        <f>VLOOKUP(Tabella1[[#This Row],[test_id]],experiments_specs!A:J,3,FALSE)</f>
        <v>1</v>
      </c>
      <c r="D362" s="38">
        <f>VLOOKUP(Tabella1[[#This Row],[test_id]],experiments_specs!A:J,4,FALSE)</f>
        <v>2</v>
      </c>
      <c r="E362" s="38" t="str">
        <f>VLOOKUP(Tabella1[[#This Row],[test_id]],experiments_specs!A:J,5,FALSE)</f>
        <v>True</v>
      </c>
      <c r="F362" s="38" t="str">
        <f>VLOOKUP(Tabella1[[#This Row],[test_id]],experiments_specs!A:J,6,FALSE)</f>
        <v>True</v>
      </c>
      <c r="G362" s="38" t="str">
        <f>VLOOKUP(Tabella1[[#This Row],[test_id]],experiments_specs!A:J,7,FALSE)</f>
        <v>True</v>
      </c>
      <c r="H362" s="38" t="str">
        <f>VLOOKUP(Tabella1[[#This Row],[test_id]],experiments_specs!A:J,8,FALSE)</f>
        <v>True</v>
      </c>
      <c r="I362" s="45" t="str">
        <f>VLOOKUP(Tabella1[[#This Row],[test_id]],experiments_specs!A:J,9,FALSE)</f>
        <v>wup_similarity</v>
      </c>
      <c r="J362" s="38" t="str">
        <f>VLOOKUP(Tabella1[[#This Row],[test_id]],experiments_specs!A:J,10,FALSE)</f>
        <v>False</v>
      </c>
      <c r="K362" s="40" t="s">
        <v>18</v>
      </c>
      <c r="L362" s="36" t="s">
        <v>44</v>
      </c>
      <c r="M362" s="36">
        <v>5.9470099999999998E-2</v>
      </c>
      <c r="N362" s="36" t="s">
        <v>472</v>
      </c>
      <c r="O362" s="36">
        <v>2.18357E-2</v>
      </c>
      <c r="P362" s="36">
        <v>0.21052631578947367</v>
      </c>
      <c r="Q362" s="36" t="s">
        <v>46</v>
      </c>
      <c r="R362" s="36">
        <v>5.7306799999999998E-2</v>
      </c>
      <c r="S362" s="36" t="s">
        <v>436</v>
      </c>
      <c r="T362" s="36">
        <v>3.40424E-2</v>
      </c>
      <c r="U362" s="37">
        <v>0.22222222222222221</v>
      </c>
      <c r="V362"/>
    </row>
    <row r="363" spans="1:22" ht="17" x14ac:dyDescent="0.2">
      <c r="A363" s="36" t="s">
        <v>109</v>
      </c>
      <c r="B363" s="45" t="str">
        <f>VLOOKUP(Tabella1[[#This Row],[test_id]],experiments_specs!A:J,2,FALSE)</f>
        <v>NN,VB,VBD,VBG,VBN,VBP,VBZ</v>
      </c>
      <c r="C363" s="38">
        <f>VLOOKUP(Tabella1[[#This Row],[test_id]],experiments_specs!A:J,3,FALSE)</f>
        <v>1</v>
      </c>
      <c r="D363" s="38">
        <f>VLOOKUP(Tabella1[[#This Row],[test_id]],experiments_specs!A:J,4,FALSE)</f>
        <v>2</v>
      </c>
      <c r="E363" s="38" t="str">
        <f>VLOOKUP(Tabella1[[#This Row],[test_id]],experiments_specs!A:J,5,FALSE)</f>
        <v>True</v>
      </c>
      <c r="F363" s="38" t="str">
        <f>VLOOKUP(Tabella1[[#This Row],[test_id]],experiments_specs!A:J,6,FALSE)</f>
        <v>True</v>
      </c>
      <c r="G363" s="38" t="str">
        <f>VLOOKUP(Tabella1[[#This Row],[test_id]],experiments_specs!A:J,7,FALSE)</f>
        <v>True</v>
      </c>
      <c r="H363" s="38" t="str">
        <f>VLOOKUP(Tabella1[[#This Row],[test_id]],experiments_specs!A:J,8,FALSE)</f>
        <v>True</v>
      </c>
      <c r="I363" s="45" t="str">
        <f>VLOOKUP(Tabella1[[#This Row],[test_id]],experiments_specs!A:J,9,FALSE)</f>
        <v>wup_similarity</v>
      </c>
      <c r="J363" s="38" t="str">
        <f>VLOOKUP(Tabella1[[#This Row],[test_id]],experiments_specs!A:J,10,FALSE)</f>
        <v>False</v>
      </c>
      <c r="K363" s="40" t="s">
        <v>19</v>
      </c>
      <c r="L363" s="36" t="s">
        <v>354</v>
      </c>
      <c r="M363" s="36">
        <v>0.13927149999999999</v>
      </c>
      <c r="N363" s="36" t="s">
        <v>288</v>
      </c>
      <c r="O363" s="36">
        <v>1.5571E-2</v>
      </c>
      <c r="P363" s="36">
        <v>0.19047619047619047</v>
      </c>
      <c r="Q363" s="36" t="s">
        <v>47</v>
      </c>
      <c r="R363" s="36">
        <v>0.1092535</v>
      </c>
      <c r="S363" s="36" t="s">
        <v>447</v>
      </c>
      <c r="T363" s="36">
        <v>2.2283399999999998E-2</v>
      </c>
      <c r="U363" s="37">
        <v>0.19047619047619047</v>
      </c>
      <c r="V363"/>
    </row>
    <row r="364" spans="1:22" ht="17" x14ac:dyDescent="0.2">
      <c r="A364" s="36" t="s">
        <v>109</v>
      </c>
      <c r="B364" s="45" t="str">
        <f>VLOOKUP(Tabella1[[#This Row],[test_id]],experiments_specs!A:J,2,FALSE)</f>
        <v>NN,VB,VBD,VBG,VBN,VBP,VBZ</v>
      </c>
      <c r="C364" s="38">
        <f>VLOOKUP(Tabella1[[#This Row],[test_id]],experiments_specs!A:J,3,FALSE)</f>
        <v>1</v>
      </c>
      <c r="D364" s="38">
        <f>VLOOKUP(Tabella1[[#This Row],[test_id]],experiments_specs!A:J,4,FALSE)</f>
        <v>2</v>
      </c>
      <c r="E364" s="38" t="str">
        <f>VLOOKUP(Tabella1[[#This Row],[test_id]],experiments_specs!A:J,5,FALSE)</f>
        <v>True</v>
      </c>
      <c r="F364" s="38" t="str">
        <f>VLOOKUP(Tabella1[[#This Row],[test_id]],experiments_specs!A:J,6,FALSE)</f>
        <v>True</v>
      </c>
      <c r="G364" s="38" t="str">
        <f>VLOOKUP(Tabella1[[#This Row],[test_id]],experiments_specs!A:J,7,FALSE)</f>
        <v>True</v>
      </c>
      <c r="H364" s="38" t="str">
        <f>VLOOKUP(Tabella1[[#This Row],[test_id]],experiments_specs!A:J,8,FALSE)</f>
        <v>True</v>
      </c>
      <c r="I364" s="45" t="str">
        <f>VLOOKUP(Tabella1[[#This Row],[test_id]],experiments_specs!A:J,9,FALSE)</f>
        <v>wup_similarity</v>
      </c>
      <c r="J364" s="38" t="str">
        <f>VLOOKUP(Tabella1[[#This Row],[test_id]],experiments_specs!A:J,10,FALSE)</f>
        <v>False</v>
      </c>
      <c r="K364" s="40" t="s">
        <v>12</v>
      </c>
      <c r="L364" s="36" t="s">
        <v>22</v>
      </c>
      <c r="M364" s="36">
        <v>0.1315587</v>
      </c>
      <c r="N364" s="36" t="s">
        <v>23</v>
      </c>
      <c r="O364" s="36">
        <v>2.07765E-2</v>
      </c>
      <c r="P364" s="36">
        <v>0.42857142857142855</v>
      </c>
      <c r="Q364" s="36" t="s">
        <v>24</v>
      </c>
      <c r="R364" s="36">
        <v>0.1121936</v>
      </c>
      <c r="S364" s="36" t="s">
        <v>481</v>
      </c>
      <c r="T364" s="36">
        <v>4.0011199999999997E-2</v>
      </c>
      <c r="U364" s="37">
        <v>0.42857142857142855</v>
      </c>
      <c r="V364"/>
    </row>
    <row r="365" spans="1:22" ht="17" x14ac:dyDescent="0.2">
      <c r="A365" s="36" t="s">
        <v>109</v>
      </c>
      <c r="B365" s="45" t="str">
        <f>VLOOKUP(Tabella1[[#This Row],[test_id]],experiments_specs!A:J,2,FALSE)</f>
        <v>NN,VB,VBD,VBG,VBN,VBP,VBZ</v>
      </c>
      <c r="C365" s="38">
        <f>VLOOKUP(Tabella1[[#This Row],[test_id]],experiments_specs!A:J,3,FALSE)</f>
        <v>1</v>
      </c>
      <c r="D365" s="38">
        <f>VLOOKUP(Tabella1[[#This Row],[test_id]],experiments_specs!A:J,4,FALSE)</f>
        <v>2</v>
      </c>
      <c r="E365" s="38" t="str">
        <f>VLOOKUP(Tabella1[[#This Row],[test_id]],experiments_specs!A:J,5,FALSE)</f>
        <v>True</v>
      </c>
      <c r="F365" s="38" t="str">
        <f>VLOOKUP(Tabella1[[#This Row],[test_id]],experiments_specs!A:J,6,FALSE)</f>
        <v>True</v>
      </c>
      <c r="G365" s="38" t="str">
        <f>VLOOKUP(Tabella1[[#This Row],[test_id]],experiments_specs!A:J,7,FALSE)</f>
        <v>True</v>
      </c>
      <c r="H365" s="38" t="str">
        <f>VLOOKUP(Tabella1[[#This Row],[test_id]],experiments_specs!A:J,8,FALSE)</f>
        <v>True</v>
      </c>
      <c r="I365" s="45" t="str">
        <f>VLOOKUP(Tabella1[[#This Row],[test_id]],experiments_specs!A:J,9,FALSE)</f>
        <v>wup_similarity</v>
      </c>
      <c r="J365" s="38" t="str">
        <f>VLOOKUP(Tabella1[[#This Row],[test_id]],experiments_specs!A:J,10,FALSE)</f>
        <v>False</v>
      </c>
      <c r="K365" s="40" t="s">
        <v>13</v>
      </c>
      <c r="L365" s="36" t="s">
        <v>32</v>
      </c>
      <c r="M365" s="36">
        <v>0.1556997</v>
      </c>
      <c r="N365" s="36" t="s">
        <v>473</v>
      </c>
      <c r="O365" s="36">
        <v>3.2392400000000002E-2</v>
      </c>
      <c r="P365" s="36">
        <v>0.4</v>
      </c>
      <c r="Q365" s="36" t="s">
        <v>34</v>
      </c>
      <c r="R365" s="36">
        <v>4.6524200000000002E-2</v>
      </c>
      <c r="S365" s="36" t="s">
        <v>35</v>
      </c>
      <c r="T365" s="36">
        <v>2.4923600000000001E-2</v>
      </c>
      <c r="U365" s="37" t="s">
        <v>25</v>
      </c>
      <c r="V365"/>
    </row>
    <row r="366" spans="1:22" ht="17" x14ac:dyDescent="0.2">
      <c r="A366" s="36" t="s">
        <v>109</v>
      </c>
      <c r="B366" s="45" t="str">
        <f>VLOOKUP(Tabella1[[#This Row],[test_id]],experiments_specs!A:J,2,FALSE)</f>
        <v>NN,VB,VBD,VBG,VBN,VBP,VBZ</v>
      </c>
      <c r="C366" s="38">
        <f>VLOOKUP(Tabella1[[#This Row],[test_id]],experiments_specs!A:J,3,FALSE)</f>
        <v>1</v>
      </c>
      <c r="D366" s="38">
        <f>VLOOKUP(Tabella1[[#This Row],[test_id]],experiments_specs!A:J,4,FALSE)</f>
        <v>2</v>
      </c>
      <c r="E366" s="38" t="str">
        <f>VLOOKUP(Tabella1[[#This Row],[test_id]],experiments_specs!A:J,5,FALSE)</f>
        <v>True</v>
      </c>
      <c r="F366" s="38" t="str">
        <f>VLOOKUP(Tabella1[[#This Row],[test_id]],experiments_specs!A:J,6,FALSE)</f>
        <v>True</v>
      </c>
      <c r="G366" s="38" t="str">
        <f>VLOOKUP(Tabella1[[#This Row],[test_id]],experiments_specs!A:J,7,FALSE)</f>
        <v>True</v>
      </c>
      <c r="H366" s="38" t="str">
        <f>VLOOKUP(Tabella1[[#This Row],[test_id]],experiments_specs!A:J,8,FALSE)</f>
        <v>True</v>
      </c>
      <c r="I366" s="45" t="str">
        <f>VLOOKUP(Tabella1[[#This Row],[test_id]],experiments_specs!A:J,9,FALSE)</f>
        <v>wup_similarity</v>
      </c>
      <c r="J366" s="38" t="str">
        <f>VLOOKUP(Tabella1[[#This Row],[test_id]],experiments_specs!A:J,10,FALSE)</f>
        <v>False</v>
      </c>
      <c r="K366" s="40" t="s">
        <v>14</v>
      </c>
      <c r="L366" s="36" t="s">
        <v>449</v>
      </c>
      <c r="M366" s="36">
        <v>0.13867499999999999</v>
      </c>
      <c r="N366" s="36" t="s">
        <v>450</v>
      </c>
      <c r="O366" s="36">
        <v>1.3037099999999999E-2</v>
      </c>
      <c r="P366" s="36">
        <v>0.2857142857142857</v>
      </c>
      <c r="Q366" s="36" t="s">
        <v>451</v>
      </c>
      <c r="R366" s="36">
        <v>0.12171609999999999</v>
      </c>
      <c r="S366" s="36" t="s">
        <v>450</v>
      </c>
      <c r="T366" s="36">
        <v>1.5721200000000001E-2</v>
      </c>
      <c r="U366" s="37">
        <v>0.2857142857142857</v>
      </c>
      <c r="V366"/>
    </row>
    <row r="367" spans="1:22" ht="17" x14ac:dyDescent="0.2">
      <c r="A367" s="36" t="s">
        <v>109</v>
      </c>
      <c r="B367" s="45" t="str">
        <f>VLOOKUP(Tabella1[[#This Row],[test_id]],experiments_specs!A:J,2,FALSE)</f>
        <v>NN,VB,VBD,VBG,VBN,VBP,VBZ</v>
      </c>
      <c r="C367" s="38">
        <f>VLOOKUP(Tabella1[[#This Row],[test_id]],experiments_specs!A:J,3,FALSE)</f>
        <v>1</v>
      </c>
      <c r="D367" s="38">
        <f>VLOOKUP(Tabella1[[#This Row],[test_id]],experiments_specs!A:J,4,FALSE)</f>
        <v>2</v>
      </c>
      <c r="E367" s="38" t="str">
        <f>VLOOKUP(Tabella1[[#This Row],[test_id]],experiments_specs!A:J,5,FALSE)</f>
        <v>True</v>
      </c>
      <c r="F367" s="38" t="str">
        <f>VLOOKUP(Tabella1[[#This Row],[test_id]],experiments_specs!A:J,6,FALSE)</f>
        <v>True</v>
      </c>
      <c r="G367" s="38" t="str">
        <f>VLOOKUP(Tabella1[[#This Row],[test_id]],experiments_specs!A:J,7,FALSE)</f>
        <v>True</v>
      </c>
      <c r="H367" s="38" t="str">
        <f>VLOOKUP(Tabella1[[#This Row],[test_id]],experiments_specs!A:J,8,FALSE)</f>
        <v>True</v>
      </c>
      <c r="I367" s="45" t="str">
        <f>VLOOKUP(Tabella1[[#This Row],[test_id]],experiments_specs!A:J,9,FALSE)</f>
        <v>wup_similarity</v>
      </c>
      <c r="J367" s="38" t="str">
        <f>VLOOKUP(Tabella1[[#This Row],[test_id]],experiments_specs!A:J,10,FALSE)</f>
        <v>False</v>
      </c>
      <c r="K367" s="40" t="s">
        <v>15</v>
      </c>
      <c r="L367" s="36" t="s">
        <v>26</v>
      </c>
      <c r="M367" s="36">
        <v>0.20365320000000001</v>
      </c>
      <c r="N367" s="36" t="s">
        <v>27</v>
      </c>
      <c r="O367" s="36">
        <v>1.338E-2</v>
      </c>
      <c r="P367" s="36">
        <v>0.16666666666666666</v>
      </c>
      <c r="Q367" s="36" t="s">
        <v>365</v>
      </c>
      <c r="R367" s="36">
        <v>7.33235E-2</v>
      </c>
      <c r="S367" s="36" t="s">
        <v>27</v>
      </c>
      <c r="T367" s="36">
        <v>3.3182400000000001E-2</v>
      </c>
      <c r="U367" s="37">
        <v>0.16666666666666666</v>
      </c>
      <c r="V367"/>
    </row>
    <row r="368" spans="1:22" ht="34" x14ac:dyDescent="0.2">
      <c r="A368" s="36" t="s">
        <v>109</v>
      </c>
      <c r="B368" s="45" t="str">
        <f>VLOOKUP(Tabella1[[#This Row],[test_id]],experiments_specs!A:J,2,FALSE)</f>
        <v>NN,VB,VBD,VBG,VBN,VBP,VBZ</v>
      </c>
      <c r="C368" s="38">
        <f>VLOOKUP(Tabella1[[#This Row],[test_id]],experiments_specs!A:J,3,FALSE)</f>
        <v>1</v>
      </c>
      <c r="D368" s="38">
        <f>VLOOKUP(Tabella1[[#This Row],[test_id]],experiments_specs!A:J,4,FALSE)</f>
        <v>2</v>
      </c>
      <c r="E368" s="38" t="str">
        <f>VLOOKUP(Tabella1[[#This Row],[test_id]],experiments_specs!A:J,5,FALSE)</f>
        <v>True</v>
      </c>
      <c r="F368" s="38" t="str">
        <f>VLOOKUP(Tabella1[[#This Row],[test_id]],experiments_specs!A:J,6,FALSE)</f>
        <v>True</v>
      </c>
      <c r="G368" s="38" t="str">
        <f>VLOOKUP(Tabella1[[#This Row],[test_id]],experiments_specs!A:J,7,FALSE)</f>
        <v>True</v>
      </c>
      <c r="H368" s="38" t="str">
        <f>VLOOKUP(Tabella1[[#This Row],[test_id]],experiments_specs!A:J,8,FALSE)</f>
        <v>True</v>
      </c>
      <c r="I368" s="45" t="str">
        <f>VLOOKUP(Tabella1[[#This Row],[test_id]],experiments_specs!A:J,9,FALSE)</f>
        <v>wup_similarity</v>
      </c>
      <c r="J368" s="38" t="str">
        <f>VLOOKUP(Tabella1[[#This Row],[test_id]],experiments_specs!A:J,10,FALSE)</f>
        <v>False</v>
      </c>
      <c r="K368" s="40" t="s">
        <v>16</v>
      </c>
      <c r="L368" s="36" t="s">
        <v>453</v>
      </c>
      <c r="M368" s="36" t="s">
        <v>486</v>
      </c>
      <c r="N368" s="36" t="s">
        <v>457</v>
      </c>
      <c r="O368" s="36" t="s">
        <v>488</v>
      </c>
      <c r="P368" s="36">
        <v>0.22222222222222221</v>
      </c>
      <c r="Q368" s="36" t="s">
        <v>461</v>
      </c>
      <c r="R368" s="36" t="s">
        <v>490</v>
      </c>
      <c r="S368" s="36" t="s">
        <v>457</v>
      </c>
      <c r="T368" s="36" t="s">
        <v>492</v>
      </c>
      <c r="U368" s="37">
        <v>0.22222222222222221</v>
      </c>
      <c r="V368"/>
    </row>
    <row r="369" spans="1:22" ht="17" x14ac:dyDescent="0.2">
      <c r="A369" s="36" t="s">
        <v>109</v>
      </c>
      <c r="B369" s="45" t="str">
        <f>VLOOKUP(Tabella1[[#This Row],[test_id]],experiments_specs!A:J,2,FALSE)</f>
        <v>NN,VB,VBD,VBG,VBN,VBP,VBZ</v>
      </c>
      <c r="C369" s="38">
        <f>VLOOKUP(Tabella1[[#This Row],[test_id]],experiments_specs!A:J,3,FALSE)</f>
        <v>1</v>
      </c>
      <c r="D369" s="38">
        <f>VLOOKUP(Tabella1[[#This Row],[test_id]],experiments_specs!A:J,4,FALSE)</f>
        <v>2</v>
      </c>
      <c r="E369" s="38" t="str">
        <f>VLOOKUP(Tabella1[[#This Row],[test_id]],experiments_specs!A:J,5,FALSE)</f>
        <v>True</v>
      </c>
      <c r="F369" s="38" t="str">
        <f>VLOOKUP(Tabella1[[#This Row],[test_id]],experiments_specs!A:J,6,FALSE)</f>
        <v>True</v>
      </c>
      <c r="G369" s="38" t="str">
        <f>VLOOKUP(Tabella1[[#This Row],[test_id]],experiments_specs!A:J,7,FALSE)</f>
        <v>True</v>
      </c>
      <c r="H369" s="38" t="str">
        <f>VLOOKUP(Tabella1[[#This Row],[test_id]],experiments_specs!A:J,8,FALSE)</f>
        <v>True</v>
      </c>
      <c r="I369" s="45" t="str">
        <f>VLOOKUP(Tabella1[[#This Row],[test_id]],experiments_specs!A:J,9,FALSE)</f>
        <v>wup_similarity</v>
      </c>
      <c r="J369" s="38" t="str">
        <f>VLOOKUP(Tabella1[[#This Row],[test_id]],experiments_specs!A:J,10,FALSE)</f>
        <v>False</v>
      </c>
      <c r="K369" s="40" t="s">
        <v>17</v>
      </c>
      <c r="L369" s="36" t="s">
        <v>30</v>
      </c>
      <c r="M369" s="36">
        <v>0.15161959999999999</v>
      </c>
      <c r="N369" s="36" t="s">
        <v>484</v>
      </c>
      <c r="O369" s="36">
        <v>2.4868600000000001E-2</v>
      </c>
      <c r="P369" s="36">
        <v>0.22222222222222221</v>
      </c>
      <c r="Q369" s="36" t="s">
        <v>30</v>
      </c>
      <c r="R369" s="36">
        <v>0.15161959999999999</v>
      </c>
      <c r="S369" s="36" t="s">
        <v>380</v>
      </c>
      <c r="T369" s="36">
        <v>2.6120600000000001E-2</v>
      </c>
      <c r="U369" s="37">
        <v>0.2</v>
      </c>
      <c r="V369"/>
    </row>
    <row r="370" spans="1:22" ht="34" x14ac:dyDescent="0.2">
      <c r="A370" s="36" t="s">
        <v>109</v>
      </c>
      <c r="B370" s="45" t="str">
        <f>VLOOKUP(Tabella1[[#This Row],[test_id]],experiments_specs!A:J,2,FALSE)</f>
        <v>NN,VB,VBD,VBG,VBN,VBP,VBZ</v>
      </c>
      <c r="C370" s="38">
        <f>VLOOKUP(Tabella1[[#This Row],[test_id]],experiments_specs!A:J,3,FALSE)</f>
        <v>1</v>
      </c>
      <c r="D370" s="38">
        <f>VLOOKUP(Tabella1[[#This Row],[test_id]],experiments_specs!A:J,4,FALSE)</f>
        <v>2</v>
      </c>
      <c r="E370" s="38" t="str">
        <f>VLOOKUP(Tabella1[[#This Row],[test_id]],experiments_specs!A:J,5,FALSE)</f>
        <v>True</v>
      </c>
      <c r="F370" s="38" t="str">
        <f>VLOOKUP(Tabella1[[#This Row],[test_id]],experiments_specs!A:J,6,FALSE)</f>
        <v>True</v>
      </c>
      <c r="G370" s="38" t="str">
        <f>VLOOKUP(Tabella1[[#This Row],[test_id]],experiments_specs!A:J,7,FALSE)</f>
        <v>True</v>
      </c>
      <c r="H370" s="38" t="str">
        <f>VLOOKUP(Tabella1[[#This Row],[test_id]],experiments_specs!A:J,8,FALSE)</f>
        <v>True</v>
      </c>
      <c r="I370" s="45" t="str">
        <f>VLOOKUP(Tabella1[[#This Row],[test_id]],experiments_specs!A:J,9,FALSE)</f>
        <v>wup_similarity</v>
      </c>
      <c r="J370" s="38" t="str">
        <f>VLOOKUP(Tabella1[[#This Row],[test_id]],experiments_specs!A:J,10,FALSE)</f>
        <v>False</v>
      </c>
      <c r="K370" s="40" t="s">
        <v>18</v>
      </c>
      <c r="L370" s="36" t="s">
        <v>44</v>
      </c>
      <c r="M370" s="36">
        <v>5.9131200000000002E-2</v>
      </c>
      <c r="N370" s="36" t="s">
        <v>472</v>
      </c>
      <c r="O370" s="36">
        <v>1.52657E-2</v>
      </c>
      <c r="P370" s="36">
        <v>0.21052631578947367</v>
      </c>
      <c r="Q370" s="36" t="s">
        <v>46</v>
      </c>
      <c r="R370" s="36">
        <v>5.6980200000000002E-2</v>
      </c>
      <c r="S370" s="36" t="s">
        <v>436</v>
      </c>
      <c r="T370" s="36">
        <v>2.7694099999999999E-2</v>
      </c>
      <c r="U370" s="37">
        <v>0.22222222222222221</v>
      </c>
      <c r="V370"/>
    </row>
    <row r="371" spans="1:22" ht="17" x14ac:dyDescent="0.2">
      <c r="A371" s="36" t="s">
        <v>110</v>
      </c>
      <c r="B371" s="45" t="str">
        <f>VLOOKUP(Tabella1[[#This Row],[test_id]],experiments_specs!A:J,2,FALSE)</f>
        <v>NN,RB</v>
      </c>
      <c r="C371" s="38">
        <f>VLOOKUP(Tabella1[[#This Row],[test_id]],experiments_specs!A:J,3,FALSE)</f>
        <v>1</v>
      </c>
      <c r="D371" s="38">
        <f>VLOOKUP(Tabella1[[#This Row],[test_id]],experiments_specs!A:J,4,FALSE)</f>
        <v>2</v>
      </c>
      <c r="E371" s="38" t="str">
        <f>VLOOKUP(Tabella1[[#This Row],[test_id]],experiments_specs!A:J,5,FALSE)</f>
        <v>True</v>
      </c>
      <c r="F371" s="38" t="str">
        <f>VLOOKUP(Tabella1[[#This Row],[test_id]],experiments_specs!A:J,6,FALSE)</f>
        <v>True</v>
      </c>
      <c r="G371" s="38" t="str">
        <f>VLOOKUP(Tabella1[[#This Row],[test_id]],experiments_specs!A:J,7,FALSE)</f>
        <v>True</v>
      </c>
      <c r="H371" s="38" t="str">
        <f>VLOOKUP(Tabella1[[#This Row],[test_id]],experiments_specs!A:J,8,FALSE)</f>
        <v>True</v>
      </c>
      <c r="I371" s="45" t="str">
        <f>VLOOKUP(Tabella1[[#This Row],[test_id]],experiments_specs!A:J,9,FALSE)</f>
        <v>wup_similarity</v>
      </c>
      <c r="J371" s="38" t="str">
        <f>VLOOKUP(Tabella1[[#This Row],[test_id]],experiments_specs!A:J,10,FALSE)</f>
        <v>False</v>
      </c>
      <c r="K371" s="40" t="s">
        <v>19</v>
      </c>
      <c r="L371" s="36" t="s">
        <v>354</v>
      </c>
      <c r="M371" s="36">
        <v>0.13808609999999999</v>
      </c>
      <c r="N371" s="36" t="s">
        <v>288</v>
      </c>
      <c r="O371" s="36">
        <v>2.0584600000000002E-2</v>
      </c>
      <c r="P371" s="36">
        <v>0.19047619047619047</v>
      </c>
      <c r="Q371" s="36" t="s">
        <v>47</v>
      </c>
      <c r="R371" s="36">
        <v>0.10832369999999999</v>
      </c>
      <c r="S371" s="36" t="s">
        <v>447</v>
      </c>
      <c r="T371" s="36">
        <v>2.9070700000000001E-2</v>
      </c>
      <c r="U371" s="37">
        <v>0.19047619047619047</v>
      </c>
      <c r="V371"/>
    </row>
    <row r="372" spans="1:22" ht="17" x14ac:dyDescent="0.2">
      <c r="A372" s="36" t="s">
        <v>110</v>
      </c>
      <c r="B372" s="45" t="str">
        <f>VLOOKUP(Tabella1[[#This Row],[test_id]],experiments_specs!A:J,2,FALSE)</f>
        <v>NN,RB</v>
      </c>
      <c r="C372" s="38">
        <f>VLOOKUP(Tabella1[[#This Row],[test_id]],experiments_specs!A:J,3,FALSE)</f>
        <v>1</v>
      </c>
      <c r="D372" s="38">
        <f>VLOOKUP(Tabella1[[#This Row],[test_id]],experiments_specs!A:J,4,FALSE)</f>
        <v>2</v>
      </c>
      <c r="E372" s="38" t="str">
        <f>VLOOKUP(Tabella1[[#This Row],[test_id]],experiments_specs!A:J,5,FALSE)</f>
        <v>True</v>
      </c>
      <c r="F372" s="38" t="str">
        <f>VLOOKUP(Tabella1[[#This Row],[test_id]],experiments_specs!A:J,6,FALSE)</f>
        <v>True</v>
      </c>
      <c r="G372" s="38" t="str">
        <f>VLOOKUP(Tabella1[[#This Row],[test_id]],experiments_specs!A:J,7,FALSE)</f>
        <v>True</v>
      </c>
      <c r="H372" s="38" t="str">
        <f>VLOOKUP(Tabella1[[#This Row],[test_id]],experiments_specs!A:J,8,FALSE)</f>
        <v>True</v>
      </c>
      <c r="I372" s="45" t="str">
        <f>VLOOKUP(Tabella1[[#This Row],[test_id]],experiments_specs!A:J,9,FALSE)</f>
        <v>wup_similarity</v>
      </c>
      <c r="J372" s="38" t="str">
        <f>VLOOKUP(Tabella1[[#This Row],[test_id]],experiments_specs!A:J,10,FALSE)</f>
        <v>False</v>
      </c>
      <c r="K372" s="40" t="s">
        <v>12</v>
      </c>
      <c r="L372" s="36" t="s">
        <v>22</v>
      </c>
      <c r="M372" s="36">
        <v>0.13693060000000001</v>
      </c>
      <c r="N372" s="36" t="s">
        <v>23</v>
      </c>
      <c r="O372" s="36">
        <v>4.3249900000000001E-2</v>
      </c>
      <c r="P372" s="36">
        <v>0.42857142857142855</v>
      </c>
      <c r="Q372" s="36" t="s">
        <v>24</v>
      </c>
      <c r="R372" s="36">
        <v>0.1167748</v>
      </c>
      <c r="S372" s="36" t="s">
        <v>448</v>
      </c>
      <c r="T372" s="36">
        <v>6.7770800000000006E-2</v>
      </c>
      <c r="U372" s="37">
        <v>0.42857142857142855</v>
      </c>
      <c r="V372"/>
    </row>
    <row r="373" spans="1:22" ht="17" x14ac:dyDescent="0.2">
      <c r="A373" s="36" t="s">
        <v>110</v>
      </c>
      <c r="B373" s="45" t="str">
        <f>VLOOKUP(Tabella1[[#This Row],[test_id]],experiments_specs!A:J,2,FALSE)</f>
        <v>NN,RB</v>
      </c>
      <c r="C373" s="38">
        <f>VLOOKUP(Tabella1[[#This Row],[test_id]],experiments_specs!A:J,3,FALSE)</f>
        <v>1</v>
      </c>
      <c r="D373" s="38">
        <f>VLOOKUP(Tabella1[[#This Row],[test_id]],experiments_specs!A:J,4,FALSE)</f>
        <v>2</v>
      </c>
      <c r="E373" s="38" t="str">
        <f>VLOOKUP(Tabella1[[#This Row],[test_id]],experiments_specs!A:J,5,FALSE)</f>
        <v>True</v>
      </c>
      <c r="F373" s="38" t="str">
        <f>VLOOKUP(Tabella1[[#This Row],[test_id]],experiments_specs!A:J,6,FALSE)</f>
        <v>True</v>
      </c>
      <c r="G373" s="38" t="str">
        <f>VLOOKUP(Tabella1[[#This Row],[test_id]],experiments_specs!A:J,7,FALSE)</f>
        <v>True</v>
      </c>
      <c r="H373" s="38" t="str">
        <f>VLOOKUP(Tabella1[[#This Row],[test_id]],experiments_specs!A:J,8,FALSE)</f>
        <v>True</v>
      </c>
      <c r="I373" s="45" t="str">
        <f>VLOOKUP(Tabella1[[#This Row],[test_id]],experiments_specs!A:J,9,FALSE)</f>
        <v>wup_similarity</v>
      </c>
      <c r="J373" s="38" t="str">
        <f>VLOOKUP(Tabella1[[#This Row],[test_id]],experiments_specs!A:J,10,FALSE)</f>
        <v>False</v>
      </c>
      <c r="K373" s="40" t="s">
        <v>13</v>
      </c>
      <c r="L373" s="36" t="s">
        <v>32</v>
      </c>
      <c r="M373" s="36">
        <v>0.16329930000000001</v>
      </c>
      <c r="N373" s="36" t="s">
        <v>398</v>
      </c>
      <c r="O373" s="36">
        <v>3.2274799999999999E-2</v>
      </c>
      <c r="P373" s="36">
        <v>0.4</v>
      </c>
      <c r="Q373" s="36" t="s">
        <v>34</v>
      </c>
      <c r="R373" s="36">
        <v>4.8794999999999998E-2</v>
      </c>
      <c r="S373" s="36" t="s">
        <v>35</v>
      </c>
      <c r="T373" s="36">
        <v>3.6596200000000002E-2</v>
      </c>
      <c r="U373" s="37" t="s">
        <v>25</v>
      </c>
      <c r="V373"/>
    </row>
    <row r="374" spans="1:22" ht="17" x14ac:dyDescent="0.2">
      <c r="A374" s="36" t="s">
        <v>110</v>
      </c>
      <c r="B374" s="45" t="str">
        <f>VLOOKUP(Tabella1[[#This Row],[test_id]],experiments_specs!A:J,2,FALSE)</f>
        <v>NN,RB</v>
      </c>
      <c r="C374" s="38">
        <f>VLOOKUP(Tabella1[[#This Row],[test_id]],experiments_specs!A:J,3,FALSE)</f>
        <v>1</v>
      </c>
      <c r="D374" s="38">
        <f>VLOOKUP(Tabella1[[#This Row],[test_id]],experiments_specs!A:J,4,FALSE)</f>
        <v>2</v>
      </c>
      <c r="E374" s="38" t="str">
        <f>VLOOKUP(Tabella1[[#This Row],[test_id]],experiments_specs!A:J,5,FALSE)</f>
        <v>True</v>
      </c>
      <c r="F374" s="38" t="str">
        <f>VLOOKUP(Tabella1[[#This Row],[test_id]],experiments_specs!A:J,6,FALSE)</f>
        <v>True</v>
      </c>
      <c r="G374" s="38" t="str">
        <f>VLOOKUP(Tabella1[[#This Row],[test_id]],experiments_specs!A:J,7,FALSE)</f>
        <v>True</v>
      </c>
      <c r="H374" s="38" t="str">
        <f>VLOOKUP(Tabella1[[#This Row],[test_id]],experiments_specs!A:J,8,FALSE)</f>
        <v>True</v>
      </c>
      <c r="I374" s="45" t="str">
        <f>VLOOKUP(Tabella1[[#This Row],[test_id]],experiments_specs!A:J,9,FALSE)</f>
        <v>wup_similarity</v>
      </c>
      <c r="J374" s="38" t="str">
        <f>VLOOKUP(Tabella1[[#This Row],[test_id]],experiments_specs!A:J,10,FALSE)</f>
        <v>False</v>
      </c>
      <c r="K374" s="40" t="s">
        <v>14</v>
      </c>
      <c r="L374" s="36" t="s">
        <v>449</v>
      </c>
      <c r="M374" s="36">
        <v>0.14165759999999999</v>
      </c>
      <c r="N374" s="36" t="s">
        <v>450</v>
      </c>
      <c r="O374" s="36">
        <v>1.88282E-2</v>
      </c>
      <c r="P374" s="36">
        <v>0.2857142857142857</v>
      </c>
      <c r="Q374" s="36" t="s">
        <v>451</v>
      </c>
      <c r="R374" s="36">
        <v>0.1243339</v>
      </c>
      <c r="S374" s="36" t="s">
        <v>450</v>
      </c>
      <c r="T374" s="36">
        <v>2.2750699999999999E-2</v>
      </c>
      <c r="U374" s="37">
        <v>0.2857142857142857</v>
      </c>
      <c r="V374"/>
    </row>
    <row r="375" spans="1:22" ht="17" x14ac:dyDescent="0.2">
      <c r="A375" s="36" t="s">
        <v>110</v>
      </c>
      <c r="B375" s="45" t="str">
        <f>VLOOKUP(Tabella1[[#This Row],[test_id]],experiments_specs!A:J,2,FALSE)</f>
        <v>NN,RB</v>
      </c>
      <c r="C375" s="38">
        <f>VLOOKUP(Tabella1[[#This Row],[test_id]],experiments_specs!A:J,3,FALSE)</f>
        <v>1</v>
      </c>
      <c r="D375" s="38">
        <f>VLOOKUP(Tabella1[[#This Row],[test_id]],experiments_specs!A:J,4,FALSE)</f>
        <v>2</v>
      </c>
      <c r="E375" s="38" t="str">
        <f>VLOOKUP(Tabella1[[#This Row],[test_id]],experiments_specs!A:J,5,FALSE)</f>
        <v>True</v>
      </c>
      <c r="F375" s="38" t="str">
        <f>VLOOKUP(Tabella1[[#This Row],[test_id]],experiments_specs!A:J,6,FALSE)</f>
        <v>True</v>
      </c>
      <c r="G375" s="38" t="str">
        <f>VLOOKUP(Tabella1[[#This Row],[test_id]],experiments_specs!A:J,7,FALSE)</f>
        <v>True</v>
      </c>
      <c r="H375" s="38" t="str">
        <f>VLOOKUP(Tabella1[[#This Row],[test_id]],experiments_specs!A:J,8,FALSE)</f>
        <v>True</v>
      </c>
      <c r="I375" s="45" t="str">
        <f>VLOOKUP(Tabella1[[#This Row],[test_id]],experiments_specs!A:J,9,FALSE)</f>
        <v>wup_similarity</v>
      </c>
      <c r="J375" s="38" t="str">
        <f>VLOOKUP(Tabella1[[#This Row],[test_id]],experiments_specs!A:J,10,FALSE)</f>
        <v>False</v>
      </c>
      <c r="K375" s="40" t="s">
        <v>15</v>
      </c>
      <c r="L375" s="36" t="s">
        <v>26</v>
      </c>
      <c r="M375" s="36">
        <v>0.2142857</v>
      </c>
      <c r="N375" s="36" t="s">
        <v>27</v>
      </c>
      <c r="O375" s="36">
        <v>2.1821699999999999E-2</v>
      </c>
      <c r="P375" s="36">
        <v>0.16666666666666666</v>
      </c>
      <c r="Q375" s="36" t="s">
        <v>365</v>
      </c>
      <c r="R375" s="36">
        <v>3.85758E-2</v>
      </c>
      <c r="S375" s="36" t="s">
        <v>26</v>
      </c>
      <c r="T375" s="36">
        <v>5.3571399999999998E-2</v>
      </c>
      <c r="U375" s="37">
        <v>0.18181818181818182</v>
      </c>
      <c r="V375"/>
    </row>
    <row r="376" spans="1:22" ht="34" x14ac:dyDescent="0.2">
      <c r="A376" s="36" t="s">
        <v>110</v>
      </c>
      <c r="B376" s="45" t="str">
        <f>VLOOKUP(Tabella1[[#This Row],[test_id]],experiments_specs!A:J,2,FALSE)</f>
        <v>NN,RB</v>
      </c>
      <c r="C376" s="38">
        <f>VLOOKUP(Tabella1[[#This Row],[test_id]],experiments_specs!A:J,3,FALSE)</f>
        <v>1</v>
      </c>
      <c r="D376" s="38">
        <f>VLOOKUP(Tabella1[[#This Row],[test_id]],experiments_specs!A:J,4,FALSE)</f>
        <v>2</v>
      </c>
      <c r="E376" s="38" t="str">
        <f>VLOOKUP(Tabella1[[#This Row],[test_id]],experiments_specs!A:J,5,FALSE)</f>
        <v>True</v>
      </c>
      <c r="F376" s="38" t="str">
        <f>VLOOKUP(Tabella1[[#This Row],[test_id]],experiments_specs!A:J,6,FALSE)</f>
        <v>True</v>
      </c>
      <c r="G376" s="38" t="str">
        <f>VLOOKUP(Tabella1[[#This Row],[test_id]],experiments_specs!A:J,7,FALSE)</f>
        <v>True</v>
      </c>
      <c r="H376" s="38" t="str">
        <f>VLOOKUP(Tabella1[[#This Row],[test_id]],experiments_specs!A:J,8,FALSE)</f>
        <v>True</v>
      </c>
      <c r="I376" s="45" t="str">
        <f>VLOOKUP(Tabella1[[#This Row],[test_id]],experiments_specs!A:J,9,FALSE)</f>
        <v>wup_similarity</v>
      </c>
      <c r="J376" s="38" t="str">
        <f>VLOOKUP(Tabella1[[#This Row],[test_id]],experiments_specs!A:J,10,FALSE)</f>
        <v>False</v>
      </c>
      <c r="K376" s="40" t="s">
        <v>16</v>
      </c>
      <c r="L376" s="36" t="s">
        <v>453</v>
      </c>
      <c r="M376" s="36" t="s">
        <v>486</v>
      </c>
      <c r="N376" s="36" t="s">
        <v>457</v>
      </c>
      <c r="O376" s="36" t="s">
        <v>494</v>
      </c>
      <c r="P376" s="36">
        <v>0.22222222222222221</v>
      </c>
      <c r="Q376" s="36" t="s">
        <v>461</v>
      </c>
      <c r="R376" s="36" t="s">
        <v>490</v>
      </c>
      <c r="S376" s="36" t="s">
        <v>457</v>
      </c>
      <c r="T376" s="36" t="s">
        <v>496</v>
      </c>
      <c r="U376" s="37">
        <v>0.22222222222222221</v>
      </c>
      <c r="V376"/>
    </row>
    <row r="377" spans="1:22" ht="68" x14ac:dyDescent="0.2">
      <c r="A377" s="36" t="s">
        <v>110</v>
      </c>
      <c r="B377" s="45" t="str">
        <f>VLOOKUP(Tabella1[[#This Row],[test_id]],experiments_specs!A:J,2,FALSE)</f>
        <v>NN,RB</v>
      </c>
      <c r="C377" s="38">
        <f>VLOOKUP(Tabella1[[#This Row],[test_id]],experiments_specs!A:J,3,FALSE)</f>
        <v>1</v>
      </c>
      <c r="D377" s="38">
        <f>VLOOKUP(Tabella1[[#This Row],[test_id]],experiments_specs!A:J,4,FALSE)</f>
        <v>2</v>
      </c>
      <c r="E377" s="38" t="str">
        <f>VLOOKUP(Tabella1[[#This Row],[test_id]],experiments_specs!A:J,5,FALSE)</f>
        <v>True</v>
      </c>
      <c r="F377" s="38" t="str">
        <f>VLOOKUP(Tabella1[[#This Row],[test_id]],experiments_specs!A:J,6,FALSE)</f>
        <v>True</v>
      </c>
      <c r="G377" s="38" t="str">
        <f>VLOOKUP(Tabella1[[#This Row],[test_id]],experiments_specs!A:J,7,FALSE)</f>
        <v>True</v>
      </c>
      <c r="H377" s="38" t="str">
        <f>VLOOKUP(Tabella1[[#This Row],[test_id]],experiments_specs!A:J,8,FALSE)</f>
        <v>True</v>
      </c>
      <c r="I377" s="45" t="str">
        <f>VLOOKUP(Tabella1[[#This Row],[test_id]],experiments_specs!A:J,9,FALSE)</f>
        <v>wup_similarity</v>
      </c>
      <c r="J377" s="38" t="str">
        <f>VLOOKUP(Tabella1[[#This Row],[test_id]],experiments_specs!A:J,10,FALSE)</f>
        <v>False</v>
      </c>
      <c r="K377" s="40" t="s">
        <v>17</v>
      </c>
      <c r="L377" s="36" t="s">
        <v>279</v>
      </c>
      <c r="M377" s="36" t="s">
        <v>498</v>
      </c>
      <c r="N377" s="36" t="s">
        <v>42</v>
      </c>
      <c r="O377" s="36" t="s">
        <v>500</v>
      </c>
      <c r="P377" s="36">
        <v>0.30769230769230771</v>
      </c>
      <c r="Q377" s="36" t="s">
        <v>470</v>
      </c>
      <c r="R377" s="36">
        <v>3.3113299999999998E-2</v>
      </c>
      <c r="S377" s="36" t="s">
        <v>471</v>
      </c>
      <c r="T377" s="36">
        <v>2.7036899999999999E-2</v>
      </c>
      <c r="U377" s="37">
        <v>0.16666666666666666</v>
      </c>
      <c r="V377"/>
    </row>
    <row r="378" spans="1:22" ht="34" x14ac:dyDescent="0.2">
      <c r="A378" s="36" t="s">
        <v>110</v>
      </c>
      <c r="B378" s="45" t="str">
        <f>VLOOKUP(Tabella1[[#This Row],[test_id]],experiments_specs!A:J,2,FALSE)</f>
        <v>NN,RB</v>
      </c>
      <c r="C378" s="38">
        <f>VLOOKUP(Tabella1[[#This Row],[test_id]],experiments_specs!A:J,3,FALSE)</f>
        <v>1</v>
      </c>
      <c r="D378" s="38">
        <f>VLOOKUP(Tabella1[[#This Row],[test_id]],experiments_specs!A:J,4,FALSE)</f>
        <v>2</v>
      </c>
      <c r="E378" s="38" t="str">
        <f>VLOOKUP(Tabella1[[#This Row],[test_id]],experiments_specs!A:J,5,FALSE)</f>
        <v>True</v>
      </c>
      <c r="F378" s="38" t="str">
        <f>VLOOKUP(Tabella1[[#This Row],[test_id]],experiments_specs!A:J,6,FALSE)</f>
        <v>True</v>
      </c>
      <c r="G378" s="38" t="str">
        <f>VLOOKUP(Tabella1[[#This Row],[test_id]],experiments_specs!A:J,7,FALSE)</f>
        <v>True</v>
      </c>
      <c r="H378" s="38" t="str">
        <f>VLOOKUP(Tabella1[[#This Row],[test_id]],experiments_specs!A:J,8,FALSE)</f>
        <v>True</v>
      </c>
      <c r="I378" s="45" t="str">
        <f>VLOOKUP(Tabella1[[#This Row],[test_id]],experiments_specs!A:J,9,FALSE)</f>
        <v>wup_similarity</v>
      </c>
      <c r="J378" s="38" t="str">
        <f>VLOOKUP(Tabella1[[#This Row],[test_id]],experiments_specs!A:J,10,FALSE)</f>
        <v>False</v>
      </c>
      <c r="K378" s="40" t="s">
        <v>18</v>
      </c>
      <c r="L378" s="36" t="s">
        <v>44</v>
      </c>
      <c r="M378" s="36">
        <v>6.12563E-2</v>
      </c>
      <c r="N378" s="36" t="s">
        <v>472</v>
      </c>
      <c r="O378" s="36">
        <v>2.05715E-2</v>
      </c>
      <c r="P378" s="36">
        <v>0.21052631578947367</v>
      </c>
      <c r="Q378" s="36" t="s">
        <v>46</v>
      </c>
      <c r="R378" s="36">
        <v>5.90281E-2</v>
      </c>
      <c r="S378" s="36" t="s">
        <v>436</v>
      </c>
      <c r="T378" s="36">
        <v>3.7127500000000001E-2</v>
      </c>
      <c r="U378" s="37">
        <v>0.22222222222222221</v>
      </c>
      <c r="V378"/>
    </row>
    <row r="379" spans="1:22" ht="17" x14ac:dyDescent="0.2">
      <c r="A379" s="36" t="s">
        <v>111</v>
      </c>
      <c r="B379" s="45" t="str">
        <f>VLOOKUP(Tabella1[[#This Row],[test_id]],experiments_specs!A:J,2,FALSE)</f>
        <v>NN,JJ,VB,VBD,VBG,VBN,VBP,VBZ</v>
      </c>
      <c r="C379" s="38">
        <f>VLOOKUP(Tabella1[[#This Row],[test_id]],experiments_specs!A:J,3,FALSE)</f>
        <v>1</v>
      </c>
      <c r="D379" s="38">
        <f>VLOOKUP(Tabella1[[#This Row],[test_id]],experiments_specs!A:J,4,FALSE)</f>
        <v>2</v>
      </c>
      <c r="E379" s="38" t="str">
        <f>VLOOKUP(Tabella1[[#This Row],[test_id]],experiments_specs!A:J,5,FALSE)</f>
        <v>True</v>
      </c>
      <c r="F379" s="38" t="str">
        <f>VLOOKUP(Tabella1[[#This Row],[test_id]],experiments_specs!A:J,6,FALSE)</f>
        <v>True</v>
      </c>
      <c r="G379" s="38" t="str">
        <f>VLOOKUP(Tabella1[[#This Row],[test_id]],experiments_specs!A:J,7,FALSE)</f>
        <v>True</v>
      </c>
      <c r="H379" s="38" t="str">
        <f>VLOOKUP(Tabella1[[#This Row],[test_id]],experiments_specs!A:J,8,FALSE)</f>
        <v>True</v>
      </c>
      <c r="I379" s="45" t="str">
        <f>VLOOKUP(Tabella1[[#This Row],[test_id]],experiments_specs!A:J,9,FALSE)</f>
        <v>wup_similarity</v>
      </c>
      <c r="J379" s="38" t="str">
        <f>VLOOKUP(Tabella1[[#This Row],[test_id]],experiments_specs!A:J,10,FALSE)</f>
        <v>False</v>
      </c>
      <c r="K379" s="40" t="s">
        <v>19</v>
      </c>
      <c r="L379" s="36" t="s">
        <v>225</v>
      </c>
      <c r="M379" s="36">
        <v>0.13927149999999999</v>
      </c>
      <c r="N379" s="36" t="s">
        <v>226</v>
      </c>
      <c r="O379" s="36">
        <v>1.92155E-2</v>
      </c>
      <c r="P379" s="36">
        <v>0.17391304347826086</v>
      </c>
      <c r="Q379" s="36" t="s">
        <v>288</v>
      </c>
      <c r="R379" s="36">
        <v>0.16609090000000001</v>
      </c>
      <c r="S379" s="36" t="s">
        <v>226</v>
      </c>
      <c r="T379" s="36">
        <v>2.8136999999999999E-2</v>
      </c>
      <c r="U379" s="37">
        <v>0.17391304347826086</v>
      </c>
      <c r="V379"/>
    </row>
    <row r="380" spans="1:22" ht="34" x14ac:dyDescent="0.2">
      <c r="A380" s="36" t="s">
        <v>111</v>
      </c>
      <c r="B380" s="45" t="str">
        <f>VLOOKUP(Tabella1[[#This Row],[test_id]],experiments_specs!A:J,2,FALSE)</f>
        <v>NN,JJ,VB,VBD,VBG,VBN,VBP,VBZ</v>
      </c>
      <c r="C380" s="38">
        <f>VLOOKUP(Tabella1[[#This Row],[test_id]],experiments_specs!A:J,3,FALSE)</f>
        <v>1</v>
      </c>
      <c r="D380" s="38">
        <f>VLOOKUP(Tabella1[[#This Row],[test_id]],experiments_specs!A:J,4,FALSE)</f>
        <v>2</v>
      </c>
      <c r="E380" s="38" t="str">
        <f>VLOOKUP(Tabella1[[#This Row],[test_id]],experiments_specs!A:J,5,FALSE)</f>
        <v>True</v>
      </c>
      <c r="F380" s="38" t="str">
        <f>VLOOKUP(Tabella1[[#This Row],[test_id]],experiments_specs!A:J,6,FALSE)</f>
        <v>True</v>
      </c>
      <c r="G380" s="38" t="str">
        <f>VLOOKUP(Tabella1[[#This Row],[test_id]],experiments_specs!A:J,7,FALSE)</f>
        <v>True</v>
      </c>
      <c r="H380" s="38" t="str">
        <f>VLOOKUP(Tabella1[[#This Row],[test_id]],experiments_specs!A:J,8,FALSE)</f>
        <v>True</v>
      </c>
      <c r="I380" s="45" t="str">
        <f>VLOOKUP(Tabella1[[#This Row],[test_id]],experiments_specs!A:J,9,FALSE)</f>
        <v>wup_similarity</v>
      </c>
      <c r="J380" s="38" t="str">
        <f>VLOOKUP(Tabella1[[#This Row],[test_id]],experiments_specs!A:J,10,FALSE)</f>
        <v>False</v>
      </c>
      <c r="K380" s="40" t="s">
        <v>12</v>
      </c>
      <c r="L380" s="36" t="s">
        <v>22</v>
      </c>
      <c r="M380" s="36">
        <v>0.13055820000000001</v>
      </c>
      <c r="N380" s="36" t="s">
        <v>23</v>
      </c>
      <c r="O380" s="36">
        <v>1.5463899999999999E-2</v>
      </c>
      <c r="P380" s="36">
        <v>0.42857142857142855</v>
      </c>
      <c r="Q380" s="36" t="s">
        <v>391</v>
      </c>
      <c r="R380" s="36" t="s">
        <v>502</v>
      </c>
      <c r="S380" s="36" t="s">
        <v>504</v>
      </c>
      <c r="T380" s="36" t="s">
        <v>506</v>
      </c>
      <c r="U380" s="37">
        <v>0.46153846153846156</v>
      </c>
      <c r="V380"/>
    </row>
    <row r="381" spans="1:22" ht="17" x14ac:dyDescent="0.2">
      <c r="A381" s="36" t="s">
        <v>111</v>
      </c>
      <c r="B381" s="45" t="str">
        <f>VLOOKUP(Tabella1[[#This Row],[test_id]],experiments_specs!A:J,2,FALSE)</f>
        <v>NN,JJ,VB,VBD,VBG,VBN,VBP,VBZ</v>
      </c>
      <c r="C381" s="38">
        <f>VLOOKUP(Tabella1[[#This Row],[test_id]],experiments_specs!A:J,3,FALSE)</f>
        <v>1</v>
      </c>
      <c r="D381" s="38">
        <f>VLOOKUP(Tabella1[[#This Row],[test_id]],experiments_specs!A:J,4,FALSE)</f>
        <v>2</v>
      </c>
      <c r="E381" s="38" t="str">
        <f>VLOOKUP(Tabella1[[#This Row],[test_id]],experiments_specs!A:J,5,FALSE)</f>
        <v>True</v>
      </c>
      <c r="F381" s="38" t="str">
        <f>VLOOKUP(Tabella1[[#This Row],[test_id]],experiments_specs!A:J,6,FALSE)</f>
        <v>True</v>
      </c>
      <c r="G381" s="38" t="str">
        <f>VLOOKUP(Tabella1[[#This Row],[test_id]],experiments_specs!A:J,7,FALSE)</f>
        <v>True</v>
      </c>
      <c r="H381" s="38" t="str">
        <f>VLOOKUP(Tabella1[[#This Row],[test_id]],experiments_specs!A:J,8,FALSE)</f>
        <v>True</v>
      </c>
      <c r="I381" s="45" t="str">
        <f>VLOOKUP(Tabella1[[#This Row],[test_id]],experiments_specs!A:J,9,FALSE)</f>
        <v>wup_similarity</v>
      </c>
      <c r="J381" s="38" t="str">
        <f>VLOOKUP(Tabella1[[#This Row],[test_id]],experiments_specs!A:J,10,FALSE)</f>
        <v>False</v>
      </c>
      <c r="K381" s="40" t="s">
        <v>13</v>
      </c>
      <c r="L381" s="36" t="s">
        <v>32</v>
      </c>
      <c r="M381" s="36">
        <v>0.1556997</v>
      </c>
      <c r="N381" s="36" t="s">
        <v>473</v>
      </c>
      <c r="O381" s="36">
        <v>2.46182E-2</v>
      </c>
      <c r="P381" s="36">
        <v>0.4</v>
      </c>
      <c r="Q381" s="36" t="s">
        <v>34</v>
      </c>
      <c r="R381" s="36">
        <v>4.6524200000000002E-2</v>
      </c>
      <c r="S381" s="36" t="s">
        <v>35</v>
      </c>
      <c r="T381" s="36">
        <v>2.4923600000000001E-2</v>
      </c>
      <c r="U381" s="37" t="s">
        <v>25</v>
      </c>
      <c r="V381"/>
    </row>
    <row r="382" spans="1:22" ht="17" x14ac:dyDescent="0.2">
      <c r="A382" s="36" t="s">
        <v>111</v>
      </c>
      <c r="B382" s="45" t="str">
        <f>VLOOKUP(Tabella1[[#This Row],[test_id]],experiments_specs!A:J,2,FALSE)</f>
        <v>NN,JJ,VB,VBD,VBG,VBN,VBP,VBZ</v>
      </c>
      <c r="C382" s="38">
        <f>VLOOKUP(Tabella1[[#This Row],[test_id]],experiments_specs!A:J,3,FALSE)</f>
        <v>1</v>
      </c>
      <c r="D382" s="38">
        <f>VLOOKUP(Tabella1[[#This Row],[test_id]],experiments_specs!A:J,4,FALSE)</f>
        <v>2</v>
      </c>
      <c r="E382" s="38" t="str">
        <f>VLOOKUP(Tabella1[[#This Row],[test_id]],experiments_specs!A:J,5,FALSE)</f>
        <v>True</v>
      </c>
      <c r="F382" s="38" t="str">
        <f>VLOOKUP(Tabella1[[#This Row],[test_id]],experiments_specs!A:J,6,FALSE)</f>
        <v>True</v>
      </c>
      <c r="G382" s="38" t="str">
        <f>VLOOKUP(Tabella1[[#This Row],[test_id]],experiments_specs!A:J,7,FALSE)</f>
        <v>True</v>
      </c>
      <c r="H382" s="38" t="str">
        <f>VLOOKUP(Tabella1[[#This Row],[test_id]],experiments_specs!A:J,8,FALSE)</f>
        <v>True</v>
      </c>
      <c r="I382" s="45" t="str">
        <f>VLOOKUP(Tabella1[[#This Row],[test_id]],experiments_specs!A:J,9,FALSE)</f>
        <v>wup_similarity</v>
      </c>
      <c r="J382" s="38" t="str">
        <f>VLOOKUP(Tabella1[[#This Row],[test_id]],experiments_specs!A:J,10,FALSE)</f>
        <v>False</v>
      </c>
      <c r="K382" s="40" t="s">
        <v>14</v>
      </c>
      <c r="L382" s="36" t="s">
        <v>449</v>
      </c>
      <c r="M382" s="36">
        <v>0.1367882</v>
      </c>
      <c r="N382" s="36" t="s">
        <v>450</v>
      </c>
      <c r="O382" s="36">
        <v>1.0984300000000001E-2</v>
      </c>
      <c r="P382" s="36">
        <v>0.2857142857142857</v>
      </c>
      <c r="Q382" s="36" t="s">
        <v>451</v>
      </c>
      <c r="R382" s="36">
        <v>0.12006</v>
      </c>
      <c r="S382" s="36" t="s">
        <v>450</v>
      </c>
      <c r="T382" s="36">
        <v>1.46458E-2</v>
      </c>
      <c r="U382" s="37">
        <v>0.2857142857142857</v>
      </c>
      <c r="V382"/>
    </row>
    <row r="383" spans="1:22" ht="17" x14ac:dyDescent="0.2">
      <c r="A383" s="36" t="s">
        <v>111</v>
      </c>
      <c r="B383" s="45" t="str">
        <f>VLOOKUP(Tabella1[[#This Row],[test_id]],experiments_specs!A:J,2,FALSE)</f>
        <v>NN,JJ,VB,VBD,VBG,VBN,VBP,VBZ</v>
      </c>
      <c r="C383" s="38">
        <f>VLOOKUP(Tabella1[[#This Row],[test_id]],experiments_specs!A:J,3,FALSE)</f>
        <v>1</v>
      </c>
      <c r="D383" s="38">
        <f>VLOOKUP(Tabella1[[#This Row],[test_id]],experiments_specs!A:J,4,FALSE)</f>
        <v>2</v>
      </c>
      <c r="E383" s="38" t="str">
        <f>VLOOKUP(Tabella1[[#This Row],[test_id]],experiments_specs!A:J,5,FALSE)</f>
        <v>True</v>
      </c>
      <c r="F383" s="38" t="str">
        <f>VLOOKUP(Tabella1[[#This Row],[test_id]],experiments_specs!A:J,6,FALSE)</f>
        <v>True</v>
      </c>
      <c r="G383" s="38" t="str">
        <f>VLOOKUP(Tabella1[[#This Row],[test_id]],experiments_specs!A:J,7,FALSE)</f>
        <v>True</v>
      </c>
      <c r="H383" s="38" t="str">
        <f>VLOOKUP(Tabella1[[#This Row],[test_id]],experiments_specs!A:J,8,FALSE)</f>
        <v>True</v>
      </c>
      <c r="I383" s="45" t="str">
        <f>VLOOKUP(Tabella1[[#This Row],[test_id]],experiments_specs!A:J,9,FALSE)</f>
        <v>wup_similarity</v>
      </c>
      <c r="J383" s="38" t="str">
        <f>VLOOKUP(Tabella1[[#This Row],[test_id]],experiments_specs!A:J,10,FALSE)</f>
        <v>False</v>
      </c>
      <c r="K383" s="40" t="s">
        <v>15</v>
      </c>
      <c r="L383" s="36" t="s">
        <v>26</v>
      </c>
      <c r="M383" s="36">
        <v>0.2020305</v>
      </c>
      <c r="N383" s="36" t="s">
        <v>27</v>
      </c>
      <c r="O383" s="36">
        <v>1.5430299999999999E-2</v>
      </c>
      <c r="P383" s="36">
        <v>0.16666666666666666</v>
      </c>
      <c r="Q383" s="36" t="s">
        <v>15</v>
      </c>
      <c r="R383" s="36">
        <v>0.20998020000000001</v>
      </c>
      <c r="S383" s="36" t="s">
        <v>474</v>
      </c>
      <c r="T383" s="36">
        <v>3.6866299999999998E-2</v>
      </c>
      <c r="U383" s="37">
        <v>0.90909090909090906</v>
      </c>
      <c r="V383"/>
    </row>
    <row r="384" spans="1:22" ht="34" x14ac:dyDescent="0.2">
      <c r="A384" s="36" t="s">
        <v>111</v>
      </c>
      <c r="B384" s="45" t="str">
        <f>VLOOKUP(Tabella1[[#This Row],[test_id]],experiments_specs!A:J,2,FALSE)</f>
        <v>NN,JJ,VB,VBD,VBG,VBN,VBP,VBZ</v>
      </c>
      <c r="C384" s="38">
        <f>VLOOKUP(Tabella1[[#This Row],[test_id]],experiments_specs!A:J,3,FALSE)</f>
        <v>1</v>
      </c>
      <c r="D384" s="38">
        <f>VLOOKUP(Tabella1[[#This Row],[test_id]],experiments_specs!A:J,4,FALSE)</f>
        <v>2</v>
      </c>
      <c r="E384" s="38" t="str">
        <f>VLOOKUP(Tabella1[[#This Row],[test_id]],experiments_specs!A:J,5,FALSE)</f>
        <v>True</v>
      </c>
      <c r="F384" s="38" t="str">
        <f>VLOOKUP(Tabella1[[#This Row],[test_id]],experiments_specs!A:J,6,FALSE)</f>
        <v>True</v>
      </c>
      <c r="G384" s="38" t="str">
        <f>VLOOKUP(Tabella1[[#This Row],[test_id]],experiments_specs!A:J,7,FALSE)</f>
        <v>True</v>
      </c>
      <c r="H384" s="38" t="str">
        <f>VLOOKUP(Tabella1[[#This Row],[test_id]],experiments_specs!A:J,8,FALSE)</f>
        <v>True</v>
      </c>
      <c r="I384" s="45" t="str">
        <f>VLOOKUP(Tabella1[[#This Row],[test_id]],experiments_specs!A:J,9,FALSE)</f>
        <v>wup_similarity</v>
      </c>
      <c r="J384" s="38" t="str">
        <f>VLOOKUP(Tabella1[[#This Row],[test_id]],experiments_specs!A:J,10,FALSE)</f>
        <v>False</v>
      </c>
      <c r="K384" s="40" t="s">
        <v>16</v>
      </c>
      <c r="L384" s="36" t="s">
        <v>453</v>
      </c>
      <c r="M384" s="36" t="s">
        <v>486</v>
      </c>
      <c r="N384" s="36" t="s">
        <v>457</v>
      </c>
      <c r="O384" s="36" t="s">
        <v>508</v>
      </c>
      <c r="P384" s="36">
        <v>0.22222222222222221</v>
      </c>
      <c r="Q384" s="36" t="s">
        <v>461</v>
      </c>
      <c r="R384" s="36" t="s">
        <v>490</v>
      </c>
      <c r="S384" s="36" t="s">
        <v>457</v>
      </c>
      <c r="T384" s="36" t="s">
        <v>510</v>
      </c>
      <c r="U384" s="37">
        <v>0.22222222222222221</v>
      </c>
      <c r="V384"/>
    </row>
    <row r="385" spans="1:22" ht="17" x14ac:dyDescent="0.2">
      <c r="A385" s="36" t="s">
        <v>111</v>
      </c>
      <c r="B385" s="45" t="str">
        <f>VLOOKUP(Tabella1[[#This Row],[test_id]],experiments_specs!A:J,2,FALSE)</f>
        <v>NN,JJ,VB,VBD,VBG,VBN,VBP,VBZ</v>
      </c>
      <c r="C385" s="38">
        <f>VLOOKUP(Tabella1[[#This Row],[test_id]],experiments_specs!A:J,3,FALSE)</f>
        <v>1</v>
      </c>
      <c r="D385" s="38">
        <f>VLOOKUP(Tabella1[[#This Row],[test_id]],experiments_specs!A:J,4,FALSE)</f>
        <v>2</v>
      </c>
      <c r="E385" s="38" t="str">
        <f>VLOOKUP(Tabella1[[#This Row],[test_id]],experiments_specs!A:J,5,FALSE)</f>
        <v>True</v>
      </c>
      <c r="F385" s="38" t="str">
        <f>VLOOKUP(Tabella1[[#This Row],[test_id]],experiments_specs!A:J,6,FALSE)</f>
        <v>True</v>
      </c>
      <c r="G385" s="38" t="str">
        <f>VLOOKUP(Tabella1[[#This Row],[test_id]],experiments_specs!A:J,7,FALSE)</f>
        <v>True</v>
      </c>
      <c r="H385" s="38" t="str">
        <f>VLOOKUP(Tabella1[[#This Row],[test_id]],experiments_specs!A:J,8,FALSE)</f>
        <v>True</v>
      </c>
      <c r="I385" s="45" t="str">
        <f>VLOOKUP(Tabella1[[#This Row],[test_id]],experiments_specs!A:J,9,FALSE)</f>
        <v>wup_similarity</v>
      </c>
      <c r="J385" s="38" t="str">
        <f>VLOOKUP(Tabella1[[#This Row],[test_id]],experiments_specs!A:J,10,FALSE)</f>
        <v>False</v>
      </c>
      <c r="K385" s="40" t="s">
        <v>17</v>
      </c>
      <c r="L385" s="36" t="s">
        <v>30</v>
      </c>
      <c r="M385" s="36">
        <v>0.15161959999999999</v>
      </c>
      <c r="N385" s="36" t="s">
        <v>484</v>
      </c>
      <c r="O385" s="36">
        <v>2.2331E-2</v>
      </c>
      <c r="P385" s="36">
        <v>0.22222222222222221</v>
      </c>
      <c r="Q385" s="36" t="s">
        <v>30</v>
      </c>
      <c r="R385" s="36">
        <v>0.15161959999999999</v>
      </c>
      <c r="S385" s="36" t="s">
        <v>380</v>
      </c>
      <c r="T385" s="36">
        <v>2.5450799999999999E-2</v>
      </c>
      <c r="U385" s="37">
        <v>0.2</v>
      </c>
      <c r="V385"/>
    </row>
    <row r="386" spans="1:22" ht="34" x14ac:dyDescent="0.2">
      <c r="A386" s="36" t="s">
        <v>111</v>
      </c>
      <c r="B386" s="45" t="str">
        <f>VLOOKUP(Tabella1[[#This Row],[test_id]],experiments_specs!A:J,2,FALSE)</f>
        <v>NN,JJ,VB,VBD,VBG,VBN,VBP,VBZ</v>
      </c>
      <c r="C386" s="38">
        <f>VLOOKUP(Tabella1[[#This Row],[test_id]],experiments_specs!A:J,3,FALSE)</f>
        <v>1</v>
      </c>
      <c r="D386" s="38">
        <f>VLOOKUP(Tabella1[[#This Row],[test_id]],experiments_specs!A:J,4,FALSE)</f>
        <v>2</v>
      </c>
      <c r="E386" s="38" t="str">
        <f>VLOOKUP(Tabella1[[#This Row],[test_id]],experiments_specs!A:J,5,FALSE)</f>
        <v>True</v>
      </c>
      <c r="F386" s="38" t="str">
        <f>VLOOKUP(Tabella1[[#This Row],[test_id]],experiments_specs!A:J,6,FALSE)</f>
        <v>True</v>
      </c>
      <c r="G386" s="38" t="str">
        <f>VLOOKUP(Tabella1[[#This Row],[test_id]],experiments_specs!A:J,7,FALSE)</f>
        <v>True</v>
      </c>
      <c r="H386" s="38" t="str">
        <f>VLOOKUP(Tabella1[[#This Row],[test_id]],experiments_specs!A:J,8,FALSE)</f>
        <v>True</v>
      </c>
      <c r="I386" s="45" t="str">
        <f>VLOOKUP(Tabella1[[#This Row],[test_id]],experiments_specs!A:J,9,FALSE)</f>
        <v>wup_similarity</v>
      </c>
      <c r="J386" s="38" t="str">
        <f>VLOOKUP(Tabella1[[#This Row],[test_id]],experiments_specs!A:J,10,FALSE)</f>
        <v>False</v>
      </c>
      <c r="K386" s="40" t="s">
        <v>18</v>
      </c>
      <c r="L386" s="36" t="s">
        <v>44</v>
      </c>
      <c r="M386" s="36">
        <v>5.8798099999999999E-2</v>
      </c>
      <c r="N386" s="36" t="s">
        <v>472</v>
      </c>
      <c r="O386" s="36">
        <v>1.2297499999999999E-2</v>
      </c>
      <c r="P386" s="36">
        <v>0.21052631578947367</v>
      </c>
      <c r="Q386" s="36" t="s">
        <v>46</v>
      </c>
      <c r="R386" s="36">
        <v>5.66592E-2</v>
      </c>
      <c r="S386" s="36" t="s">
        <v>436</v>
      </c>
      <c r="T386" s="36">
        <v>2.5671099999999999E-2</v>
      </c>
      <c r="U386" s="37">
        <v>0.22222222222222221</v>
      </c>
      <c r="V386"/>
    </row>
    <row r="387" spans="1:22" ht="17" x14ac:dyDescent="0.2">
      <c r="A387" s="36" t="s">
        <v>112</v>
      </c>
      <c r="B387" s="45" t="str">
        <f>VLOOKUP(Tabella1[[#This Row],[test_id]],experiments_specs!A:J,2,FALSE)</f>
        <v>NN</v>
      </c>
      <c r="C387" s="38">
        <f>VLOOKUP(Tabella1[[#This Row],[test_id]],experiments_specs!A:J,3,FALSE)</f>
        <v>1</v>
      </c>
      <c r="D387" s="38">
        <f>VLOOKUP(Tabella1[[#This Row],[test_id]],experiments_specs!A:J,4,FALSE)</f>
        <v>2</v>
      </c>
      <c r="E387" s="38" t="str">
        <f>VLOOKUP(Tabella1[[#This Row],[test_id]],experiments_specs!A:J,5,FALSE)</f>
        <v>True</v>
      </c>
      <c r="F387" s="38" t="str">
        <f>VLOOKUP(Tabella1[[#This Row],[test_id]],experiments_specs!A:J,6,FALSE)</f>
        <v>True</v>
      </c>
      <c r="G387" s="38" t="str">
        <f>VLOOKUP(Tabella1[[#This Row],[test_id]],experiments_specs!A:J,7,FALSE)</f>
        <v>True</v>
      </c>
      <c r="H387" s="38" t="str">
        <f>VLOOKUP(Tabella1[[#This Row],[test_id]],experiments_specs!A:J,8,FALSE)</f>
        <v>True</v>
      </c>
      <c r="I387" s="45" t="str">
        <f>VLOOKUP(Tabella1[[#This Row],[test_id]],experiments_specs!A:J,9,FALSE)</f>
        <v>wup_similarity</v>
      </c>
      <c r="J387" s="38" t="str">
        <f>VLOOKUP(Tabella1[[#This Row],[test_id]],experiments_specs!A:J,10,FALSE)</f>
        <v>True</v>
      </c>
      <c r="K387" s="40" t="s">
        <v>19</v>
      </c>
      <c r="L387" s="36" t="s">
        <v>354</v>
      </c>
      <c r="M387" s="36">
        <v>0.1404878</v>
      </c>
      <c r="N387" s="36" t="s">
        <v>288</v>
      </c>
      <c r="O387" s="36">
        <v>2.2846499999999999E-2</v>
      </c>
      <c r="P387" s="36">
        <v>0.19047619047619047</v>
      </c>
      <c r="Q387" s="36" t="s">
        <v>47</v>
      </c>
      <c r="R387" s="36">
        <v>0.11020770000000001</v>
      </c>
      <c r="S387" s="36" t="s">
        <v>447</v>
      </c>
      <c r="T387" s="36">
        <v>2.6759499999999999E-2</v>
      </c>
      <c r="U387" s="37">
        <v>0.19047619047619047</v>
      </c>
      <c r="V387"/>
    </row>
    <row r="388" spans="1:22" ht="17" x14ac:dyDescent="0.2">
      <c r="A388" s="36" t="s">
        <v>112</v>
      </c>
      <c r="B388" s="45" t="str">
        <f>VLOOKUP(Tabella1[[#This Row],[test_id]],experiments_specs!A:J,2,FALSE)</f>
        <v>NN</v>
      </c>
      <c r="C388" s="38">
        <f>VLOOKUP(Tabella1[[#This Row],[test_id]],experiments_specs!A:J,3,FALSE)</f>
        <v>1</v>
      </c>
      <c r="D388" s="38">
        <f>VLOOKUP(Tabella1[[#This Row],[test_id]],experiments_specs!A:J,4,FALSE)</f>
        <v>2</v>
      </c>
      <c r="E388" s="38" t="str">
        <f>VLOOKUP(Tabella1[[#This Row],[test_id]],experiments_specs!A:J,5,FALSE)</f>
        <v>True</v>
      </c>
      <c r="F388" s="38" t="str">
        <f>VLOOKUP(Tabella1[[#This Row],[test_id]],experiments_specs!A:J,6,FALSE)</f>
        <v>True</v>
      </c>
      <c r="G388" s="38" t="str">
        <f>VLOOKUP(Tabella1[[#This Row],[test_id]],experiments_specs!A:J,7,FALSE)</f>
        <v>True</v>
      </c>
      <c r="H388" s="38" t="str">
        <f>VLOOKUP(Tabella1[[#This Row],[test_id]],experiments_specs!A:J,8,FALSE)</f>
        <v>True</v>
      </c>
      <c r="I388" s="45" t="str">
        <f>VLOOKUP(Tabella1[[#This Row],[test_id]],experiments_specs!A:J,9,FALSE)</f>
        <v>wup_similarity</v>
      </c>
      <c r="J388" s="38" t="str">
        <f>VLOOKUP(Tabella1[[#This Row],[test_id]],experiments_specs!A:J,10,FALSE)</f>
        <v>True</v>
      </c>
      <c r="K388" s="40" t="s">
        <v>12</v>
      </c>
      <c r="L388" s="36" t="s">
        <v>22</v>
      </c>
      <c r="M388" s="36">
        <v>0.13693060000000001</v>
      </c>
      <c r="N388" s="36" t="s">
        <v>23</v>
      </c>
      <c r="O388" s="36">
        <v>4.3249900000000001E-2</v>
      </c>
      <c r="P388" s="36">
        <v>0.42857142857142855</v>
      </c>
      <c r="Q388" s="36" t="s">
        <v>24</v>
      </c>
      <c r="R388" s="36">
        <v>0.1167748</v>
      </c>
      <c r="S388" s="36" t="s">
        <v>448</v>
      </c>
      <c r="T388" s="36">
        <v>6.7770800000000006E-2</v>
      </c>
      <c r="U388" s="37">
        <v>0.42857142857142855</v>
      </c>
      <c r="V388"/>
    </row>
    <row r="389" spans="1:22" ht="17" x14ac:dyDescent="0.2">
      <c r="A389" s="36" t="s">
        <v>112</v>
      </c>
      <c r="B389" s="45" t="str">
        <f>VLOOKUP(Tabella1[[#This Row],[test_id]],experiments_specs!A:J,2,FALSE)</f>
        <v>NN</v>
      </c>
      <c r="C389" s="38">
        <f>VLOOKUP(Tabella1[[#This Row],[test_id]],experiments_specs!A:J,3,FALSE)</f>
        <v>1</v>
      </c>
      <c r="D389" s="38">
        <f>VLOOKUP(Tabella1[[#This Row],[test_id]],experiments_specs!A:J,4,FALSE)</f>
        <v>2</v>
      </c>
      <c r="E389" s="38" t="str">
        <f>VLOOKUP(Tabella1[[#This Row],[test_id]],experiments_specs!A:J,5,FALSE)</f>
        <v>True</v>
      </c>
      <c r="F389" s="38" t="str">
        <f>VLOOKUP(Tabella1[[#This Row],[test_id]],experiments_specs!A:J,6,FALSE)</f>
        <v>True</v>
      </c>
      <c r="G389" s="38" t="str">
        <f>VLOOKUP(Tabella1[[#This Row],[test_id]],experiments_specs!A:J,7,FALSE)</f>
        <v>True</v>
      </c>
      <c r="H389" s="38" t="str">
        <f>VLOOKUP(Tabella1[[#This Row],[test_id]],experiments_specs!A:J,8,FALSE)</f>
        <v>True</v>
      </c>
      <c r="I389" s="45" t="str">
        <f>VLOOKUP(Tabella1[[#This Row],[test_id]],experiments_specs!A:J,9,FALSE)</f>
        <v>wup_similarity</v>
      </c>
      <c r="J389" s="38" t="str">
        <f>VLOOKUP(Tabella1[[#This Row],[test_id]],experiments_specs!A:J,10,FALSE)</f>
        <v>True</v>
      </c>
      <c r="K389" s="40" t="s">
        <v>13</v>
      </c>
      <c r="L389" s="36" t="s">
        <v>326</v>
      </c>
      <c r="M389" s="36">
        <v>0.14784420000000001</v>
      </c>
      <c r="N389" s="36" t="s">
        <v>327</v>
      </c>
      <c r="O389" s="36">
        <v>3.2170400000000002E-2</v>
      </c>
      <c r="P389" s="36" t="s">
        <v>25</v>
      </c>
      <c r="Q389" s="36" t="s">
        <v>417</v>
      </c>
      <c r="R389" s="36">
        <v>5.72598E-2</v>
      </c>
      <c r="S389" s="36" t="s">
        <v>327</v>
      </c>
      <c r="T389" s="36">
        <v>3.2170400000000002E-2</v>
      </c>
      <c r="U389" s="37" t="s">
        <v>25</v>
      </c>
      <c r="V389"/>
    </row>
    <row r="390" spans="1:22" ht="17" x14ac:dyDescent="0.2">
      <c r="A390" s="36" t="s">
        <v>112</v>
      </c>
      <c r="B390" s="45" t="str">
        <f>VLOOKUP(Tabella1[[#This Row],[test_id]],experiments_specs!A:J,2,FALSE)</f>
        <v>NN</v>
      </c>
      <c r="C390" s="38">
        <f>VLOOKUP(Tabella1[[#This Row],[test_id]],experiments_specs!A:J,3,FALSE)</f>
        <v>1</v>
      </c>
      <c r="D390" s="38">
        <f>VLOOKUP(Tabella1[[#This Row],[test_id]],experiments_specs!A:J,4,FALSE)</f>
        <v>2</v>
      </c>
      <c r="E390" s="38" t="str">
        <f>VLOOKUP(Tabella1[[#This Row],[test_id]],experiments_specs!A:J,5,FALSE)</f>
        <v>True</v>
      </c>
      <c r="F390" s="38" t="str">
        <f>VLOOKUP(Tabella1[[#This Row],[test_id]],experiments_specs!A:J,6,FALSE)</f>
        <v>True</v>
      </c>
      <c r="G390" s="38" t="str">
        <f>VLOOKUP(Tabella1[[#This Row],[test_id]],experiments_specs!A:J,7,FALSE)</f>
        <v>True</v>
      </c>
      <c r="H390" s="38" t="str">
        <f>VLOOKUP(Tabella1[[#This Row],[test_id]],experiments_specs!A:J,8,FALSE)</f>
        <v>True</v>
      </c>
      <c r="I390" s="45" t="str">
        <f>VLOOKUP(Tabella1[[#This Row],[test_id]],experiments_specs!A:J,9,FALSE)</f>
        <v>wup_similarity</v>
      </c>
      <c r="J390" s="38" t="str">
        <f>VLOOKUP(Tabella1[[#This Row],[test_id]],experiments_specs!A:J,10,FALSE)</f>
        <v>True</v>
      </c>
      <c r="K390" s="40" t="s">
        <v>14</v>
      </c>
      <c r="L390" s="36" t="s">
        <v>449</v>
      </c>
      <c r="M390" s="36">
        <v>0.1426954</v>
      </c>
      <c r="N390" s="36" t="s">
        <v>450</v>
      </c>
      <c r="O390" s="36">
        <v>1.9643500000000001E-2</v>
      </c>
      <c r="P390" s="36">
        <v>0.2857142857142857</v>
      </c>
      <c r="Q390" s="36" t="s">
        <v>451</v>
      </c>
      <c r="R390" s="36">
        <v>0.12524479999999999</v>
      </c>
      <c r="S390" s="36" t="s">
        <v>450</v>
      </c>
      <c r="T390" s="36">
        <v>2.11545E-2</v>
      </c>
      <c r="U390" s="37">
        <v>0.2857142857142857</v>
      </c>
      <c r="V390"/>
    </row>
    <row r="391" spans="1:22" ht="17" x14ac:dyDescent="0.2">
      <c r="A391" s="36" t="s">
        <v>112</v>
      </c>
      <c r="B391" s="45" t="str">
        <f>VLOOKUP(Tabella1[[#This Row],[test_id]],experiments_specs!A:J,2,FALSE)</f>
        <v>NN</v>
      </c>
      <c r="C391" s="38">
        <f>VLOOKUP(Tabella1[[#This Row],[test_id]],experiments_specs!A:J,3,FALSE)</f>
        <v>1</v>
      </c>
      <c r="D391" s="38">
        <f>VLOOKUP(Tabella1[[#This Row],[test_id]],experiments_specs!A:J,4,FALSE)</f>
        <v>2</v>
      </c>
      <c r="E391" s="38" t="str">
        <f>VLOOKUP(Tabella1[[#This Row],[test_id]],experiments_specs!A:J,5,FALSE)</f>
        <v>True</v>
      </c>
      <c r="F391" s="38" t="str">
        <f>VLOOKUP(Tabella1[[#This Row],[test_id]],experiments_specs!A:J,6,FALSE)</f>
        <v>True</v>
      </c>
      <c r="G391" s="38" t="str">
        <f>VLOOKUP(Tabella1[[#This Row],[test_id]],experiments_specs!A:J,7,FALSE)</f>
        <v>True</v>
      </c>
      <c r="H391" s="38" t="str">
        <f>VLOOKUP(Tabella1[[#This Row],[test_id]],experiments_specs!A:J,8,FALSE)</f>
        <v>True</v>
      </c>
      <c r="I391" s="45" t="str">
        <f>VLOOKUP(Tabella1[[#This Row],[test_id]],experiments_specs!A:J,9,FALSE)</f>
        <v>wup_similarity</v>
      </c>
      <c r="J391" s="38" t="str">
        <f>VLOOKUP(Tabella1[[#This Row],[test_id]],experiments_specs!A:J,10,FALSE)</f>
        <v>True</v>
      </c>
      <c r="K391" s="40" t="s">
        <v>15</v>
      </c>
      <c r="L391" s="36" t="s">
        <v>26</v>
      </c>
      <c r="M391" s="36">
        <v>0.2142857</v>
      </c>
      <c r="N391" s="36" t="s">
        <v>27</v>
      </c>
      <c r="O391" s="36">
        <v>2.3380399999999999E-2</v>
      </c>
      <c r="P391" s="36">
        <v>0.16666666666666666</v>
      </c>
      <c r="Q391" s="36" t="s">
        <v>365</v>
      </c>
      <c r="R391" s="36">
        <v>3.85758E-2</v>
      </c>
      <c r="S391" s="36" t="s">
        <v>26</v>
      </c>
      <c r="T391" s="36">
        <v>5.7142800000000001E-2</v>
      </c>
      <c r="U391" s="37">
        <v>0.18181818181818182</v>
      </c>
      <c r="V391"/>
    </row>
    <row r="392" spans="1:22" ht="34" x14ac:dyDescent="0.2">
      <c r="A392" s="36" t="s">
        <v>112</v>
      </c>
      <c r="B392" s="45" t="str">
        <f>VLOOKUP(Tabella1[[#This Row],[test_id]],experiments_specs!A:J,2,FALSE)</f>
        <v>NN</v>
      </c>
      <c r="C392" s="38">
        <f>VLOOKUP(Tabella1[[#This Row],[test_id]],experiments_specs!A:J,3,FALSE)</f>
        <v>1</v>
      </c>
      <c r="D392" s="38">
        <f>VLOOKUP(Tabella1[[#This Row],[test_id]],experiments_specs!A:J,4,FALSE)</f>
        <v>2</v>
      </c>
      <c r="E392" s="38" t="str">
        <f>VLOOKUP(Tabella1[[#This Row],[test_id]],experiments_specs!A:J,5,FALSE)</f>
        <v>True</v>
      </c>
      <c r="F392" s="38" t="str">
        <f>VLOOKUP(Tabella1[[#This Row],[test_id]],experiments_specs!A:J,6,FALSE)</f>
        <v>True</v>
      </c>
      <c r="G392" s="38" t="str">
        <f>VLOOKUP(Tabella1[[#This Row],[test_id]],experiments_specs!A:J,7,FALSE)</f>
        <v>True</v>
      </c>
      <c r="H392" s="38" t="str">
        <f>VLOOKUP(Tabella1[[#This Row],[test_id]],experiments_specs!A:J,8,FALSE)</f>
        <v>True</v>
      </c>
      <c r="I392" s="45" t="str">
        <f>VLOOKUP(Tabella1[[#This Row],[test_id]],experiments_specs!A:J,9,FALSE)</f>
        <v>wup_similarity</v>
      </c>
      <c r="J392" s="38" t="str">
        <f>VLOOKUP(Tabella1[[#This Row],[test_id]],experiments_specs!A:J,10,FALSE)</f>
        <v>True</v>
      </c>
      <c r="K392" s="40" t="s">
        <v>16</v>
      </c>
      <c r="L392" s="36" t="s">
        <v>453</v>
      </c>
      <c r="M392" s="36" t="s">
        <v>455</v>
      </c>
      <c r="N392" s="36" t="s">
        <v>457</v>
      </c>
      <c r="O392" s="36" t="s">
        <v>524</v>
      </c>
      <c r="P392" s="36">
        <v>0.22222222222222221</v>
      </c>
      <c r="Q392" s="36" t="s">
        <v>461</v>
      </c>
      <c r="R392" s="36" t="s">
        <v>463</v>
      </c>
      <c r="S392" s="36" t="s">
        <v>457</v>
      </c>
      <c r="T392" s="36" t="s">
        <v>465</v>
      </c>
      <c r="U392" s="37">
        <v>0.22222222222222221</v>
      </c>
      <c r="V392"/>
    </row>
    <row r="393" spans="1:22" ht="68" x14ac:dyDescent="0.2">
      <c r="A393" s="36" t="s">
        <v>112</v>
      </c>
      <c r="B393" s="45" t="str">
        <f>VLOOKUP(Tabella1[[#This Row],[test_id]],experiments_specs!A:J,2,FALSE)</f>
        <v>NN</v>
      </c>
      <c r="C393" s="38">
        <f>VLOOKUP(Tabella1[[#This Row],[test_id]],experiments_specs!A:J,3,FALSE)</f>
        <v>1</v>
      </c>
      <c r="D393" s="38">
        <f>VLOOKUP(Tabella1[[#This Row],[test_id]],experiments_specs!A:J,4,FALSE)</f>
        <v>2</v>
      </c>
      <c r="E393" s="38" t="str">
        <f>VLOOKUP(Tabella1[[#This Row],[test_id]],experiments_specs!A:J,5,FALSE)</f>
        <v>True</v>
      </c>
      <c r="F393" s="38" t="str">
        <f>VLOOKUP(Tabella1[[#This Row],[test_id]],experiments_specs!A:J,6,FALSE)</f>
        <v>True</v>
      </c>
      <c r="G393" s="38" t="str">
        <f>VLOOKUP(Tabella1[[#This Row],[test_id]],experiments_specs!A:J,7,FALSE)</f>
        <v>True</v>
      </c>
      <c r="H393" s="38" t="str">
        <f>VLOOKUP(Tabella1[[#This Row],[test_id]],experiments_specs!A:J,8,FALSE)</f>
        <v>True</v>
      </c>
      <c r="I393" s="45" t="str">
        <f>VLOOKUP(Tabella1[[#This Row],[test_id]],experiments_specs!A:J,9,FALSE)</f>
        <v>wup_similarity</v>
      </c>
      <c r="J393" s="38" t="str">
        <f>VLOOKUP(Tabella1[[#This Row],[test_id]],experiments_specs!A:J,10,FALSE)</f>
        <v>True</v>
      </c>
      <c r="K393" s="40" t="s">
        <v>17</v>
      </c>
      <c r="L393" s="36" t="s">
        <v>279</v>
      </c>
      <c r="M393" s="36" t="s">
        <v>467</v>
      </c>
      <c r="N393" s="36" t="s">
        <v>42</v>
      </c>
      <c r="O393" s="36" t="s">
        <v>526</v>
      </c>
      <c r="P393" s="36">
        <v>0.30769230769230771</v>
      </c>
      <c r="Q393" s="36" t="s">
        <v>470</v>
      </c>
      <c r="R393" s="36">
        <v>3.3709900000000001E-2</v>
      </c>
      <c r="S393" s="36" t="s">
        <v>471</v>
      </c>
      <c r="T393" s="36">
        <v>2.7524E-2</v>
      </c>
      <c r="U393" s="37">
        <v>0.16666666666666666</v>
      </c>
      <c r="V393"/>
    </row>
    <row r="394" spans="1:22" ht="34" x14ac:dyDescent="0.2">
      <c r="A394" s="36" t="s">
        <v>112</v>
      </c>
      <c r="B394" s="45" t="str">
        <f>VLOOKUP(Tabella1[[#This Row],[test_id]],experiments_specs!A:J,2,FALSE)</f>
        <v>NN</v>
      </c>
      <c r="C394" s="38">
        <f>VLOOKUP(Tabella1[[#This Row],[test_id]],experiments_specs!A:J,3,FALSE)</f>
        <v>1</v>
      </c>
      <c r="D394" s="38">
        <f>VLOOKUP(Tabella1[[#This Row],[test_id]],experiments_specs!A:J,4,FALSE)</f>
        <v>2</v>
      </c>
      <c r="E394" s="38" t="str">
        <f>VLOOKUP(Tabella1[[#This Row],[test_id]],experiments_specs!A:J,5,FALSE)</f>
        <v>True</v>
      </c>
      <c r="F394" s="38" t="str">
        <f>VLOOKUP(Tabella1[[#This Row],[test_id]],experiments_specs!A:J,6,FALSE)</f>
        <v>True</v>
      </c>
      <c r="G394" s="38" t="str">
        <f>VLOOKUP(Tabella1[[#This Row],[test_id]],experiments_specs!A:J,7,FALSE)</f>
        <v>True</v>
      </c>
      <c r="H394" s="38" t="str">
        <f>VLOOKUP(Tabella1[[#This Row],[test_id]],experiments_specs!A:J,8,FALSE)</f>
        <v>True</v>
      </c>
      <c r="I394" s="45" t="str">
        <f>VLOOKUP(Tabella1[[#This Row],[test_id]],experiments_specs!A:J,9,FALSE)</f>
        <v>wup_similarity</v>
      </c>
      <c r="J394" s="38" t="str">
        <f>VLOOKUP(Tabella1[[#This Row],[test_id]],experiments_specs!A:J,10,FALSE)</f>
        <v>True</v>
      </c>
      <c r="K394" s="40" t="s">
        <v>18</v>
      </c>
      <c r="L394" s="36" t="s">
        <v>44</v>
      </c>
      <c r="M394" s="36">
        <v>6.12563E-2</v>
      </c>
      <c r="N394" s="36" t="s">
        <v>472</v>
      </c>
      <c r="O394" s="36">
        <v>2.48069E-2</v>
      </c>
      <c r="P394" s="36">
        <v>0.21052631578947367</v>
      </c>
      <c r="Q394" s="36" t="s">
        <v>46</v>
      </c>
      <c r="R394" s="36">
        <v>5.90281E-2</v>
      </c>
      <c r="S394" s="36" t="s">
        <v>436</v>
      </c>
      <c r="T394" s="36">
        <v>3.7127500000000001E-2</v>
      </c>
      <c r="U394" s="37">
        <v>0.22222222222222221</v>
      </c>
      <c r="V394"/>
    </row>
    <row r="395" spans="1:22" ht="17" x14ac:dyDescent="0.2">
      <c r="A395" s="36" t="s">
        <v>113</v>
      </c>
      <c r="B395" s="45" t="str">
        <f>VLOOKUP(Tabella1[[#This Row],[test_id]],experiments_specs!A:J,2,FALSE)</f>
        <v>NN,JJ</v>
      </c>
      <c r="C395" s="38">
        <f>VLOOKUP(Tabella1[[#This Row],[test_id]],experiments_specs!A:J,3,FALSE)</f>
        <v>1</v>
      </c>
      <c r="D395" s="38">
        <f>VLOOKUP(Tabella1[[#This Row],[test_id]],experiments_specs!A:J,4,FALSE)</f>
        <v>2</v>
      </c>
      <c r="E395" s="38" t="str">
        <f>VLOOKUP(Tabella1[[#This Row],[test_id]],experiments_specs!A:J,5,FALSE)</f>
        <v>True</v>
      </c>
      <c r="F395" s="38" t="str">
        <f>VLOOKUP(Tabella1[[#This Row],[test_id]],experiments_specs!A:J,6,FALSE)</f>
        <v>True</v>
      </c>
      <c r="G395" s="38" t="str">
        <f>VLOOKUP(Tabella1[[#This Row],[test_id]],experiments_specs!A:J,7,FALSE)</f>
        <v>True</v>
      </c>
      <c r="H395" s="38" t="str">
        <f>VLOOKUP(Tabella1[[#This Row],[test_id]],experiments_specs!A:J,8,FALSE)</f>
        <v>True</v>
      </c>
      <c r="I395" s="45" t="str">
        <f>VLOOKUP(Tabella1[[#This Row],[test_id]],experiments_specs!A:J,9,FALSE)</f>
        <v>wup_similarity</v>
      </c>
      <c r="J395" s="38" t="str">
        <f>VLOOKUP(Tabella1[[#This Row],[test_id]],experiments_specs!A:J,10,FALSE)</f>
        <v>True</v>
      </c>
      <c r="K395" s="40" t="s">
        <v>19</v>
      </c>
      <c r="L395" s="36" t="s">
        <v>225</v>
      </c>
      <c r="M395" s="36">
        <v>0.1404878</v>
      </c>
      <c r="N395" s="36" t="s">
        <v>226</v>
      </c>
      <c r="O395" s="36">
        <v>2.7404100000000001E-2</v>
      </c>
      <c r="P395" s="36">
        <v>0.17391304347826086</v>
      </c>
      <c r="Q395" s="36" t="s">
        <v>288</v>
      </c>
      <c r="R395" s="36">
        <v>0.16754150000000001</v>
      </c>
      <c r="S395" s="36" t="s">
        <v>226</v>
      </c>
      <c r="T395" s="36">
        <v>2.83828E-2</v>
      </c>
      <c r="U395" s="37">
        <v>0.17391304347826086</v>
      </c>
      <c r="V395"/>
    </row>
    <row r="396" spans="1:22" ht="17" x14ac:dyDescent="0.2">
      <c r="A396" s="36" t="s">
        <v>113</v>
      </c>
      <c r="B396" s="45" t="str">
        <f>VLOOKUP(Tabella1[[#This Row],[test_id]],experiments_specs!A:J,2,FALSE)</f>
        <v>NN,JJ</v>
      </c>
      <c r="C396" s="38">
        <f>VLOOKUP(Tabella1[[#This Row],[test_id]],experiments_specs!A:J,3,FALSE)</f>
        <v>1</v>
      </c>
      <c r="D396" s="38">
        <f>VLOOKUP(Tabella1[[#This Row],[test_id]],experiments_specs!A:J,4,FALSE)</f>
        <v>2</v>
      </c>
      <c r="E396" s="38" t="str">
        <f>VLOOKUP(Tabella1[[#This Row],[test_id]],experiments_specs!A:J,5,FALSE)</f>
        <v>True</v>
      </c>
      <c r="F396" s="38" t="str">
        <f>VLOOKUP(Tabella1[[#This Row],[test_id]],experiments_specs!A:J,6,FALSE)</f>
        <v>True</v>
      </c>
      <c r="G396" s="38" t="str">
        <f>VLOOKUP(Tabella1[[#This Row],[test_id]],experiments_specs!A:J,7,FALSE)</f>
        <v>True</v>
      </c>
      <c r="H396" s="38" t="str">
        <f>VLOOKUP(Tabella1[[#This Row],[test_id]],experiments_specs!A:J,8,FALSE)</f>
        <v>True</v>
      </c>
      <c r="I396" s="45" t="str">
        <f>VLOOKUP(Tabella1[[#This Row],[test_id]],experiments_specs!A:J,9,FALSE)</f>
        <v>wup_similarity</v>
      </c>
      <c r="J396" s="38" t="str">
        <f>VLOOKUP(Tabella1[[#This Row],[test_id]],experiments_specs!A:J,10,FALSE)</f>
        <v>True</v>
      </c>
      <c r="K396" s="40" t="s">
        <v>12</v>
      </c>
      <c r="L396" s="36" t="s">
        <v>22</v>
      </c>
      <c r="M396" s="36">
        <v>0.1358036</v>
      </c>
      <c r="N396" s="36" t="s">
        <v>23</v>
      </c>
      <c r="O396" s="36">
        <v>3.5095000000000001E-2</v>
      </c>
      <c r="P396" s="36">
        <v>0.42857142857142855</v>
      </c>
      <c r="Q396" s="36" t="s">
        <v>24</v>
      </c>
      <c r="R396" s="36">
        <v>0.11581370000000001</v>
      </c>
      <c r="S396" s="36" t="s">
        <v>448</v>
      </c>
      <c r="T396" s="36">
        <v>5.4992399999999997E-2</v>
      </c>
      <c r="U396" s="37">
        <v>0.42857142857142855</v>
      </c>
      <c r="V396"/>
    </row>
    <row r="397" spans="1:22" ht="17" x14ac:dyDescent="0.2">
      <c r="A397" s="36" t="s">
        <v>113</v>
      </c>
      <c r="B397" s="45" t="str">
        <f>VLOOKUP(Tabella1[[#This Row],[test_id]],experiments_specs!A:J,2,FALSE)</f>
        <v>NN,JJ</v>
      </c>
      <c r="C397" s="38">
        <f>VLOOKUP(Tabella1[[#This Row],[test_id]],experiments_specs!A:J,3,FALSE)</f>
        <v>1</v>
      </c>
      <c r="D397" s="38">
        <f>VLOOKUP(Tabella1[[#This Row],[test_id]],experiments_specs!A:J,4,FALSE)</f>
        <v>2</v>
      </c>
      <c r="E397" s="38" t="str">
        <f>VLOOKUP(Tabella1[[#This Row],[test_id]],experiments_specs!A:J,5,FALSE)</f>
        <v>True</v>
      </c>
      <c r="F397" s="38" t="str">
        <f>VLOOKUP(Tabella1[[#This Row],[test_id]],experiments_specs!A:J,6,FALSE)</f>
        <v>True</v>
      </c>
      <c r="G397" s="38" t="str">
        <f>VLOOKUP(Tabella1[[#This Row],[test_id]],experiments_specs!A:J,7,FALSE)</f>
        <v>True</v>
      </c>
      <c r="H397" s="38" t="str">
        <f>VLOOKUP(Tabella1[[#This Row],[test_id]],experiments_specs!A:J,8,FALSE)</f>
        <v>True</v>
      </c>
      <c r="I397" s="45" t="str">
        <f>VLOOKUP(Tabella1[[#This Row],[test_id]],experiments_specs!A:J,9,FALSE)</f>
        <v>wup_similarity</v>
      </c>
      <c r="J397" s="38" t="str">
        <f>VLOOKUP(Tabella1[[#This Row],[test_id]],experiments_specs!A:J,10,FALSE)</f>
        <v>True</v>
      </c>
      <c r="K397" s="40" t="s">
        <v>13</v>
      </c>
      <c r="L397" s="36" t="s">
        <v>326</v>
      </c>
      <c r="M397" s="36">
        <v>0.14784420000000001</v>
      </c>
      <c r="N397" s="36" t="s">
        <v>327</v>
      </c>
      <c r="O397" s="36">
        <v>3.2170400000000002E-2</v>
      </c>
      <c r="P397" s="36" t="s">
        <v>25</v>
      </c>
      <c r="Q397" s="36" t="s">
        <v>417</v>
      </c>
      <c r="R397" s="36">
        <v>5.72598E-2</v>
      </c>
      <c r="S397" s="36" t="s">
        <v>327</v>
      </c>
      <c r="T397" s="36">
        <v>3.2170400000000002E-2</v>
      </c>
      <c r="U397" s="37" t="s">
        <v>25</v>
      </c>
      <c r="V397"/>
    </row>
    <row r="398" spans="1:22" ht="17" x14ac:dyDescent="0.2">
      <c r="A398" s="36" t="s">
        <v>113</v>
      </c>
      <c r="B398" s="45" t="str">
        <f>VLOOKUP(Tabella1[[#This Row],[test_id]],experiments_specs!A:J,2,FALSE)</f>
        <v>NN,JJ</v>
      </c>
      <c r="C398" s="38">
        <f>VLOOKUP(Tabella1[[#This Row],[test_id]],experiments_specs!A:J,3,FALSE)</f>
        <v>1</v>
      </c>
      <c r="D398" s="38">
        <f>VLOOKUP(Tabella1[[#This Row],[test_id]],experiments_specs!A:J,4,FALSE)</f>
        <v>2</v>
      </c>
      <c r="E398" s="38" t="str">
        <f>VLOOKUP(Tabella1[[#This Row],[test_id]],experiments_specs!A:J,5,FALSE)</f>
        <v>True</v>
      </c>
      <c r="F398" s="38" t="str">
        <f>VLOOKUP(Tabella1[[#This Row],[test_id]],experiments_specs!A:J,6,FALSE)</f>
        <v>True</v>
      </c>
      <c r="G398" s="38" t="str">
        <f>VLOOKUP(Tabella1[[#This Row],[test_id]],experiments_specs!A:J,7,FALSE)</f>
        <v>True</v>
      </c>
      <c r="H398" s="38" t="str">
        <f>VLOOKUP(Tabella1[[#This Row],[test_id]],experiments_specs!A:J,8,FALSE)</f>
        <v>True</v>
      </c>
      <c r="I398" s="45" t="str">
        <f>VLOOKUP(Tabella1[[#This Row],[test_id]],experiments_specs!A:J,9,FALSE)</f>
        <v>wup_similarity</v>
      </c>
      <c r="J398" s="38" t="str">
        <f>VLOOKUP(Tabella1[[#This Row],[test_id]],experiments_specs!A:J,10,FALSE)</f>
        <v>True</v>
      </c>
      <c r="K398" s="40" t="s">
        <v>14</v>
      </c>
      <c r="L398" s="36" t="s">
        <v>449</v>
      </c>
      <c r="M398" s="36">
        <v>0.14064209999999999</v>
      </c>
      <c r="N398" s="36" t="s">
        <v>450</v>
      </c>
      <c r="O398" s="36">
        <v>1.6427400000000002E-2</v>
      </c>
      <c r="P398" s="36">
        <v>0.2857142857142857</v>
      </c>
      <c r="Q398" s="36" t="s">
        <v>451</v>
      </c>
      <c r="R398" s="36">
        <v>0.1234426</v>
      </c>
      <c r="S398" s="36" t="s">
        <v>450</v>
      </c>
      <c r="T398" s="36">
        <v>1.7487200000000001E-2</v>
      </c>
      <c r="U398" s="37">
        <v>0.2857142857142857</v>
      </c>
      <c r="V398"/>
    </row>
    <row r="399" spans="1:22" ht="17" x14ac:dyDescent="0.2">
      <c r="A399" s="36" t="s">
        <v>113</v>
      </c>
      <c r="B399" s="45" t="str">
        <f>VLOOKUP(Tabella1[[#This Row],[test_id]],experiments_specs!A:J,2,FALSE)</f>
        <v>NN,JJ</v>
      </c>
      <c r="C399" s="38">
        <f>VLOOKUP(Tabella1[[#This Row],[test_id]],experiments_specs!A:J,3,FALSE)</f>
        <v>1</v>
      </c>
      <c r="D399" s="38">
        <f>VLOOKUP(Tabella1[[#This Row],[test_id]],experiments_specs!A:J,4,FALSE)</f>
        <v>2</v>
      </c>
      <c r="E399" s="38" t="str">
        <f>VLOOKUP(Tabella1[[#This Row],[test_id]],experiments_specs!A:J,5,FALSE)</f>
        <v>True</v>
      </c>
      <c r="F399" s="38" t="str">
        <f>VLOOKUP(Tabella1[[#This Row],[test_id]],experiments_specs!A:J,6,FALSE)</f>
        <v>True</v>
      </c>
      <c r="G399" s="38" t="str">
        <f>VLOOKUP(Tabella1[[#This Row],[test_id]],experiments_specs!A:J,7,FALSE)</f>
        <v>True</v>
      </c>
      <c r="H399" s="38" t="str">
        <f>VLOOKUP(Tabella1[[#This Row],[test_id]],experiments_specs!A:J,8,FALSE)</f>
        <v>True</v>
      </c>
      <c r="I399" s="45" t="str">
        <f>VLOOKUP(Tabella1[[#This Row],[test_id]],experiments_specs!A:J,9,FALSE)</f>
        <v>wup_similarity</v>
      </c>
      <c r="J399" s="38" t="str">
        <f>VLOOKUP(Tabella1[[#This Row],[test_id]],experiments_specs!A:J,10,FALSE)</f>
        <v>True</v>
      </c>
      <c r="K399" s="40" t="s">
        <v>15</v>
      </c>
      <c r="L399" s="36" t="s">
        <v>26</v>
      </c>
      <c r="M399" s="36">
        <v>0.2087667</v>
      </c>
      <c r="N399" s="36" t="s">
        <v>27</v>
      </c>
      <c r="O399" s="36">
        <v>3.1889599999999997E-2</v>
      </c>
      <c r="P399" s="36">
        <v>0.16666666666666666</v>
      </c>
      <c r="Q399" s="36" t="s">
        <v>15</v>
      </c>
      <c r="R399" s="36">
        <v>0.1735852</v>
      </c>
      <c r="S399" s="36" t="s">
        <v>474</v>
      </c>
      <c r="T399" s="36">
        <v>5.6236300000000003E-2</v>
      </c>
      <c r="U399" s="37">
        <v>0.90909090909090906</v>
      </c>
      <c r="V399"/>
    </row>
    <row r="400" spans="1:22" ht="34" x14ac:dyDescent="0.2">
      <c r="A400" s="36" t="s">
        <v>113</v>
      </c>
      <c r="B400" s="45" t="str">
        <f>VLOOKUP(Tabella1[[#This Row],[test_id]],experiments_specs!A:J,2,FALSE)</f>
        <v>NN,JJ</v>
      </c>
      <c r="C400" s="38">
        <f>VLOOKUP(Tabella1[[#This Row],[test_id]],experiments_specs!A:J,3,FALSE)</f>
        <v>1</v>
      </c>
      <c r="D400" s="38">
        <f>VLOOKUP(Tabella1[[#This Row],[test_id]],experiments_specs!A:J,4,FALSE)</f>
        <v>2</v>
      </c>
      <c r="E400" s="38" t="str">
        <f>VLOOKUP(Tabella1[[#This Row],[test_id]],experiments_specs!A:J,5,FALSE)</f>
        <v>True</v>
      </c>
      <c r="F400" s="38" t="str">
        <f>VLOOKUP(Tabella1[[#This Row],[test_id]],experiments_specs!A:J,6,FALSE)</f>
        <v>True</v>
      </c>
      <c r="G400" s="38" t="str">
        <f>VLOOKUP(Tabella1[[#This Row],[test_id]],experiments_specs!A:J,7,FALSE)</f>
        <v>True</v>
      </c>
      <c r="H400" s="38" t="str">
        <f>VLOOKUP(Tabella1[[#This Row],[test_id]],experiments_specs!A:J,8,FALSE)</f>
        <v>True</v>
      </c>
      <c r="I400" s="45" t="str">
        <f>VLOOKUP(Tabella1[[#This Row],[test_id]],experiments_specs!A:J,9,FALSE)</f>
        <v>wup_similarity</v>
      </c>
      <c r="J400" s="38" t="str">
        <f>VLOOKUP(Tabella1[[#This Row],[test_id]],experiments_specs!A:J,10,FALSE)</f>
        <v>True</v>
      </c>
      <c r="K400" s="40" t="s">
        <v>16</v>
      </c>
      <c r="L400" s="36" t="s">
        <v>453</v>
      </c>
      <c r="M400" s="36" t="s">
        <v>455</v>
      </c>
      <c r="N400" s="36" t="s">
        <v>457</v>
      </c>
      <c r="O400" s="36" t="s">
        <v>459</v>
      </c>
      <c r="P400" s="36">
        <v>0.22222222222222221</v>
      </c>
      <c r="Q400" s="36" t="s">
        <v>461</v>
      </c>
      <c r="R400" s="36" t="s">
        <v>463</v>
      </c>
      <c r="S400" s="36" t="s">
        <v>457</v>
      </c>
      <c r="T400" s="36" t="s">
        <v>478</v>
      </c>
      <c r="U400" s="37">
        <v>0.22222222222222221</v>
      </c>
      <c r="V400"/>
    </row>
    <row r="401" spans="1:22" ht="68" x14ac:dyDescent="0.2">
      <c r="A401" s="36" t="s">
        <v>113</v>
      </c>
      <c r="B401" s="45" t="str">
        <f>VLOOKUP(Tabella1[[#This Row],[test_id]],experiments_specs!A:J,2,FALSE)</f>
        <v>NN,JJ</v>
      </c>
      <c r="C401" s="38">
        <f>VLOOKUP(Tabella1[[#This Row],[test_id]],experiments_specs!A:J,3,FALSE)</f>
        <v>1</v>
      </c>
      <c r="D401" s="38">
        <f>VLOOKUP(Tabella1[[#This Row],[test_id]],experiments_specs!A:J,4,FALSE)</f>
        <v>2</v>
      </c>
      <c r="E401" s="38" t="str">
        <f>VLOOKUP(Tabella1[[#This Row],[test_id]],experiments_specs!A:J,5,FALSE)</f>
        <v>True</v>
      </c>
      <c r="F401" s="38" t="str">
        <f>VLOOKUP(Tabella1[[#This Row],[test_id]],experiments_specs!A:J,6,FALSE)</f>
        <v>True</v>
      </c>
      <c r="G401" s="38" t="str">
        <f>VLOOKUP(Tabella1[[#This Row],[test_id]],experiments_specs!A:J,7,FALSE)</f>
        <v>True</v>
      </c>
      <c r="H401" s="38" t="str">
        <f>VLOOKUP(Tabella1[[#This Row],[test_id]],experiments_specs!A:J,8,FALSE)</f>
        <v>True</v>
      </c>
      <c r="I401" s="45" t="str">
        <f>VLOOKUP(Tabella1[[#This Row],[test_id]],experiments_specs!A:J,9,FALSE)</f>
        <v>wup_similarity</v>
      </c>
      <c r="J401" s="38" t="str">
        <f>VLOOKUP(Tabella1[[#This Row],[test_id]],experiments_specs!A:J,10,FALSE)</f>
        <v>True</v>
      </c>
      <c r="K401" s="40" t="s">
        <v>17</v>
      </c>
      <c r="L401" s="36" t="s">
        <v>279</v>
      </c>
      <c r="M401" s="36" t="s">
        <v>467</v>
      </c>
      <c r="N401" s="36" t="s">
        <v>42</v>
      </c>
      <c r="O401" s="36" t="s">
        <v>512</v>
      </c>
      <c r="P401" s="36">
        <v>0.30769230769230771</v>
      </c>
      <c r="Q401" s="36" t="s">
        <v>470</v>
      </c>
      <c r="R401" s="36">
        <v>3.3709900000000001E-2</v>
      </c>
      <c r="S401" s="36" t="s">
        <v>471</v>
      </c>
      <c r="T401" s="36">
        <v>2.4465799999999999E-2</v>
      </c>
      <c r="U401" s="37">
        <v>0.16666666666666666</v>
      </c>
      <c r="V401"/>
    </row>
    <row r="402" spans="1:22" ht="34" x14ac:dyDescent="0.2">
      <c r="A402" s="36" t="s">
        <v>113</v>
      </c>
      <c r="B402" s="45" t="str">
        <f>VLOOKUP(Tabella1[[#This Row],[test_id]],experiments_specs!A:J,2,FALSE)</f>
        <v>NN,JJ</v>
      </c>
      <c r="C402" s="38">
        <f>VLOOKUP(Tabella1[[#This Row],[test_id]],experiments_specs!A:J,3,FALSE)</f>
        <v>1</v>
      </c>
      <c r="D402" s="38">
        <f>VLOOKUP(Tabella1[[#This Row],[test_id]],experiments_specs!A:J,4,FALSE)</f>
        <v>2</v>
      </c>
      <c r="E402" s="38" t="str">
        <f>VLOOKUP(Tabella1[[#This Row],[test_id]],experiments_specs!A:J,5,FALSE)</f>
        <v>True</v>
      </c>
      <c r="F402" s="38" t="str">
        <f>VLOOKUP(Tabella1[[#This Row],[test_id]],experiments_specs!A:J,6,FALSE)</f>
        <v>True</v>
      </c>
      <c r="G402" s="38" t="str">
        <f>VLOOKUP(Tabella1[[#This Row],[test_id]],experiments_specs!A:J,7,FALSE)</f>
        <v>True</v>
      </c>
      <c r="H402" s="38" t="str">
        <f>VLOOKUP(Tabella1[[#This Row],[test_id]],experiments_specs!A:J,8,FALSE)</f>
        <v>True</v>
      </c>
      <c r="I402" s="45" t="str">
        <f>VLOOKUP(Tabella1[[#This Row],[test_id]],experiments_specs!A:J,9,FALSE)</f>
        <v>wup_similarity</v>
      </c>
      <c r="J402" s="38" t="str">
        <f>VLOOKUP(Tabella1[[#This Row],[test_id]],experiments_specs!A:J,10,FALSE)</f>
        <v>True</v>
      </c>
      <c r="K402" s="40" t="s">
        <v>18</v>
      </c>
      <c r="L402" s="36" t="s">
        <v>44</v>
      </c>
      <c r="M402" s="36">
        <v>6.0886200000000001E-2</v>
      </c>
      <c r="N402" s="36" t="s">
        <v>472</v>
      </c>
      <c r="O402" s="36">
        <v>2.2657699999999999E-2</v>
      </c>
      <c r="P402" s="36">
        <v>0.21052631578947367</v>
      </c>
      <c r="Q402" s="36" t="s">
        <v>46</v>
      </c>
      <c r="R402" s="36">
        <v>5.8671399999999999E-2</v>
      </c>
      <c r="S402" s="36" t="s">
        <v>436</v>
      </c>
      <c r="T402" s="36">
        <v>3.3910999999999997E-2</v>
      </c>
      <c r="U402" s="37">
        <v>0.22222222222222221</v>
      </c>
      <c r="V402"/>
    </row>
    <row r="403" spans="1:22" ht="17" x14ac:dyDescent="0.2">
      <c r="A403" s="36" t="s">
        <v>114</v>
      </c>
      <c r="B403" s="45" t="str">
        <f>VLOOKUP(Tabella1[[#This Row],[test_id]],experiments_specs!A:J,2,FALSE)</f>
        <v>NN,VB</v>
      </c>
      <c r="C403" s="38">
        <f>VLOOKUP(Tabella1[[#This Row],[test_id]],experiments_specs!A:J,3,FALSE)</f>
        <v>1</v>
      </c>
      <c r="D403" s="38">
        <f>VLOOKUP(Tabella1[[#This Row],[test_id]],experiments_specs!A:J,4,FALSE)</f>
        <v>2</v>
      </c>
      <c r="E403" s="38" t="str">
        <f>VLOOKUP(Tabella1[[#This Row],[test_id]],experiments_specs!A:J,5,FALSE)</f>
        <v>True</v>
      </c>
      <c r="F403" s="38" t="str">
        <f>VLOOKUP(Tabella1[[#This Row],[test_id]],experiments_specs!A:J,6,FALSE)</f>
        <v>True</v>
      </c>
      <c r="G403" s="38" t="str">
        <f>VLOOKUP(Tabella1[[#This Row],[test_id]],experiments_specs!A:J,7,FALSE)</f>
        <v>True</v>
      </c>
      <c r="H403" s="38" t="str">
        <f>VLOOKUP(Tabella1[[#This Row],[test_id]],experiments_specs!A:J,8,FALSE)</f>
        <v>True</v>
      </c>
      <c r="I403" s="45" t="str">
        <f>VLOOKUP(Tabella1[[#This Row],[test_id]],experiments_specs!A:J,9,FALSE)</f>
        <v>wup_similarity</v>
      </c>
      <c r="J403" s="38" t="str">
        <f>VLOOKUP(Tabella1[[#This Row],[test_id]],experiments_specs!A:J,10,FALSE)</f>
        <v>True</v>
      </c>
      <c r="K403" s="40" t="s">
        <v>19</v>
      </c>
      <c r="L403" s="36" t="s">
        <v>354</v>
      </c>
      <c r="M403" s="36">
        <v>0.1404878</v>
      </c>
      <c r="N403" s="36" t="s">
        <v>288</v>
      </c>
      <c r="O403" s="36">
        <v>2.18532E-2</v>
      </c>
      <c r="P403" s="36">
        <v>0.19047619047619047</v>
      </c>
      <c r="Q403" s="36" t="s">
        <v>47</v>
      </c>
      <c r="R403" s="36">
        <v>0.11020770000000001</v>
      </c>
      <c r="S403" s="36" t="s">
        <v>447</v>
      </c>
      <c r="T403" s="36">
        <v>2.5543199999999999E-2</v>
      </c>
      <c r="U403" s="37">
        <v>0.19047619047619047</v>
      </c>
      <c r="V403"/>
    </row>
    <row r="404" spans="1:22" ht="17" x14ac:dyDescent="0.2">
      <c r="A404" s="36" t="s">
        <v>114</v>
      </c>
      <c r="B404" s="45" t="str">
        <f>VLOOKUP(Tabella1[[#This Row],[test_id]],experiments_specs!A:J,2,FALSE)</f>
        <v>NN,VB</v>
      </c>
      <c r="C404" s="38">
        <f>VLOOKUP(Tabella1[[#This Row],[test_id]],experiments_specs!A:J,3,FALSE)</f>
        <v>1</v>
      </c>
      <c r="D404" s="38">
        <f>VLOOKUP(Tabella1[[#This Row],[test_id]],experiments_specs!A:J,4,FALSE)</f>
        <v>2</v>
      </c>
      <c r="E404" s="38" t="str">
        <f>VLOOKUP(Tabella1[[#This Row],[test_id]],experiments_specs!A:J,5,FALSE)</f>
        <v>True</v>
      </c>
      <c r="F404" s="38" t="str">
        <f>VLOOKUP(Tabella1[[#This Row],[test_id]],experiments_specs!A:J,6,FALSE)</f>
        <v>True</v>
      </c>
      <c r="G404" s="38" t="str">
        <f>VLOOKUP(Tabella1[[#This Row],[test_id]],experiments_specs!A:J,7,FALSE)</f>
        <v>True</v>
      </c>
      <c r="H404" s="38" t="str">
        <f>VLOOKUP(Tabella1[[#This Row],[test_id]],experiments_specs!A:J,8,FALSE)</f>
        <v>True</v>
      </c>
      <c r="I404" s="45" t="str">
        <f>VLOOKUP(Tabella1[[#This Row],[test_id]],experiments_specs!A:J,9,FALSE)</f>
        <v>wup_similarity</v>
      </c>
      <c r="J404" s="38" t="str">
        <f>VLOOKUP(Tabella1[[#This Row],[test_id]],experiments_specs!A:J,10,FALSE)</f>
        <v>True</v>
      </c>
      <c r="K404" s="40" t="s">
        <v>12</v>
      </c>
      <c r="L404" s="36" t="s">
        <v>22</v>
      </c>
      <c r="M404" s="36">
        <v>0.13470389999999999</v>
      </c>
      <c r="N404" s="36" t="s">
        <v>23</v>
      </c>
      <c r="O404" s="36">
        <v>3.3297300000000002E-2</v>
      </c>
      <c r="P404" s="36">
        <v>0.42857142857142855</v>
      </c>
      <c r="Q404" s="36" t="s">
        <v>24</v>
      </c>
      <c r="R404" s="36">
        <v>0.1148759</v>
      </c>
      <c r="S404" s="36" t="s">
        <v>481</v>
      </c>
      <c r="T404" s="36">
        <v>5.52174E-2</v>
      </c>
      <c r="U404" s="37">
        <v>0.42857142857142855</v>
      </c>
      <c r="V404"/>
    </row>
    <row r="405" spans="1:22" ht="17" x14ac:dyDescent="0.2">
      <c r="A405" s="36" t="s">
        <v>114</v>
      </c>
      <c r="B405" s="45" t="str">
        <f>VLOOKUP(Tabella1[[#This Row],[test_id]],experiments_specs!A:J,2,FALSE)</f>
        <v>NN,VB</v>
      </c>
      <c r="C405" s="38">
        <f>VLOOKUP(Tabella1[[#This Row],[test_id]],experiments_specs!A:J,3,FALSE)</f>
        <v>1</v>
      </c>
      <c r="D405" s="38">
        <f>VLOOKUP(Tabella1[[#This Row],[test_id]],experiments_specs!A:J,4,FALSE)</f>
        <v>2</v>
      </c>
      <c r="E405" s="38" t="str">
        <f>VLOOKUP(Tabella1[[#This Row],[test_id]],experiments_specs!A:J,5,FALSE)</f>
        <v>True</v>
      </c>
      <c r="F405" s="38" t="str">
        <f>VLOOKUP(Tabella1[[#This Row],[test_id]],experiments_specs!A:J,6,FALSE)</f>
        <v>True</v>
      </c>
      <c r="G405" s="38" t="str">
        <f>VLOOKUP(Tabella1[[#This Row],[test_id]],experiments_specs!A:J,7,FALSE)</f>
        <v>True</v>
      </c>
      <c r="H405" s="38" t="str">
        <f>VLOOKUP(Tabella1[[#This Row],[test_id]],experiments_specs!A:J,8,FALSE)</f>
        <v>True</v>
      </c>
      <c r="I405" s="45" t="str">
        <f>VLOOKUP(Tabella1[[#This Row],[test_id]],experiments_specs!A:J,9,FALSE)</f>
        <v>wup_similarity</v>
      </c>
      <c r="J405" s="38" t="str">
        <f>VLOOKUP(Tabella1[[#This Row],[test_id]],experiments_specs!A:J,10,FALSE)</f>
        <v>True</v>
      </c>
      <c r="K405" s="40" t="s">
        <v>13</v>
      </c>
      <c r="L405" s="36" t="s">
        <v>326</v>
      </c>
      <c r="M405" s="36">
        <v>0.14784420000000001</v>
      </c>
      <c r="N405" s="36" t="s">
        <v>327</v>
      </c>
      <c r="O405" s="36">
        <v>3.3279799999999998E-2</v>
      </c>
      <c r="P405" s="36" t="s">
        <v>25</v>
      </c>
      <c r="Q405" s="36" t="s">
        <v>417</v>
      </c>
      <c r="R405" s="36">
        <v>5.72598E-2</v>
      </c>
      <c r="S405" s="36" t="s">
        <v>327</v>
      </c>
      <c r="T405" s="36">
        <v>3.3279799999999998E-2</v>
      </c>
      <c r="U405" s="37" t="s">
        <v>25</v>
      </c>
      <c r="V405"/>
    </row>
    <row r="406" spans="1:22" ht="17" x14ac:dyDescent="0.2">
      <c r="A406" s="36" t="s">
        <v>114</v>
      </c>
      <c r="B406" s="45" t="str">
        <f>VLOOKUP(Tabella1[[#This Row],[test_id]],experiments_specs!A:J,2,FALSE)</f>
        <v>NN,VB</v>
      </c>
      <c r="C406" s="38">
        <f>VLOOKUP(Tabella1[[#This Row],[test_id]],experiments_specs!A:J,3,FALSE)</f>
        <v>1</v>
      </c>
      <c r="D406" s="38">
        <f>VLOOKUP(Tabella1[[#This Row],[test_id]],experiments_specs!A:J,4,FALSE)</f>
        <v>2</v>
      </c>
      <c r="E406" s="38" t="str">
        <f>VLOOKUP(Tabella1[[#This Row],[test_id]],experiments_specs!A:J,5,FALSE)</f>
        <v>True</v>
      </c>
      <c r="F406" s="38" t="str">
        <f>VLOOKUP(Tabella1[[#This Row],[test_id]],experiments_specs!A:J,6,FALSE)</f>
        <v>True</v>
      </c>
      <c r="G406" s="38" t="str">
        <f>VLOOKUP(Tabella1[[#This Row],[test_id]],experiments_specs!A:J,7,FALSE)</f>
        <v>True</v>
      </c>
      <c r="H406" s="38" t="str">
        <f>VLOOKUP(Tabella1[[#This Row],[test_id]],experiments_specs!A:J,8,FALSE)</f>
        <v>True</v>
      </c>
      <c r="I406" s="45" t="str">
        <f>VLOOKUP(Tabella1[[#This Row],[test_id]],experiments_specs!A:J,9,FALSE)</f>
        <v>wup_similarity</v>
      </c>
      <c r="J406" s="38" t="str">
        <f>VLOOKUP(Tabella1[[#This Row],[test_id]],experiments_specs!A:J,10,FALSE)</f>
        <v>True</v>
      </c>
      <c r="K406" s="40" t="s">
        <v>14</v>
      </c>
      <c r="L406" s="36" t="s">
        <v>449</v>
      </c>
      <c r="M406" s="36">
        <v>0.14165759999999999</v>
      </c>
      <c r="N406" s="36" t="s">
        <v>450</v>
      </c>
      <c r="O406" s="36">
        <v>1.8200600000000001E-2</v>
      </c>
      <c r="P406" s="36">
        <v>0.2857142857142857</v>
      </c>
      <c r="Q406" s="36" t="s">
        <v>451</v>
      </c>
      <c r="R406" s="36">
        <v>0.1243339</v>
      </c>
      <c r="S406" s="36" t="s">
        <v>450</v>
      </c>
      <c r="T406" s="36">
        <v>1.95006E-2</v>
      </c>
      <c r="U406" s="37">
        <v>0.2857142857142857</v>
      </c>
      <c r="V406"/>
    </row>
    <row r="407" spans="1:22" ht="17" x14ac:dyDescent="0.2">
      <c r="A407" s="36" t="s">
        <v>114</v>
      </c>
      <c r="B407" s="45" t="str">
        <f>VLOOKUP(Tabella1[[#This Row],[test_id]],experiments_specs!A:J,2,FALSE)</f>
        <v>NN,VB</v>
      </c>
      <c r="C407" s="38">
        <f>VLOOKUP(Tabella1[[#This Row],[test_id]],experiments_specs!A:J,3,FALSE)</f>
        <v>1</v>
      </c>
      <c r="D407" s="38">
        <f>VLOOKUP(Tabella1[[#This Row],[test_id]],experiments_specs!A:J,4,FALSE)</f>
        <v>2</v>
      </c>
      <c r="E407" s="38" t="str">
        <f>VLOOKUP(Tabella1[[#This Row],[test_id]],experiments_specs!A:J,5,FALSE)</f>
        <v>True</v>
      </c>
      <c r="F407" s="38" t="str">
        <f>VLOOKUP(Tabella1[[#This Row],[test_id]],experiments_specs!A:J,6,FALSE)</f>
        <v>True</v>
      </c>
      <c r="G407" s="38" t="str">
        <f>VLOOKUP(Tabella1[[#This Row],[test_id]],experiments_specs!A:J,7,FALSE)</f>
        <v>True</v>
      </c>
      <c r="H407" s="38" t="str">
        <f>VLOOKUP(Tabella1[[#This Row],[test_id]],experiments_specs!A:J,8,FALSE)</f>
        <v>True</v>
      </c>
      <c r="I407" s="45" t="str">
        <f>VLOOKUP(Tabella1[[#This Row],[test_id]],experiments_specs!A:J,9,FALSE)</f>
        <v>wup_similarity</v>
      </c>
      <c r="J407" s="38" t="str">
        <f>VLOOKUP(Tabella1[[#This Row],[test_id]],experiments_specs!A:J,10,FALSE)</f>
        <v>True</v>
      </c>
      <c r="K407" s="40" t="s">
        <v>15</v>
      </c>
      <c r="L407" s="36" t="s">
        <v>26</v>
      </c>
      <c r="M407" s="36">
        <v>0.21239759999999999</v>
      </c>
      <c r="N407" s="36" t="s">
        <v>27</v>
      </c>
      <c r="O407" s="36">
        <v>2.02776E-2</v>
      </c>
      <c r="P407" s="36">
        <v>0.16666666666666666</v>
      </c>
      <c r="Q407" s="36" t="s">
        <v>365</v>
      </c>
      <c r="R407" s="36">
        <v>3.8235900000000003E-2</v>
      </c>
      <c r="S407" s="36" t="s">
        <v>26</v>
      </c>
      <c r="T407" s="36">
        <v>4.9975899999999997E-2</v>
      </c>
      <c r="U407" s="37">
        <v>0.18181818181818182</v>
      </c>
      <c r="V407"/>
    </row>
    <row r="408" spans="1:22" ht="34" x14ac:dyDescent="0.2">
      <c r="A408" s="36" t="s">
        <v>114</v>
      </c>
      <c r="B408" s="45" t="str">
        <f>VLOOKUP(Tabella1[[#This Row],[test_id]],experiments_specs!A:J,2,FALSE)</f>
        <v>NN,VB</v>
      </c>
      <c r="C408" s="38">
        <f>VLOOKUP(Tabella1[[#This Row],[test_id]],experiments_specs!A:J,3,FALSE)</f>
        <v>1</v>
      </c>
      <c r="D408" s="38">
        <f>VLOOKUP(Tabella1[[#This Row],[test_id]],experiments_specs!A:J,4,FALSE)</f>
        <v>2</v>
      </c>
      <c r="E408" s="38" t="str">
        <f>VLOOKUP(Tabella1[[#This Row],[test_id]],experiments_specs!A:J,5,FALSE)</f>
        <v>True</v>
      </c>
      <c r="F408" s="38" t="str">
        <f>VLOOKUP(Tabella1[[#This Row],[test_id]],experiments_specs!A:J,6,FALSE)</f>
        <v>True</v>
      </c>
      <c r="G408" s="38" t="str">
        <f>VLOOKUP(Tabella1[[#This Row],[test_id]],experiments_specs!A:J,7,FALSE)</f>
        <v>True</v>
      </c>
      <c r="H408" s="38" t="str">
        <f>VLOOKUP(Tabella1[[#This Row],[test_id]],experiments_specs!A:J,8,FALSE)</f>
        <v>True</v>
      </c>
      <c r="I408" s="45" t="str">
        <f>VLOOKUP(Tabella1[[#This Row],[test_id]],experiments_specs!A:J,9,FALSE)</f>
        <v>wup_similarity</v>
      </c>
      <c r="J408" s="38" t="str">
        <f>VLOOKUP(Tabella1[[#This Row],[test_id]],experiments_specs!A:J,10,FALSE)</f>
        <v>True</v>
      </c>
      <c r="K408" s="40" t="s">
        <v>16</v>
      </c>
      <c r="L408" s="36" t="s">
        <v>453</v>
      </c>
      <c r="M408" s="36" t="s">
        <v>455</v>
      </c>
      <c r="N408" s="36" t="s">
        <v>457</v>
      </c>
      <c r="O408" s="36" t="s">
        <v>514</v>
      </c>
      <c r="P408" s="36">
        <v>0.22222222222222221</v>
      </c>
      <c r="Q408" s="36" t="s">
        <v>461</v>
      </c>
      <c r="R408" s="36" t="s">
        <v>463</v>
      </c>
      <c r="S408" s="36" t="s">
        <v>457</v>
      </c>
      <c r="T408" s="36" t="s">
        <v>516</v>
      </c>
      <c r="U408" s="37">
        <v>0.22222222222222221</v>
      </c>
      <c r="V408"/>
    </row>
    <row r="409" spans="1:22" ht="68" x14ac:dyDescent="0.2">
      <c r="A409" s="36" t="s">
        <v>114</v>
      </c>
      <c r="B409" s="45" t="str">
        <f>VLOOKUP(Tabella1[[#This Row],[test_id]],experiments_specs!A:J,2,FALSE)</f>
        <v>NN,VB</v>
      </c>
      <c r="C409" s="38">
        <f>VLOOKUP(Tabella1[[#This Row],[test_id]],experiments_specs!A:J,3,FALSE)</f>
        <v>1</v>
      </c>
      <c r="D409" s="38">
        <f>VLOOKUP(Tabella1[[#This Row],[test_id]],experiments_specs!A:J,4,FALSE)</f>
        <v>2</v>
      </c>
      <c r="E409" s="38" t="str">
        <f>VLOOKUP(Tabella1[[#This Row],[test_id]],experiments_specs!A:J,5,FALSE)</f>
        <v>True</v>
      </c>
      <c r="F409" s="38" t="str">
        <f>VLOOKUP(Tabella1[[#This Row],[test_id]],experiments_specs!A:J,6,FALSE)</f>
        <v>True</v>
      </c>
      <c r="G409" s="38" t="str">
        <f>VLOOKUP(Tabella1[[#This Row],[test_id]],experiments_specs!A:J,7,FALSE)</f>
        <v>True</v>
      </c>
      <c r="H409" s="38" t="str">
        <f>VLOOKUP(Tabella1[[#This Row],[test_id]],experiments_specs!A:J,8,FALSE)</f>
        <v>True</v>
      </c>
      <c r="I409" s="45" t="str">
        <f>VLOOKUP(Tabella1[[#This Row],[test_id]],experiments_specs!A:J,9,FALSE)</f>
        <v>wup_similarity</v>
      </c>
      <c r="J409" s="38" t="str">
        <f>VLOOKUP(Tabella1[[#This Row],[test_id]],experiments_specs!A:J,10,FALSE)</f>
        <v>True</v>
      </c>
      <c r="K409" s="40" t="s">
        <v>17</v>
      </c>
      <c r="L409" s="36" t="s">
        <v>279</v>
      </c>
      <c r="M409" s="36" t="s">
        <v>467</v>
      </c>
      <c r="N409" s="36" t="s">
        <v>42</v>
      </c>
      <c r="O409" s="36" t="s">
        <v>518</v>
      </c>
      <c r="P409" s="36">
        <v>0.30769230769230771</v>
      </c>
      <c r="Q409" s="36" t="s">
        <v>470</v>
      </c>
      <c r="R409" s="36">
        <v>3.3709900000000001E-2</v>
      </c>
      <c r="S409" s="36" t="s">
        <v>471</v>
      </c>
      <c r="T409" s="36">
        <v>2.27785E-2</v>
      </c>
      <c r="U409" s="37">
        <v>0.16666666666666666</v>
      </c>
      <c r="V409"/>
    </row>
    <row r="410" spans="1:22" ht="34" x14ac:dyDescent="0.2">
      <c r="A410" s="36" t="s">
        <v>114</v>
      </c>
      <c r="B410" s="45" t="str">
        <f>VLOOKUP(Tabella1[[#This Row],[test_id]],experiments_specs!A:J,2,FALSE)</f>
        <v>NN,VB</v>
      </c>
      <c r="C410" s="38">
        <f>VLOOKUP(Tabella1[[#This Row],[test_id]],experiments_specs!A:J,3,FALSE)</f>
        <v>1</v>
      </c>
      <c r="D410" s="38">
        <f>VLOOKUP(Tabella1[[#This Row],[test_id]],experiments_specs!A:J,4,FALSE)</f>
        <v>2</v>
      </c>
      <c r="E410" s="38" t="str">
        <f>VLOOKUP(Tabella1[[#This Row],[test_id]],experiments_specs!A:J,5,FALSE)</f>
        <v>True</v>
      </c>
      <c r="F410" s="38" t="str">
        <f>VLOOKUP(Tabella1[[#This Row],[test_id]],experiments_specs!A:J,6,FALSE)</f>
        <v>True</v>
      </c>
      <c r="G410" s="38" t="str">
        <f>VLOOKUP(Tabella1[[#This Row],[test_id]],experiments_specs!A:J,7,FALSE)</f>
        <v>True</v>
      </c>
      <c r="H410" s="38" t="str">
        <f>VLOOKUP(Tabella1[[#This Row],[test_id]],experiments_specs!A:J,8,FALSE)</f>
        <v>True</v>
      </c>
      <c r="I410" s="45" t="str">
        <f>VLOOKUP(Tabella1[[#This Row],[test_id]],experiments_specs!A:J,9,FALSE)</f>
        <v>wup_similarity</v>
      </c>
      <c r="J410" s="38" t="str">
        <f>VLOOKUP(Tabella1[[#This Row],[test_id]],experiments_specs!A:J,10,FALSE)</f>
        <v>True</v>
      </c>
      <c r="K410" s="40" t="s">
        <v>18</v>
      </c>
      <c r="L410" s="36" t="s">
        <v>44</v>
      </c>
      <c r="M410" s="36">
        <v>5.9814800000000001E-2</v>
      </c>
      <c r="N410" s="36" t="s">
        <v>472</v>
      </c>
      <c r="O410" s="36">
        <v>2.2461399999999999E-2</v>
      </c>
      <c r="P410" s="36">
        <v>0.21052631578947367</v>
      </c>
      <c r="Q410" s="36" t="s">
        <v>46</v>
      </c>
      <c r="R410" s="36">
        <v>5.7639000000000003E-2</v>
      </c>
      <c r="S410" s="36" t="s">
        <v>436</v>
      </c>
      <c r="T410" s="36">
        <v>3.5017899999999998E-2</v>
      </c>
      <c r="U410" s="37">
        <v>0.22222222222222221</v>
      </c>
      <c r="V410"/>
    </row>
    <row r="411" spans="1:22" ht="17" x14ac:dyDescent="0.2">
      <c r="A411" s="36" t="s">
        <v>115</v>
      </c>
      <c r="B411" s="45" t="str">
        <f>VLOOKUP(Tabella1[[#This Row],[test_id]],experiments_specs!A:J,2,FALSE)</f>
        <v>NN,VB,VBD,VBG,VBN,VBP,VBZ</v>
      </c>
      <c r="C411" s="38">
        <f>VLOOKUP(Tabella1[[#This Row],[test_id]],experiments_specs!A:J,3,FALSE)</f>
        <v>1</v>
      </c>
      <c r="D411" s="38">
        <f>VLOOKUP(Tabella1[[#This Row],[test_id]],experiments_specs!A:J,4,FALSE)</f>
        <v>2</v>
      </c>
      <c r="E411" s="38" t="str">
        <f>VLOOKUP(Tabella1[[#This Row],[test_id]],experiments_specs!A:J,5,FALSE)</f>
        <v>True</v>
      </c>
      <c r="F411" s="38" t="str">
        <f>VLOOKUP(Tabella1[[#This Row],[test_id]],experiments_specs!A:J,6,FALSE)</f>
        <v>True</v>
      </c>
      <c r="G411" s="38" t="str">
        <f>VLOOKUP(Tabella1[[#This Row],[test_id]],experiments_specs!A:J,7,FALSE)</f>
        <v>True</v>
      </c>
      <c r="H411" s="38" t="str">
        <f>VLOOKUP(Tabella1[[#This Row],[test_id]],experiments_specs!A:J,8,FALSE)</f>
        <v>True</v>
      </c>
      <c r="I411" s="45" t="str">
        <f>VLOOKUP(Tabella1[[#This Row],[test_id]],experiments_specs!A:J,9,FALSE)</f>
        <v>wup_similarity</v>
      </c>
      <c r="J411" s="38" t="str">
        <f>VLOOKUP(Tabella1[[#This Row],[test_id]],experiments_specs!A:J,10,FALSE)</f>
        <v>True</v>
      </c>
      <c r="K411" s="40" t="s">
        <v>19</v>
      </c>
      <c r="L411" s="36" t="s">
        <v>354</v>
      </c>
      <c r="M411" s="36">
        <v>0.1404878</v>
      </c>
      <c r="N411" s="36" t="s">
        <v>288</v>
      </c>
      <c r="O411" s="36">
        <v>2.18532E-2</v>
      </c>
      <c r="P411" s="36">
        <v>0.19047619047619047</v>
      </c>
      <c r="Q411" s="36" t="s">
        <v>47</v>
      </c>
      <c r="R411" s="36">
        <v>0.11020770000000001</v>
      </c>
      <c r="S411" s="36" t="s">
        <v>447</v>
      </c>
      <c r="T411" s="36">
        <v>2.5543199999999999E-2</v>
      </c>
      <c r="U411" s="37">
        <v>0.19047619047619047</v>
      </c>
      <c r="V411"/>
    </row>
    <row r="412" spans="1:22" ht="17" x14ac:dyDescent="0.2">
      <c r="A412" s="36" t="s">
        <v>115</v>
      </c>
      <c r="B412" s="45" t="str">
        <f>VLOOKUP(Tabella1[[#This Row],[test_id]],experiments_specs!A:J,2,FALSE)</f>
        <v>NN,VB,VBD,VBG,VBN,VBP,VBZ</v>
      </c>
      <c r="C412" s="38">
        <f>VLOOKUP(Tabella1[[#This Row],[test_id]],experiments_specs!A:J,3,FALSE)</f>
        <v>1</v>
      </c>
      <c r="D412" s="38">
        <f>VLOOKUP(Tabella1[[#This Row],[test_id]],experiments_specs!A:J,4,FALSE)</f>
        <v>2</v>
      </c>
      <c r="E412" s="38" t="str">
        <f>VLOOKUP(Tabella1[[#This Row],[test_id]],experiments_specs!A:J,5,FALSE)</f>
        <v>True</v>
      </c>
      <c r="F412" s="38" t="str">
        <f>VLOOKUP(Tabella1[[#This Row],[test_id]],experiments_specs!A:J,6,FALSE)</f>
        <v>True</v>
      </c>
      <c r="G412" s="38" t="str">
        <f>VLOOKUP(Tabella1[[#This Row],[test_id]],experiments_specs!A:J,7,FALSE)</f>
        <v>True</v>
      </c>
      <c r="H412" s="38" t="str">
        <f>VLOOKUP(Tabella1[[#This Row],[test_id]],experiments_specs!A:J,8,FALSE)</f>
        <v>True</v>
      </c>
      <c r="I412" s="45" t="str">
        <f>VLOOKUP(Tabella1[[#This Row],[test_id]],experiments_specs!A:J,9,FALSE)</f>
        <v>wup_similarity</v>
      </c>
      <c r="J412" s="38" t="str">
        <f>VLOOKUP(Tabella1[[#This Row],[test_id]],experiments_specs!A:J,10,FALSE)</f>
        <v>True</v>
      </c>
      <c r="K412" s="40" t="s">
        <v>12</v>
      </c>
      <c r="L412" s="36" t="s">
        <v>22</v>
      </c>
      <c r="M412" s="36">
        <v>0.13363059999999999</v>
      </c>
      <c r="N412" s="36" t="s">
        <v>23</v>
      </c>
      <c r="O412" s="36">
        <v>3.03894E-2</v>
      </c>
      <c r="P412" s="36">
        <v>0.42857142857142855</v>
      </c>
      <c r="Q412" s="36" t="s">
        <v>24</v>
      </c>
      <c r="R412" s="36">
        <v>0.11396050000000001</v>
      </c>
      <c r="S412" s="36" t="s">
        <v>481</v>
      </c>
      <c r="T412" s="36">
        <v>5.0395200000000001E-2</v>
      </c>
      <c r="U412" s="37">
        <v>0.42857142857142855</v>
      </c>
      <c r="V412"/>
    </row>
    <row r="413" spans="1:22" ht="17" x14ac:dyDescent="0.2">
      <c r="A413" s="36" t="s">
        <v>115</v>
      </c>
      <c r="B413" s="45" t="str">
        <f>VLOOKUP(Tabella1[[#This Row],[test_id]],experiments_specs!A:J,2,FALSE)</f>
        <v>NN,VB,VBD,VBG,VBN,VBP,VBZ</v>
      </c>
      <c r="C413" s="38">
        <f>VLOOKUP(Tabella1[[#This Row],[test_id]],experiments_specs!A:J,3,FALSE)</f>
        <v>1</v>
      </c>
      <c r="D413" s="38">
        <f>VLOOKUP(Tabella1[[#This Row],[test_id]],experiments_specs!A:J,4,FALSE)</f>
        <v>2</v>
      </c>
      <c r="E413" s="38" t="str">
        <f>VLOOKUP(Tabella1[[#This Row],[test_id]],experiments_specs!A:J,5,FALSE)</f>
        <v>True</v>
      </c>
      <c r="F413" s="38" t="str">
        <f>VLOOKUP(Tabella1[[#This Row],[test_id]],experiments_specs!A:J,6,FALSE)</f>
        <v>True</v>
      </c>
      <c r="G413" s="38" t="str">
        <f>VLOOKUP(Tabella1[[#This Row],[test_id]],experiments_specs!A:J,7,FALSE)</f>
        <v>True</v>
      </c>
      <c r="H413" s="38" t="str">
        <f>VLOOKUP(Tabella1[[#This Row],[test_id]],experiments_specs!A:J,8,FALSE)</f>
        <v>True</v>
      </c>
      <c r="I413" s="45" t="str">
        <f>VLOOKUP(Tabella1[[#This Row],[test_id]],experiments_specs!A:J,9,FALSE)</f>
        <v>wup_similarity</v>
      </c>
      <c r="J413" s="38" t="str">
        <f>VLOOKUP(Tabella1[[#This Row],[test_id]],experiments_specs!A:J,10,FALSE)</f>
        <v>True</v>
      </c>
      <c r="K413" s="40" t="s">
        <v>13</v>
      </c>
      <c r="L413" s="36" t="s">
        <v>326</v>
      </c>
      <c r="M413" s="36">
        <v>0.14784420000000001</v>
      </c>
      <c r="N413" s="36" t="s">
        <v>327</v>
      </c>
      <c r="O413" s="36">
        <v>3.2170400000000002E-2</v>
      </c>
      <c r="P413" s="36" t="s">
        <v>25</v>
      </c>
      <c r="Q413" s="36" t="s">
        <v>417</v>
      </c>
      <c r="R413" s="36">
        <v>5.72598E-2</v>
      </c>
      <c r="S413" s="36" t="s">
        <v>327</v>
      </c>
      <c r="T413" s="36">
        <v>3.2170400000000002E-2</v>
      </c>
      <c r="U413" s="37" t="s">
        <v>25</v>
      </c>
      <c r="V413"/>
    </row>
    <row r="414" spans="1:22" ht="17" x14ac:dyDescent="0.2">
      <c r="A414" s="36" t="s">
        <v>115</v>
      </c>
      <c r="B414" s="45" t="str">
        <f>VLOOKUP(Tabella1[[#This Row],[test_id]],experiments_specs!A:J,2,FALSE)</f>
        <v>NN,VB,VBD,VBG,VBN,VBP,VBZ</v>
      </c>
      <c r="C414" s="38">
        <f>VLOOKUP(Tabella1[[#This Row],[test_id]],experiments_specs!A:J,3,FALSE)</f>
        <v>1</v>
      </c>
      <c r="D414" s="38">
        <f>VLOOKUP(Tabella1[[#This Row],[test_id]],experiments_specs!A:J,4,FALSE)</f>
        <v>2</v>
      </c>
      <c r="E414" s="38" t="str">
        <f>VLOOKUP(Tabella1[[#This Row],[test_id]],experiments_specs!A:J,5,FALSE)</f>
        <v>True</v>
      </c>
      <c r="F414" s="38" t="str">
        <f>VLOOKUP(Tabella1[[#This Row],[test_id]],experiments_specs!A:J,6,FALSE)</f>
        <v>True</v>
      </c>
      <c r="G414" s="38" t="str">
        <f>VLOOKUP(Tabella1[[#This Row],[test_id]],experiments_specs!A:J,7,FALSE)</f>
        <v>True</v>
      </c>
      <c r="H414" s="38" t="str">
        <f>VLOOKUP(Tabella1[[#This Row],[test_id]],experiments_specs!A:J,8,FALSE)</f>
        <v>True</v>
      </c>
      <c r="I414" s="45" t="str">
        <f>VLOOKUP(Tabella1[[#This Row],[test_id]],experiments_specs!A:J,9,FALSE)</f>
        <v>wup_similarity</v>
      </c>
      <c r="J414" s="38" t="str">
        <f>VLOOKUP(Tabella1[[#This Row],[test_id]],experiments_specs!A:J,10,FALSE)</f>
        <v>True</v>
      </c>
      <c r="K414" s="40" t="s">
        <v>14</v>
      </c>
      <c r="L414" s="36" t="s">
        <v>449</v>
      </c>
      <c r="M414" s="36">
        <v>0.14064209999999999</v>
      </c>
      <c r="N414" s="36" t="s">
        <v>450</v>
      </c>
      <c r="O414" s="36">
        <v>1.5944199999999999E-2</v>
      </c>
      <c r="P414" s="36">
        <v>0.2857142857142857</v>
      </c>
      <c r="Q414" s="36" t="s">
        <v>451</v>
      </c>
      <c r="R414" s="36">
        <v>0.1234426</v>
      </c>
      <c r="S414" s="36" t="s">
        <v>450</v>
      </c>
      <c r="T414" s="36">
        <v>1.69407E-2</v>
      </c>
      <c r="U414" s="37">
        <v>0.2857142857142857</v>
      </c>
      <c r="V414"/>
    </row>
    <row r="415" spans="1:22" ht="17" x14ac:dyDescent="0.2">
      <c r="A415" s="36" t="s">
        <v>115</v>
      </c>
      <c r="B415" s="45" t="str">
        <f>VLOOKUP(Tabella1[[#This Row],[test_id]],experiments_specs!A:J,2,FALSE)</f>
        <v>NN,VB,VBD,VBG,VBN,VBP,VBZ</v>
      </c>
      <c r="C415" s="38">
        <f>VLOOKUP(Tabella1[[#This Row],[test_id]],experiments_specs!A:J,3,FALSE)</f>
        <v>1</v>
      </c>
      <c r="D415" s="38">
        <f>VLOOKUP(Tabella1[[#This Row],[test_id]],experiments_specs!A:J,4,FALSE)</f>
        <v>2</v>
      </c>
      <c r="E415" s="38" t="str">
        <f>VLOOKUP(Tabella1[[#This Row],[test_id]],experiments_specs!A:J,5,FALSE)</f>
        <v>True</v>
      </c>
      <c r="F415" s="38" t="str">
        <f>VLOOKUP(Tabella1[[#This Row],[test_id]],experiments_specs!A:J,6,FALSE)</f>
        <v>True</v>
      </c>
      <c r="G415" s="38" t="str">
        <f>VLOOKUP(Tabella1[[#This Row],[test_id]],experiments_specs!A:J,7,FALSE)</f>
        <v>True</v>
      </c>
      <c r="H415" s="38" t="str">
        <f>VLOOKUP(Tabella1[[#This Row],[test_id]],experiments_specs!A:J,8,FALSE)</f>
        <v>True</v>
      </c>
      <c r="I415" s="45" t="str">
        <f>VLOOKUP(Tabella1[[#This Row],[test_id]],experiments_specs!A:J,9,FALSE)</f>
        <v>wup_similarity</v>
      </c>
      <c r="J415" s="38" t="str">
        <f>VLOOKUP(Tabella1[[#This Row],[test_id]],experiments_specs!A:J,10,FALSE)</f>
        <v>True</v>
      </c>
      <c r="K415" s="40" t="s">
        <v>15</v>
      </c>
      <c r="L415" s="36" t="s">
        <v>26</v>
      </c>
      <c r="M415" s="36">
        <v>0.21239759999999999</v>
      </c>
      <c r="N415" s="36" t="s">
        <v>27</v>
      </c>
      <c r="O415" s="36">
        <v>1.8024600000000002E-2</v>
      </c>
      <c r="P415" s="36">
        <v>0.16666666666666666</v>
      </c>
      <c r="Q415" s="36" t="s">
        <v>365</v>
      </c>
      <c r="R415" s="36">
        <v>3.8235900000000003E-2</v>
      </c>
      <c r="S415" s="36" t="s">
        <v>26</v>
      </c>
      <c r="T415" s="36">
        <v>4.4715299999999999E-2</v>
      </c>
      <c r="U415" s="37">
        <v>0.18181818181818182</v>
      </c>
      <c r="V415"/>
    </row>
    <row r="416" spans="1:22" ht="34" x14ac:dyDescent="0.2">
      <c r="A416" s="36" t="s">
        <v>115</v>
      </c>
      <c r="B416" s="45" t="str">
        <f>VLOOKUP(Tabella1[[#This Row],[test_id]],experiments_specs!A:J,2,FALSE)</f>
        <v>NN,VB,VBD,VBG,VBN,VBP,VBZ</v>
      </c>
      <c r="C416" s="38">
        <f>VLOOKUP(Tabella1[[#This Row],[test_id]],experiments_specs!A:J,3,FALSE)</f>
        <v>1</v>
      </c>
      <c r="D416" s="38">
        <f>VLOOKUP(Tabella1[[#This Row],[test_id]],experiments_specs!A:J,4,FALSE)</f>
        <v>2</v>
      </c>
      <c r="E416" s="38" t="str">
        <f>VLOOKUP(Tabella1[[#This Row],[test_id]],experiments_specs!A:J,5,FALSE)</f>
        <v>True</v>
      </c>
      <c r="F416" s="38" t="str">
        <f>VLOOKUP(Tabella1[[#This Row],[test_id]],experiments_specs!A:J,6,FALSE)</f>
        <v>True</v>
      </c>
      <c r="G416" s="38" t="str">
        <f>VLOOKUP(Tabella1[[#This Row],[test_id]],experiments_specs!A:J,7,FALSE)</f>
        <v>True</v>
      </c>
      <c r="H416" s="38" t="str">
        <f>VLOOKUP(Tabella1[[#This Row],[test_id]],experiments_specs!A:J,8,FALSE)</f>
        <v>True</v>
      </c>
      <c r="I416" s="45" t="str">
        <f>VLOOKUP(Tabella1[[#This Row],[test_id]],experiments_specs!A:J,9,FALSE)</f>
        <v>wup_similarity</v>
      </c>
      <c r="J416" s="38" t="str">
        <f>VLOOKUP(Tabella1[[#This Row],[test_id]],experiments_specs!A:J,10,FALSE)</f>
        <v>True</v>
      </c>
      <c r="K416" s="40" t="s">
        <v>16</v>
      </c>
      <c r="L416" s="36" t="s">
        <v>453</v>
      </c>
      <c r="M416" s="36" t="s">
        <v>455</v>
      </c>
      <c r="N416" s="36" t="s">
        <v>457</v>
      </c>
      <c r="O416" s="36" t="s">
        <v>520</v>
      </c>
      <c r="P416" s="36">
        <v>0.22222222222222221</v>
      </c>
      <c r="Q416" s="36" t="s">
        <v>461</v>
      </c>
      <c r="R416" s="36" t="s">
        <v>463</v>
      </c>
      <c r="S416" s="36" t="s">
        <v>457</v>
      </c>
      <c r="T416" s="36" t="s">
        <v>522</v>
      </c>
      <c r="U416" s="37">
        <v>0.22222222222222221</v>
      </c>
      <c r="V416"/>
    </row>
    <row r="417" spans="1:22" ht="68" x14ac:dyDescent="0.2">
      <c r="A417" s="36" t="s">
        <v>115</v>
      </c>
      <c r="B417" s="45" t="str">
        <f>VLOOKUP(Tabella1[[#This Row],[test_id]],experiments_specs!A:J,2,FALSE)</f>
        <v>NN,VB,VBD,VBG,VBN,VBP,VBZ</v>
      </c>
      <c r="C417" s="38">
        <f>VLOOKUP(Tabella1[[#This Row],[test_id]],experiments_specs!A:J,3,FALSE)</f>
        <v>1</v>
      </c>
      <c r="D417" s="38">
        <f>VLOOKUP(Tabella1[[#This Row],[test_id]],experiments_specs!A:J,4,FALSE)</f>
        <v>2</v>
      </c>
      <c r="E417" s="38" t="str">
        <f>VLOOKUP(Tabella1[[#This Row],[test_id]],experiments_specs!A:J,5,FALSE)</f>
        <v>True</v>
      </c>
      <c r="F417" s="38" t="str">
        <f>VLOOKUP(Tabella1[[#This Row],[test_id]],experiments_specs!A:J,6,FALSE)</f>
        <v>True</v>
      </c>
      <c r="G417" s="38" t="str">
        <f>VLOOKUP(Tabella1[[#This Row],[test_id]],experiments_specs!A:J,7,FALSE)</f>
        <v>True</v>
      </c>
      <c r="H417" s="38" t="str">
        <f>VLOOKUP(Tabella1[[#This Row],[test_id]],experiments_specs!A:J,8,FALSE)</f>
        <v>True</v>
      </c>
      <c r="I417" s="45" t="str">
        <f>VLOOKUP(Tabella1[[#This Row],[test_id]],experiments_specs!A:J,9,FALSE)</f>
        <v>wup_similarity</v>
      </c>
      <c r="J417" s="38" t="str">
        <f>VLOOKUP(Tabella1[[#This Row],[test_id]],experiments_specs!A:J,10,FALSE)</f>
        <v>True</v>
      </c>
      <c r="K417" s="40" t="s">
        <v>17</v>
      </c>
      <c r="L417" s="36" t="s">
        <v>279</v>
      </c>
      <c r="M417" s="36" t="s">
        <v>467</v>
      </c>
      <c r="N417" s="36" t="s">
        <v>42</v>
      </c>
      <c r="O417" s="36" t="s">
        <v>480</v>
      </c>
      <c r="P417" s="36">
        <v>0.30769230769230771</v>
      </c>
      <c r="Q417" s="36" t="s">
        <v>470</v>
      </c>
      <c r="R417" s="36">
        <v>3.3709900000000001E-2</v>
      </c>
      <c r="S417" s="36" t="s">
        <v>471</v>
      </c>
      <c r="T417" s="36">
        <v>2.2019199999999999E-2</v>
      </c>
      <c r="U417" s="37">
        <v>0.16666666666666666</v>
      </c>
      <c r="V417"/>
    </row>
    <row r="418" spans="1:22" ht="34" x14ac:dyDescent="0.2">
      <c r="A418" s="36" t="s">
        <v>115</v>
      </c>
      <c r="B418" s="45" t="str">
        <f>VLOOKUP(Tabella1[[#This Row],[test_id]],experiments_specs!A:J,2,FALSE)</f>
        <v>NN,VB,VBD,VBG,VBN,VBP,VBZ</v>
      </c>
      <c r="C418" s="38">
        <f>VLOOKUP(Tabella1[[#This Row],[test_id]],experiments_specs!A:J,3,FALSE)</f>
        <v>1</v>
      </c>
      <c r="D418" s="38">
        <f>VLOOKUP(Tabella1[[#This Row],[test_id]],experiments_specs!A:J,4,FALSE)</f>
        <v>2</v>
      </c>
      <c r="E418" s="38" t="str">
        <f>VLOOKUP(Tabella1[[#This Row],[test_id]],experiments_specs!A:J,5,FALSE)</f>
        <v>True</v>
      </c>
      <c r="F418" s="38" t="str">
        <f>VLOOKUP(Tabella1[[#This Row],[test_id]],experiments_specs!A:J,6,FALSE)</f>
        <v>True</v>
      </c>
      <c r="G418" s="38" t="str">
        <f>VLOOKUP(Tabella1[[#This Row],[test_id]],experiments_specs!A:J,7,FALSE)</f>
        <v>True</v>
      </c>
      <c r="H418" s="38" t="str">
        <f>VLOOKUP(Tabella1[[#This Row],[test_id]],experiments_specs!A:J,8,FALSE)</f>
        <v>True</v>
      </c>
      <c r="I418" s="45" t="str">
        <f>VLOOKUP(Tabella1[[#This Row],[test_id]],experiments_specs!A:J,9,FALSE)</f>
        <v>wup_similarity</v>
      </c>
      <c r="J418" s="38" t="str">
        <f>VLOOKUP(Tabella1[[#This Row],[test_id]],experiments_specs!A:J,10,FALSE)</f>
        <v>True</v>
      </c>
      <c r="K418" s="40" t="s">
        <v>18</v>
      </c>
      <c r="L418" s="36" t="s">
        <v>44</v>
      </c>
      <c r="M418" s="36">
        <v>5.8798099999999999E-2</v>
      </c>
      <c r="N418" s="36" t="s">
        <v>472</v>
      </c>
      <c r="O418" s="36">
        <v>2.02396E-2</v>
      </c>
      <c r="P418" s="36">
        <v>0.21052631578947367</v>
      </c>
      <c r="Q418" s="36" t="s">
        <v>46</v>
      </c>
      <c r="R418" s="36">
        <v>5.66592E-2</v>
      </c>
      <c r="S418" s="36" t="s">
        <v>436</v>
      </c>
      <c r="T418" s="36">
        <v>3.2225400000000001E-2</v>
      </c>
      <c r="U418" s="37">
        <v>0.22222222222222221</v>
      </c>
      <c r="V418"/>
    </row>
    <row r="419" spans="1:22" ht="17" x14ac:dyDescent="0.2">
      <c r="A419" s="36" t="s">
        <v>116</v>
      </c>
      <c r="B419" s="45" t="str">
        <f>VLOOKUP(Tabella1[[#This Row],[test_id]],experiments_specs!A:J,2,FALSE)</f>
        <v>NN,RB</v>
      </c>
      <c r="C419" s="38">
        <f>VLOOKUP(Tabella1[[#This Row],[test_id]],experiments_specs!A:J,3,FALSE)</f>
        <v>1</v>
      </c>
      <c r="D419" s="38">
        <f>VLOOKUP(Tabella1[[#This Row],[test_id]],experiments_specs!A:J,4,FALSE)</f>
        <v>2</v>
      </c>
      <c r="E419" s="38" t="str">
        <f>VLOOKUP(Tabella1[[#This Row],[test_id]],experiments_specs!A:J,5,FALSE)</f>
        <v>True</v>
      </c>
      <c r="F419" s="38" t="str">
        <f>VLOOKUP(Tabella1[[#This Row],[test_id]],experiments_specs!A:J,6,FALSE)</f>
        <v>True</v>
      </c>
      <c r="G419" s="38" t="str">
        <f>VLOOKUP(Tabella1[[#This Row],[test_id]],experiments_specs!A:J,7,FALSE)</f>
        <v>True</v>
      </c>
      <c r="H419" s="38" t="str">
        <f>VLOOKUP(Tabella1[[#This Row],[test_id]],experiments_specs!A:J,8,FALSE)</f>
        <v>True</v>
      </c>
      <c r="I419" s="45" t="str">
        <f>VLOOKUP(Tabella1[[#This Row],[test_id]],experiments_specs!A:J,9,FALSE)</f>
        <v>wup_similarity</v>
      </c>
      <c r="J419" s="38" t="str">
        <f>VLOOKUP(Tabella1[[#This Row],[test_id]],experiments_specs!A:J,10,FALSE)</f>
        <v>True</v>
      </c>
      <c r="K419" s="40" t="s">
        <v>19</v>
      </c>
      <c r="L419" s="36" t="s">
        <v>354</v>
      </c>
      <c r="M419" s="36">
        <v>0.1404878</v>
      </c>
      <c r="N419" s="36" t="s">
        <v>288</v>
      </c>
      <c r="O419" s="36">
        <v>2.2846499999999999E-2</v>
      </c>
      <c r="P419" s="36">
        <v>0.19047619047619047</v>
      </c>
      <c r="Q419" s="36" t="s">
        <v>47</v>
      </c>
      <c r="R419" s="36">
        <v>0.11020770000000001</v>
      </c>
      <c r="S419" s="36" t="s">
        <v>447</v>
      </c>
      <c r="T419" s="36">
        <v>2.6759499999999999E-2</v>
      </c>
      <c r="U419" s="37">
        <v>0.19047619047619047</v>
      </c>
      <c r="V419"/>
    </row>
    <row r="420" spans="1:22" ht="17" x14ac:dyDescent="0.2">
      <c r="A420" s="36" t="s">
        <v>116</v>
      </c>
      <c r="B420" s="45" t="str">
        <f>VLOOKUP(Tabella1[[#This Row],[test_id]],experiments_specs!A:J,2,FALSE)</f>
        <v>NN,RB</v>
      </c>
      <c r="C420" s="38">
        <f>VLOOKUP(Tabella1[[#This Row],[test_id]],experiments_specs!A:J,3,FALSE)</f>
        <v>1</v>
      </c>
      <c r="D420" s="38">
        <f>VLOOKUP(Tabella1[[#This Row],[test_id]],experiments_specs!A:J,4,FALSE)</f>
        <v>2</v>
      </c>
      <c r="E420" s="38" t="str">
        <f>VLOOKUP(Tabella1[[#This Row],[test_id]],experiments_specs!A:J,5,FALSE)</f>
        <v>True</v>
      </c>
      <c r="F420" s="38" t="str">
        <f>VLOOKUP(Tabella1[[#This Row],[test_id]],experiments_specs!A:J,6,FALSE)</f>
        <v>True</v>
      </c>
      <c r="G420" s="38" t="str">
        <f>VLOOKUP(Tabella1[[#This Row],[test_id]],experiments_specs!A:J,7,FALSE)</f>
        <v>True</v>
      </c>
      <c r="H420" s="38" t="str">
        <f>VLOOKUP(Tabella1[[#This Row],[test_id]],experiments_specs!A:J,8,FALSE)</f>
        <v>True</v>
      </c>
      <c r="I420" s="45" t="str">
        <f>VLOOKUP(Tabella1[[#This Row],[test_id]],experiments_specs!A:J,9,FALSE)</f>
        <v>wup_similarity</v>
      </c>
      <c r="J420" s="38" t="str">
        <f>VLOOKUP(Tabella1[[#This Row],[test_id]],experiments_specs!A:J,10,FALSE)</f>
        <v>True</v>
      </c>
      <c r="K420" s="40" t="s">
        <v>12</v>
      </c>
      <c r="L420" s="36" t="s">
        <v>22</v>
      </c>
      <c r="M420" s="36">
        <v>0.13693060000000001</v>
      </c>
      <c r="N420" s="36" t="s">
        <v>23</v>
      </c>
      <c r="O420" s="36">
        <v>4.3249900000000001E-2</v>
      </c>
      <c r="P420" s="36">
        <v>0.42857142857142855</v>
      </c>
      <c r="Q420" s="36" t="s">
        <v>24</v>
      </c>
      <c r="R420" s="36">
        <v>0.1167748</v>
      </c>
      <c r="S420" s="36" t="s">
        <v>448</v>
      </c>
      <c r="T420" s="36">
        <v>6.7770800000000006E-2</v>
      </c>
      <c r="U420" s="37">
        <v>0.42857142857142855</v>
      </c>
      <c r="V420"/>
    </row>
    <row r="421" spans="1:22" ht="17" x14ac:dyDescent="0.2">
      <c r="A421" s="36" t="s">
        <v>116</v>
      </c>
      <c r="B421" s="45" t="str">
        <f>VLOOKUP(Tabella1[[#This Row],[test_id]],experiments_specs!A:J,2,FALSE)</f>
        <v>NN,RB</v>
      </c>
      <c r="C421" s="38">
        <f>VLOOKUP(Tabella1[[#This Row],[test_id]],experiments_specs!A:J,3,FALSE)</f>
        <v>1</v>
      </c>
      <c r="D421" s="38">
        <f>VLOOKUP(Tabella1[[#This Row],[test_id]],experiments_specs!A:J,4,FALSE)</f>
        <v>2</v>
      </c>
      <c r="E421" s="38" t="str">
        <f>VLOOKUP(Tabella1[[#This Row],[test_id]],experiments_specs!A:J,5,FALSE)</f>
        <v>True</v>
      </c>
      <c r="F421" s="38" t="str">
        <f>VLOOKUP(Tabella1[[#This Row],[test_id]],experiments_specs!A:J,6,FALSE)</f>
        <v>True</v>
      </c>
      <c r="G421" s="38" t="str">
        <f>VLOOKUP(Tabella1[[#This Row],[test_id]],experiments_specs!A:J,7,FALSE)</f>
        <v>True</v>
      </c>
      <c r="H421" s="38" t="str">
        <f>VLOOKUP(Tabella1[[#This Row],[test_id]],experiments_specs!A:J,8,FALSE)</f>
        <v>True</v>
      </c>
      <c r="I421" s="45" t="str">
        <f>VLOOKUP(Tabella1[[#This Row],[test_id]],experiments_specs!A:J,9,FALSE)</f>
        <v>wup_similarity</v>
      </c>
      <c r="J421" s="38" t="str">
        <f>VLOOKUP(Tabella1[[#This Row],[test_id]],experiments_specs!A:J,10,FALSE)</f>
        <v>True</v>
      </c>
      <c r="K421" s="40" t="s">
        <v>13</v>
      </c>
      <c r="L421" s="36" t="s">
        <v>326</v>
      </c>
      <c r="M421" s="36">
        <v>0.14784420000000001</v>
      </c>
      <c r="N421" s="36" t="s">
        <v>327</v>
      </c>
      <c r="O421" s="36">
        <v>3.2170400000000002E-2</v>
      </c>
      <c r="P421" s="36" t="s">
        <v>25</v>
      </c>
      <c r="Q421" s="36" t="s">
        <v>417</v>
      </c>
      <c r="R421" s="36">
        <v>5.72598E-2</v>
      </c>
      <c r="S421" s="36" t="s">
        <v>327</v>
      </c>
      <c r="T421" s="36">
        <v>3.2170400000000002E-2</v>
      </c>
      <c r="U421" s="37" t="s">
        <v>25</v>
      </c>
      <c r="V421"/>
    </row>
    <row r="422" spans="1:22" ht="17" x14ac:dyDescent="0.2">
      <c r="A422" s="36" t="s">
        <v>116</v>
      </c>
      <c r="B422" s="45" t="str">
        <f>VLOOKUP(Tabella1[[#This Row],[test_id]],experiments_specs!A:J,2,FALSE)</f>
        <v>NN,RB</v>
      </c>
      <c r="C422" s="38">
        <f>VLOOKUP(Tabella1[[#This Row],[test_id]],experiments_specs!A:J,3,FALSE)</f>
        <v>1</v>
      </c>
      <c r="D422" s="38">
        <f>VLOOKUP(Tabella1[[#This Row],[test_id]],experiments_specs!A:J,4,FALSE)</f>
        <v>2</v>
      </c>
      <c r="E422" s="38" t="str">
        <f>VLOOKUP(Tabella1[[#This Row],[test_id]],experiments_specs!A:J,5,FALSE)</f>
        <v>True</v>
      </c>
      <c r="F422" s="38" t="str">
        <f>VLOOKUP(Tabella1[[#This Row],[test_id]],experiments_specs!A:J,6,FALSE)</f>
        <v>True</v>
      </c>
      <c r="G422" s="38" t="str">
        <f>VLOOKUP(Tabella1[[#This Row],[test_id]],experiments_specs!A:J,7,FALSE)</f>
        <v>True</v>
      </c>
      <c r="H422" s="38" t="str">
        <f>VLOOKUP(Tabella1[[#This Row],[test_id]],experiments_specs!A:J,8,FALSE)</f>
        <v>True</v>
      </c>
      <c r="I422" s="45" t="str">
        <f>VLOOKUP(Tabella1[[#This Row],[test_id]],experiments_specs!A:J,9,FALSE)</f>
        <v>wup_similarity</v>
      </c>
      <c r="J422" s="38" t="str">
        <f>VLOOKUP(Tabella1[[#This Row],[test_id]],experiments_specs!A:J,10,FALSE)</f>
        <v>True</v>
      </c>
      <c r="K422" s="40" t="s">
        <v>14</v>
      </c>
      <c r="L422" s="36" t="s">
        <v>449</v>
      </c>
      <c r="M422" s="36">
        <v>0.1426954</v>
      </c>
      <c r="N422" s="36" t="s">
        <v>450</v>
      </c>
      <c r="O422" s="36">
        <v>1.9643500000000001E-2</v>
      </c>
      <c r="P422" s="36">
        <v>0.2857142857142857</v>
      </c>
      <c r="Q422" s="36" t="s">
        <v>451</v>
      </c>
      <c r="R422" s="36">
        <v>0.12524479999999999</v>
      </c>
      <c r="S422" s="36" t="s">
        <v>450</v>
      </c>
      <c r="T422" s="36">
        <v>2.11545E-2</v>
      </c>
      <c r="U422" s="37">
        <v>0.2857142857142857</v>
      </c>
      <c r="V422"/>
    </row>
    <row r="423" spans="1:22" ht="17" x14ac:dyDescent="0.2">
      <c r="A423" s="36" t="s">
        <v>116</v>
      </c>
      <c r="B423" s="45" t="str">
        <f>VLOOKUP(Tabella1[[#This Row],[test_id]],experiments_specs!A:J,2,FALSE)</f>
        <v>NN,RB</v>
      </c>
      <c r="C423" s="38">
        <f>VLOOKUP(Tabella1[[#This Row],[test_id]],experiments_specs!A:J,3,FALSE)</f>
        <v>1</v>
      </c>
      <c r="D423" s="38">
        <f>VLOOKUP(Tabella1[[#This Row],[test_id]],experiments_specs!A:J,4,FALSE)</f>
        <v>2</v>
      </c>
      <c r="E423" s="38" t="str">
        <f>VLOOKUP(Tabella1[[#This Row],[test_id]],experiments_specs!A:J,5,FALSE)</f>
        <v>True</v>
      </c>
      <c r="F423" s="38" t="str">
        <f>VLOOKUP(Tabella1[[#This Row],[test_id]],experiments_specs!A:J,6,FALSE)</f>
        <v>True</v>
      </c>
      <c r="G423" s="38" t="str">
        <f>VLOOKUP(Tabella1[[#This Row],[test_id]],experiments_specs!A:J,7,FALSE)</f>
        <v>True</v>
      </c>
      <c r="H423" s="38" t="str">
        <f>VLOOKUP(Tabella1[[#This Row],[test_id]],experiments_specs!A:J,8,FALSE)</f>
        <v>True</v>
      </c>
      <c r="I423" s="45" t="str">
        <f>VLOOKUP(Tabella1[[#This Row],[test_id]],experiments_specs!A:J,9,FALSE)</f>
        <v>wup_similarity</v>
      </c>
      <c r="J423" s="38" t="str">
        <f>VLOOKUP(Tabella1[[#This Row],[test_id]],experiments_specs!A:J,10,FALSE)</f>
        <v>True</v>
      </c>
      <c r="K423" s="40" t="s">
        <v>15</v>
      </c>
      <c r="L423" s="36" t="s">
        <v>26</v>
      </c>
      <c r="M423" s="36">
        <v>0.2142857</v>
      </c>
      <c r="N423" s="36" t="s">
        <v>27</v>
      </c>
      <c r="O423" s="36">
        <v>2.3380399999999999E-2</v>
      </c>
      <c r="P423" s="36">
        <v>0.16666666666666666</v>
      </c>
      <c r="Q423" s="36" t="s">
        <v>365</v>
      </c>
      <c r="R423" s="36">
        <v>3.85758E-2</v>
      </c>
      <c r="S423" s="36" t="s">
        <v>26</v>
      </c>
      <c r="T423" s="36">
        <v>5.7142800000000001E-2</v>
      </c>
      <c r="U423" s="37">
        <v>0.18181818181818182</v>
      </c>
      <c r="V423"/>
    </row>
    <row r="424" spans="1:22" ht="34" x14ac:dyDescent="0.2">
      <c r="A424" s="36" t="s">
        <v>116</v>
      </c>
      <c r="B424" s="45" t="str">
        <f>VLOOKUP(Tabella1[[#This Row],[test_id]],experiments_specs!A:J,2,FALSE)</f>
        <v>NN,RB</v>
      </c>
      <c r="C424" s="38">
        <f>VLOOKUP(Tabella1[[#This Row],[test_id]],experiments_specs!A:J,3,FALSE)</f>
        <v>1</v>
      </c>
      <c r="D424" s="38">
        <f>VLOOKUP(Tabella1[[#This Row],[test_id]],experiments_specs!A:J,4,FALSE)</f>
        <v>2</v>
      </c>
      <c r="E424" s="38" t="str">
        <f>VLOOKUP(Tabella1[[#This Row],[test_id]],experiments_specs!A:J,5,FALSE)</f>
        <v>True</v>
      </c>
      <c r="F424" s="38" t="str">
        <f>VLOOKUP(Tabella1[[#This Row],[test_id]],experiments_specs!A:J,6,FALSE)</f>
        <v>True</v>
      </c>
      <c r="G424" s="38" t="str">
        <f>VLOOKUP(Tabella1[[#This Row],[test_id]],experiments_specs!A:J,7,FALSE)</f>
        <v>True</v>
      </c>
      <c r="H424" s="38" t="str">
        <f>VLOOKUP(Tabella1[[#This Row],[test_id]],experiments_specs!A:J,8,FALSE)</f>
        <v>True</v>
      </c>
      <c r="I424" s="45" t="str">
        <f>VLOOKUP(Tabella1[[#This Row],[test_id]],experiments_specs!A:J,9,FALSE)</f>
        <v>wup_similarity</v>
      </c>
      <c r="J424" s="38" t="str">
        <f>VLOOKUP(Tabella1[[#This Row],[test_id]],experiments_specs!A:J,10,FALSE)</f>
        <v>True</v>
      </c>
      <c r="K424" s="40" t="s">
        <v>16</v>
      </c>
      <c r="L424" s="36" t="s">
        <v>453</v>
      </c>
      <c r="M424" s="36" t="s">
        <v>455</v>
      </c>
      <c r="N424" s="36" t="s">
        <v>457</v>
      </c>
      <c r="O424" s="36" t="s">
        <v>524</v>
      </c>
      <c r="P424" s="36">
        <v>0.22222222222222221</v>
      </c>
      <c r="Q424" s="36" t="s">
        <v>461</v>
      </c>
      <c r="R424" s="36" t="s">
        <v>463</v>
      </c>
      <c r="S424" s="36" t="s">
        <v>457</v>
      </c>
      <c r="T424" s="36" t="s">
        <v>465</v>
      </c>
      <c r="U424" s="37">
        <v>0.22222222222222221</v>
      </c>
      <c r="V424"/>
    </row>
    <row r="425" spans="1:22" ht="68" x14ac:dyDescent="0.2">
      <c r="A425" s="36" t="s">
        <v>116</v>
      </c>
      <c r="B425" s="45" t="str">
        <f>VLOOKUP(Tabella1[[#This Row],[test_id]],experiments_specs!A:J,2,FALSE)</f>
        <v>NN,RB</v>
      </c>
      <c r="C425" s="38">
        <f>VLOOKUP(Tabella1[[#This Row],[test_id]],experiments_specs!A:J,3,FALSE)</f>
        <v>1</v>
      </c>
      <c r="D425" s="38">
        <f>VLOOKUP(Tabella1[[#This Row],[test_id]],experiments_specs!A:J,4,FALSE)</f>
        <v>2</v>
      </c>
      <c r="E425" s="38" t="str">
        <f>VLOOKUP(Tabella1[[#This Row],[test_id]],experiments_specs!A:J,5,FALSE)</f>
        <v>True</v>
      </c>
      <c r="F425" s="38" t="str">
        <f>VLOOKUP(Tabella1[[#This Row],[test_id]],experiments_specs!A:J,6,FALSE)</f>
        <v>True</v>
      </c>
      <c r="G425" s="38" t="str">
        <f>VLOOKUP(Tabella1[[#This Row],[test_id]],experiments_specs!A:J,7,FALSE)</f>
        <v>True</v>
      </c>
      <c r="H425" s="38" t="str">
        <f>VLOOKUP(Tabella1[[#This Row],[test_id]],experiments_specs!A:J,8,FALSE)</f>
        <v>True</v>
      </c>
      <c r="I425" s="45" t="str">
        <f>VLOOKUP(Tabella1[[#This Row],[test_id]],experiments_specs!A:J,9,FALSE)</f>
        <v>wup_similarity</v>
      </c>
      <c r="J425" s="38" t="str">
        <f>VLOOKUP(Tabella1[[#This Row],[test_id]],experiments_specs!A:J,10,FALSE)</f>
        <v>True</v>
      </c>
      <c r="K425" s="40" t="s">
        <v>17</v>
      </c>
      <c r="L425" s="36" t="s">
        <v>279</v>
      </c>
      <c r="M425" s="36" t="s">
        <v>467</v>
      </c>
      <c r="N425" s="36" t="s">
        <v>42</v>
      </c>
      <c r="O425" s="36" t="s">
        <v>526</v>
      </c>
      <c r="P425" s="36">
        <v>0.30769230769230771</v>
      </c>
      <c r="Q425" s="36" t="s">
        <v>470</v>
      </c>
      <c r="R425" s="36">
        <v>3.3709900000000001E-2</v>
      </c>
      <c r="S425" s="36" t="s">
        <v>471</v>
      </c>
      <c r="T425" s="36">
        <v>2.7524E-2</v>
      </c>
      <c r="U425" s="37">
        <v>0.16666666666666666</v>
      </c>
      <c r="V425"/>
    </row>
    <row r="426" spans="1:22" ht="34" x14ac:dyDescent="0.2">
      <c r="A426" s="36" t="s">
        <v>116</v>
      </c>
      <c r="B426" s="45" t="str">
        <f>VLOOKUP(Tabella1[[#This Row],[test_id]],experiments_specs!A:J,2,FALSE)</f>
        <v>NN,RB</v>
      </c>
      <c r="C426" s="38">
        <f>VLOOKUP(Tabella1[[#This Row],[test_id]],experiments_specs!A:J,3,FALSE)</f>
        <v>1</v>
      </c>
      <c r="D426" s="38">
        <f>VLOOKUP(Tabella1[[#This Row],[test_id]],experiments_specs!A:J,4,FALSE)</f>
        <v>2</v>
      </c>
      <c r="E426" s="38" t="str">
        <f>VLOOKUP(Tabella1[[#This Row],[test_id]],experiments_specs!A:J,5,FALSE)</f>
        <v>True</v>
      </c>
      <c r="F426" s="38" t="str">
        <f>VLOOKUP(Tabella1[[#This Row],[test_id]],experiments_specs!A:J,6,FALSE)</f>
        <v>True</v>
      </c>
      <c r="G426" s="38" t="str">
        <f>VLOOKUP(Tabella1[[#This Row],[test_id]],experiments_specs!A:J,7,FALSE)</f>
        <v>True</v>
      </c>
      <c r="H426" s="38" t="str">
        <f>VLOOKUP(Tabella1[[#This Row],[test_id]],experiments_specs!A:J,8,FALSE)</f>
        <v>True</v>
      </c>
      <c r="I426" s="45" t="str">
        <f>VLOOKUP(Tabella1[[#This Row],[test_id]],experiments_specs!A:J,9,FALSE)</f>
        <v>wup_similarity</v>
      </c>
      <c r="J426" s="38" t="str">
        <f>VLOOKUP(Tabella1[[#This Row],[test_id]],experiments_specs!A:J,10,FALSE)</f>
        <v>True</v>
      </c>
      <c r="K426" s="40" t="s">
        <v>18</v>
      </c>
      <c r="L426" s="36" t="s">
        <v>44</v>
      </c>
      <c r="M426" s="36">
        <v>6.12563E-2</v>
      </c>
      <c r="N426" s="36" t="s">
        <v>472</v>
      </c>
      <c r="O426" s="36">
        <v>2.48069E-2</v>
      </c>
      <c r="P426" s="36">
        <v>0.21052631578947367</v>
      </c>
      <c r="Q426" s="36" t="s">
        <v>46</v>
      </c>
      <c r="R426" s="36">
        <v>5.90281E-2</v>
      </c>
      <c r="S426" s="36" t="s">
        <v>436</v>
      </c>
      <c r="T426" s="36">
        <v>3.7127500000000001E-2</v>
      </c>
      <c r="U426" s="37">
        <v>0.22222222222222221</v>
      </c>
      <c r="V426"/>
    </row>
    <row r="427" spans="1:22" ht="17" x14ac:dyDescent="0.2">
      <c r="A427" s="36" t="s">
        <v>117</v>
      </c>
      <c r="B427" s="45" t="str">
        <f>VLOOKUP(Tabella1[[#This Row],[test_id]],experiments_specs!A:J,2,FALSE)</f>
        <v>NN,JJ,VB,VBD,VBG,VBN,VBP,VBZ</v>
      </c>
      <c r="C427" s="38">
        <f>VLOOKUP(Tabella1[[#This Row],[test_id]],experiments_specs!A:J,3,FALSE)</f>
        <v>1</v>
      </c>
      <c r="D427" s="38">
        <f>VLOOKUP(Tabella1[[#This Row],[test_id]],experiments_specs!A:J,4,FALSE)</f>
        <v>2</v>
      </c>
      <c r="E427" s="38" t="str">
        <f>VLOOKUP(Tabella1[[#This Row],[test_id]],experiments_specs!A:J,5,FALSE)</f>
        <v>True</v>
      </c>
      <c r="F427" s="38" t="str">
        <f>VLOOKUP(Tabella1[[#This Row],[test_id]],experiments_specs!A:J,6,FALSE)</f>
        <v>True</v>
      </c>
      <c r="G427" s="38" t="str">
        <f>VLOOKUP(Tabella1[[#This Row],[test_id]],experiments_specs!A:J,7,FALSE)</f>
        <v>True</v>
      </c>
      <c r="H427" s="38" t="str">
        <f>VLOOKUP(Tabella1[[#This Row],[test_id]],experiments_specs!A:J,8,FALSE)</f>
        <v>True</v>
      </c>
      <c r="I427" s="45" t="str">
        <f>VLOOKUP(Tabella1[[#This Row],[test_id]],experiments_specs!A:J,9,FALSE)</f>
        <v>wup_similarity</v>
      </c>
      <c r="J427" s="38" t="str">
        <f>VLOOKUP(Tabella1[[#This Row],[test_id]],experiments_specs!A:J,10,FALSE)</f>
        <v>True</v>
      </c>
      <c r="K427" s="40" t="s">
        <v>19</v>
      </c>
      <c r="L427" s="36" t="s">
        <v>225</v>
      </c>
      <c r="M427" s="36">
        <v>0.1404878</v>
      </c>
      <c r="N427" s="36" t="s">
        <v>226</v>
      </c>
      <c r="O427" s="36">
        <v>2.64906E-2</v>
      </c>
      <c r="P427" s="36">
        <v>0.17391304347826086</v>
      </c>
      <c r="Q427" s="36" t="s">
        <v>288</v>
      </c>
      <c r="R427" s="36">
        <v>0.16754150000000001</v>
      </c>
      <c r="S427" s="36" t="s">
        <v>226</v>
      </c>
      <c r="T427" s="36">
        <v>2.7404100000000001E-2</v>
      </c>
      <c r="U427" s="37">
        <v>0.17391304347826086</v>
      </c>
      <c r="V427"/>
    </row>
    <row r="428" spans="1:22" ht="17" x14ac:dyDescent="0.2">
      <c r="A428" s="36" t="s">
        <v>117</v>
      </c>
      <c r="B428" s="45" t="str">
        <f>VLOOKUP(Tabella1[[#This Row],[test_id]],experiments_specs!A:J,2,FALSE)</f>
        <v>NN,JJ,VB,VBD,VBG,VBN,VBP,VBZ</v>
      </c>
      <c r="C428" s="38">
        <f>VLOOKUP(Tabella1[[#This Row],[test_id]],experiments_specs!A:J,3,FALSE)</f>
        <v>1</v>
      </c>
      <c r="D428" s="38">
        <f>VLOOKUP(Tabella1[[#This Row],[test_id]],experiments_specs!A:J,4,FALSE)</f>
        <v>2</v>
      </c>
      <c r="E428" s="38" t="str">
        <f>VLOOKUP(Tabella1[[#This Row],[test_id]],experiments_specs!A:J,5,FALSE)</f>
        <v>True</v>
      </c>
      <c r="F428" s="38" t="str">
        <f>VLOOKUP(Tabella1[[#This Row],[test_id]],experiments_specs!A:J,6,FALSE)</f>
        <v>True</v>
      </c>
      <c r="G428" s="38" t="str">
        <f>VLOOKUP(Tabella1[[#This Row],[test_id]],experiments_specs!A:J,7,FALSE)</f>
        <v>True</v>
      </c>
      <c r="H428" s="38" t="str">
        <f>VLOOKUP(Tabella1[[#This Row],[test_id]],experiments_specs!A:J,8,FALSE)</f>
        <v>True</v>
      </c>
      <c r="I428" s="45" t="str">
        <f>VLOOKUP(Tabella1[[#This Row],[test_id]],experiments_specs!A:J,9,FALSE)</f>
        <v>wup_similarity</v>
      </c>
      <c r="J428" s="38" t="str">
        <f>VLOOKUP(Tabella1[[#This Row],[test_id]],experiments_specs!A:J,10,FALSE)</f>
        <v>True</v>
      </c>
      <c r="K428" s="40" t="s">
        <v>12</v>
      </c>
      <c r="L428" s="36" t="s">
        <v>22</v>
      </c>
      <c r="M428" s="36">
        <v>0.13363059999999999</v>
      </c>
      <c r="N428" s="36" t="s">
        <v>23</v>
      </c>
      <c r="O428" s="36">
        <v>2.61978E-2</v>
      </c>
      <c r="P428" s="36">
        <v>0.42857142857142855</v>
      </c>
      <c r="Q428" s="36" t="s">
        <v>24</v>
      </c>
      <c r="R428" s="36">
        <v>0.11396050000000001</v>
      </c>
      <c r="S428" s="36" t="s">
        <v>481</v>
      </c>
      <c r="T428" s="36">
        <v>4.3444099999999999E-2</v>
      </c>
      <c r="U428" s="37">
        <v>0.42857142857142855</v>
      </c>
      <c r="V428"/>
    </row>
    <row r="429" spans="1:22" ht="17" x14ac:dyDescent="0.2">
      <c r="A429" s="36" t="s">
        <v>117</v>
      </c>
      <c r="B429" s="45" t="str">
        <f>VLOOKUP(Tabella1[[#This Row],[test_id]],experiments_specs!A:J,2,FALSE)</f>
        <v>NN,JJ,VB,VBD,VBG,VBN,VBP,VBZ</v>
      </c>
      <c r="C429" s="38">
        <f>VLOOKUP(Tabella1[[#This Row],[test_id]],experiments_specs!A:J,3,FALSE)</f>
        <v>1</v>
      </c>
      <c r="D429" s="38">
        <f>VLOOKUP(Tabella1[[#This Row],[test_id]],experiments_specs!A:J,4,FALSE)</f>
        <v>2</v>
      </c>
      <c r="E429" s="38" t="str">
        <f>VLOOKUP(Tabella1[[#This Row],[test_id]],experiments_specs!A:J,5,FALSE)</f>
        <v>True</v>
      </c>
      <c r="F429" s="38" t="str">
        <f>VLOOKUP(Tabella1[[#This Row],[test_id]],experiments_specs!A:J,6,FALSE)</f>
        <v>True</v>
      </c>
      <c r="G429" s="38" t="str">
        <f>VLOOKUP(Tabella1[[#This Row],[test_id]],experiments_specs!A:J,7,FALSE)</f>
        <v>True</v>
      </c>
      <c r="H429" s="38" t="str">
        <f>VLOOKUP(Tabella1[[#This Row],[test_id]],experiments_specs!A:J,8,FALSE)</f>
        <v>True</v>
      </c>
      <c r="I429" s="45" t="str">
        <f>VLOOKUP(Tabella1[[#This Row],[test_id]],experiments_specs!A:J,9,FALSE)</f>
        <v>wup_similarity</v>
      </c>
      <c r="J429" s="38" t="str">
        <f>VLOOKUP(Tabella1[[#This Row],[test_id]],experiments_specs!A:J,10,FALSE)</f>
        <v>True</v>
      </c>
      <c r="K429" s="40" t="s">
        <v>13</v>
      </c>
      <c r="L429" s="36" t="s">
        <v>326</v>
      </c>
      <c r="M429" s="36">
        <v>0.14784420000000001</v>
      </c>
      <c r="N429" s="36" t="s">
        <v>327</v>
      </c>
      <c r="O429" s="36">
        <v>3.2170400000000002E-2</v>
      </c>
      <c r="P429" s="36" t="s">
        <v>25</v>
      </c>
      <c r="Q429" s="36" t="s">
        <v>417</v>
      </c>
      <c r="R429" s="36">
        <v>5.72598E-2</v>
      </c>
      <c r="S429" s="36" t="s">
        <v>327</v>
      </c>
      <c r="T429" s="36">
        <v>3.2170400000000002E-2</v>
      </c>
      <c r="U429" s="37" t="s">
        <v>25</v>
      </c>
      <c r="V429"/>
    </row>
    <row r="430" spans="1:22" ht="17" x14ac:dyDescent="0.2">
      <c r="A430" s="36" t="s">
        <v>117</v>
      </c>
      <c r="B430" s="45" t="str">
        <f>VLOOKUP(Tabella1[[#This Row],[test_id]],experiments_specs!A:J,2,FALSE)</f>
        <v>NN,JJ,VB,VBD,VBG,VBN,VBP,VBZ</v>
      </c>
      <c r="C430" s="38">
        <f>VLOOKUP(Tabella1[[#This Row],[test_id]],experiments_specs!A:J,3,FALSE)</f>
        <v>1</v>
      </c>
      <c r="D430" s="38">
        <f>VLOOKUP(Tabella1[[#This Row],[test_id]],experiments_specs!A:J,4,FALSE)</f>
        <v>2</v>
      </c>
      <c r="E430" s="38" t="str">
        <f>VLOOKUP(Tabella1[[#This Row],[test_id]],experiments_specs!A:J,5,FALSE)</f>
        <v>True</v>
      </c>
      <c r="F430" s="38" t="str">
        <f>VLOOKUP(Tabella1[[#This Row],[test_id]],experiments_specs!A:J,6,FALSE)</f>
        <v>True</v>
      </c>
      <c r="G430" s="38" t="str">
        <f>VLOOKUP(Tabella1[[#This Row],[test_id]],experiments_specs!A:J,7,FALSE)</f>
        <v>True</v>
      </c>
      <c r="H430" s="38" t="str">
        <f>VLOOKUP(Tabella1[[#This Row],[test_id]],experiments_specs!A:J,8,FALSE)</f>
        <v>True</v>
      </c>
      <c r="I430" s="45" t="str">
        <f>VLOOKUP(Tabella1[[#This Row],[test_id]],experiments_specs!A:J,9,FALSE)</f>
        <v>wup_similarity</v>
      </c>
      <c r="J430" s="38" t="str">
        <f>VLOOKUP(Tabella1[[#This Row],[test_id]],experiments_specs!A:J,10,FALSE)</f>
        <v>True</v>
      </c>
      <c r="K430" s="40" t="s">
        <v>14</v>
      </c>
      <c r="L430" s="36" t="s">
        <v>449</v>
      </c>
      <c r="M430" s="36">
        <v>0.14064209999999999</v>
      </c>
      <c r="N430" s="36" t="s">
        <v>450</v>
      </c>
      <c r="O430" s="36">
        <v>1.39001E-2</v>
      </c>
      <c r="P430" s="36">
        <v>0.2857142857142857</v>
      </c>
      <c r="Q430" s="36" t="s">
        <v>451</v>
      </c>
      <c r="R430" s="36">
        <v>0.1234426</v>
      </c>
      <c r="S430" s="36" t="s">
        <v>450</v>
      </c>
      <c r="T430" s="36">
        <v>1.46514E-2</v>
      </c>
      <c r="U430" s="37">
        <v>0.2857142857142857</v>
      </c>
      <c r="V430"/>
    </row>
    <row r="431" spans="1:22" ht="17" x14ac:dyDescent="0.2">
      <c r="A431" s="36" t="s">
        <v>117</v>
      </c>
      <c r="B431" s="45" t="str">
        <f>VLOOKUP(Tabella1[[#This Row],[test_id]],experiments_specs!A:J,2,FALSE)</f>
        <v>NN,JJ,VB,VBD,VBG,VBN,VBP,VBZ</v>
      </c>
      <c r="C431" s="38">
        <f>VLOOKUP(Tabella1[[#This Row],[test_id]],experiments_specs!A:J,3,FALSE)</f>
        <v>1</v>
      </c>
      <c r="D431" s="38">
        <f>VLOOKUP(Tabella1[[#This Row],[test_id]],experiments_specs!A:J,4,FALSE)</f>
        <v>2</v>
      </c>
      <c r="E431" s="38" t="str">
        <f>VLOOKUP(Tabella1[[#This Row],[test_id]],experiments_specs!A:J,5,FALSE)</f>
        <v>True</v>
      </c>
      <c r="F431" s="38" t="str">
        <f>VLOOKUP(Tabella1[[#This Row],[test_id]],experiments_specs!A:J,6,FALSE)</f>
        <v>True</v>
      </c>
      <c r="G431" s="38" t="str">
        <f>VLOOKUP(Tabella1[[#This Row],[test_id]],experiments_specs!A:J,7,FALSE)</f>
        <v>True</v>
      </c>
      <c r="H431" s="38" t="str">
        <f>VLOOKUP(Tabella1[[#This Row],[test_id]],experiments_specs!A:J,8,FALSE)</f>
        <v>True</v>
      </c>
      <c r="I431" s="45" t="str">
        <f>VLOOKUP(Tabella1[[#This Row],[test_id]],experiments_specs!A:J,9,FALSE)</f>
        <v>wup_similarity</v>
      </c>
      <c r="J431" s="38" t="str">
        <f>VLOOKUP(Tabella1[[#This Row],[test_id]],experiments_specs!A:J,10,FALSE)</f>
        <v>True</v>
      </c>
      <c r="K431" s="40" t="s">
        <v>15</v>
      </c>
      <c r="L431" s="36" t="s">
        <v>26</v>
      </c>
      <c r="M431" s="36">
        <v>0.2070196</v>
      </c>
      <c r="N431" s="36" t="s">
        <v>27</v>
      </c>
      <c r="O431" s="36">
        <v>2.6352299999999999E-2</v>
      </c>
      <c r="P431" s="36">
        <v>0.16666666666666666</v>
      </c>
      <c r="Q431" s="36" t="s">
        <v>15</v>
      </c>
      <c r="R431" s="36">
        <v>0.17213249999999999</v>
      </c>
      <c r="S431" s="36" t="s">
        <v>474</v>
      </c>
      <c r="T431" s="36">
        <v>5.8554000000000002E-2</v>
      </c>
      <c r="U431" s="37">
        <v>0.90909090909090906</v>
      </c>
      <c r="V431"/>
    </row>
    <row r="432" spans="1:22" ht="34" x14ac:dyDescent="0.2">
      <c r="A432" s="36" t="s">
        <v>117</v>
      </c>
      <c r="B432" s="45" t="str">
        <f>VLOOKUP(Tabella1[[#This Row],[test_id]],experiments_specs!A:J,2,FALSE)</f>
        <v>NN,JJ,VB,VBD,VBG,VBN,VBP,VBZ</v>
      </c>
      <c r="C432" s="38">
        <f>VLOOKUP(Tabella1[[#This Row],[test_id]],experiments_specs!A:J,3,FALSE)</f>
        <v>1</v>
      </c>
      <c r="D432" s="38">
        <f>VLOOKUP(Tabella1[[#This Row],[test_id]],experiments_specs!A:J,4,FALSE)</f>
        <v>2</v>
      </c>
      <c r="E432" s="38" t="str">
        <f>VLOOKUP(Tabella1[[#This Row],[test_id]],experiments_specs!A:J,5,FALSE)</f>
        <v>True</v>
      </c>
      <c r="F432" s="38" t="str">
        <f>VLOOKUP(Tabella1[[#This Row],[test_id]],experiments_specs!A:J,6,FALSE)</f>
        <v>True</v>
      </c>
      <c r="G432" s="38" t="str">
        <f>VLOOKUP(Tabella1[[#This Row],[test_id]],experiments_specs!A:J,7,FALSE)</f>
        <v>True</v>
      </c>
      <c r="H432" s="38" t="str">
        <f>VLOOKUP(Tabella1[[#This Row],[test_id]],experiments_specs!A:J,8,FALSE)</f>
        <v>True</v>
      </c>
      <c r="I432" s="45" t="str">
        <f>VLOOKUP(Tabella1[[#This Row],[test_id]],experiments_specs!A:J,9,FALSE)</f>
        <v>wup_similarity</v>
      </c>
      <c r="J432" s="38" t="str">
        <f>VLOOKUP(Tabella1[[#This Row],[test_id]],experiments_specs!A:J,10,FALSE)</f>
        <v>True</v>
      </c>
      <c r="K432" s="40" t="s">
        <v>16</v>
      </c>
      <c r="L432" s="36" t="s">
        <v>453</v>
      </c>
      <c r="M432" s="36" t="s">
        <v>455</v>
      </c>
      <c r="N432" s="36" t="s">
        <v>457</v>
      </c>
      <c r="O432" s="36" t="s">
        <v>528</v>
      </c>
      <c r="P432" s="36">
        <v>0.22222222222222221</v>
      </c>
      <c r="Q432" s="36" t="s">
        <v>461</v>
      </c>
      <c r="R432" s="36" t="s">
        <v>463</v>
      </c>
      <c r="S432" s="36" t="s">
        <v>457</v>
      </c>
      <c r="T432" s="36" t="s">
        <v>530</v>
      </c>
      <c r="U432" s="37">
        <v>0.22222222222222221</v>
      </c>
      <c r="V432"/>
    </row>
    <row r="433" spans="1:22" ht="68" x14ac:dyDescent="0.2">
      <c r="A433" s="36" t="s">
        <v>117</v>
      </c>
      <c r="B433" s="45" t="str">
        <f>VLOOKUP(Tabella1[[#This Row],[test_id]],experiments_specs!A:J,2,FALSE)</f>
        <v>NN,JJ,VB,VBD,VBG,VBN,VBP,VBZ</v>
      </c>
      <c r="C433" s="38">
        <f>VLOOKUP(Tabella1[[#This Row],[test_id]],experiments_specs!A:J,3,FALSE)</f>
        <v>1</v>
      </c>
      <c r="D433" s="38">
        <f>VLOOKUP(Tabella1[[#This Row],[test_id]],experiments_specs!A:J,4,FALSE)</f>
        <v>2</v>
      </c>
      <c r="E433" s="38" t="str">
        <f>VLOOKUP(Tabella1[[#This Row],[test_id]],experiments_specs!A:J,5,FALSE)</f>
        <v>True</v>
      </c>
      <c r="F433" s="38" t="str">
        <f>VLOOKUP(Tabella1[[#This Row],[test_id]],experiments_specs!A:J,6,FALSE)</f>
        <v>True</v>
      </c>
      <c r="G433" s="38" t="str">
        <f>VLOOKUP(Tabella1[[#This Row],[test_id]],experiments_specs!A:J,7,FALSE)</f>
        <v>True</v>
      </c>
      <c r="H433" s="38" t="str">
        <f>VLOOKUP(Tabella1[[#This Row],[test_id]],experiments_specs!A:J,8,FALSE)</f>
        <v>True</v>
      </c>
      <c r="I433" s="45" t="str">
        <f>VLOOKUP(Tabella1[[#This Row],[test_id]],experiments_specs!A:J,9,FALSE)</f>
        <v>wup_similarity</v>
      </c>
      <c r="J433" s="38" t="str">
        <f>VLOOKUP(Tabella1[[#This Row],[test_id]],experiments_specs!A:J,10,FALSE)</f>
        <v>True</v>
      </c>
      <c r="K433" s="40" t="s">
        <v>17</v>
      </c>
      <c r="L433" s="36" t="s">
        <v>279</v>
      </c>
      <c r="M433" s="36" t="s">
        <v>467</v>
      </c>
      <c r="N433" s="36" t="s">
        <v>42</v>
      </c>
      <c r="O433" s="36" t="s">
        <v>532</v>
      </c>
      <c r="P433" s="36">
        <v>0.30769230769230771</v>
      </c>
      <c r="Q433" s="36" t="s">
        <v>470</v>
      </c>
      <c r="R433" s="36">
        <v>3.3709900000000001E-2</v>
      </c>
      <c r="S433" s="36" t="s">
        <v>471</v>
      </c>
      <c r="T433" s="36">
        <v>2.0017500000000001E-2</v>
      </c>
      <c r="U433" s="37">
        <v>0.16666666666666666</v>
      </c>
      <c r="V433"/>
    </row>
    <row r="434" spans="1:22" ht="34" x14ac:dyDescent="0.2">
      <c r="A434" s="36" t="s">
        <v>117</v>
      </c>
      <c r="B434" s="45" t="str">
        <f>VLOOKUP(Tabella1[[#This Row],[test_id]],experiments_specs!A:J,2,FALSE)</f>
        <v>NN,JJ,VB,VBD,VBG,VBN,VBP,VBZ</v>
      </c>
      <c r="C434" s="38">
        <f>VLOOKUP(Tabella1[[#This Row],[test_id]],experiments_specs!A:J,3,FALSE)</f>
        <v>1</v>
      </c>
      <c r="D434" s="38">
        <f>VLOOKUP(Tabella1[[#This Row],[test_id]],experiments_specs!A:J,4,FALSE)</f>
        <v>2</v>
      </c>
      <c r="E434" s="38" t="str">
        <f>VLOOKUP(Tabella1[[#This Row],[test_id]],experiments_specs!A:J,5,FALSE)</f>
        <v>True</v>
      </c>
      <c r="F434" s="38" t="str">
        <f>VLOOKUP(Tabella1[[#This Row],[test_id]],experiments_specs!A:J,6,FALSE)</f>
        <v>True</v>
      </c>
      <c r="G434" s="38" t="str">
        <f>VLOOKUP(Tabella1[[#This Row],[test_id]],experiments_specs!A:J,7,FALSE)</f>
        <v>True</v>
      </c>
      <c r="H434" s="38" t="str">
        <f>VLOOKUP(Tabella1[[#This Row],[test_id]],experiments_specs!A:J,8,FALSE)</f>
        <v>True</v>
      </c>
      <c r="I434" s="45" t="str">
        <f>VLOOKUP(Tabella1[[#This Row],[test_id]],experiments_specs!A:J,9,FALSE)</f>
        <v>wup_similarity</v>
      </c>
      <c r="J434" s="38" t="str">
        <f>VLOOKUP(Tabella1[[#This Row],[test_id]],experiments_specs!A:J,10,FALSE)</f>
        <v>True</v>
      </c>
      <c r="K434" s="40" t="s">
        <v>18</v>
      </c>
      <c r="L434" s="36" t="s">
        <v>44</v>
      </c>
      <c r="M434" s="36">
        <v>5.8798099999999999E-2</v>
      </c>
      <c r="N434" s="36" t="s">
        <v>472</v>
      </c>
      <c r="O434" s="36">
        <v>1.9049099999999999E-2</v>
      </c>
      <c r="P434" s="36">
        <v>0.21052631578947367</v>
      </c>
      <c r="Q434" s="36" t="s">
        <v>46</v>
      </c>
      <c r="R434" s="36">
        <v>5.66592E-2</v>
      </c>
      <c r="S434" s="36" t="s">
        <v>436</v>
      </c>
      <c r="T434" s="36">
        <v>3.02919E-2</v>
      </c>
      <c r="U434" s="37">
        <v>0.22222222222222221</v>
      </c>
      <c r="V434"/>
    </row>
    <row r="435" spans="1:22" ht="17" x14ac:dyDescent="0.2">
      <c r="A435" s="36" t="s">
        <v>134</v>
      </c>
      <c r="B435" s="45" t="str">
        <f>VLOOKUP(Tabella1[[#This Row],[test_id]],experiments_specs!A:J,2,FALSE)</f>
        <v>NN</v>
      </c>
      <c r="C435" s="38">
        <f>VLOOKUP(Tabella1[[#This Row],[test_id]],experiments_specs!A:J,3,FALSE)</f>
        <v>1</v>
      </c>
      <c r="D435" s="38">
        <f>VLOOKUP(Tabella1[[#This Row],[test_id]],experiments_specs!A:J,4,FALSE)</f>
        <v>2</v>
      </c>
      <c r="E435" s="38" t="str">
        <f>VLOOKUP(Tabella1[[#This Row],[test_id]],experiments_specs!A:J,5,FALSE)</f>
        <v>False</v>
      </c>
      <c r="F435" s="38" t="str">
        <f>VLOOKUP(Tabella1[[#This Row],[test_id]],experiments_specs!A:J,6,FALSE)</f>
        <v>False</v>
      </c>
      <c r="G435" s="38" t="str">
        <f>VLOOKUP(Tabella1[[#This Row],[test_id]],experiments_specs!A:J,7,FALSE)</f>
        <v>True</v>
      </c>
      <c r="H435" s="38" t="str">
        <f>VLOOKUP(Tabella1[[#This Row],[test_id]],experiments_specs!A:J,8,FALSE)</f>
        <v>False</v>
      </c>
      <c r="I435" s="45" t="str">
        <f>VLOOKUP(Tabella1[[#This Row],[test_id]],experiments_specs!A:J,9,FALSE)</f>
        <v>wup_similarity</v>
      </c>
      <c r="J435" s="38" t="str">
        <f>VLOOKUP(Tabella1[[#This Row],[test_id]],experiments_specs!A:J,10,FALSE)</f>
        <v>False</v>
      </c>
      <c r="K435" s="40" t="s">
        <v>19</v>
      </c>
      <c r="L435" s="36" t="s">
        <v>354</v>
      </c>
      <c r="M435" s="36">
        <v>0</v>
      </c>
      <c r="N435" s="36" t="s">
        <v>533</v>
      </c>
      <c r="O435" s="36">
        <v>2.5098E-3</v>
      </c>
      <c r="P435" s="36">
        <v>0.19047619047619047</v>
      </c>
      <c r="Q435" s="36" t="s">
        <v>534</v>
      </c>
      <c r="R435" s="36">
        <v>0</v>
      </c>
      <c r="S435" s="36" t="s">
        <v>365</v>
      </c>
      <c r="T435" s="36">
        <v>2.9030000000000002E-3</v>
      </c>
      <c r="U435" s="37">
        <v>0.22222222222222221</v>
      </c>
      <c r="V435"/>
    </row>
    <row r="436" spans="1:22" ht="17" x14ac:dyDescent="0.2">
      <c r="A436" s="36" t="s">
        <v>134</v>
      </c>
      <c r="B436" s="45" t="str">
        <f>VLOOKUP(Tabella1[[#This Row],[test_id]],experiments_specs!A:J,2,FALSE)</f>
        <v>NN</v>
      </c>
      <c r="C436" s="38">
        <f>VLOOKUP(Tabella1[[#This Row],[test_id]],experiments_specs!A:J,3,FALSE)</f>
        <v>1</v>
      </c>
      <c r="D436" s="38">
        <f>VLOOKUP(Tabella1[[#This Row],[test_id]],experiments_specs!A:J,4,FALSE)</f>
        <v>2</v>
      </c>
      <c r="E436" s="38" t="str">
        <f>VLOOKUP(Tabella1[[#This Row],[test_id]],experiments_specs!A:J,5,FALSE)</f>
        <v>False</v>
      </c>
      <c r="F436" s="38" t="str">
        <f>VLOOKUP(Tabella1[[#This Row],[test_id]],experiments_specs!A:J,6,FALSE)</f>
        <v>False</v>
      </c>
      <c r="G436" s="38" t="str">
        <f>VLOOKUP(Tabella1[[#This Row],[test_id]],experiments_specs!A:J,7,FALSE)</f>
        <v>True</v>
      </c>
      <c r="H436" s="38" t="str">
        <f>VLOOKUP(Tabella1[[#This Row],[test_id]],experiments_specs!A:J,8,FALSE)</f>
        <v>False</v>
      </c>
      <c r="I436" s="45" t="str">
        <f>VLOOKUP(Tabella1[[#This Row],[test_id]],experiments_specs!A:J,9,FALSE)</f>
        <v>wup_similarity</v>
      </c>
      <c r="J436" s="38" t="str">
        <f>VLOOKUP(Tabella1[[#This Row],[test_id]],experiments_specs!A:J,10,FALSE)</f>
        <v>False</v>
      </c>
      <c r="K436" s="40" t="s">
        <v>12</v>
      </c>
      <c r="L436" s="36" t="s">
        <v>363</v>
      </c>
      <c r="M436" s="36">
        <v>9.7243300000000005E-2</v>
      </c>
      <c r="N436" s="36" t="s">
        <v>535</v>
      </c>
      <c r="O436" s="36">
        <v>2.1410000000000001E-3</v>
      </c>
      <c r="P436" s="36">
        <v>0.2857142857142857</v>
      </c>
      <c r="Q436" s="36" t="s">
        <v>363</v>
      </c>
      <c r="R436" s="36">
        <v>9.7243300000000005E-2</v>
      </c>
      <c r="S436" s="36" t="s">
        <v>535</v>
      </c>
      <c r="T436" s="36">
        <v>4.3667999999999997E-3</v>
      </c>
      <c r="U436" s="37">
        <v>0.2857142857142857</v>
      </c>
      <c r="V436"/>
    </row>
    <row r="437" spans="1:22" ht="34" x14ac:dyDescent="0.2">
      <c r="A437" s="36" t="s">
        <v>134</v>
      </c>
      <c r="B437" s="45" t="str">
        <f>VLOOKUP(Tabella1[[#This Row],[test_id]],experiments_specs!A:J,2,FALSE)</f>
        <v>NN</v>
      </c>
      <c r="C437" s="38">
        <f>VLOOKUP(Tabella1[[#This Row],[test_id]],experiments_specs!A:J,3,FALSE)</f>
        <v>1</v>
      </c>
      <c r="D437" s="38">
        <f>VLOOKUP(Tabella1[[#This Row],[test_id]],experiments_specs!A:J,4,FALSE)</f>
        <v>2</v>
      </c>
      <c r="E437" s="38" t="str">
        <f>VLOOKUP(Tabella1[[#This Row],[test_id]],experiments_specs!A:J,5,FALSE)</f>
        <v>False</v>
      </c>
      <c r="F437" s="38" t="str">
        <f>VLOOKUP(Tabella1[[#This Row],[test_id]],experiments_specs!A:J,6,FALSE)</f>
        <v>False</v>
      </c>
      <c r="G437" s="38" t="str">
        <f>VLOOKUP(Tabella1[[#This Row],[test_id]],experiments_specs!A:J,7,FALSE)</f>
        <v>True</v>
      </c>
      <c r="H437" s="38" t="str">
        <f>VLOOKUP(Tabella1[[#This Row],[test_id]],experiments_specs!A:J,8,FALSE)</f>
        <v>False</v>
      </c>
      <c r="I437" s="45" t="str">
        <f>VLOOKUP(Tabella1[[#This Row],[test_id]],experiments_specs!A:J,9,FALSE)</f>
        <v>wup_similarity</v>
      </c>
      <c r="J437" s="38" t="str">
        <f>VLOOKUP(Tabella1[[#This Row],[test_id]],experiments_specs!A:J,10,FALSE)</f>
        <v>False</v>
      </c>
      <c r="K437" s="40" t="s">
        <v>13</v>
      </c>
      <c r="L437" s="36" t="s">
        <v>536</v>
      </c>
      <c r="M437" s="36">
        <v>0</v>
      </c>
      <c r="N437" s="36" t="s">
        <v>537</v>
      </c>
      <c r="O437" s="36">
        <v>4.6074999999999996E-3</v>
      </c>
      <c r="P437" s="36" t="s">
        <v>25</v>
      </c>
      <c r="Q437" s="36" t="s">
        <v>539</v>
      </c>
      <c r="R437" s="36" t="s">
        <v>186</v>
      </c>
      <c r="S437" s="36" t="s">
        <v>541</v>
      </c>
      <c r="T437" s="36" t="s">
        <v>543</v>
      </c>
      <c r="U437" s="37" t="s">
        <v>25</v>
      </c>
      <c r="V437"/>
    </row>
    <row r="438" spans="1:22" ht="34" x14ac:dyDescent="0.2">
      <c r="A438" s="36" t="s">
        <v>134</v>
      </c>
      <c r="B438" s="45" t="str">
        <f>VLOOKUP(Tabella1[[#This Row],[test_id]],experiments_specs!A:J,2,FALSE)</f>
        <v>NN</v>
      </c>
      <c r="C438" s="38">
        <f>VLOOKUP(Tabella1[[#This Row],[test_id]],experiments_specs!A:J,3,FALSE)</f>
        <v>1</v>
      </c>
      <c r="D438" s="38">
        <f>VLOOKUP(Tabella1[[#This Row],[test_id]],experiments_specs!A:J,4,FALSE)</f>
        <v>2</v>
      </c>
      <c r="E438" s="38" t="str">
        <f>VLOOKUP(Tabella1[[#This Row],[test_id]],experiments_specs!A:J,5,FALSE)</f>
        <v>False</v>
      </c>
      <c r="F438" s="38" t="str">
        <f>VLOOKUP(Tabella1[[#This Row],[test_id]],experiments_specs!A:J,6,FALSE)</f>
        <v>False</v>
      </c>
      <c r="G438" s="38" t="str">
        <f>VLOOKUP(Tabella1[[#This Row],[test_id]],experiments_specs!A:J,7,FALSE)</f>
        <v>True</v>
      </c>
      <c r="H438" s="38" t="str">
        <f>VLOOKUP(Tabella1[[#This Row],[test_id]],experiments_specs!A:J,8,FALSE)</f>
        <v>False</v>
      </c>
      <c r="I438" s="45" t="str">
        <f>VLOOKUP(Tabella1[[#This Row],[test_id]],experiments_specs!A:J,9,FALSE)</f>
        <v>wup_similarity</v>
      </c>
      <c r="J438" s="38" t="str">
        <f>VLOOKUP(Tabella1[[#This Row],[test_id]],experiments_specs!A:J,10,FALSE)</f>
        <v>False</v>
      </c>
      <c r="K438" s="40" t="s">
        <v>14</v>
      </c>
      <c r="L438" s="36" t="s">
        <v>545</v>
      </c>
      <c r="M438" s="36" t="s">
        <v>547</v>
      </c>
      <c r="N438" s="36" t="s">
        <v>549</v>
      </c>
      <c r="O438" s="36" t="s">
        <v>551</v>
      </c>
      <c r="P438" s="36">
        <v>0.33333333333333331</v>
      </c>
      <c r="Q438" s="36" t="s">
        <v>204</v>
      </c>
      <c r="R438" s="36">
        <v>0</v>
      </c>
      <c r="S438" s="36" t="s">
        <v>381</v>
      </c>
      <c r="T438" s="36">
        <v>5.5906999999999997E-3</v>
      </c>
      <c r="U438" s="37">
        <v>0.66666666666666663</v>
      </c>
      <c r="V438"/>
    </row>
    <row r="439" spans="1:22" ht="17" x14ac:dyDescent="0.2">
      <c r="A439" s="36" t="s">
        <v>134</v>
      </c>
      <c r="B439" s="45" t="str">
        <f>VLOOKUP(Tabella1[[#This Row],[test_id]],experiments_specs!A:J,2,FALSE)</f>
        <v>NN</v>
      </c>
      <c r="C439" s="38">
        <f>VLOOKUP(Tabella1[[#This Row],[test_id]],experiments_specs!A:J,3,FALSE)</f>
        <v>1</v>
      </c>
      <c r="D439" s="38">
        <f>VLOOKUP(Tabella1[[#This Row],[test_id]],experiments_specs!A:J,4,FALSE)</f>
        <v>2</v>
      </c>
      <c r="E439" s="38" t="str">
        <f>VLOOKUP(Tabella1[[#This Row],[test_id]],experiments_specs!A:J,5,FALSE)</f>
        <v>False</v>
      </c>
      <c r="F439" s="38" t="str">
        <f>VLOOKUP(Tabella1[[#This Row],[test_id]],experiments_specs!A:J,6,FALSE)</f>
        <v>False</v>
      </c>
      <c r="G439" s="38" t="str">
        <f>VLOOKUP(Tabella1[[#This Row],[test_id]],experiments_specs!A:J,7,FALSE)</f>
        <v>True</v>
      </c>
      <c r="H439" s="38" t="str">
        <f>VLOOKUP(Tabella1[[#This Row],[test_id]],experiments_specs!A:J,8,FALSE)</f>
        <v>False</v>
      </c>
      <c r="I439" s="45" t="str">
        <f>VLOOKUP(Tabella1[[#This Row],[test_id]],experiments_specs!A:J,9,FALSE)</f>
        <v>wup_similarity</v>
      </c>
      <c r="J439" s="38" t="str">
        <f>VLOOKUP(Tabella1[[#This Row],[test_id]],experiments_specs!A:J,10,FALSE)</f>
        <v>False</v>
      </c>
      <c r="K439" s="40" t="s">
        <v>15</v>
      </c>
      <c r="L439" s="36" t="s">
        <v>552</v>
      </c>
      <c r="M439" s="36">
        <v>0</v>
      </c>
      <c r="N439" s="36" t="s">
        <v>553</v>
      </c>
      <c r="O439" s="36">
        <v>1.0273999999999999E-3</v>
      </c>
      <c r="P439" s="36">
        <v>0.44444444444444442</v>
      </c>
      <c r="Q439" s="36" t="s">
        <v>365</v>
      </c>
      <c r="R439" s="36">
        <v>0</v>
      </c>
      <c r="S439" s="36" t="s">
        <v>26</v>
      </c>
      <c r="T439" s="36">
        <v>7.1824999999999996E-3</v>
      </c>
      <c r="U439" s="37">
        <v>0.18181818181818182</v>
      </c>
      <c r="V439"/>
    </row>
    <row r="440" spans="1:22" ht="17" x14ac:dyDescent="0.2">
      <c r="A440" s="36" t="s">
        <v>134</v>
      </c>
      <c r="B440" s="45" t="str">
        <f>VLOOKUP(Tabella1[[#This Row],[test_id]],experiments_specs!A:J,2,FALSE)</f>
        <v>NN</v>
      </c>
      <c r="C440" s="38">
        <f>VLOOKUP(Tabella1[[#This Row],[test_id]],experiments_specs!A:J,3,FALSE)</f>
        <v>1</v>
      </c>
      <c r="D440" s="38">
        <f>VLOOKUP(Tabella1[[#This Row],[test_id]],experiments_specs!A:J,4,FALSE)</f>
        <v>2</v>
      </c>
      <c r="E440" s="38" t="str">
        <f>VLOOKUP(Tabella1[[#This Row],[test_id]],experiments_specs!A:J,5,FALSE)</f>
        <v>False</v>
      </c>
      <c r="F440" s="38" t="str">
        <f>VLOOKUP(Tabella1[[#This Row],[test_id]],experiments_specs!A:J,6,FALSE)</f>
        <v>False</v>
      </c>
      <c r="G440" s="38" t="str">
        <f>VLOOKUP(Tabella1[[#This Row],[test_id]],experiments_specs!A:J,7,FALSE)</f>
        <v>True</v>
      </c>
      <c r="H440" s="38" t="str">
        <f>VLOOKUP(Tabella1[[#This Row],[test_id]],experiments_specs!A:J,8,FALSE)</f>
        <v>False</v>
      </c>
      <c r="I440" s="45" t="str">
        <f>VLOOKUP(Tabella1[[#This Row],[test_id]],experiments_specs!A:J,9,FALSE)</f>
        <v>wup_similarity</v>
      </c>
      <c r="J440" s="38" t="str">
        <f>VLOOKUP(Tabella1[[#This Row],[test_id]],experiments_specs!A:J,10,FALSE)</f>
        <v>False</v>
      </c>
      <c r="K440" s="40" t="s">
        <v>16</v>
      </c>
      <c r="L440" s="36" t="s">
        <v>385</v>
      </c>
      <c r="M440" s="36">
        <v>0.1290994</v>
      </c>
      <c r="N440" s="36" t="s">
        <v>554</v>
      </c>
      <c r="O440" s="36">
        <v>1.5489E-3</v>
      </c>
      <c r="P440" s="36">
        <v>0.14285714285714285</v>
      </c>
      <c r="Q440" s="36" t="s">
        <v>432</v>
      </c>
      <c r="R440" s="36">
        <v>6.4549700000000002E-2</v>
      </c>
      <c r="S440" s="36" t="s">
        <v>555</v>
      </c>
      <c r="T440" s="36">
        <v>2.9799000000000002E-3</v>
      </c>
      <c r="U440" s="37">
        <v>0.13333333333333333</v>
      </c>
      <c r="V440"/>
    </row>
    <row r="441" spans="1:22" ht="17" x14ac:dyDescent="0.2">
      <c r="A441" s="36" t="s">
        <v>134</v>
      </c>
      <c r="B441" s="45" t="str">
        <f>VLOOKUP(Tabella1[[#This Row],[test_id]],experiments_specs!A:J,2,FALSE)</f>
        <v>NN</v>
      </c>
      <c r="C441" s="38">
        <f>VLOOKUP(Tabella1[[#This Row],[test_id]],experiments_specs!A:J,3,FALSE)</f>
        <v>1</v>
      </c>
      <c r="D441" s="38">
        <f>VLOOKUP(Tabella1[[#This Row],[test_id]],experiments_specs!A:J,4,FALSE)</f>
        <v>2</v>
      </c>
      <c r="E441" s="38" t="str">
        <f>VLOOKUP(Tabella1[[#This Row],[test_id]],experiments_specs!A:J,5,FALSE)</f>
        <v>False</v>
      </c>
      <c r="F441" s="38" t="str">
        <f>VLOOKUP(Tabella1[[#This Row],[test_id]],experiments_specs!A:J,6,FALSE)</f>
        <v>False</v>
      </c>
      <c r="G441" s="38" t="str">
        <f>VLOOKUP(Tabella1[[#This Row],[test_id]],experiments_specs!A:J,7,FALSE)</f>
        <v>True</v>
      </c>
      <c r="H441" s="38" t="str">
        <f>VLOOKUP(Tabella1[[#This Row],[test_id]],experiments_specs!A:J,8,FALSE)</f>
        <v>False</v>
      </c>
      <c r="I441" s="45" t="str">
        <f>VLOOKUP(Tabella1[[#This Row],[test_id]],experiments_specs!A:J,9,FALSE)</f>
        <v>wup_similarity</v>
      </c>
      <c r="J441" s="38" t="str">
        <f>VLOOKUP(Tabella1[[#This Row],[test_id]],experiments_specs!A:J,10,FALSE)</f>
        <v>False</v>
      </c>
      <c r="K441" s="40" t="s">
        <v>17</v>
      </c>
      <c r="L441" s="36" t="s">
        <v>556</v>
      </c>
      <c r="M441" s="36">
        <v>7.7151600000000001E-2</v>
      </c>
      <c r="N441" s="36" t="s">
        <v>557</v>
      </c>
      <c r="O441" s="36">
        <v>1.8259000000000001E-3</v>
      </c>
      <c r="P441" s="36">
        <v>0.44444444444444442</v>
      </c>
      <c r="Q441" s="36" t="s">
        <v>434</v>
      </c>
      <c r="R441" s="36">
        <v>0</v>
      </c>
      <c r="S441" s="36" t="s">
        <v>557</v>
      </c>
      <c r="T441" s="36">
        <v>3.405E-3</v>
      </c>
      <c r="U441" s="37">
        <v>0.44444444444444442</v>
      </c>
      <c r="V441"/>
    </row>
    <row r="442" spans="1:22" ht="17" x14ac:dyDescent="0.2">
      <c r="A442" s="36" t="s">
        <v>134</v>
      </c>
      <c r="B442" s="45" t="str">
        <f>VLOOKUP(Tabella1[[#This Row],[test_id]],experiments_specs!A:J,2,FALSE)</f>
        <v>NN</v>
      </c>
      <c r="C442" s="38">
        <f>VLOOKUP(Tabella1[[#This Row],[test_id]],experiments_specs!A:J,3,FALSE)</f>
        <v>1</v>
      </c>
      <c r="D442" s="38">
        <f>VLOOKUP(Tabella1[[#This Row],[test_id]],experiments_specs!A:J,4,FALSE)</f>
        <v>2</v>
      </c>
      <c r="E442" s="38" t="str">
        <f>VLOOKUP(Tabella1[[#This Row],[test_id]],experiments_specs!A:J,5,FALSE)</f>
        <v>False</v>
      </c>
      <c r="F442" s="38" t="str">
        <f>VLOOKUP(Tabella1[[#This Row],[test_id]],experiments_specs!A:J,6,FALSE)</f>
        <v>False</v>
      </c>
      <c r="G442" s="38" t="str">
        <f>VLOOKUP(Tabella1[[#This Row],[test_id]],experiments_specs!A:J,7,FALSE)</f>
        <v>True</v>
      </c>
      <c r="H442" s="38" t="str">
        <f>VLOOKUP(Tabella1[[#This Row],[test_id]],experiments_specs!A:J,8,FALSE)</f>
        <v>False</v>
      </c>
      <c r="I442" s="45" t="str">
        <f>VLOOKUP(Tabella1[[#This Row],[test_id]],experiments_specs!A:J,9,FALSE)</f>
        <v>wup_similarity</v>
      </c>
      <c r="J442" s="38" t="str">
        <f>VLOOKUP(Tabella1[[#This Row],[test_id]],experiments_specs!A:J,10,FALSE)</f>
        <v>False</v>
      </c>
      <c r="K442" s="40" t="s">
        <v>18</v>
      </c>
      <c r="L442" s="36" t="s">
        <v>556</v>
      </c>
      <c r="M442" s="36">
        <v>6.1084699999999999E-2</v>
      </c>
      <c r="N442" s="36" t="s">
        <v>558</v>
      </c>
      <c r="O442" s="36">
        <v>1.3854E-3</v>
      </c>
      <c r="P442" s="36">
        <v>0.375</v>
      </c>
      <c r="Q442" s="36" t="s">
        <v>559</v>
      </c>
      <c r="R442" s="36">
        <v>0</v>
      </c>
      <c r="S442" s="36" t="s">
        <v>560</v>
      </c>
      <c r="T442" s="36">
        <v>2.0202000000000002E-3</v>
      </c>
      <c r="U442" s="37">
        <v>0.1111111111111111</v>
      </c>
      <c r="V442"/>
    </row>
    <row r="443" spans="1:22" ht="51" x14ac:dyDescent="0.2">
      <c r="A443" s="36" t="s">
        <v>135</v>
      </c>
      <c r="B443" s="45" t="str">
        <f>VLOOKUP(Tabella1[[#This Row],[test_id]],experiments_specs!A:J,2,FALSE)</f>
        <v>NN,JJ</v>
      </c>
      <c r="C443" s="38">
        <f>VLOOKUP(Tabella1[[#This Row],[test_id]],experiments_specs!A:J,3,FALSE)</f>
        <v>1</v>
      </c>
      <c r="D443" s="38">
        <f>VLOOKUP(Tabella1[[#This Row],[test_id]],experiments_specs!A:J,4,FALSE)</f>
        <v>2</v>
      </c>
      <c r="E443" s="38" t="str">
        <f>VLOOKUP(Tabella1[[#This Row],[test_id]],experiments_specs!A:J,5,FALSE)</f>
        <v>False</v>
      </c>
      <c r="F443" s="38" t="str">
        <f>VLOOKUP(Tabella1[[#This Row],[test_id]],experiments_specs!A:J,6,FALSE)</f>
        <v>False</v>
      </c>
      <c r="G443" s="38" t="str">
        <f>VLOOKUP(Tabella1[[#This Row],[test_id]],experiments_specs!A:J,7,FALSE)</f>
        <v>True</v>
      </c>
      <c r="H443" s="38" t="str">
        <f>VLOOKUP(Tabella1[[#This Row],[test_id]],experiments_specs!A:J,8,FALSE)</f>
        <v>False</v>
      </c>
      <c r="I443" s="45" t="str">
        <f>VLOOKUP(Tabella1[[#This Row],[test_id]],experiments_specs!A:J,9,FALSE)</f>
        <v>wup_similarity</v>
      </c>
      <c r="J443" s="38" t="str">
        <f>VLOOKUP(Tabella1[[#This Row],[test_id]],experiments_specs!A:J,10,FALSE)</f>
        <v>False</v>
      </c>
      <c r="K443" s="40" t="s">
        <v>19</v>
      </c>
      <c r="L443" s="36" t="s">
        <v>354</v>
      </c>
      <c r="M443" s="36">
        <v>0</v>
      </c>
      <c r="N443" s="36" t="s">
        <v>533</v>
      </c>
      <c r="O443" s="36">
        <v>1.1463000000000001E-3</v>
      </c>
      <c r="P443" s="36">
        <v>0.19047619047619047</v>
      </c>
      <c r="Q443" s="36" t="s">
        <v>562</v>
      </c>
      <c r="R443" s="36" t="s">
        <v>564</v>
      </c>
      <c r="S443" s="36" t="s">
        <v>566</v>
      </c>
      <c r="T443" s="36" t="s">
        <v>568</v>
      </c>
      <c r="U443" s="37">
        <v>0.11764705882352941</v>
      </c>
      <c r="V443"/>
    </row>
    <row r="444" spans="1:22" ht="17" x14ac:dyDescent="0.2">
      <c r="A444" s="36" t="s">
        <v>135</v>
      </c>
      <c r="B444" s="45" t="str">
        <f>VLOOKUP(Tabella1[[#This Row],[test_id]],experiments_specs!A:J,2,FALSE)</f>
        <v>NN,JJ</v>
      </c>
      <c r="C444" s="38">
        <f>VLOOKUP(Tabella1[[#This Row],[test_id]],experiments_specs!A:J,3,FALSE)</f>
        <v>1</v>
      </c>
      <c r="D444" s="38">
        <f>VLOOKUP(Tabella1[[#This Row],[test_id]],experiments_specs!A:J,4,FALSE)</f>
        <v>2</v>
      </c>
      <c r="E444" s="38" t="str">
        <f>VLOOKUP(Tabella1[[#This Row],[test_id]],experiments_specs!A:J,5,FALSE)</f>
        <v>False</v>
      </c>
      <c r="F444" s="38" t="str">
        <f>VLOOKUP(Tabella1[[#This Row],[test_id]],experiments_specs!A:J,6,FALSE)</f>
        <v>False</v>
      </c>
      <c r="G444" s="38" t="str">
        <f>VLOOKUP(Tabella1[[#This Row],[test_id]],experiments_specs!A:J,7,FALSE)</f>
        <v>True</v>
      </c>
      <c r="H444" s="38" t="str">
        <f>VLOOKUP(Tabella1[[#This Row],[test_id]],experiments_specs!A:J,8,FALSE)</f>
        <v>False</v>
      </c>
      <c r="I444" s="45" t="str">
        <f>VLOOKUP(Tabella1[[#This Row],[test_id]],experiments_specs!A:J,9,FALSE)</f>
        <v>wup_similarity</v>
      </c>
      <c r="J444" s="38" t="str">
        <f>VLOOKUP(Tabella1[[#This Row],[test_id]],experiments_specs!A:J,10,FALSE)</f>
        <v>False</v>
      </c>
      <c r="K444" s="40" t="s">
        <v>12</v>
      </c>
      <c r="L444" s="36" t="s">
        <v>363</v>
      </c>
      <c r="M444" s="36">
        <v>9.7243300000000005E-2</v>
      </c>
      <c r="N444" s="36" t="s">
        <v>535</v>
      </c>
      <c r="O444" s="36">
        <v>1.0652999999999999E-3</v>
      </c>
      <c r="P444" s="36">
        <v>0.2857142857142857</v>
      </c>
      <c r="Q444" s="36" t="s">
        <v>363</v>
      </c>
      <c r="R444" s="36">
        <v>9.7243300000000005E-2</v>
      </c>
      <c r="S444" s="36" t="s">
        <v>535</v>
      </c>
      <c r="T444" s="36">
        <v>3.5568000000000002E-3</v>
      </c>
      <c r="U444" s="37">
        <v>0.2857142857142857</v>
      </c>
      <c r="V444"/>
    </row>
    <row r="445" spans="1:22" ht="34" x14ac:dyDescent="0.2">
      <c r="A445" s="36" t="s">
        <v>135</v>
      </c>
      <c r="B445" s="45" t="str">
        <f>VLOOKUP(Tabella1[[#This Row],[test_id]],experiments_specs!A:J,2,FALSE)</f>
        <v>NN,JJ</v>
      </c>
      <c r="C445" s="38">
        <f>VLOOKUP(Tabella1[[#This Row],[test_id]],experiments_specs!A:J,3,FALSE)</f>
        <v>1</v>
      </c>
      <c r="D445" s="38">
        <f>VLOOKUP(Tabella1[[#This Row],[test_id]],experiments_specs!A:J,4,FALSE)</f>
        <v>2</v>
      </c>
      <c r="E445" s="38" t="str">
        <f>VLOOKUP(Tabella1[[#This Row],[test_id]],experiments_specs!A:J,5,FALSE)</f>
        <v>False</v>
      </c>
      <c r="F445" s="38" t="str">
        <f>VLOOKUP(Tabella1[[#This Row],[test_id]],experiments_specs!A:J,6,FALSE)</f>
        <v>False</v>
      </c>
      <c r="G445" s="38" t="str">
        <f>VLOOKUP(Tabella1[[#This Row],[test_id]],experiments_specs!A:J,7,FALSE)</f>
        <v>True</v>
      </c>
      <c r="H445" s="38" t="str">
        <f>VLOOKUP(Tabella1[[#This Row],[test_id]],experiments_specs!A:J,8,FALSE)</f>
        <v>False</v>
      </c>
      <c r="I445" s="45" t="str">
        <f>VLOOKUP(Tabella1[[#This Row],[test_id]],experiments_specs!A:J,9,FALSE)</f>
        <v>wup_similarity</v>
      </c>
      <c r="J445" s="38" t="str">
        <f>VLOOKUP(Tabella1[[#This Row],[test_id]],experiments_specs!A:J,10,FALSE)</f>
        <v>False</v>
      </c>
      <c r="K445" s="40" t="s">
        <v>13</v>
      </c>
      <c r="L445" s="36" t="s">
        <v>536</v>
      </c>
      <c r="M445" s="36">
        <v>0</v>
      </c>
      <c r="N445" s="36" t="s">
        <v>537</v>
      </c>
      <c r="O445" s="36">
        <v>3.4897000000000001E-3</v>
      </c>
      <c r="P445" s="36" t="s">
        <v>25</v>
      </c>
      <c r="Q445" s="36" t="s">
        <v>539</v>
      </c>
      <c r="R445" s="36" t="s">
        <v>186</v>
      </c>
      <c r="S445" s="36" t="s">
        <v>541</v>
      </c>
      <c r="T445" s="36" t="s">
        <v>543</v>
      </c>
      <c r="U445" s="37" t="s">
        <v>25</v>
      </c>
      <c r="V445"/>
    </row>
    <row r="446" spans="1:22" ht="34" x14ac:dyDescent="0.2">
      <c r="A446" s="36" t="s">
        <v>135</v>
      </c>
      <c r="B446" s="45" t="str">
        <f>VLOOKUP(Tabella1[[#This Row],[test_id]],experiments_specs!A:J,2,FALSE)</f>
        <v>NN,JJ</v>
      </c>
      <c r="C446" s="38">
        <f>VLOOKUP(Tabella1[[#This Row],[test_id]],experiments_specs!A:J,3,FALSE)</f>
        <v>1</v>
      </c>
      <c r="D446" s="38">
        <f>VLOOKUP(Tabella1[[#This Row],[test_id]],experiments_specs!A:J,4,FALSE)</f>
        <v>2</v>
      </c>
      <c r="E446" s="38" t="str">
        <f>VLOOKUP(Tabella1[[#This Row],[test_id]],experiments_specs!A:J,5,FALSE)</f>
        <v>False</v>
      </c>
      <c r="F446" s="38" t="str">
        <f>VLOOKUP(Tabella1[[#This Row],[test_id]],experiments_specs!A:J,6,FALSE)</f>
        <v>False</v>
      </c>
      <c r="G446" s="38" t="str">
        <f>VLOOKUP(Tabella1[[#This Row],[test_id]],experiments_specs!A:J,7,FALSE)</f>
        <v>True</v>
      </c>
      <c r="H446" s="38" t="str">
        <f>VLOOKUP(Tabella1[[#This Row],[test_id]],experiments_specs!A:J,8,FALSE)</f>
        <v>False</v>
      </c>
      <c r="I446" s="45" t="str">
        <f>VLOOKUP(Tabella1[[#This Row],[test_id]],experiments_specs!A:J,9,FALSE)</f>
        <v>wup_similarity</v>
      </c>
      <c r="J446" s="38" t="str">
        <f>VLOOKUP(Tabella1[[#This Row],[test_id]],experiments_specs!A:J,10,FALSE)</f>
        <v>False</v>
      </c>
      <c r="K446" s="40" t="s">
        <v>14</v>
      </c>
      <c r="L446" s="36" t="s">
        <v>545</v>
      </c>
      <c r="M446" s="36" t="s">
        <v>547</v>
      </c>
      <c r="N446" s="36" t="s">
        <v>549</v>
      </c>
      <c r="O446" s="36" t="s">
        <v>570</v>
      </c>
      <c r="P446" s="36">
        <v>0.33333333333333331</v>
      </c>
      <c r="Q446" s="36" t="s">
        <v>204</v>
      </c>
      <c r="R446" s="36">
        <v>0</v>
      </c>
      <c r="S446" s="36" t="s">
        <v>381</v>
      </c>
      <c r="T446" s="36">
        <v>5.1092999999999998E-3</v>
      </c>
      <c r="U446" s="37">
        <v>0.66666666666666663</v>
      </c>
      <c r="V446"/>
    </row>
    <row r="447" spans="1:22" ht="17" x14ac:dyDescent="0.2">
      <c r="A447" s="36" t="s">
        <v>135</v>
      </c>
      <c r="B447" s="45" t="str">
        <f>VLOOKUP(Tabella1[[#This Row],[test_id]],experiments_specs!A:J,2,FALSE)</f>
        <v>NN,JJ</v>
      </c>
      <c r="C447" s="38">
        <f>VLOOKUP(Tabella1[[#This Row],[test_id]],experiments_specs!A:J,3,FALSE)</f>
        <v>1</v>
      </c>
      <c r="D447" s="38">
        <f>VLOOKUP(Tabella1[[#This Row],[test_id]],experiments_specs!A:J,4,FALSE)</f>
        <v>2</v>
      </c>
      <c r="E447" s="38" t="str">
        <f>VLOOKUP(Tabella1[[#This Row],[test_id]],experiments_specs!A:J,5,FALSE)</f>
        <v>False</v>
      </c>
      <c r="F447" s="38" t="str">
        <f>VLOOKUP(Tabella1[[#This Row],[test_id]],experiments_specs!A:J,6,FALSE)</f>
        <v>False</v>
      </c>
      <c r="G447" s="38" t="str">
        <f>VLOOKUP(Tabella1[[#This Row],[test_id]],experiments_specs!A:J,7,FALSE)</f>
        <v>True</v>
      </c>
      <c r="H447" s="38" t="str">
        <f>VLOOKUP(Tabella1[[#This Row],[test_id]],experiments_specs!A:J,8,FALSE)</f>
        <v>False</v>
      </c>
      <c r="I447" s="45" t="str">
        <f>VLOOKUP(Tabella1[[#This Row],[test_id]],experiments_specs!A:J,9,FALSE)</f>
        <v>wup_similarity</v>
      </c>
      <c r="J447" s="38" t="str">
        <f>VLOOKUP(Tabella1[[#This Row],[test_id]],experiments_specs!A:J,10,FALSE)</f>
        <v>False</v>
      </c>
      <c r="K447" s="40" t="s">
        <v>15</v>
      </c>
      <c r="L447" s="36" t="s">
        <v>552</v>
      </c>
      <c r="M447" s="36">
        <v>0</v>
      </c>
      <c r="N447" s="36" t="s">
        <v>553</v>
      </c>
      <c r="O447" s="36">
        <v>8.0909999999999999E-4</v>
      </c>
      <c r="P447" s="36">
        <v>0.44444444444444442</v>
      </c>
      <c r="Q447" s="36" t="s">
        <v>365</v>
      </c>
      <c r="R447" s="36">
        <v>0</v>
      </c>
      <c r="S447" s="36" t="s">
        <v>26</v>
      </c>
      <c r="T447" s="36">
        <v>7.417E-3</v>
      </c>
      <c r="U447" s="37">
        <v>0.18181818181818182</v>
      </c>
      <c r="V447"/>
    </row>
    <row r="448" spans="1:22" ht="17" x14ac:dyDescent="0.2">
      <c r="A448" s="36" t="s">
        <v>135</v>
      </c>
      <c r="B448" s="45" t="str">
        <f>VLOOKUP(Tabella1[[#This Row],[test_id]],experiments_specs!A:J,2,FALSE)</f>
        <v>NN,JJ</v>
      </c>
      <c r="C448" s="38">
        <f>VLOOKUP(Tabella1[[#This Row],[test_id]],experiments_specs!A:J,3,FALSE)</f>
        <v>1</v>
      </c>
      <c r="D448" s="38">
        <f>VLOOKUP(Tabella1[[#This Row],[test_id]],experiments_specs!A:J,4,FALSE)</f>
        <v>2</v>
      </c>
      <c r="E448" s="38" t="str">
        <f>VLOOKUP(Tabella1[[#This Row],[test_id]],experiments_specs!A:J,5,FALSE)</f>
        <v>False</v>
      </c>
      <c r="F448" s="38" t="str">
        <f>VLOOKUP(Tabella1[[#This Row],[test_id]],experiments_specs!A:J,6,FALSE)</f>
        <v>False</v>
      </c>
      <c r="G448" s="38" t="str">
        <f>VLOOKUP(Tabella1[[#This Row],[test_id]],experiments_specs!A:J,7,FALSE)</f>
        <v>True</v>
      </c>
      <c r="H448" s="38" t="str">
        <f>VLOOKUP(Tabella1[[#This Row],[test_id]],experiments_specs!A:J,8,FALSE)</f>
        <v>False</v>
      </c>
      <c r="I448" s="45" t="str">
        <f>VLOOKUP(Tabella1[[#This Row],[test_id]],experiments_specs!A:J,9,FALSE)</f>
        <v>wup_similarity</v>
      </c>
      <c r="J448" s="38" t="str">
        <f>VLOOKUP(Tabella1[[#This Row],[test_id]],experiments_specs!A:J,10,FALSE)</f>
        <v>False</v>
      </c>
      <c r="K448" s="40" t="s">
        <v>16</v>
      </c>
      <c r="L448" s="36" t="s">
        <v>385</v>
      </c>
      <c r="M448" s="36">
        <v>0.1290994</v>
      </c>
      <c r="N448" s="36" t="s">
        <v>554</v>
      </c>
      <c r="O448" s="36">
        <v>1.2290999999999999E-3</v>
      </c>
      <c r="P448" s="36">
        <v>0.14285714285714285</v>
      </c>
      <c r="Q448" s="36" t="s">
        <v>432</v>
      </c>
      <c r="R448" s="36">
        <v>6.4549700000000002E-2</v>
      </c>
      <c r="S448" s="36" t="s">
        <v>555</v>
      </c>
      <c r="T448" s="36">
        <v>2.9475999999999999E-3</v>
      </c>
      <c r="U448" s="37">
        <v>0.13333333333333333</v>
      </c>
      <c r="V448"/>
    </row>
    <row r="449" spans="1:22" ht="17" x14ac:dyDescent="0.2">
      <c r="A449" s="36" t="s">
        <v>135</v>
      </c>
      <c r="B449" s="45" t="str">
        <f>VLOOKUP(Tabella1[[#This Row],[test_id]],experiments_specs!A:J,2,FALSE)</f>
        <v>NN,JJ</v>
      </c>
      <c r="C449" s="38">
        <f>VLOOKUP(Tabella1[[#This Row],[test_id]],experiments_specs!A:J,3,FALSE)</f>
        <v>1</v>
      </c>
      <c r="D449" s="38">
        <f>VLOOKUP(Tabella1[[#This Row],[test_id]],experiments_specs!A:J,4,FALSE)</f>
        <v>2</v>
      </c>
      <c r="E449" s="38" t="str">
        <f>VLOOKUP(Tabella1[[#This Row],[test_id]],experiments_specs!A:J,5,FALSE)</f>
        <v>False</v>
      </c>
      <c r="F449" s="38" t="str">
        <f>VLOOKUP(Tabella1[[#This Row],[test_id]],experiments_specs!A:J,6,FALSE)</f>
        <v>False</v>
      </c>
      <c r="G449" s="38" t="str">
        <f>VLOOKUP(Tabella1[[#This Row],[test_id]],experiments_specs!A:J,7,FALSE)</f>
        <v>True</v>
      </c>
      <c r="H449" s="38" t="str">
        <f>VLOOKUP(Tabella1[[#This Row],[test_id]],experiments_specs!A:J,8,FALSE)</f>
        <v>False</v>
      </c>
      <c r="I449" s="45" t="str">
        <f>VLOOKUP(Tabella1[[#This Row],[test_id]],experiments_specs!A:J,9,FALSE)</f>
        <v>wup_similarity</v>
      </c>
      <c r="J449" s="38" t="str">
        <f>VLOOKUP(Tabella1[[#This Row],[test_id]],experiments_specs!A:J,10,FALSE)</f>
        <v>False</v>
      </c>
      <c r="K449" s="40" t="s">
        <v>17</v>
      </c>
      <c r="L449" s="36" t="s">
        <v>556</v>
      </c>
      <c r="M449" s="36">
        <v>7.7151600000000001E-2</v>
      </c>
      <c r="N449" s="36" t="s">
        <v>557</v>
      </c>
      <c r="O449" s="36">
        <v>1.6798E-3</v>
      </c>
      <c r="P449" s="36">
        <v>0.44444444444444442</v>
      </c>
      <c r="Q449" s="36" t="s">
        <v>434</v>
      </c>
      <c r="R449" s="36">
        <v>0</v>
      </c>
      <c r="S449" s="36" t="s">
        <v>557</v>
      </c>
      <c r="T449" s="36">
        <v>3.3660000000000001E-3</v>
      </c>
      <c r="U449" s="37">
        <v>0.44444444444444442</v>
      </c>
      <c r="V449"/>
    </row>
    <row r="450" spans="1:22" ht="51" x14ac:dyDescent="0.2">
      <c r="A450" s="36" t="s">
        <v>135</v>
      </c>
      <c r="B450" s="45" t="str">
        <f>VLOOKUP(Tabella1[[#This Row],[test_id]],experiments_specs!A:J,2,FALSE)</f>
        <v>NN,JJ</v>
      </c>
      <c r="C450" s="38">
        <f>VLOOKUP(Tabella1[[#This Row],[test_id]],experiments_specs!A:J,3,FALSE)</f>
        <v>1</v>
      </c>
      <c r="D450" s="38">
        <f>VLOOKUP(Tabella1[[#This Row],[test_id]],experiments_specs!A:J,4,FALSE)</f>
        <v>2</v>
      </c>
      <c r="E450" s="38" t="str">
        <f>VLOOKUP(Tabella1[[#This Row],[test_id]],experiments_specs!A:J,5,FALSE)</f>
        <v>False</v>
      </c>
      <c r="F450" s="38" t="str">
        <f>VLOOKUP(Tabella1[[#This Row],[test_id]],experiments_specs!A:J,6,FALSE)</f>
        <v>False</v>
      </c>
      <c r="G450" s="38" t="str">
        <f>VLOOKUP(Tabella1[[#This Row],[test_id]],experiments_specs!A:J,7,FALSE)</f>
        <v>True</v>
      </c>
      <c r="H450" s="38" t="str">
        <f>VLOOKUP(Tabella1[[#This Row],[test_id]],experiments_specs!A:J,8,FALSE)</f>
        <v>False</v>
      </c>
      <c r="I450" s="45" t="str">
        <f>VLOOKUP(Tabella1[[#This Row],[test_id]],experiments_specs!A:J,9,FALSE)</f>
        <v>wup_similarity</v>
      </c>
      <c r="J450" s="38" t="str">
        <f>VLOOKUP(Tabella1[[#This Row],[test_id]],experiments_specs!A:J,10,FALSE)</f>
        <v>False</v>
      </c>
      <c r="K450" s="40" t="s">
        <v>18</v>
      </c>
      <c r="L450" s="36" t="s">
        <v>556</v>
      </c>
      <c r="M450" s="36">
        <v>6.1084699999999999E-2</v>
      </c>
      <c r="N450" s="36" t="s">
        <v>558</v>
      </c>
      <c r="O450" s="36">
        <v>1.0058000000000001E-3</v>
      </c>
      <c r="P450" s="36">
        <v>0.375</v>
      </c>
      <c r="Q450" s="36" t="s">
        <v>572</v>
      </c>
      <c r="R450" s="36" t="s">
        <v>564</v>
      </c>
      <c r="S450" s="36" t="s">
        <v>574</v>
      </c>
      <c r="T450" s="36" t="s">
        <v>576</v>
      </c>
      <c r="U450" s="37">
        <v>0.125</v>
      </c>
      <c r="V450"/>
    </row>
    <row r="451" spans="1:22" ht="17" x14ac:dyDescent="0.2">
      <c r="A451" s="36" t="s">
        <v>136</v>
      </c>
      <c r="B451" s="45" t="str">
        <f>VLOOKUP(Tabella1[[#This Row],[test_id]],experiments_specs!A:J,2,FALSE)</f>
        <v>NN,VB</v>
      </c>
      <c r="C451" s="38">
        <f>VLOOKUP(Tabella1[[#This Row],[test_id]],experiments_specs!A:J,3,FALSE)</f>
        <v>1</v>
      </c>
      <c r="D451" s="38">
        <f>VLOOKUP(Tabella1[[#This Row],[test_id]],experiments_specs!A:J,4,FALSE)</f>
        <v>2</v>
      </c>
      <c r="E451" s="38" t="str">
        <f>VLOOKUP(Tabella1[[#This Row],[test_id]],experiments_specs!A:J,5,FALSE)</f>
        <v>False</v>
      </c>
      <c r="F451" s="38" t="str">
        <f>VLOOKUP(Tabella1[[#This Row],[test_id]],experiments_specs!A:J,6,FALSE)</f>
        <v>False</v>
      </c>
      <c r="G451" s="38" t="str">
        <f>VLOOKUP(Tabella1[[#This Row],[test_id]],experiments_specs!A:J,7,FALSE)</f>
        <v>True</v>
      </c>
      <c r="H451" s="38" t="str">
        <f>VLOOKUP(Tabella1[[#This Row],[test_id]],experiments_specs!A:J,8,FALSE)</f>
        <v>False</v>
      </c>
      <c r="I451" s="45" t="str">
        <f>VLOOKUP(Tabella1[[#This Row],[test_id]],experiments_specs!A:J,9,FALSE)</f>
        <v>wup_similarity</v>
      </c>
      <c r="J451" s="38" t="str">
        <f>VLOOKUP(Tabella1[[#This Row],[test_id]],experiments_specs!A:J,10,FALSE)</f>
        <v>False</v>
      </c>
      <c r="K451" s="40" t="s">
        <v>19</v>
      </c>
      <c r="L451" s="36" t="s">
        <v>354</v>
      </c>
      <c r="M451" s="36">
        <v>0</v>
      </c>
      <c r="N451" s="36" t="s">
        <v>533</v>
      </c>
      <c r="O451" s="36">
        <v>2.3495999999999999E-3</v>
      </c>
      <c r="P451" s="36">
        <v>0.19047619047619047</v>
      </c>
      <c r="Q451" s="36" t="s">
        <v>534</v>
      </c>
      <c r="R451" s="36">
        <v>0</v>
      </c>
      <c r="S451" s="36" t="s">
        <v>365</v>
      </c>
      <c r="T451" s="36">
        <v>2.7035000000000002E-3</v>
      </c>
      <c r="U451" s="37">
        <v>0.22222222222222221</v>
      </c>
      <c r="V451"/>
    </row>
    <row r="452" spans="1:22" ht="17" x14ac:dyDescent="0.2">
      <c r="A452" s="36" t="s">
        <v>136</v>
      </c>
      <c r="B452" s="45" t="str">
        <f>VLOOKUP(Tabella1[[#This Row],[test_id]],experiments_specs!A:J,2,FALSE)</f>
        <v>NN,VB</v>
      </c>
      <c r="C452" s="38">
        <f>VLOOKUP(Tabella1[[#This Row],[test_id]],experiments_specs!A:J,3,FALSE)</f>
        <v>1</v>
      </c>
      <c r="D452" s="38">
        <f>VLOOKUP(Tabella1[[#This Row],[test_id]],experiments_specs!A:J,4,FALSE)</f>
        <v>2</v>
      </c>
      <c r="E452" s="38" t="str">
        <f>VLOOKUP(Tabella1[[#This Row],[test_id]],experiments_specs!A:J,5,FALSE)</f>
        <v>False</v>
      </c>
      <c r="F452" s="38" t="str">
        <f>VLOOKUP(Tabella1[[#This Row],[test_id]],experiments_specs!A:J,6,FALSE)</f>
        <v>False</v>
      </c>
      <c r="G452" s="38" t="str">
        <f>VLOOKUP(Tabella1[[#This Row],[test_id]],experiments_specs!A:J,7,FALSE)</f>
        <v>True</v>
      </c>
      <c r="H452" s="38" t="str">
        <f>VLOOKUP(Tabella1[[#This Row],[test_id]],experiments_specs!A:J,8,FALSE)</f>
        <v>False</v>
      </c>
      <c r="I452" s="45" t="str">
        <f>VLOOKUP(Tabella1[[#This Row],[test_id]],experiments_specs!A:J,9,FALSE)</f>
        <v>wup_similarity</v>
      </c>
      <c r="J452" s="38" t="str">
        <f>VLOOKUP(Tabella1[[#This Row],[test_id]],experiments_specs!A:J,10,FALSE)</f>
        <v>False</v>
      </c>
      <c r="K452" s="40" t="s">
        <v>12</v>
      </c>
      <c r="L452" s="36" t="s">
        <v>251</v>
      </c>
      <c r="M452" s="36">
        <v>6.5232799999999994E-2</v>
      </c>
      <c r="N452" s="36" t="s">
        <v>577</v>
      </c>
      <c r="O452" s="36">
        <v>1.6517999999999999E-3</v>
      </c>
      <c r="P452" s="36">
        <v>0.125</v>
      </c>
      <c r="Q452" s="36" t="s">
        <v>235</v>
      </c>
      <c r="R452" s="36">
        <v>0</v>
      </c>
      <c r="S452" s="36" t="s">
        <v>577</v>
      </c>
      <c r="T452" s="36">
        <v>3.1530999999999998E-3</v>
      </c>
      <c r="U452" s="37">
        <v>0.125</v>
      </c>
      <c r="V452"/>
    </row>
    <row r="453" spans="1:22" ht="17" x14ac:dyDescent="0.2">
      <c r="A453" s="36" t="s">
        <v>136</v>
      </c>
      <c r="B453" s="45" t="str">
        <f>VLOOKUP(Tabella1[[#This Row],[test_id]],experiments_specs!A:J,2,FALSE)</f>
        <v>NN,VB</v>
      </c>
      <c r="C453" s="38">
        <f>VLOOKUP(Tabella1[[#This Row],[test_id]],experiments_specs!A:J,3,FALSE)</f>
        <v>1</v>
      </c>
      <c r="D453" s="38">
        <f>VLOOKUP(Tabella1[[#This Row],[test_id]],experiments_specs!A:J,4,FALSE)</f>
        <v>2</v>
      </c>
      <c r="E453" s="38" t="str">
        <f>VLOOKUP(Tabella1[[#This Row],[test_id]],experiments_specs!A:J,5,FALSE)</f>
        <v>False</v>
      </c>
      <c r="F453" s="38" t="str">
        <f>VLOOKUP(Tabella1[[#This Row],[test_id]],experiments_specs!A:J,6,FALSE)</f>
        <v>False</v>
      </c>
      <c r="G453" s="38" t="str">
        <f>VLOOKUP(Tabella1[[#This Row],[test_id]],experiments_specs!A:J,7,FALSE)</f>
        <v>True</v>
      </c>
      <c r="H453" s="38" t="str">
        <f>VLOOKUP(Tabella1[[#This Row],[test_id]],experiments_specs!A:J,8,FALSE)</f>
        <v>False</v>
      </c>
      <c r="I453" s="45" t="str">
        <f>VLOOKUP(Tabella1[[#This Row],[test_id]],experiments_specs!A:J,9,FALSE)</f>
        <v>wup_similarity</v>
      </c>
      <c r="J453" s="38" t="str">
        <f>VLOOKUP(Tabella1[[#This Row],[test_id]],experiments_specs!A:J,10,FALSE)</f>
        <v>False</v>
      </c>
      <c r="K453" s="40" t="s">
        <v>13</v>
      </c>
      <c r="L453" s="36" t="s">
        <v>536</v>
      </c>
      <c r="M453" s="36">
        <v>0</v>
      </c>
      <c r="N453" s="36" t="s">
        <v>537</v>
      </c>
      <c r="O453" s="36">
        <v>3.6495E-3</v>
      </c>
      <c r="P453" s="36" t="s">
        <v>25</v>
      </c>
      <c r="Q453" s="36" t="s">
        <v>252</v>
      </c>
      <c r="R453" s="36">
        <v>0</v>
      </c>
      <c r="S453" s="36" t="s">
        <v>578</v>
      </c>
      <c r="T453" s="36">
        <v>4.8606999999999999E-3</v>
      </c>
      <c r="U453" s="37">
        <v>0.4</v>
      </c>
      <c r="V453"/>
    </row>
    <row r="454" spans="1:22" ht="34" x14ac:dyDescent="0.2">
      <c r="A454" s="36" t="s">
        <v>136</v>
      </c>
      <c r="B454" s="45" t="str">
        <f>VLOOKUP(Tabella1[[#This Row],[test_id]],experiments_specs!A:J,2,FALSE)</f>
        <v>NN,VB</v>
      </c>
      <c r="C454" s="38">
        <f>VLOOKUP(Tabella1[[#This Row],[test_id]],experiments_specs!A:J,3,FALSE)</f>
        <v>1</v>
      </c>
      <c r="D454" s="38">
        <f>VLOOKUP(Tabella1[[#This Row],[test_id]],experiments_specs!A:J,4,FALSE)</f>
        <v>2</v>
      </c>
      <c r="E454" s="38" t="str">
        <f>VLOOKUP(Tabella1[[#This Row],[test_id]],experiments_specs!A:J,5,FALSE)</f>
        <v>False</v>
      </c>
      <c r="F454" s="38" t="str">
        <f>VLOOKUP(Tabella1[[#This Row],[test_id]],experiments_specs!A:J,6,FALSE)</f>
        <v>False</v>
      </c>
      <c r="G454" s="38" t="str">
        <f>VLOOKUP(Tabella1[[#This Row],[test_id]],experiments_specs!A:J,7,FALSE)</f>
        <v>True</v>
      </c>
      <c r="H454" s="38" t="str">
        <f>VLOOKUP(Tabella1[[#This Row],[test_id]],experiments_specs!A:J,8,FALSE)</f>
        <v>False</v>
      </c>
      <c r="I454" s="45" t="str">
        <f>VLOOKUP(Tabella1[[#This Row],[test_id]],experiments_specs!A:J,9,FALSE)</f>
        <v>wup_similarity</v>
      </c>
      <c r="J454" s="38" t="str">
        <f>VLOOKUP(Tabella1[[#This Row],[test_id]],experiments_specs!A:J,10,FALSE)</f>
        <v>False</v>
      </c>
      <c r="K454" s="40" t="s">
        <v>14</v>
      </c>
      <c r="L454" s="36" t="s">
        <v>545</v>
      </c>
      <c r="M454" s="36" t="s">
        <v>547</v>
      </c>
      <c r="N454" s="36" t="s">
        <v>549</v>
      </c>
      <c r="O454" s="36" t="s">
        <v>580</v>
      </c>
      <c r="P454" s="36">
        <v>0.33333333333333331</v>
      </c>
      <c r="Q454" s="36" t="s">
        <v>204</v>
      </c>
      <c r="R454" s="36">
        <v>0</v>
      </c>
      <c r="S454" s="36" t="s">
        <v>381</v>
      </c>
      <c r="T454" s="36">
        <v>4.8830000000000002E-3</v>
      </c>
      <c r="U454" s="37">
        <v>0.66666666666666663</v>
      </c>
      <c r="V454"/>
    </row>
    <row r="455" spans="1:22" ht="17" x14ac:dyDescent="0.2">
      <c r="A455" s="36" t="s">
        <v>136</v>
      </c>
      <c r="B455" s="45" t="str">
        <f>VLOOKUP(Tabella1[[#This Row],[test_id]],experiments_specs!A:J,2,FALSE)</f>
        <v>NN,VB</v>
      </c>
      <c r="C455" s="38">
        <f>VLOOKUP(Tabella1[[#This Row],[test_id]],experiments_specs!A:J,3,FALSE)</f>
        <v>1</v>
      </c>
      <c r="D455" s="38">
        <f>VLOOKUP(Tabella1[[#This Row],[test_id]],experiments_specs!A:J,4,FALSE)</f>
        <v>2</v>
      </c>
      <c r="E455" s="38" t="str">
        <f>VLOOKUP(Tabella1[[#This Row],[test_id]],experiments_specs!A:J,5,FALSE)</f>
        <v>False</v>
      </c>
      <c r="F455" s="38" t="str">
        <f>VLOOKUP(Tabella1[[#This Row],[test_id]],experiments_specs!A:J,6,FALSE)</f>
        <v>False</v>
      </c>
      <c r="G455" s="38" t="str">
        <f>VLOOKUP(Tabella1[[#This Row],[test_id]],experiments_specs!A:J,7,FALSE)</f>
        <v>True</v>
      </c>
      <c r="H455" s="38" t="str">
        <f>VLOOKUP(Tabella1[[#This Row],[test_id]],experiments_specs!A:J,8,FALSE)</f>
        <v>False</v>
      </c>
      <c r="I455" s="45" t="str">
        <f>VLOOKUP(Tabella1[[#This Row],[test_id]],experiments_specs!A:J,9,FALSE)</f>
        <v>wup_similarity</v>
      </c>
      <c r="J455" s="38" t="str">
        <f>VLOOKUP(Tabella1[[#This Row],[test_id]],experiments_specs!A:J,10,FALSE)</f>
        <v>False</v>
      </c>
      <c r="K455" s="40" t="s">
        <v>15</v>
      </c>
      <c r="L455" s="36" t="s">
        <v>409</v>
      </c>
      <c r="M455" s="36">
        <v>4.7088100000000001E-2</v>
      </c>
      <c r="N455" s="36" t="s">
        <v>410</v>
      </c>
      <c r="O455" s="36">
        <v>1.2815000000000001E-3</v>
      </c>
      <c r="P455" s="36">
        <v>0.22222222222222221</v>
      </c>
      <c r="Q455" s="36" t="s">
        <v>227</v>
      </c>
      <c r="R455" s="36">
        <v>4.5083400000000003E-2</v>
      </c>
      <c r="S455" s="36" t="s">
        <v>581</v>
      </c>
      <c r="T455" s="36">
        <v>6.0447000000000001E-3</v>
      </c>
      <c r="U455" s="37">
        <v>0.22222222222222221</v>
      </c>
      <c r="V455"/>
    </row>
    <row r="456" spans="1:22" ht="34" x14ac:dyDescent="0.2">
      <c r="A456" s="36" t="s">
        <v>136</v>
      </c>
      <c r="B456" s="45" t="str">
        <f>VLOOKUP(Tabella1[[#This Row],[test_id]],experiments_specs!A:J,2,FALSE)</f>
        <v>NN,VB</v>
      </c>
      <c r="C456" s="38">
        <f>VLOOKUP(Tabella1[[#This Row],[test_id]],experiments_specs!A:J,3,FALSE)</f>
        <v>1</v>
      </c>
      <c r="D456" s="38">
        <f>VLOOKUP(Tabella1[[#This Row],[test_id]],experiments_specs!A:J,4,FALSE)</f>
        <v>2</v>
      </c>
      <c r="E456" s="38" t="str">
        <f>VLOOKUP(Tabella1[[#This Row],[test_id]],experiments_specs!A:J,5,FALSE)</f>
        <v>False</v>
      </c>
      <c r="F456" s="38" t="str">
        <f>VLOOKUP(Tabella1[[#This Row],[test_id]],experiments_specs!A:J,6,FALSE)</f>
        <v>False</v>
      </c>
      <c r="G456" s="38" t="str">
        <f>VLOOKUP(Tabella1[[#This Row],[test_id]],experiments_specs!A:J,7,FALSE)</f>
        <v>True</v>
      </c>
      <c r="H456" s="38" t="str">
        <f>VLOOKUP(Tabella1[[#This Row],[test_id]],experiments_specs!A:J,8,FALSE)</f>
        <v>False</v>
      </c>
      <c r="I456" s="45" t="str">
        <f>VLOOKUP(Tabella1[[#This Row],[test_id]],experiments_specs!A:J,9,FALSE)</f>
        <v>wup_similarity</v>
      </c>
      <c r="J456" s="38" t="str">
        <f>VLOOKUP(Tabella1[[#This Row],[test_id]],experiments_specs!A:J,10,FALSE)</f>
        <v>False</v>
      </c>
      <c r="K456" s="40" t="s">
        <v>16</v>
      </c>
      <c r="L456" s="36" t="s">
        <v>385</v>
      </c>
      <c r="M456" s="36">
        <v>0.1290994</v>
      </c>
      <c r="N456" s="36" t="s">
        <v>554</v>
      </c>
      <c r="O456" s="36">
        <v>1.4450000000000001E-3</v>
      </c>
      <c r="P456" s="36">
        <v>0.14285714285714285</v>
      </c>
      <c r="Q456" s="36" t="s">
        <v>583</v>
      </c>
      <c r="R456" s="36" t="s">
        <v>585</v>
      </c>
      <c r="S456" s="36" t="s">
        <v>587</v>
      </c>
      <c r="T456" s="36" t="s">
        <v>589</v>
      </c>
      <c r="U456" s="37">
        <v>0.15384615384615385</v>
      </c>
      <c r="V456"/>
    </row>
    <row r="457" spans="1:22" ht="17" x14ac:dyDescent="0.2">
      <c r="A457" s="36" t="s">
        <v>136</v>
      </c>
      <c r="B457" s="45" t="str">
        <f>VLOOKUP(Tabella1[[#This Row],[test_id]],experiments_specs!A:J,2,FALSE)</f>
        <v>NN,VB</v>
      </c>
      <c r="C457" s="38">
        <f>VLOOKUP(Tabella1[[#This Row],[test_id]],experiments_specs!A:J,3,FALSE)</f>
        <v>1</v>
      </c>
      <c r="D457" s="38">
        <f>VLOOKUP(Tabella1[[#This Row],[test_id]],experiments_specs!A:J,4,FALSE)</f>
        <v>2</v>
      </c>
      <c r="E457" s="38" t="str">
        <f>VLOOKUP(Tabella1[[#This Row],[test_id]],experiments_specs!A:J,5,FALSE)</f>
        <v>False</v>
      </c>
      <c r="F457" s="38" t="str">
        <f>VLOOKUP(Tabella1[[#This Row],[test_id]],experiments_specs!A:J,6,FALSE)</f>
        <v>False</v>
      </c>
      <c r="G457" s="38" t="str">
        <f>VLOOKUP(Tabella1[[#This Row],[test_id]],experiments_specs!A:J,7,FALSE)</f>
        <v>True</v>
      </c>
      <c r="H457" s="38" t="str">
        <f>VLOOKUP(Tabella1[[#This Row],[test_id]],experiments_specs!A:J,8,FALSE)</f>
        <v>False</v>
      </c>
      <c r="I457" s="45" t="str">
        <f>VLOOKUP(Tabella1[[#This Row],[test_id]],experiments_specs!A:J,9,FALSE)</f>
        <v>wup_similarity</v>
      </c>
      <c r="J457" s="38" t="str">
        <f>VLOOKUP(Tabella1[[#This Row],[test_id]],experiments_specs!A:J,10,FALSE)</f>
        <v>False</v>
      </c>
      <c r="K457" s="40" t="s">
        <v>17</v>
      </c>
      <c r="L457" s="36" t="s">
        <v>556</v>
      </c>
      <c r="M457" s="36">
        <v>7.7151600000000001E-2</v>
      </c>
      <c r="N457" s="36" t="s">
        <v>557</v>
      </c>
      <c r="O457" s="36">
        <v>1.3959E-3</v>
      </c>
      <c r="P457" s="36">
        <v>0.44444444444444442</v>
      </c>
      <c r="Q457" s="36" t="s">
        <v>246</v>
      </c>
      <c r="R457" s="36">
        <v>0</v>
      </c>
      <c r="S457" s="36" t="s">
        <v>590</v>
      </c>
      <c r="T457" s="36">
        <v>3.5433999999999999E-3</v>
      </c>
      <c r="U457" s="37">
        <v>0.15384615384615385</v>
      </c>
      <c r="V457"/>
    </row>
    <row r="458" spans="1:22" ht="17" x14ac:dyDescent="0.2">
      <c r="A458" s="36" t="s">
        <v>136</v>
      </c>
      <c r="B458" s="45" t="str">
        <f>VLOOKUP(Tabella1[[#This Row],[test_id]],experiments_specs!A:J,2,FALSE)</f>
        <v>NN,VB</v>
      </c>
      <c r="C458" s="38">
        <f>VLOOKUP(Tabella1[[#This Row],[test_id]],experiments_specs!A:J,3,FALSE)</f>
        <v>1</v>
      </c>
      <c r="D458" s="38">
        <f>VLOOKUP(Tabella1[[#This Row],[test_id]],experiments_specs!A:J,4,FALSE)</f>
        <v>2</v>
      </c>
      <c r="E458" s="38" t="str">
        <f>VLOOKUP(Tabella1[[#This Row],[test_id]],experiments_specs!A:J,5,FALSE)</f>
        <v>False</v>
      </c>
      <c r="F458" s="38" t="str">
        <f>VLOOKUP(Tabella1[[#This Row],[test_id]],experiments_specs!A:J,6,FALSE)</f>
        <v>False</v>
      </c>
      <c r="G458" s="38" t="str">
        <f>VLOOKUP(Tabella1[[#This Row],[test_id]],experiments_specs!A:J,7,FALSE)</f>
        <v>True</v>
      </c>
      <c r="H458" s="38" t="str">
        <f>VLOOKUP(Tabella1[[#This Row],[test_id]],experiments_specs!A:J,8,FALSE)</f>
        <v>False</v>
      </c>
      <c r="I458" s="45" t="str">
        <f>VLOOKUP(Tabella1[[#This Row],[test_id]],experiments_specs!A:J,9,FALSE)</f>
        <v>wup_similarity</v>
      </c>
      <c r="J458" s="38" t="str">
        <f>VLOOKUP(Tabella1[[#This Row],[test_id]],experiments_specs!A:J,10,FALSE)</f>
        <v>False</v>
      </c>
      <c r="K458" s="40" t="s">
        <v>18</v>
      </c>
      <c r="L458" s="36" t="s">
        <v>556</v>
      </c>
      <c r="M458" s="36">
        <v>6.1084699999999999E-2</v>
      </c>
      <c r="N458" s="36" t="s">
        <v>558</v>
      </c>
      <c r="O458" s="36">
        <v>1.0108999999999999E-3</v>
      </c>
      <c r="P458" s="36">
        <v>0.375</v>
      </c>
      <c r="Q458" s="36" t="s">
        <v>591</v>
      </c>
      <c r="R458" s="36">
        <v>0.1221694</v>
      </c>
      <c r="S458" s="36" t="s">
        <v>592</v>
      </c>
      <c r="T458" s="36">
        <v>2.4600999999999998E-3</v>
      </c>
      <c r="U458" s="37">
        <v>0.125</v>
      </c>
      <c r="V458"/>
    </row>
    <row r="459" spans="1:22" ht="17" x14ac:dyDescent="0.2">
      <c r="A459" s="36" t="s">
        <v>137</v>
      </c>
      <c r="B459" s="45" t="str">
        <f>VLOOKUP(Tabella1[[#This Row],[test_id]],experiments_specs!A:J,2,FALSE)</f>
        <v>NN,VB,VBD,VBG,VBN,VBP,VBZ</v>
      </c>
      <c r="C459" s="38">
        <f>VLOOKUP(Tabella1[[#This Row],[test_id]],experiments_specs!A:J,3,FALSE)</f>
        <v>1</v>
      </c>
      <c r="D459" s="38">
        <f>VLOOKUP(Tabella1[[#This Row],[test_id]],experiments_specs!A:J,4,FALSE)</f>
        <v>2</v>
      </c>
      <c r="E459" s="38" t="str">
        <f>VLOOKUP(Tabella1[[#This Row],[test_id]],experiments_specs!A:J,5,FALSE)</f>
        <v>False</v>
      </c>
      <c r="F459" s="38" t="str">
        <f>VLOOKUP(Tabella1[[#This Row],[test_id]],experiments_specs!A:J,6,FALSE)</f>
        <v>False</v>
      </c>
      <c r="G459" s="38" t="str">
        <f>VLOOKUP(Tabella1[[#This Row],[test_id]],experiments_specs!A:J,7,FALSE)</f>
        <v>True</v>
      </c>
      <c r="H459" s="38" t="str">
        <f>VLOOKUP(Tabella1[[#This Row],[test_id]],experiments_specs!A:J,8,FALSE)</f>
        <v>False</v>
      </c>
      <c r="I459" s="45" t="str">
        <f>VLOOKUP(Tabella1[[#This Row],[test_id]],experiments_specs!A:J,9,FALSE)</f>
        <v>wup_similarity</v>
      </c>
      <c r="J459" s="38" t="str">
        <f>VLOOKUP(Tabella1[[#This Row],[test_id]],experiments_specs!A:J,10,FALSE)</f>
        <v>False</v>
      </c>
      <c r="K459" s="40" t="s">
        <v>19</v>
      </c>
      <c r="L459" s="36" t="s">
        <v>354</v>
      </c>
      <c r="M459" s="36">
        <v>0</v>
      </c>
      <c r="N459" s="36" t="s">
        <v>533</v>
      </c>
      <c r="O459" s="36">
        <v>1.5701000000000001E-3</v>
      </c>
      <c r="P459" s="36">
        <v>0.19047619047619047</v>
      </c>
      <c r="Q459" s="36" t="s">
        <v>534</v>
      </c>
      <c r="R459" s="36">
        <v>0</v>
      </c>
      <c r="S459" s="36" t="s">
        <v>365</v>
      </c>
      <c r="T459" s="36">
        <v>2.0354000000000001E-3</v>
      </c>
      <c r="U459" s="37">
        <v>0.22222222222222221</v>
      </c>
      <c r="V459"/>
    </row>
    <row r="460" spans="1:22" ht="17" x14ac:dyDescent="0.2">
      <c r="A460" s="36" t="s">
        <v>137</v>
      </c>
      <c r="B460" s="45" t="str">
        <f>VLOOKUP(Tabella1[[#This Row],[test_id]],experiments_specs!A:J,2,FALSE)</f>
        <v>NN,VB,VBD,VBG,VBN,VBP,VBZ</v>
      </c>
      <c r="C460" s="38">
        <f>VLOOKUP(Tabella1[[#This Row],[test_id]],experiments_specs!A:J,3,FALSE)</f>
        <v>1</v>
      </c>
      <c r="D460" s="38">
        <f>VLOOKUP(Tabella1[[#This Row],[test_id]],experiments_specs!A:J,4,FALSE)</f>
        <v>2</v>
      </c>
      <c r="E460" s="38" t="str">
        <f>VLOOKUP(Tabella1[[#This Row],[test_id]],experiments_specs!A:J,5,FALSE)</f>
        <v>False</v>
      </c>
      <c r="F460" s="38" t="str">
        <f>VLOOKUP(Tabella1[[#This Row],[test_id]],experiments_specs!A:J,6,FALSE)</f>
        <v>False</v>
      </c>
      <c r="G460" s="38" t="str">
        <f>VLOOKUP(Tabella1[[#This Row],[test_id]],experiments_specs!A:J,7,FALSE)</f>
        <v>True</v>
      </c>
      <c r="H460" s="38" t="str">
        <f>VLOOKUP(Tabella1[[#This Row],[test_id]],experiments_specs!A:J,8,FALSE)</f>
        <v>False</v>
      </c>
      <c r="I460" s="45" t="str">
        <f>VLOOKUP(Tabella1[[#This Row],[test_id]],experiments_specs!A:J,9,FALSE)</f>
        <v>wup_similarity</v>
      </c>
      <c r="J460" s="38" t="str">
        <f>VLOOKUP(Tabella1[[#This Row],[test_id]],experiments_specs!A:J,10,FALSE)</f>
        <v>False</v>
      </c>
      <c r="K460" s="40" t="s">
        <v>12</v>
      </c>
      <c r="L460" s="36" t="s">
        <v>251</v>
      </c>
      <c r="M460" s="36">
        <v>6.5232799999999994E-2</v>
      </c>
      <c r="N460" s="36" t="s">
        <v>577</v>
      </c>
      <c r="O460" s="36">
        <v>1.5638E-3</v>
      </c>
      <c r="P460" s="36">
        <v>0.125</v>
      </c>
      <c r="Q460" s="36" t="s">
        <v>388</v>
      </c>
      <c r="R460" s="36">
        <v>0</v>
      </c>
      <c r="S460" s="36" t="s">
        <v>593</v>
      </c>
      <c r="T460" s="36">
        <v>4.1831999999999998E-3</v>
      </c>
      <c r="U460" s="37">
        <v>0.16666666666666666</v>
      </c>
      <c r="V460"/>
    </row>
    <row r="461" spans="1:22" ht="17" x14ac:dyDescent="0.2">
      <c r="A461" s="36" t="s">
        <v>137</v>
      </c>
      <c r="B461" s="45" t="str">
        <f>VLOOKUP(Tabella1[[#This Row],[test_id]],experiments_specs!A:J,2,FALSE)</f>
        <v>NN,VB,VBD,VBG,VBN,VBP,VBZ</v>
      </c>
      <c r="C461" s="38">
        <f>VLOOKUP(Tabella1[[#This Row],[test_id]],experiments_specs!A:J,3,FALSE)</f>
        <v>1</v>
      </c>
      <c r="D461" s="38">
        <f>VLOOKUP(Tabella1[[#This Row],[test_id]],experiments_specs!A:J,4,FALSE)</f>
        <v>2</v>
      </c>
      <c r="E461" s="38" t="str">
        <f>VLOOKUP(Tabella1[[#This Row],[test_id]],experiments_specs!A:J,5,FALSE)</f>
        <v>False</v>
      </c>
      <c r="F461" s="38" t="str">
        <f>VLOOKUP(Tabella1[[#This Row],[test_id]],experiments_specs!A:J,6,FALSE)</f>
        <v>False</v>
      </c>
      <c r="G461" s="38" t="str">
        <f>VLOOKUP(Tabella1[[#This Row],[test_id]],experiments_specs!A:J,7,FALSE)</f>
        <v>True</v>
      </c>
      <c r="H461" s="38" t="str">
        <f>VLOOKUP(Tabella1[[#This Row],[test_id]],experiments_specs!A:J,8,FALSE)</f>
        <v>False</v>
      </c>
      <c r="I461" s="45" t="str">
        <f>VLOOKUP(Tabella1[[#This Row],[test_id]],experiments_specs!A:J,9,FALSE)</f>
        <v>wup_similarity</v>
      </c>
      <c r="J461" s="38" t="str">
        <f>VLOOKUP(Tabella1[[#This Row],[test_id]],experiments_specs!A:J,10,FALSE)</f>
        <v>False</v>
      </c>
      <c r="K461" s="40" t="s">
        <v>13</v>
      </c>
      <c r="L461" s="36" t="s">
        <v>536</v>
      </c>
      <c r="M461" s="36">
        <v>0</v>
      </c>
      <c r="N461" s="36" t="s">
        <v>537</v>
      </c>
      <c r="O461" s="36">
        <v>3.1913000000000002E-3</v>
      </c>
      <c r="P461" s="36" t="s">
        <v>25</v>
      </c>
      <c r="Q461" s="36" t="s">
        <v>252</v>
      </c>
      <c r="R461" s="36">
        <v>0</v>
      </c>
      <c r="S461" s="36" t="s">
        <v>578</v>
      </c>
      <c r="T461" s="36">
        <v>5.1346999999999999E-3</v>
      </c>
      <c r="U461" s="37">
        <v>0.4</v>
      </c>
      <c r="V461"/>
    </row>
    <row r="462" spans="1:22" ht="34" x14ac:dyDescent="0.2">
      <c r="A462" s="36" t="s">
        <v>137</v>
      </c>
      <c r="B462" s="45" t="str">
        <f>VLOOKUP(Tabella1[[#This Row],[test_id]],experiments_specs!A:J,2,FALSE)</f>
        <v>NN,VB,VBD,VBG,VBN,VBP,VBZ</v>
      </c>
      <c r="C462" s="38">
        <f>VLOOKUP(Tabella1[[#This Row],[test_id]],experiments_specs!A:J,3,FALSE)</f>
        <v>1</v>
      </c>
      <c r="D462" s="38">
        <f>VLOOKUP(Tabella1[[#This Row],[test_id]],experiments_specs!A:J,4,FALSE)</f>
        <v>2</v>
      </c>
      <c r="E462" s="38" t="str">
        <f>VLOOKUP(Tabella1[[#This Row],[test_id]],experiments_specs!A:J,5,FALSE)</f>
        <v>False</v>
      </c>
      <c r="F462" s="38" t="str">
        <f>VLOOKUP(Tabella1[[#This Row],[test_id]],experiments_specs!A:J,6,FALSE)</f>
        <v>False</v>
      </c>
      <c r="G462" s="38" t="str">
        <f>VLOOKUP(Tabella1[[#This Row],[test_id]],experiments_specs!A:J,7,FALSE)</f>
        <v>True</v>
      </c>
      <c r="H462" s="38" t="str">
        <f>VLOOKUP(Tabella1[[#This Row],[test_id]],experiments_specs!A:J,8,FALSE)</f>
        <v>False</v>
      </c>
      <c r="I462" s="45" t="str">
        <f>VLOOKUP(Tabella1[[#This Row],[test_id]],experiments_specs!A:J,9,FALSE)</f>
        <v>wup_similarity</v>
      </c>
      <c r="J462" s="38" t="str">
        <f>VLOOKUP(Tabella1[[#This Row],[test_id]],experiments_specs!A:J,10,FALSE)</f>
        <v>False</v>
      </c>
      <c r="K462" s="40" t="s">
        <v>14</v>
      </c>
      <c r="L462" s="36" t="s">
        <v>545</v>
      </c>
      <c r="M462" s="36" t="s">
        <v>547</v>
      </c>
      <c r="N462" s="36" t="s">
        <v>549</v>
      </c>
      <c r="O462" s="36" t="s">
        <v>595</v>
      </c>
      <c r="P462" s="36">
        <v>0.33333333333333331</v>
      </c>
      <c r="Q462" s="36" t="s">
        <v>204</v>
      </c>
      <c r="R462" s="36">
        <v>0</v>
      </c>
      <c r="S462" s="36" t="s">
        <v>381</v>
      </c>
      <c r="T462" s="36">
        <v>4.4297E-3</v>
      </c>
      <c r="U462" s="37">
        <v>0.66666666666666663</v>
      </c>
      <c r="V462"/>
    </row>
    <row r="463" spans="1:22" ht="17" x14ac:dyDescent="0.2">
      <c r="A463" s="36" t="s">
        <v>137</v>
      </c>
      <c r="B463" s="45" t="str">
        <f>VLOOKUP(Tabella1[[#This Row],[test_id]],experiments_specs!A:J,2,FALSE)</f>
        <v>NN,VB,VBD,VBG,VBN,VBP,VBZ</v>
      </c>
      <c r="C463" s="38">
        <f>VLOOKUP(Tabella1[[#This Row],[test_id]],experiments_specs!A:J,3,FALSE)</f>
        <v>1</v>
      </c>
      <c r="D463" s="38">
        <f>VLOOKUP(Tabella1[[#This Row],[test_id]],experiments_specs!A:J,4,FALSE)</f>
        <v>2</v>
      </c>
      <c r="E463" s="38" t="str">
        <f>VLOOKUP(Tabella1[[#This Row],[test_id]],experiments_specs!A:J,5,FALSE)</f>
        <v>False</v>
      </c>
      <c r="F463" s="38" t="str">
        <f>VLOOKUP(Tabella1[[#This Row],[test_id]],experiments_specs!A:J,6,FALSE)</f>
        <v>False</v>
      </c>
      <c r="G463" s="38" t="str">
        <f>VLOOKUP(Tabella1[[#This Row],[test_id]],experiments_specs!A:J,7,FALSE)</f>
        <v>True</v>
      </c>
      <c r="H463" s="38" t="str">
        <f>VLOOKUP(Tabella1[[#This Row],[test_id]],experiments_specs!A:J,8,FALSE)</f>
        <v>False</v>
      </c>
      <c r="I463" s="45" t="str">
        <f>VLOOKUP(Tabella1[[#This Row],[test_id]],experiments_specs!A:J,9,FALSE)</f>
        <v>wup_similarity</v>
      </c>
      <c r="J463" s="38" t="str">
        <f>VLOOKUP(Tabella1[[#This Row],[test_id]],experiments_specs!A:J,10,FALSE)</f>
        <v>False</v>
      </c>
      <c r="K463" s="40" t="s">
        <v>15</v>
      </c>
      <c r="L463" s="36" t="s">
        <v>596</v>
      </c>
      <c r="M463" s="36">
        <v>0.1104315</v>
      </c>
      <c r="N463" s="36" t="s">
        <v>597</v>
      </c>
      <c r="O463" s="36">
        <v>1.5636000000000001E-3</v>
      </c>
      <c r="P463" s="36">
        <v>0.2</v>
      </c>
      <c r="Q463" s="36" t="s">
        <v>383</v>
      </c>
      <c r="R463" s="36">
        <v>0</v>
      </c>
      <c r="S463" s="36" t="s">
        <v>597</v>
      </c>
      <c r="T463" s="36">
        <v>7.5858999999999996E-3</v>
      </c>
      <c r="U463" s="37">
        <v>0.2</v>
      </c>
      <c r="V463"/>
    </row>
    <row r="464" spans="1:22" ht="34" x14ac:dyDescent="0.2">
      <c r="A464" s="36" t="s">
        <v>137</v>
      </c>
      <c r="B464" s="45" t="str">
        <f>VLOOKUP(Tabella1[[#This Row],[test_id]],experiments_specs!A:J,2,FALSE)</f>
        <v>NN,VB,VBD,VBG,VBN,VBP,VBZ</v>
      </c>
      <c r="C464" s="38">
        <f>VLOOKUP(Tabella1[[#This Row],[test_id]],experiments_specs!A:J,3,FALSE)</f>
        <v>1</v>
      </c>
      <c r="D464" s="38">
        <f>VLOOKUP(Tabella1[[#This Row],[test_id]],experiments_specs!A:J,4,FALSE)</f>
        <v>2</v>
      </c>
      <c r="E464" s="38" t="str">
        <f>VLOOKUP(Tabella1[[#This Row],[test_id]],experiments_specs!A:J,5,FALSE)</f>
        <v>False</v>
      </c>
      <c r="F464" s="38" t="str">
        <f>VLOOKUP(Tabella1[[#This Row],[test_id]],experiments_specs!A:J,6,FALSE)</f>
        <v>False</v>
      </c>
      <c r="G464" s="38" t="str">
        <f>VLOOKUP(Tabella1[[#This Row],[test_id]],experiments_specs!A:J,7,FALSE)</f>
        <v>True</v>
      </c>
      <c r="H464" s="38" t="str">
        <f>VLOOKUP(Tabella1[[#This Row],[test_id]],experiments_specs!A:J,8,FALSE)</f>
        <v>False</v>
      </c>
      <c r="I464" s="45" t="str">
        <f>VLOOKUP(Tabella1[[#This Row],[test_id]],experiments_specs!A:J,9,FALSE)</f>
        <v>wup_similarity</v>
      </c>
      <c r="J464" s="38" t="str">
        <f>VLOOKUP(Tabella1[[#This Row],[test_id]],experiments_specs!A:J,10,FALSE)</f>
        <v>False</v>
      </c>
      <c r="K464" s="40" t="s">
        <v>16</v>
      </c>
      <c r="L464" s="36" t="s">
        <v>385</v>
      </c>
      <c r="M464" s="36">
        <v>0.1290994</v>
      </c>
      <c r="N464" s="36" t="s">
        <v>554</v>
      </c>
      <c r="O464" s="36">
        <v>1.3725E-3</v>
      </c>
      <c r="P464" s="36">
        <v>0.14285714285714285</v>
      </c>
      <c r="Q464" s="36" t="s">
        <v>583</v>
      </c>
      <c r="R464" s="36" t="s">
        <v>585</v>
      </c>
      <c r="S464" s="36" t="s">
        <v>587</v>
      </c>
      <c r="T464" s="36" t="s">
        <v>599</v>
      </c>
      <c r="U464" s="37">
        <v>0.15384615384615385</v>
      </c>
      <c r="V464"/>
    </row>
    <row r="465" spans="1:22" ht="34" x14ac:dyDescent="0.2">
      <c r="A465" s="36" t="s">
        <v>137</v>
      </c>
      <c r="B465" s="45" t="str">
        <f>VLOOKUP(Tabella1[[#This Row],[test_id]],experiments_specs!A:J,2,FALSE)</f>
        <v>NN,VB,VBD,VBG,VBN,VBP,VBZ</v>
      </c>
      <c r="C465" s="38">
        <f>VLOOKUP(Tabella1[[#This Row],[test_id]],experiments_specs!A:J,3,FALSE)</f>
        <v>1</v>
      </c>
      <c r="D465" s="38">
        <f>VLOOKUP(Tabella1[[#This Row],[test_id]],experiments_specs!A:J,4,FALSE)</f>
        <v>2</v>
      </c>
      <c r="E465" s="38" t="str">
        <f>VLOOKUP(Tabella1[[#This Row],[test_id]],experiments_specs!A:J,5,FALSE)</f>
        <v>False</v>
      </c>
      <c r="F465" s="38" t="str">
        <f>VLOOKUP(Tabella1[[#This Row],[test_id]],experiments_specs!A:J,6,FALSE)</f>
        <v>False</v>
      </c>
      <c r="G465" s="38" t="str">
        <f>VLOOKUP(Tabella1[[#This Row],[test_id]],experiments_specs!A:J,7,FALSE)</f>
        <v>True</v>
      </c>
      <c r="H465" s="38" t="str">
        <f>VLOOKUP(Tabella1[[#This Row],[test_id]],experiments_specs!A:J,8,FALSE)</f>
        <v>False</v>
      </c>
      <c r="I465" s="45" t="str">
        <f>VLOOKUP(Tabella1[[#This Row],[test_id]],experiments_specs!A:J,9,FALSE)</f>
        <v>wup_similarity</v>
      </c>
      <c r="J465" s="38" t="str">
        <f>VLOOKUP(Tabella1[[#This Row],[test_id]],experiments_specs!A:J,10,FALSE)</f>
        <v>False</v>
      </c>
      <c r="K465" s="40" t="s">
        <v>17</v>
      </c>
      <c r="L465" s="36" t="s">
        <v>601</v>
      </c>
      <c r="M465" s="36" t="s">
        <v>603</v>
      </c>
      <c r="N465" s="36" t="s">
        <v>605</v>
      </c>
      <c r="O465" s="36" t="s">
        <v>607</v>
      </c>
      <c r="P465" s="36">
        <v>0.22222222222222221</v>
      </c>
      <c r="Q465" s="36" t="s">
        <v>601</v>
      </c>
      <c r="R465" s="36" t="s">
        <v>603</v>
      </c>
      <c r="S465" s="36" t="s">
        <v>605</v>
      </c>
      <c r="T465" s="36" t="s">
        <v>609</v>
      </c>
      <c r="U465" s="37">
        <v>0.22222222222222221</v>
      </c>
      <c r="V465"/>
    </row>
    <row r="466" spans="1:22" ht="17" x14ac:dyDescent="0.2">
      <c r="A466" s="36" t="s">
        <v>137</v>
      </c>
      <c r="B466" s="45" t="str">
        <f>VLOOKUP(Tabella1[[#This Row],[test_id]],experiments_specs!A:J,2,FALSE)</f>
        <v>NN,VB,VBD,VBG,VBN,VBP,VBZ</v>
      </c>
      <c r="C466" s="38">
        <f>VLOOKUP(Tabella1[[#This Row],[test_id]],experiments_specs!A:J,3,FALSE)</f>
        <v>1</v>
      </c>
      <c r="D466" s="38">
        <f>VLOOKUP(Tabella1[[#This Row],[test_id]],experiments_specs!A:J,4,FALSE)</f>
        <v>2</v>
      </c>
      <c r="E466" s="38" t="str">
        <f>VLOOKUP(Tabella1[[#This Row],[test_id]],experiments_specs!A:J,5,FALSE)</f>
        <v>False</v>
      </c>
      <c r="F466" s="38" t="str">
        <f>VLOOKUP(Tabella1[[#This Row],[test_id]],experiments_specs!A:J,6,FALSE)</f>
        <v>False</v>
      </c>
      <c r="G466" s="38" t="str">
        <f>VLOOKUP(Tabella1[[#This Row],[test_id]],experiments_specs!A:J,7,FALSE)</f>
        <v>True</v>
      </c>
      <c r="H466" s="38" t="str">
        <f>VLOOKUP(Tabella1[[#This Row],[test_id]],experiments_specs!A:J,8,FALSE)</f>
        <v>False</v>
      </c>
      <c r="I466" s="45" t="str">
        <f>VLOOKUP(Tabella1[[#This Row],[test_id]],experiments_specs!A:J,9,FALSE)</f>
        <v>wup_similarity</v>
      </c>
      <c r="J466" s="38" t="str">
        <f>VLOOKUP(Tabella1[[#This Row],[test_id]],experiments_specs!A:J,10,FALSE)</f>
        <v>False</v>
      </c>
      <c r="K466" s="40" t="s">
        <v>18</v>
      </c>
      <c r="L466" s="36" t="s">
        <v>556</v>
      </c>
      <c r="M466" s="36">
        <v>6.1084699999999999E-2</v>
      </c>
      <c r="N466" s="36" t="s">
        <v>558</v>
      </c>
      <c r="O466" s="36">
        <v>6.7319999999999999E-4</v>
      </c>
      <c r="P466" s="36">
        <v>0.375</v>
      </c>
      <c r="Q466" s="36" t="s">
        <v>388</v>
      </c>
      <c r="R466" s="36">
        <v>0</v>
      </c>
      <c r="S466" s="36" t="s">
        <v>610</v>
      </c>
      <c r="T466" s="36">
        <v>2.7198000000000001E-3</v>
      </c>
      <c r="U466" s="37">
        <v>0.11764705882352941</v>
      </c>
      <c r="V466"/>
    </row>
    <row r="467" spans="1:22" ht="17" x14ac:dyDescent="0.2">
      <c r="A467" s="36" t="s">
        <v>138</v>
      </c>
      <c r="B467" s="45" t="str">
        <f>VLOOKUP(Tabella1[[#This Row],[test_id]],experiments_specs!A:J,2,FALSE)</f>
        <v>NN,RB</v>
      </c>
      <c r="C467" s="38">
        <f>VLOOKUP(Tabella1[[#This Row],[test_id]],experiments_specs!A:J,3,FALSE)</f>
        <v>1</v>
      </c>
      <c r="D467" s="38">
        <f>VLOOKUP(Tabella1[[#This Row],[test_id]],experiments_specs!A:J,4,FALSE)</f>
        <v>2</v>
      </c>
      <c r="E467" s="38" t="str">
        <f>VLOOKUP(Tabella1[[#This Row],[test_id]],experiments_specs!A:J,5,FALSE)</f>
        <v>False</v>
      </c>
      <c r="F467" s="38" t="str">
        <f>VLOOKUP(Tabella1[[#This Row],[test_id]],experiments_specs!A:J,6,FALSE)</f>
        <v>False</v>
      </c>
      <c r="G467" s="38" t="str">
        <f>VLOOKUP(Tabella1[[#This Row],[test_id]],experiments_specs!A:J,7,FALSE)</f>
        <v>True</v>
      </c>
      <c r="H467" s="38" t="str">
        <f>VLOOKUP(Tabella1[[#This Row],[test_id]],experiments_specs!A:J,8,FALSE)</f>
        <v>False</v>
      </c>
      <c r="I467" s="45" t="str">
        <f>VLOOKUP(Tabella1[[#This Row],[test_id]],experiments_specs!A:J,9,FALSE)</f>
        <v>wup_similarity</v>
      </c>
      <c r="J467" s="38" t="str">
        <f>VLOOKUP(Tabella1[[#This Row],[test_id]],experiments_specs!A:J,10,FALSE)</f>
        <v>False</v>
      </c>
      <c r="K467" s="40" t="s">
        <v>19</v>
      </c>
      <c r="L467" s="36" t="s">
        <v>354</v>
      </c>
      <c r="M467" s="36">
        <v>0</v>
      </c>
      <c r="N467" s="36" t="s">
        <v>533</v>
      </c>
      <c r="O467" s="36">
        <v>2.454E-3</v>
      </c>
      <c r="P467" s="36">
        <v>0.19047619047619047</v>
      </c>
      <c r="Q467" s="36" t="s">
        <v>534</v>
      </c>
      <c r="R467" s="36">
        <v>0</v>
      </c>
      <c r="S467" s="36" t="s">
        <v>365</v>
      </c>
      <c r="T467" s="36">
        <v>2.9030000000000002E-3</v>
      </c>
      <c r="U467" s="37">
        <v>0.22222222222222221</v>
      </c>
      <c r="V467"/>
    </row>
    <row r="468" spans="1:22" ht="17" x14ac:dyDescent="0.2">
      <c r="A468" s="36" t="s">
        <v>138</v>
      </c>
      <c r="B468" s="45" t="str">
        <f>VLOOKUP(Tabella1[[#This Row],[test_id]],experiments_specs!A:J,2,FALSE)</f>
        <v>NN,RB</v>
      </c>
      <c r="C468" s="38">
        <f>VLOOKUP(Tabella1[[#This Row],[test_id]],experiments_specs!A:J,3,FALSE)</f>
        <v>1</v>
      </c>
      <c r="D468" s="38">
        <f>VLOOKUP(Tabella1[[#This Row],[test_id]],experiments_specs!A:J,4,FALSE)</f>
        <v>2</v>
      </c>
      <c r="E468" s="38" t="str">
        <f>VLOOKUP(Tabella1[[#This Row],[test_id]],experiments_specs!A:J,5,FALSE)</f>
        <v>False</v>
      </c>
      <c r="F468" s="38" t="str">
        <f>VLOOKUP(Tabella1[[#This Row],[test_id]],experiments_specs!A:J,6,FALSE)</f>
        <v>False</v>
      </c>
      <c r="G468" s="38" t="str">
        <f>VLOOKUP(Tabella1[[#This Row],[test_id]],experiments_specs!A:J,7,FALSE)</f>
        <v>True</v>
      </c>
      <c r="H468" s="38" t="str">
        <f>VLOOKUP(Tabella1[[#This Row],[test_id]],experiments_specs!A:J,8,FALSE)</f>
        <v>False</v>
      </c>
      <c r="I468" s="45" t="str">
        <f>VLOOKUP(Tabella1[[#This Row],[test_id]],experiments_specs!A:J,9,FALSE)</f>
        <v>wup_similarity</v>
      </c>
      <c r="J468" s="38" t="str">
        <f>VLOOKUP(Tabella1[[#This Row],[test_id]],experiments_specs!A:J,10,FALSE)</f>
        <v>False</v>
      </c>
      <c r="K468" s="40" t="s">
        <v>12</v>
      </c>
      <c r="L468" s="36" t="s">
        <v>363</v>
      </c>
      <c r="M468" s="36">
        <v>9.7243300000000005E-2</v>
      </c>
      <c r="N468" s="36" t="s">
        <v>535</v>
      </c>
      <c r="O468" s="36">
        <v>2.1410000000000001E-3</v>
      </c>
      <c r="P468" s="36">
        <v>0.2857142857142857</v>
      </c>
      <c r="Q468" s="36" t="s">
        <v>363</v>
      </c>
      <c r="R468" s="36">
        <v>9.7243300000000005E-2</v>
      </c>
      <c r="S468" s="36" t="s">
        <v>535</v>
      </c>
      <c r="T468" s="36">
        <v>4.3667999999999997E-3</v>
      </c>
      <c r="U468" s="37">
        <v>0.2857142857142857</v>
      </c>
      <c r="V468"/>
    </row>
    <row r="469" spans="1:22" ht="34" x14ac:dyDescent="0.2">
      <c r="A469" s="36" t="s">
        <v>138</v>
      </c>
      <c r="B469" s="45" t="str">
        <f>VLOOKUP(Tabella1[[#This Row],[test_id]],experiments_specs!A:J,2,FALSE)</f>
        <v>NN,RB</v>
      </c>
      <c r="C469" s="38">
        <f>VLOOKUP(Tabella1[[#This Row],[test_id]],experiments_specs!A:J,3,FALSE)</f>
        <v>1</v>
      </c>
      <c r="D469" s="38">
        <f>VLOOKUP(Tabella1[[#This Row],[test_id]],experiments_specs!A:J,4,FALSE)</f>
        <v>2</v>
      </c>
      <c r="E469" s="38" t="str">
        <f>VLOOKUP(Tabella1[[#This Row],[test_id]],experiments_specs!A:J,5,FALSE)</f>
        <v>False</v>
      </c>
      <c r="F469" s="38" t="str">
        <f>VLOOKUP(Tabella1[[#This Row],[test_id]],experiments_specs!A:J,6,FALSE)</f>
        <v>False</v>
      </c>
      <c r="G469" s="38" t="str">
        <f>VLOOKUP(Tabella1[[#This Row],[test_id]],experiments_specs!A:J,7,FALSE)</f>
        <v>True</v>
      </c>
      <c r="H469" s="38" t="str">
        <f>VLOOKUP(Tabella1[[#This Row],[test_id]],experiments_specs!A:J,8,FALSE)</f>
        <v>False</v>
      </c>
      <c r="I469" s="45" t="str">
        <f>VLOOKUP(Tabella1[[#This Row],[test_id]],experiments_specs!A:J,9,FALSE)</f>
        <v>wup_similarity</v>
      </c>
      <c r="J469" s="38" t="str">
        <f>VLOOKUP(Tabella1[[#This Row],[test_id]],experiments_specs!A:J,10,FALSE)</f>
        <v>False</v>
      </c>
      <c r="K469" s="40" t="s">
        <v>13</v>
      </c>
      <c r="L469" s="36" t="s">
        <v>536</v>
      </c>
      <c r="M469" s="36">
        <v>0</v>
      </c>
      <c r="N469" s="36" t="s">
        <v>537</v>
      </c>
      <c r="O469" s="36">
        <v>4.6074999999999996E-3</v>
      </c>
      <c r="P469" s="36" t="s">
        <v>25</v>
      </c>
      <c r="Q469" s="36" t="s">
        <v>539</v>
      </c>
      <c r="R469" s="36" t="s">
        <v>186</v>
      </c>
      <c r="S469" s="36" t="s">
        <v>541</v>
      </c>
      <c r="T469" s="36" t="s">
        <v>543</v>
      </c>
      <c r="U469" s="37" t="s">
        <v>25</v>
      </c>
      <c r="V469"/>
    </row>
    <row r="470" spans="1:22" ht="34" x14ac:dyDescent="0.2">
      <c r="A470" s="36" t="s">
        <v>138</v>
      </c>
      <c r="B470" s="45" t="str">
        <f>VLOOKUP(Tabella1[[#This Row],[test_id]],experiments_specs!A:J,2,FALSE)</f>
        <v>NN,RB</v>
      </c>
      <c r="C470" s="38">
        <f>VLOOKUP(Tabella1[[#This Row],[test_id]],experiments_specs!A:J,3,FALSE)</f>
        <v>1</v>
      </c>
      <c r="D470" s="38">
        <f>VLOOKUP(Tabella1[[#This Row],[test_id]],experiments_specs!A:J,4,FALSE)</f>
        <v>2</v>
      </c>
      <c r="E470" s="38" t="str">
        <f>VLOOKUP(Tabella1[[#This Row],[test_id]],experiments_specs!A:J,5,FALSE)</f>
        <v>False</v>
      </c>
      <c r="F470" s="38" t="str">
        <f>VLOOKUP(Tabella1[[#This Row],[test_id]],experiments_specs!A:J,6,FALSE)</f>
        <v>False</v>
      </c>
      <c r="G470" s="38" t="str">
        <f>VLOOKUP(Tabella1[[#This Row],[test_id]],experiments_specs!A:J,7,FALSE)</f>
        <v>True</v>
      </c>
      <c r="H470" s="38" t="str">
        <f>VLOOKUP(Tabella1[[#This Row],[test_id]],experiments_specs!A:J,8,FALSE)</f>
        <v>False</v>
      </c>
      <c r="I470" s="45" t="str">
        <f>VLOOKUP(Tabella1[[#This Row],[test_id]],experiments_specs!A:J,9,FALSE)</f>
        <v>wup_similarity</v>
      </c>
      <c r="J470" s="38" t="str">
        <f>VLOOKUP(Tabella1[[#This Row],[test_id]],experiments_specs!A:J,10,FALSE)</f>
        <v>False</v>
      </c>
      <c r="K470" s="40" t="s">
        <v>14</v>
      </c>
      <c r="L470" s="36" t="s">
        <v>545</v>
      </c>
      <c r="M470" s="36" t="s">
        <v>547</v>
      </c>
      <c r="N470" s="36" t="s">
        <v>549</v>
      </c>
      <c r="O470" s="36" t="s">
        <v>612</v>
      </c>
      <c r="P470" s="36">
        <v>0.33333333333333331</v>
      </c>
      <c r="Q470" s="36" t="s">
        <v>204</v>
      </c>
      <c r="R470" s="36">
        <v>0</v>
      </c>
      <c r="S470" s="36" t="s">
        <v>381</v>
      </c>
      <c r="T470" s="36">
        <v>5.5906999999999997E-3</v>
      </c>
      <c r="U470" s="37">
        <v>0.66666666666666663</v>
      </c>
      <c r="V470"/>
    </row>
    <row r="471" spans="1:22" ht="17" x14ac:dyDescent="0.2">
      <c r="A471" s="36" t="s">
        <v>138</v>
      </c>
      <c r="B471" s="45" t="str">
        <f>VLOOKUP(Tabella1[[#This Row],[test_id]],experiments_specs!A:J,2,FALSE)</f>
        <v>NN,RB</v>
      </c>
      <c r="C471" s="38">
        <f>VLOOKUP(Tabella1[[#This Row],[test_id]],experiments_specs!A:J,3,FALSE)</f>
        <v>1</v>
      </c>
      <c r="D471" s="38">
        <f>VLOOKUP(Tabella1[[#This Row],[test_id]],experiments_specs!A:J,4,FALSE)</f>
        <v>2</v>
      </c>
      <c r="E471" s="38" t="str">
        <f>VLOOKUP(Tabella1[[#This Row],[test_id]],experiments_specs!A:J,5,FALSE)</f>
        <v>False</v>
      </c>
      <c r="F471" s="38" t="str">
        <f>VLOOKUP(Tabella1[[#This Row],[test_id]],experiments_specs!A:J,6,FALSE)</f>
        <v>False</v>
      </c>
      <c r="G471" s="38" t="str">
        <f>VLOOKUP(Tabella1[[#This Row],[test_id]],experiments_specs!A:J,7,FALSE)</f>
        <v>True</v>
      </c>
      <c r="H471" s="38" t="str">
        <f>VLOOKUP(Tabella1[[#This Row],[test_id]],experiments_specs!A:J,8,FALSE)</f>
        <v>False</v>
      </c>
      <c r="I471" s="45" t="str">
        <f>VLOOKUP(Tabella1[[#This Row],[test_id]],experiments_specs!A:J,9,FALSE)</f>
        <v>wup_similarity</v>
      </c>
      <c r="J471" s="38" t="str">
        <f>VLOOKUP(Tabella1[[#This Row],[test_id]],experiments_specs!A:J,10,FALSE)</f>
        <v>False</v>
      </c>
      <c r="K471" s="40" t="s">
        <v>15</v>
      </c>
      <c r="L471" s="36" t="s">
        <v>552</v>
      </c>
      <c r="M471" s="36">
        <v>0</v>
      </c>
      <c r="N471" s="36" t="s">
        <v>553</v>
      </c>
      <c r="O471" s="36">
        <v>9.7000000000000005E-4</v>
      </c>
      <c r="P471" s="36">
        <v>0.44444444444444442</v>
      </c>
      <c r="Q471" s="36" t="s">
        <v>365</v>
      </c>
      <c r="R471" s="36">
        <v>0</v>
      </c>
      <c r="S471" s="36" t="s">
        <v>26</v>
      </c>
      <c r="T471" s="36">
        <v>6.7957E-3</v>
      </c>
      <c r="U471" s="37">
        <v>0.18181818181818182</v>
      </c>
      <c r="V471"/>
    </row>
    <row r="472" spans="1:22" ht="17" x14ac:dyDescent="0.2">
      <c r="A472" s="36" t="s">
        <v>138</v>
      </c>
      <c r="B472" s="45" t="str">
        <f>VLOOKUP(Tabella1[[#This Row],[test_id]],experiments_specs!A:J,2,FALSE)</f>
        <v>NN,RB</v>
      </c>
      <c r="C472" s="38">
        <f>VLOOKUP(Tabella1[[#This Row],[test_id]],experiments_specs!A:J,3,FALSE)</f>
        <v>1</v>
      </c>
      <c r="D472" s="38">
        <f>VLOOKUP(Tabella1[[#This Row],[test_id]],experiments_specs!A:J,4,FALSE)</f>
        <v>2</v>
      </c>
      <c r="E472" s="38" t="str">
        <f>VLOOKUP(Tabella1[[#This Row],[test_id]],experiments_specs!A:J,5,FALSE)</f>
        <v>False</v>
      </c>
      <c r="F472" s="38" t="str">
        <f>VLOOKUP(Tabella1[[#This Row],[test_id]],experiments_specs!A:J,6,FALSE)</f>
        <v>False</v>
      </c>
      <c r="G472" s="38" t="str">
        <f>VLOOKUP(Tabella1[[#This Row],[test_id]],experiments_specs!A:J,7,FALSE)</f>
        <v>True</v>
      </c>
      <c r="H472" s="38" t="str">
        <f>VLOOKUP(Tabella1[[#This Row],[test_id]],experiments_specs!A:J,8,FALSE)</f>
        <v>False</v>
      </c>
      <c r="I472" s="45" t="str">
        <f>VLOOKUP(Tabella1[[#This Row],[test_id]],experiments_specs!A:J,9,FALSE)</f>
        <v>wup_similarity</v>
      </c>
      <c r="J472" s="38" t="str">
        <f>VLOOKUP(Tabella1[[#This Row],[test_id]],experiments_specs!A:J,10,FALSE)</f>
        <v>False</v>
      </c>
      <c r="K472" s="40" t="s">
        <v>16</v>
      </c>
      <c r="L472" s="36" t="s">
        <v>385</v>
      </c>
      <c r="M472" s="36">
        <v>0.1290994</v>
      </c>
      <c r="N472" s="36" t="s">
        <v>554</v>
      </c>
      <c r="O472" s="36">
        <v>1.5150999999999999E-3</v>
      </c>
      <c r="P472" s="36">
        <v>0.14285714285714285</v>
      </c>
      <c r="Q472" s="36" t="s">
        <v>432</v>
      </c>
      <c r="R472" s="36">
        <v>6.4549700000000002E-2</v>
      </c>
      <c r="S472" s="36" t="s">
        <v>555</v>
      </c>
      <c r="T472" s="36">
        <v>2.9799000000000002E-3</v>
      </c>
      <c r="U472" s="37">
        <v>0.13333333333333333</v>
      </c>
      <c r="V472"/>
    </row>
    <row r="473" spans="1:22" ht="17" x14ac:dyDescent="0.2">
      <c r="A473" s="36" t="s">
        <v>138</v>
      </c>
      <c r="B473" s="45" t="str">
        <f>VLOOKUP(Tabella1[[#This Row],[test_id]],experiments_specs!A:J,2,FALSE)</f>
        <v>NN,RB</v>
      </c>
      <c r="C473" s="38">
        <f>VLOOKUP(Tabella1[[#This Row],[test_id]],experiments_specs!A:J,3,FALSE)</f>
        <v>1</v>
      </c>
      <c r="D473" s="38">
        <f>VLOOKUP(Tabella1[[#This Row],[test_id]],experiments_specs!A:J,4,FALSE)</f>
        <v>2</v>
      </c>
      <c r="E473" s="38" t="str">
        <f>VLOOKUP(Tabella1[[#This Row],[test_id]],experiments_specs!A:J,5,FALSE)</f>
        <v>False</v>
      </c>
      <c r="F473" s="38" t="str">
        <f>VLOOKUP(Tabella1[[#This Row],[test_id]],experiments_specs!A:J,6,FALSE)</f>
        <v>False</v>
      </c>
      <c r="G473" s="38" t="str">
        <f>VLOOKUP(Tabella1[[#This Row],[test_id]],experiments_specs!A:J,7,FALSE)</f>
        <v>True</v>
      </c>
      <c r="H473" s="38" t="str">
        <f>VLOOKUP(Tabella1[[#This Row],[test_id]],experiments_specs!A:J,8,FALSE)</f>
        <v>False</v>
      </c>
      <c r="I473" s="45" t="str">
        <f>VLOOKUP(Tabella1[[#This Row],[test_id]],experiments_specs!A:J,9,FALSE)</f>
        <v>wup_similarity</v>
      </c>
      <c r="J473" s="38" t="str">
        <f>VLOOKUP(Tabella1[[#This Row],[test_id]],experiments_specs!A:J,10,FALSE)</f>
        <v>False</v>
      </c>
      <c r="K473" s="40" t="s">
        <v>17</v>
      </c>
      <c r="L473" s="36" t="s">
        <v>556</v>
      </c>
      <c r="M473" s="36">
        <v>7.7151600000000001E-2</v>
      </c>
      <c r="N473" s="36" t="s">
        <v>557</v>
      </c>
      <c r="O473" s="36">
        <v>1.7933999999999999E-3</v>
      </c>
      <c r="P473" s="36">
        <v>0.44444444444444442</v>
      </c>
      <c r="Q473" s="36" t="s">
        <v>434</v>
      </c>
      <c r="R473" s="36">
        <v>0</v>
      </c>
      <c r="S473" s="36" t="s">
        <v>557</v>
      </c>
      <c r="T473" s="36">
        <v>3.405E-3</v>
      </c>
      <c r="U473" s="37">
        <v>0.44444444444444442</v>
      </c>
      <c r="V473"/>
    </row>
    <row r="474" spans="1:22" ht="17" x14ac:dyDescent="0.2">
      <c r="A474" s="36" t="s">
        <v>138</v>
      </c>
      <c r="B474" s="45" t="str">
        <f>VLOOKUP(Tabella1[[#This Row],[test_id]],experiments_specs!A:J,2,FALSE)</f>
        <v>NN,RB</v>
      </c>
      <c r="C474" s="38">
        <f>VLOOKUP(Tabella1[[#This Row],[test_id]],experiments_specs!A:J,3,FALSE)</f>
        <v>1</v>
      </c>
      <c r="D474" s="38">
        <f>VLOOKUP(Tabella1[[#This Row],[test_id]],experiments_specs!A:J,4,FALSE)</f>
        <v>2</v>
      </c>
      <c r="E474" s="38" t="str">
        <f>VLOOKUP(Tabella1[[#This Row],[test_id]],experiments_specs!A:J,5,FALSE)</f>
        <v>False</v>
      </c>
      <c r="F474" s="38" t="str">
        <f>VLOOKUP(Tabella1[[#This Row],[test_id]],experiments_specs!A:J,6,FALSE)</f>
        <v>False</v>
      </c>
      <c r="G474" s="38" t="str">
        <f>VLOOKUP(Tabella1[[#This Row],[test_id]],experiments_specs!A:J,7,FALSE)</f>
        <v>True</v>
      </c>
      <c r="H474" s="38" t="str">
        <f>VLOOKUP(Tabella1[[#This Row],[test_id]],experiments_specs!A:J,8,FALSE)</f>
        <v>False</v>
      </c>
      <c r="I474" s="45" t="str">
        <f>VLOOKUP(Tabella1[[#This Row],[test_id]],experiments_specs!A:J,9,FALSE)</f>
        <v>wup_similarity</v>
      </c>
      <c r="J474" s="38" t="str">
        <f>VLOOKUP(Tabella1[[#This Row],[test_id]],experiments_specs!A:J,10,FALSE)</f>
        <v>False</v>
      </c>
      <c r="K474" s="40" t="s">
        <v>18</v>
      </c>
      <c r="L474" s="36" t="s">
        <v>556</v>
      </c>
      <c r="M474" s="36">
        <v>6.1084699999999999E-2</v>
      </c>
      <c r="N474" s="36" t="s">
        <v>558</v>
      </c>
      <c r="O474" s="36">
        <v>1.2442E-3</v>
      </c>
      <c r="P474" s="36">
        <v>0.375</v>
      </c>
      <c r="Q474" s="36" t="s">
        <v>559</v>
      </c>
      <c r="R474" s="36">
        <v>0</v>
      </c>
      <c r="S474" s="36" t="s">
        <v>560</v>
      </c>
      <c r="T474" s="36">
        <v>2.0151000000000001E-3</v>
      </c>
      <c r="U474" s="37">
        <v>0.1111111111111111</v>
      </c>
      <c r="V474"/>
    </row>
    <row r="475" spans="1:22" ht="51" x14ac:dyDescent="0.2">
      <c r="A475" s="36" t="s">
        <v>139</v>
      </c>
      <c r="B475" s="45" t="str">
        <f>VLOOKUP(Tabella1[[#This Row],[test_id]],experiments_specs!A:J,2,FALSE)</f>
        <v>NN,JJ,VB,VBD,VBG,VBN,VBP,VBZ</v>
      </c>
      <c r="C475" s="38">
        <f>VLOOKUP(Tabella1[[#This Row],[test_id]],experiments_specs!A:J,3,FALSE)</f>
        <v>1</v>
      </c>
      <c r="D475" s="38">
        <f>VLOOKUP(Tabella1[[#This Row],[test_id]],experiments_specs!A:J,4,FALSE)</f>
        <v>2</v>
      </c>
      <c r="E475" s="38" t="str">
        <f>VLOOKUP(Tabella1[[#This Row],[test_id]],experiments_specs!A:J,5,FALSE)</f>
        <v>False</v>
      </c>
      <c r="F475" s="38" t="str">
        <f>VLOOKUP(Tabella1[[#This Row],[test_id]],experiments_specs!A:J,6,FALSE)</f>
        <v>False</v>
      </c>
      <c r="G475" s="38" t="str">
        <f>VLOOKUP(Tabella1[[#This Row],[test_id]],experiments_specs!A:J,7,FALSE)</f>
        <v>True</v>
      </c>
      <c r="H475" s="38" t="str">
        <f>VLOOKUP(Tabella1[[#This Row],[test_id]],experiments_specs!A:J,8,FALSE)</f>
        <v>False</v>
      </c>
      <c r="I475" s="45" t="str">
        <f>VLOOKUP(Tabella1[[#This Row],[test_id]],experiments_specs!A:J,9,FALSE)</f>
        <v>wup_similarity</v>
      </c>
      <c r="J475" s="38" t="str">
        <f>VLOOKUP(Tabella1[[#This Row],[test_id]],experiments_specs!A:J,10,FALSE)</f>
        <v>False</v>
      </c>
      <c r="K475" s="40" t="s">
        <v>19</v>
      </c>
      <c r="L475" s="36" t="s">
        <v>354</v>
      </c>
      <c r="M475" s="36">
        <v>0</v>
      </c>
      <c r="N475" s="36" t="s">
        <v>533</v>
      </c>
      <c r="O475" s="36">
        <v>9.0019999999999998E-4</v>
      </c>
      <c r="P475" s="36">
        <v>0.19047619047619047</v>
      </c>
      <c r="Q475" s="36" t="s">
        <v>562</v>
      </c>
      <c r="R475" s="36" t="s">
        <v>564</v>
      </c>
      <c r="S475" s="36" t="s">
        <v>566</v>
      </c>
      <c r="T475" s="36" t="s">
        <v>614</v>
      </c>
      <c r="U475" s="37">
        <v>0.11764705882352941</v>
      </c>
      <c r="V475"/>
    </row>
    <row r="476" spans="1:22" ht="17" x14ac:dyDescent="0.2">
      <c r="A476" s="36" t="s">
        <v>139</v>
      </c>
      <c r="B476" s="45" t="str">
        <f>VLOOKUP(Tabella1[[#This Row],[test_id]],experiments_specs!A:J,2,FALSE)</f>
        <v>NN,JJ,VB,VBD,VBG,VBN,VBP,VBZ</v>
      </c>
      <c r="C476" s="38">
        <f>VLOOKUP(Tabella1[[#This Row],[test_id]],experiments_specs!A:J,3,FALSE)</f>
        <v>1</v>
      </c>
      <c r="D476" s="38">
        <f>VLOOKUP(Tabella1[[#This Row],[test_id]],experiments_specs!A:J,4,FALSE)</f>
        <v>2</v>
      </c>
      <c r="E476" s="38" t="str">
        <f>VLOOKUP(Tabella1[[#This Row],[test_id]],experiments_specs!A:J,5,FALSE)</f>
        <v>False</v>
      </c>
      <c r="F476" s="38" t="str">
        <f>VLOOKUP(Tabella1[[#This Row],[test_id]],experiments_specs!A:J,6,FALSE)</f>
        <v>False</v>
      </c>
      <c r="G476" s="38" t="str">
        <f>VLOOKUP(Tabella1[[#This Row],[test_id]],experiments_specs!A:J,7,FALSE)</f>
        <v>True</v>
      </c>
      <c r="H476" s="38" t="str">
        <f>VLOOKUP(Tabella1[[#This Row],[test_id]],experiments_specs!A:J,8,FALSE)</f>
        <v>False</v>
      </c>
      <c r="I476" s="45" t="str">
        <f>VLOOKUP(Tabella1[[#This Row],[test_id]],experiments_specs!A:J,9,FALSE)</f>
        <v>wup_similarity</v>
      </c>
      <c r="J476" s="38" t="str">
        <f>VLOOKUP(Tabella1[[#This Row],[test_id]],experiments_specs!A:J,10,FALSE)</f>
        <v>False</v>
      </c>
      <c r="K476" s="40" t="s">
        <v>12</v>
      </c>
      <c r="L476" s="36" t="s">
        <v>251</v>
      </c>
      <c r="M476" s="36">
        <v>6.5232799999999994E-2</v>
      </c>
      <c r="N476" s="36" t="s">
        <v>577</v>
      </c>
      <c r="O476" s="36">
        <v>1.1498999999999999E-3</v>
      </c>
      <c r="P476" s="36">
        <v>0.125</v>
      </c>
      <c r="Q476" s="36" t="s">
        <v>388</v>
      </c>
      <c r="R476" s="36">
        <v>0</v>
      </c>
      <c r="S476" s="36" t="s">
        <v>593</v>
      </c>
      <c r="T476" s="36">
        <v>3.8467000000000002E-3</v>
      </c>
      <c r="U476" s="37">
        <v>0.16666666666666666</v>
      </c>
      <c r="V476"/>
    </row>
    <row r="477" spans="1:22" ht="17" x14ac:dyDescent="0.2">
      <c r="A477" s="36" t="s">
        <v>139</v>
      </c>
      <c r="B477" s="45" t="str">
        <f>VLOOKUP(Tabella1[[#This Row],[test_id]],experiments_specs!A:J,2,FALSE)</f>
        <v>NN,JJ,VB,VBD,VBG,VBN,VBP,VBZ</v>
      </c>
      <c r="C477" s="38">
        <f>VLOOKUP(Tabella1[[#This Row],[test_id]],experiments_specs!A:J,3,FALSE)</f>
        <v>1</v>
      </c>
      <c r="D477" s="38">
        <f>VLOOKUP(Tabella1[[#This Row],[test_id]],experiments_specs!A:J,4,FALSE)</f>
        <v>2</v>
      </c>
      <c r="E477" s="38" t="str">
        <f>VLOOKUP(Tabella1[[#This Row],[test_id]],experiments_specs!A:J,5,FALSE)</f>
        <v>False</v>
      </c>
      <c r="F477" s="38" t="str">
        <f>VLOOKUP(Tabella1[[#This Row],[test_id]],experiments_specs!A:J,6,FALSE)</f>
        <v>False</v>
      </c>
      <c r="G477" s="38" t="str">
        <f>VLOOKUP(Tabella1[[#This Row],[test_id]],experiments_specs!A:J,7,FALSE)</f>
        <v>True</v>
      </c>
      <c r="H477" s="38" t="str">
        <f>VLOOKUP(Tabella1[[#This Row],[test_id]],experiments_specs!A:J,8,FALSE)</f>
        <v>False</v>
      </c>
      <c r="I477" s="45" t="str">
        <f>VLOOKUP(Tabella1[[#This Row],[test_id]],experiments_specs!A:J,9,FALSE)</f>
        <v>wup_similarity</v>
      </c>
      <c r="J477" s="38" t="str">
        <f>VLOOKUP(Tabella1[[#This Row],[test_id]],experiments_specs!A:J,10,FALSE)</f>
        <v>False</v>
      </c>
      <c r="K477" s="40" t="s">
        <v>13</v>
      </c>
      <c r="L477" s="36" t="s">
        <v>536</v>
      </c>
      <c r="M477" s="36">
        <v>0</v>
      </c>
      <c r="N477" s="36" t="s">
        <v>537</v>
      </c>
      <c r="O477" s="36">
        <v>2.7103000000000001E-3</v>
      </c>
      <c r="P477" s="36" t="s">
        <v>25</v>
      </c>
      <c r="Q477" s="36" t="s">
        <v>252</v>
      </c>
      <c r="R477" s="36">
        <v>0</v>
      </c>
      <c r="S477" s="36" t="s">
        <v>578</v>
      </c>
      <c r="T477" s="36">
        <v>5.1346999999999999E-3</v>
      </c>
      <c r="U477" s="37">
        <v>0.4</v>
      </c>
      <c r="V477"/>
    </row>
    <row r="478" spans="1:22" ht="34" x14ac:dyDescent="0.2">
      <c r="A478" s="36" t="s">
        <v>139</v>
      </c>
      <c r="B478" s="45" t="str">
        <f>VLOOKUP(Tabella1[[#This Row],[test_id]],experiments_specs!A:J,2,FALSE)</f>
        <v>NN,JJ,VB,VBD,VBG,VBN,VBP,VBZ</v>
      </c>
      <c r="C478" s="38">
        <f>VLOOKUP(Tabella1[[#This Row],[test_id]],experiments_specs!A:J,3,FALSE)</f>
        <v>1</v>
      </c>
      <c r="D478" s="38">
        <f>VLOOKUP(Tabella1[[#This Row],[test_id]],experiments_specs!A:J,4,FALSE)</f>
        <v>2</v>
      </c>
      <c r="E478" s="38" t="str">
        <f>VLOOKUP(Tabella1[[#This Row],[test_id]],experiments_specs!A:J,5,FALSE)</f>
        <v>False</v>
      </c>
      <c r="F478" s="38" t="str">
        <f>VLOOKUP(Tabella1[[#This Row],[test_id]],experiments_specs!A:J,6,FALSE)</f>
        <v>False</v>
      </c>
      <c r="G478" s="38" t="str">
        <f>VLOOKUP(Tabella1[[#This Row],[test_id]],experiments_specs!A:J,7,FALSE)</f>
        <v>True</v>
      </c>
      <c r="H478" s="38" t="str">
        <f>VLOOKUP(Tabella1[[#This Row],[test_id]],experiments_specs!A:J,8,FALSE)</f>
        <v>False</v>
      </c>
      <c r="I478" s="45" t="str">
        <f>VLOOKUP(Tabella1[[#This Row],[test_id]],experiments_specs!A:J,9,FALSE)</f>
        <v>wup_similarity</v>
      </c>
      <c r="J478" s="38" t="str">
        <f>VLOOKUP(Tabella1[[#This Row],[test_id]],experiments_specs!A:J,10,FALSE)</f>
        <v>False</v>
      </c>
      <c r="K478" s="40" t="s">
        <v>14</v>
      </c>
      <c r="L478" s="36" t="s">
        <v>545</v>
      </c>
      <c r="M478" s="36" t="s">
        <v>547</v>
      </c>
      <c r="N478" s="36" t="s">
        <v>549</v>
      </c>
      <c r="O478" s="36" t="s">
        <v>616</v>
      </c>
      <c r="P478" s="36">
        <v>0.33333333333333331</v>
      </c>
      <c r="Q478" s="36" t="s">
        <v>204</v>
      </c>
      <c r="R478" s="36">
        <v>0</v>
      </c>
      <c r="S478" s="36" t="s">
        <v>381</v>
      </c>
      <c r="T478" s="36">
        <v>4.1703E-3</v>
      </c>
      <c r="U478" s="37">
        <v>0.66666666666666663</v>
      </c>
      <c r="V478"/>
    </row>
    <row r="479" spans="1:22" ht="17" x14ac:dyDescent="0.2">
      <c r="A479" s="36" t="s">
        <v>139</v>
      </c>
      <c r="B479" s="45" t="str">
        <f>VLOOKUP(Tabella1[[#This Row],[test_id]],experiments_specs!A:J,2,FALSE)</f>
        <v>NN,JJ,VB,VBD,VBG,VBN,VBP,VBZ</v>
      </c>
      <c r="C479" s="38">
        <f>VLOOKUP(Tabella1[[#This Row],[test_id]],experiments_specs!A:J,3,FALSE)</f>
        <v>1</v>
      </c>
      <c r="D479" s="38">
        <f>VLOOKUP(Tabella1[[#This Row],[test_id]],experiments_specs!A:J,4,FALSE)</f>
        <v>2</v>
      </c>
      <c r="E479" s="38" t="str">
        <f>VLOOKUP(Tabella1[[#This Row],[test_id]],experiments_specs!A:J,5,FALSE)</f>
        <v>False</v>
      </c>
      <c r="F479" s="38" t="str">
        <f>VLOOKUP(Tabella1[[#This Row],[test_id]],experiments_specs!A:J,6,FALSE)</f>
        <v>False</v>
      </c>
      <c r="G479" s="38" t="str">
        <f>VLOOKUP(Tabella1[[#This Row],[test_id]],experiments_specs!A:J,7,FALSE)</f>
        <v>True</v>
      </c>
      <c r="H479" s="38" t="str">
        <f>VLOOKUP(Tabella1[[#This Row],[test_id]],experiments_specs!A:J,8,FALSE)</f>
        <v>False</v>
      </c>
      <c r="I479" s="45" t="str">
        <f>VLOOKUP(Tabella1[[#This Row],[test_id]],experiments_specs!A:J,9,FALSE)</f>
        <v>wup_similarity</v>
      </c>
      <c r="J479" s="38" t="str">
        <f>VLOOKUP(Tabella1[[#This Row],[test_id]],experiments_specs!A:J,10,FALSE)</f>
        <v>False</v>
      </c>
      <c r="K479" s="40" t="s">
        <v>15</v>
      </c>
      <c r="L479" s="36" t="s">
        <v>596</v>
      </c>
      <c r="M479" s="36">
        <v>0.1104315</v>
      </c>
      <c r="N479" s="36" t="s">
        <v>597</v>
      </c>
      <c r="O479" s="36">
        <v>1.3767E-3</v>
      </c>
      <c r="P479" s="36">
        <v>0.2</v>
      </c>
      <c r="Q479" s="36" t="s">
        <v>383</v>
      </c>
      <c r="R479" s="36">
        <v>0</v>
      </c>
      <c r="S479" s="36" t="s">
        <v>597</v>
      </c>
      <c r="T479" s="36">
        <v>7.2649999999999998E-3</v>
      </c>
      <c r="U479" s="37">
        <v>0.2</v>
      </c>
      <c r="V479"/>
    </row>
    <row r="480" spans="1:22" ht="34" x14ac:dyDescent="0.2">
      <c r="A480" s="36" t="s">
        <v>139</v>
      </c>
      <c r="B480" s="45" t="str">
        <f>VLOOKUP(Tabella1[[#This Row],[test_id]],experiments_specs!A:J,2,FALSE)</f>
        <v>NN,JJ,VB,VBD,VBG,VBN,VBP,VBZ</v>
      </c>
      <c r="C480" s="38">
        <f>VLOOKUP(Tabella1[[#This Row],[test_id]],experiments_specs!A:J,3,FALSE)</f>
        <v>1</v>
      </c>
      <c r="D480" s="38">
        <f>VLOOKUP(Tabella1[[#This Row],[test_id]],experiments_specs!A:J,4,FALSE)</f>
        <v>2</v>
      </c>
      <c r="E480" s="38" t="str">
        <f>VLOOKUP(Tabella1[[#This Row],[test_id]],experiments_specs!A:J,5,FALSE)</f>
        <v>False</v>
      </c>
      <c r="F480" s="38" t="str">
        <f>VLOOKUP(Tabella1[[#This Row],[test_id]],experiments_specs!A:J,6,FALSE)</f>
        <v>False</v>
      </c>
      <c r="G480" s="38" t="str">
        <f>VLOOKUP(Tabella1[[#This Row],[test_id]],experiments_specs!A:J,7,FALSE)</f>
        <v>True</v>
      </c>
      <c r="H480" s="38" t="str">
        <f>VLOOKUP(Tabella1[[#This Row],[test_id]],experiments_specs!A:J,8,FALSE)</f>
        <v>False</v>
      </c>
      <c r="I480" s="45" t="str">
        <f>VLOOKUP(Tabella1[[#This Row],[test_id]],experiments_specs!A:J,9,FALSE)</f>
        <v>wup_similarity</v>
      </c>
      <c r="J480" s="38" t="str">
        <f>VLOOKUP(Tabella1[[#This Row],[test_id]],experiments_specs!A:J,10,FALSE)</f>
        <v>False</v>
      </c>
      <c r="K480" s="40" t="s">
        <v>16</v>
      </c>
      <c r="L480" s="36" t="s">
        <v>385</v>
      </c>
      <c r="M480" s="36">
        <v>0.1290994</v>
      </c>
      <c r="N480" s="36" t="s">
        <v>554</v>
      </c>
      <c r="O480" s="36">
        <v>1.1784E-3</v>
      </c>
      <c r="P480" s="36">
        <v>0.14285714285714285</v>
      </c>
      <c r="Q480" s="36" t="s">
        <v>583</v>
      </c>
      <c r="R480" s="36" t="s">
        <v>585</v>
      </c>
      <c r="S480" s="36" t="s">
        <v>587</v>
      </c>
      <c r="T480" s="36" t="s">
        <v>618</v>
      </c>
      <c r="U480" s="37">
        <v>0.15384615384615385</v>
      </c>
      <c r="V480"/>
    </row>
    <row r="481" spans="1:22" ht="34" x14ac:dyDescent="0.2">
      <c r="A481" s="36" t="s">
        <v>139</v>
      </c>
      <c r="B481" s="45" t="str">
        <f>VLOOKUP(Tabella1[[#This Row],[test_id]],experiments_specs!A:J,2,FALSE)</f>
        <v>NN,JJ,VB,VBD,VBG,VBN,VBP,VBZ</v>
      </c>
      <c r="C481" s="38">
        <f>VLOOKUP(Tabella1[[#This Row],[test_id]],experiments_specs!A:J,3,FALSE)</f>
        <v>1</v>
      </c>
      <c r="D481" s="38">
        <f>VLOOKUP(Tabella1[[#This Row],[test_id]],experiments_specs!A:J,4,FALSE)</f>
        <v>2</v>
      </c>
      <c r="E481" s="38" t="str">
        <f>VLOOKUP(Tabella1[[#This Row],[test_id]],experiments_specs!A:J,5,FALSE)</f>
        <v>False</v>
      </c>
      <c r="F481" s="38" t="str">
        <f>VLOOKUP(Tabella1[[#This Row],[test_id]],experiments_specs!A:J,6,FALSE)</f>
        <v>False</v>
      </c>
      <c r="G481" s="38" t="str">
        <f>VLOOKUP(Tabella1[[#This Row],[test_id]],experiments_specs!A:J,7,FALSE)</f>
        <v>True</v>
      </c>
      <c r="H481" s="38" t="str">
        <f>VLOOKUP(Tabella1[[#This Row],[test_id]],experiments_specs!A:J,8,FALSE)</f>
        <v>False</v>
      </c>
      <c r="I481" s="45" t="str">
        <f>VLOOKUP(Tabella1[[#This Row],[test_id]],experiments_specs!A:J,9,FALSE)</f>
        <v>wup_similarity</v>
      </c>
      <c r="J481" s="38" t="str">
        <f>VLOOKUP(Tabella1[[#This Row],[test_id]],experiments_specs!A:J,10,FALSE)</f>
        <v>False</v>
      </c>
      <c r="K481" s="40" t="s">
        <v>17</v>
      </c>
      <c r="L481" s="36" t="s">
        <v>601</v>
      </c>
      <c r="M481" s="36" t="s">
        <v>603</v>
      </c>
      <c r="N481" s="36" t="s">
        <v>605</v>
      </c>
      <c r="O481" s="36" t="s">
        <v>620</v>
      </c>
      <c r="P481" s="36">
        <v>0.22222222222222221</v>
      </c>
      <c r="Q481" s="36" t="s">
        <v>601</v>
      </c>
      <c r="R481" s="36" t="s">
        <v>603</v>
      </c>
      <c r="S481" s="36" t="s">
        <v>605</v>
      </c>
      <c r="T481" s="36" t="s">
        <v>622</v>
      </c>
      <c r="U481" s="37">
        <v>0.22222222222222221</v>
      </c>
      <c r="V481"/>
    </row>
    <row r="482" spans="1:22" ht="17" x14ac:dyDescent="0.2">
      <c r="A482" s="36" t="s">
        <v>139</v>
      </c>
      <c r="B482" s="45" t="str">
        <f>VLOOKUP(Tabella1[[#This Row],[test_id]],experiments_specs!A:J,2,FALSE)</f>
        <v>NN,JJ,VB,VBD,VBG,VBN,VBP,VBZ</v>
      </c>
      <c r="C482" s="38">
        <f>VLOOKUP(Tabella1[[#This Row],[test_id]],experiments_specs!A:J,3,FALSE)</f>
        <v>1</v>
      </c>
      <c r="D482" s="38">
        <f>VLOOKUP(Tabella1[[#This Row],[test_id]],experiments_specs!A:J,4,FALSE)</f>
        <v>2</v>
      </c>
      <c r="E482" s="38" t="str">
        <f>VLOOKUP(Tabella1[[#This Row],[test_id]],experiments_specs!A:J,5,FALSE)</f>
        <v>False</v>
      </c>
      <c r="F482" s="38" t="str">
        <f>VLOOKUP(Tabella1[[#This Row],[test_id]],experiments_specs!A:J,6,FALSE)</f>
        <v>False</v>
      </c>
      <c r="G482" s="38" t="str">
        <f>VLOOKUP(Tabella1[[#This Row],[test_id]],experiments_specs!A:J,7,FALSE)</f>
        <v>True</v>
      </c>
      <c r="H482" s="38" t="str">
        <f>VLOOKUP(Tabella1[[#This Row],[test_id]],experiments_specs!A:J,8,FALSE)</f>
        <v>False</v>
      </c>
      <c r="I482" s="45" t="str">
        <f>VLOOKUP(Tabella1[[#This Row],[test_id]],experiments_specs!A:J,9,FALSE)</f>
        <v>wup_similarity</v>
      </c>
      <c r="J482" s="38" t="str">
        <f>VLOOKUP(Tabella1[[#This Row],[test_id]],experiments_specs!A:J,10,FALSE)</f>
        <v>False</v>
      </c>
      <c r="K482" s="40" t="s">
        <v>18</v>
      </c>
      <c r="L482" s="36" t="s">
        <v>556</v>
      </c>
      <c r="M482" s="36">
        <v>6.1084699999999999E-2</v>
      </c>
      <c r="N482" s="36" t="s">
        <v>558</v>
      </c>
      <c r="O482" s="36">
        <v>5.689E-4</v>
      </c>
      <c r="P482" s="36">
        <v>0.375</v>
      </c>
      <c r="Q482" s="36" t="s">
        <v>388</v>
      </c>
      <c r="R482" s="36">
        <v>0</v>
      </c>
      <c r="S482" s="36" t="s">
        <v>610</v>
      </c>
      <c r="T482" s="36">
        <v>2.4746999999999998E-3</v>
      </c>
      <c r="U482" s="37">
        <v>0.11764705882352941</v>
      </c>
      <c r="V482"/>
    </row>
    <row r="483" spans="1:22" ht="17" x14ac:dyDescent="0.2">
      <c r="A483" s="36" t="s">
        <v>140</v>
      </c>
      <c r="B483" s="45" t="str">
        <f>VLOOKUP(Tabella1[[#This Row],[test_id]],experiments_specs!A:J,2,FALSE)</f>
        <v>NN</v>
      </c>
      <c r="C483" s="38">
        <f>VLOOKUP(Tabella1[[#This Row],[test_id]],experiments_specs!A:J,3,FALSE)</f>
        <v>1</v>
      </c>
      <c r="D483" s="38">
        <f>VLOOKUP(Tabella1[[#This Row],[test_id]],experiments_specs!A:J,4,FALSE)</f>
        <v>2</v>
      </c>
      <c r="E483" s="38" t="str">
        <f>VLOOKUP(Tabella1[[#This Row],[test_id]],experiments_specs!A:J,5,FALSE)</f>
        <v>True</v>
      </c>
      <c r="F483" s="38" t="str">
        <f>VLOOKUP(Tabella1[[#This Row],[test_id]],experiments_specs!A:J,6,FALSE)</f>
        <v>False</v>
      </c>
      <c r="G483" s="38" t="str">
        <f>VLOOKUP(Tabella1[[#This Row],[test_id]],experiments_specs!A:J,7,FALSE)</f>
        <v>True</v>
      </c>
      <c r="H483" s="38" t="str">
        <f>VLOOKUP(Tabella1[[#This Row],[test_id]],experiments_specs!A:J,8,FALSE)</f>
        <v>False</v>
      </c>
      <c r="I483" s="45" t="str">
        <f>VLOOKUP(Tabella1[[#This Row],[test_id]],experiments_specs!A:J,9,FALSE)</f>
        <v>wup_similarity</v>
      </c>
      <c r="J483" s="38" t="str">
        <f>VLOOKUP(Tabella1[[#This Row],[test_id]],experiments_specs!A:J,10,FALSE)</f>
        <v>False</v>
      </c>
      <c r="K483" s="40" t="s">
        <v>19</v>
      </c>
      <c r="L483" s="36" t="s">
        <v>354</v>
      </c>
      <c r="M483" s="36">
        <v>0</v>
      </c>
      <c r="N483" s="36" t="s">
        <v>533</v>
      </c>
      <c r="O483" s="36">
        <v>1.5058800000000001E-2</v>
      </c>
      <c r="P483" s="36">
        <v>0.19047619047619047</v>
      </c>
      <c r="Q483" s="36" t="s">
        <v>47</v>
      </c>
      <c r="R483" s="36">
        <v>6.3757599999999998E-2</v>
      </c>
      <c r="S483" s="36" t="s">
        <v>533</v>
      </c>
      <c r="T483" s="36">
        <v>1.7436500000000001E-2</v>
      </c>
      <c r="U483" s="37">
        <v>0.19047619047619047</v>
      </c>
      <c r="V483"/>
    </row>
    <row r="484" spans="1:22" ht="34" x14ac:dyDescent="0.2">
      <c r="A484" s="36" t="s">
        <v>140</v>
      </c>
      <c r="B484" s="45" t="str">
        <f>VLOOKUP(Tabella1[[#This Row],[test_id]],experiments_specs!A:J,2,FALSE)</f>
        <v>NN</v>
      </c>
      <c r="C484" s="38">
        <f>VLOOKUP(Tabella1[[#This Row],[test_id]],experiments_specs!A:J,3,FALSE)</f>
        <v>1</v>
      </c>
      <c r="D484" s="38">
        <f>VLOOKUP(Tabella1[[#This Row],[test_id]],experiments_specs!A:J,4,FALSE)</f>
        <v>2</v>
      </c>
      <c r="E484" s="38" t="str">
        <f>VLOOKUP(Tabella1[[#This Row],[test_id]],experiments_specs!A:J,5,FALSE)</f>
        <v>True</v>
      </c>
      <c r="F484" s="38" t="str">
        <f>VLOOKUP(Tabella1[[#This Row],[test_id]],experiments_specs!A:J,6,FALSE)</f>
        <v>False</v>
      </c>
      <c r="G484" s="38" t="str">
        <f>VLOOKUP(Tabella1[[#This Row],[test_id]],experiments_specs!A:J,7,FALSE)</f>
        <v>True</v>
      </c>
      <c r="H484" s="38" t="str">
        <f>VLOOKUP(Tabella1[[#This Row],[test_id]],experiments_specs!A:J,8,FALSE)</f>
        <v>False</v>
      </c>
      <c r="I484" s="45" t="str">
        <f>VLOOKUP(Tabella1[[#This Row],[test_id]],experiments_specs!A:J,9,FALSE)</f>
        <v>wup_similarity</v>
      </c>
      <c r="J484" s="38" t="str">
        <f>VLOOKUP(Tabella1[[#This Row],[test_id]],experiments_specs!A:J,10,FALSE)</f>
        <v>False</v>
      </c>
      <c r="K484" s="40" t="s">
        <v>12</v>
      </c>
      <c r="L484" s="36" t="s">
        <v>623</v>
      </c>
      <c r="M484" s="36">
        <v>0</v>
      </c>
      <c r="N484" s="36" t="s">
        <v>624</v>
      </c>
      <c r="O484" s="36">
        <v>3.3081999999999999E-3</v>
      </c>
      <c r="P484" s="36">
        <v>0.25</v>
      </c>
      <c r="Q484" s="36" t="s">
        <v>391</v>
      </c>
      <c r="R484" s="36" t="s">
        <v>626</v>
      </c>
      <c r="S484" s="36" t="s">
        <v>628</v>
      </c>
      <c r="T484" s="36" t="s">
        <v>630</v>
      </c>
      <c r="U484" s="37">
        <v>0.46153846153846156</v>
      </c>
      <c r="V484"/>
    </row>
    <row r="485" spans="1:22" ht="17" x14ac:dyDescent="0.2">
      <c r="A485" s="36" t="s">
        <v>140</v>
      </c>
      <c r="B485" s="45" t="str">
        <f>VLOOKUP(Tabella1[[#This Row],[test_id]],experiments_specs!A:J,2,FALSE)</f>
        <v>NN</v>
      </c>
      <c r="C485" s="38">
        <f>VLOOKUP(Tabella1[[#This Row],[test_id]],experiments_specs!A:J,3,FALSE)</f>
        <v>1</v>
      </c>
      <c r="D485" s="38">
        <f>VLOOKUP(Tabella1[[#This Row],[test_id]],experiments_specs!A:J,4,FALSE)</f>
        <v>2</v>
      </c>
      <c r="E485" s="38" t="str">
        <f>VLOOKUP(Tabella1[[#This Row],[test_id]],experiments_specs!A:J,5,FALSE)</f>
        <v>True</v>
      </c>
      <c r="F485" s="38" t="str">
        <f>VLOOKUP(Tabella1[[#This Row],[test_id]],experiments_specs!A:J,6,FALSE)</f>
        <v>False</v>
      </c>
      <c r="G485" s="38" t="str">
        <f>VLOOKUP(Tabella1[[#This Row],[test_id]],experiments_specs!A:J,7,FALSE)</f>
        <v>True</v>
      </c>
      <c r="H485" s="38" t="str">
        <f>VLOOKUP(Tabella1[[#This Row],[test_id]],experiments_specs!A:J,8,FALSE)</f>
        <v>False</v>
      </c>
      <c r="I485" s="45" t="str">
        <f>VLOOKUP(Tabella1[[#This Row],[test_id]],experiments_specs!A:J,9,FALSE)</f>
        <v>wup_similarity</v>
      </c>
      <c r="J485" s="38" t="str">
        <f>VLOOKUP(Tabella1[[#This Row],[test_id]],experiments_specs!A:J,10,FALSE)</f>
        <v>False</v>
      </c>
      <c r="K485" s="40" t="s">
        <v>13</v>
      </c>
      <c r="L485" s="36" t="s">
        <v>32</v>
      </c>
      <c r="M485" s="36">
        <v>6.5937999999999997E-2</v>
      </c>
      <c r="N485" s="36" t="s">
        <v>631</v>
      </c>
      <c r="O485" s="36">
        <v>1.09896E-2</v>
      </c>
      <c r="P485" s="36">
        <v>0.4</v>
      </c>
      <c r="Q485" s="36" t="s">
        <v>34</v>
      </c>
      <c r="R485" s="36">
        <v>0</v>
      </c>
      <c r="S485" s="36" t="s">
        <v>35</v>
      </c>
      <c r="T485" s="36">
        <v>2.1281399999999999E-2</v>
      </c>
      <c r="U485" s="37" t="s">
        <v>25</v>
      </c>
      <c r="V485"/>
    </row>
    <row r="486" spans="1:22" ht="34" x14ac:dyDescent="0.2">
      <c r="A486" s="36" t="s">
        <v>140</v>
      </c>
      <c r="B486" s="45" t="str">
        <f>VLOOKUP(Tabella1[[#This Row],[test_id]],experiments_specs!A:J,2,FALSE)</f>
        <v>NN</v>
      </c>
      <c r="C486" s="38">
        <f>VLOOKUP(Tabella1[[#This Row],[test_id]],experiments_specs!A:J,3,FALSE)</f>
        <v>1</v>
      </c>
      <c r="D486" s="38">
        <f>VLOOKUP(Tabella1[[#This Row],[test_id]],experiments_specs!A:J,4,FALSE)</f>
        <v>2</v>
      </c>
      <c r="E486" s="38" t="str">
        <f>VLOOKUP(Tabella1[[#This Row],[test_id]],experiments_specs!A:J,5,FALSE)</f>
        <v>True</v>
      </c>
      <c r="F486" s="38" t="str">
        <f>VLOOKUP(Tabella1[[#This Row],[test_id]],experiments_specs!A:J,6,FALSE)</f>
        <v>False</v>
      </c>
      <c r="G486" s="38" t="str">
        <f>VLOOKUP(Tabella1[[#This Row],[test_id]],experiments_specs!A:J,7,FALSE)</f>
        <v>True</v>
      </c>
      <c r="H486" s="38" t="str">
        <f>VLOOKUP(Tabella1[[#This Row],[test_id]],experiments_specs!A:J,8,FALSE)</f>
        <v>False</v>
      </c>
      <c r="I486" s="45" t="str">
        <f>VLOOKUP(Tabella1[[#This Row],[test_id]],experiments_specs!A:J,9,FALSE)</f>
        <v>wup_similarity</v>
      </c>
      <c r="J486" s="38" t="str">
        <f>VLOOKUP(Tabella1[[#This Row],[test_id]],experiments_specs!A:J,10,FALSE)</f>
        <v>False</v>
      </c>
      <c r="K486" s="40" t="s">
        <v>14</v>
      </c>
      <c r="L486" s="36" t="s">
        <v>534</v>
      </c>
      <c r="M486" s="36">
        <v>5.5555500000000001E-2</v>
      </c>
      <c r="N486" s="36" t="s">
        <v>632</v>
      </c>
      <c r="O486" s="36">
        <v>7.9365000000000008E-3</v>
      </c>
      <c r="P486" s="36">
        <v>0.33333333333333331</v>
      </c>
      <c r="Q486" s="36" t="s">
        <v>634</v>
      </c>
      <c r="R486" s="36" t="s">
        <v>186</v>
      </c>
      <c r="S486" s="36" t="s">
        <v>636</v>
      </c>
      <c r="T486" s="36" t="s">
        <v>638</v>
      </c>
      <c r="U486" s="37">
        <v>0.33333333333333331</v>
      </c>
      <c r="V486"/>
    </row>
    <row r="487" spans="1:22" ht="17" x14ac:dyDescent="0.2">
      <c r="A487" s="36" t="s">
        <v>140</v>
      </c>
      <c r="B487" s="45" t="str">
        <f>VLOOKUP(Tabella1[[#This Row],[test_id]],experiments_specs!A:J,2,FALSE)</f>
        <v>NN</v>
      </c>
      <c r="C487" s="38">
        <f>VLOOKUP(Tabella1[[#This Row],[test_id]],experiments_specs!A:J,3,FALSE)</f>
        <v>1</v>
      </c>
      <c r="D487" s="38">
        <f>VLOOKUP(Tabella1[[#This Row],[test_id]],experiments_specs!A:J,4,FALSE)</f>
        <v>2</v>
      </c>
      <c r="E487" s="38" t="str">
        <f>VLOOKUP(Tabella1[[#This Row],[test_id]],experiments_specs!A:J,5,FALSE)</f>
        <v>True</v>
      </c>
      <c r="F487" s="38" t="str">
        <f>VLOOKUP(Tabella1[[#This Row],[test_id]],experiments_specs!A:J,6,FALSE)</f>
        <v>False</v>
      </c>
      <c r="G487" s="38" t="str">
        <f>VLOOKUP(Tabella1[[#This Row],[test_id]],experiments_specs!A:J,7,FALSE)</f>
        <v>True</v>
      </c>
      <c r="H487" s="38" t="str">
        <f>VLOOKUP(Tabella1[[#This Row],[test_id]],experiments_specs!A:J,8,FALSE)</f>
        <v>False</v>
      </c>
      <c r="I487" s="45" t="str">
        <f>VLOOKUP(Tabella1[[#This Row],[test_id]],experiments_specs!A:J,9,FALSE)</f>
        <v>wup_similarity</v>
      </c>
      <c r="J487" s="38" t="str">
        <f>VLOOKUP(Tabella1[[#This Row],[test_id]],experiments_specs!A:J,10,FALSE)</f>
        <v>False</v>
      </c>
      <c r="K487" s="40" t="s">
        <v>15</v>
      </c>
      <c r="L487" s="36" t="s">
        <v>639</v>
      </c>
      <c r="M487" s="36">
        <v>0</v>
      </c>
      <c r="N487" s="36" t="s">
        <v>435</v>
      </c>
      <c r="O487" s="36">
        <v>6.4403999999999998E-3</v>
      </c>
      <c r="P487" s="36">
        <v>0.44444444444444442</v>
      </c>
      <c r="Q487" s="36" t="s">
        <v>365</v>
      </c>
      <c r="R487" s="36">
        <v>0</v>
      </c>
      <c r="S487" s="36" t="s">
        <v>26</v>
      </c>
      <c r="T487" s="36">
        <v>2.94484E-2</v>
      </c>
      <c r="U487" s="37">
        <v>0.18181818181818182</v>
      </c>
      <c r="V487"/>
    </row>
    <row r="488" spans="1:22" ht="17" x14ac:dyDescent="0.2">
      <c r="A488" s="36" t="s">
        <v>140</v>
      </c>
      <c r="B488" s="45" t="str">
        <f>VLOOKUP(Tabella1[[#This Row],[test_id]],experiments_specs!A:J,2,FALSE)</f>
        <v>NN</v>
      </c>
      <c r="C488" s="38">
        <f>VLOOKUP(Tabella1[[#This Row],[test_id]],experiments_specs!A:J,3,FALSE)</f>
        <v>1</v>
      </c>
      <c r="D488" s="38">
        <f>VLOOKUP(Tabella1[[#This Row],[test_id]],experiments_specs!A:J,4,FALSE)</f>
        <v>2</v>
      </c>
      <c r="E488" s="38" t="str">
        <f>VLOOKUP(Tabella1[[#This Row],[test_id]],experiments_specs!A:J,5,FALSE)</f>
        <v>True</v>
      </c>
      <c r="F488" s="38" t="str">
        <f>VLOOKUP(Tabella1[[#This Row],[test_id]],experiments_specs!A:J,6,FALSE)</f>
        <v>False</v>
      </c>
      <c r="G488" s="38" t="str">
        <f>VLOOKUP(Tabella1[[#This Row],[test_id]],experiments_specs!A:J,7,FALSE)</f>
        <v>True</v>
      </c>
      <c r="H488" s="38" t="str">
        <f>VLOOKUP(Tabella1[[#This Row],[test_id]],experiments_specs!A:J,8,FALSE)</f>
        <v>False</v>
      </c>
      <c r="I488" s="45" t="str">
        <f>VLOOKUP(Tabella1[[#This Row],[test_id]],experiments_specs!A:J,9,FALSE)</f>
        <v>wup_similarity</v>
      </c>
      <c r="J488" s="38" t="str">
        <f>VLOOKUP(Tabella1[[#This Row],[test_id]],experiments_specs!A:J,10,FALSE)</f>
        <v>False</v>
      </c>
      <c r="K488" s="40" t="s">
        <v>16</v>
      </c>
      <c r="L488" s="36" t="s">
        <v>640</v>
      </c>
      <c r="M488" s="36">
        <v>0</v>
      </c>
      <c r="N488" s="36" t="s">
        <v>641</v>
      </c>
      <c r="O488" s="36">
        <v>5.2082999999999999E-3</v>
      </c>
      <c r="P488" s="36">
        <v>0.13333333333333333</v>
      </c>
      <c r="Q488" s="36" t="s">
        <v>642</v>
      </c>
      <c r="R488" s="36">
        <v>0</v>
      </c>
      <c r="S488" s="36" t="s">
        <v>643</v>
      </c>
      <c r="T488" s="36">
        <v>6.6125999999999997E-3</v>
      </c>
      <c r="U488" s="37">
        <v>0.70588235294117652</v>
      </c>
      <c r="V488"/>
    </row>
    <row r="489" spans="1:22" ht="34" x14ac:dyDescent="0.2">
      <c r="A489" s="36" t="s">
        <v>140</v>
      </c>
      <c r="B489" s="45" t="str">
        <f>VLOOKUP(Tabella1[[#This Row],[test_id]],experiments_specs!A:J,2,FALSE)</f>
        <v>NN</v>
      </c>
      <c r="C489" s="38">
        <f>VLOOKUP(Tabella1[[#This Row],[test_id]],experiments_specs!A:J,3,FALSE)</f>
        <v>1</v>
      </c>
      <c r="D489" s="38">
        <f>VLOOKUP(Tabella1[[#This Row],[test_id]],experiments_specs!A:J,4,FALSE)</f>
        <v>2</v>
      </c>
      <c r="E489" s="38" t="str">
        <f>VLOOKUP(Tabella1[[#This Row],[test_id]],experiments_specs!A:J,5,FALSE)</f>
        <v>True</v>
      </c>
      <c r="F489" s="38" t="str">
        <f>VLOOKUP(Tabella1[[#This Row],[test_id]],experiments_specs!A:J,6,FALSE)</f>
        <v>False</v>
      </c>
      <c r="G489" s="38" t="str">
        <f>VLOOKUP(Tabella1[[#This Row],[test_id]],experiments_specs!A:J,7,FALSE)</f>
        <v>True</v>
      </c>
      <c r="H489" s="38" t="str">
        <f>VLOOKUP(Tabella1[[#This Row],[test_id]],experiments_specs!A:J,8,FALSE)</f>
        <v>False</v>
      </c>
      <c r="I489" s="45" t="str">
        <f>VLOOKUP(Tabella1[[#This Row],[test_id]],experiments_specs!A:J,9,FALSE)</f>
        <v>wup_similarity</v>
      </c>
      <c r="J489" s="38" t="str">
        <f>VLOOKUP(Tabella1[[#This Row],[test_id]],experiments_specs!A:J,10,FALSE)</f>
        <v>False</v>
      </c>
      <c r="K489" s="40" t="s">
        <v>17</v>
      </c>
      <c r="L489" s="36" t="s">
        <v>644</v>
      </c>
      <c r="M489" s="36">
        <v>4.8794999999999998E-2</v>
      </c>
      <c r="N489" s="36" t="s">
        <v>645</v>
      </c>
      <c r="O489" s="36">
        <v>3.0860000000000002E-3</v>
      </c>
      <c r="P489" s="36">
        <v>0.22222222222222221</v>
      </c>
      <c r="Q489" s="36" t="s">
        <v>647</v>
      </c>
      <c r="R489" s="36" t="s">
        <v>186</v>
      </c>
      <c r="S489" s="36" t="s">
        <v>649</v>
      </c>
      <c r="T489" s="36" t="s">
        <v>651</v>
      </c>
      <c r="U489" s="37">
        <v>0.18181818181818182</v>
      </c>
      <c r="V489"/>
    </row>
    <row r="490" spans="1:22" ht="34" x14ac:dyDescent="0.2">
      <c r="A490" s="36" t="s">
        <v>140</v>
      </c>
      <c r="B490" s="45" t="str">
        <f>VLOOKUP(Tabella1[[#This Row],[test_id]],experiments_specs!A:J,2,FALSE)</f>
        <v>NN</v>
      </c>
      <c r="C490" s="38">
        <f>VLOOKUP(Tabella1[[#This Row],[test_id]],experiments_specs!A:J,3,FALSE)</f>
        <v>1</v>
      </c>
      <c r="D490" s="38">
        <f>VLOOKUP(Tabella1[[#This Row],[test_id]],experiments_specs!A:J,4,FALSE)</f>
        <v>2</v>
      </c>
      <c r="E490" s="38" t="str">
        <f>VLOOKUP(Tabella1[[#This Row],[test_id]],experiments_specs!A:J,5,FALSE)</f>
        <v>True</v>
      </c>
      <c r="F490" s="38" t="str">
        <f>VLOOKUP(Tabella1[[#This Row],[test_id]],experiments_specs!A:J,6,FALSE)</f>
        <v>False</v>
      </c>
      <c r="G490" s="38" t="str">
        <f>VLOOKUP(Tabella1[[#This Row],[test_id]],experiments_specs!A:J,7,FALSE)</f>
        <v>True</v>
      </c>
      <c r="H490" s="38" t="str">
        <f>VLOOKUP(Tabella1[[#This Row],[test_id]],experiments_specs!A:J,8,FALSE)</f>
        <v>False</v>
      </c>
      <c r="I490" s="45" t="str">
        <f>VLOOKUP(Tabella1[[#This Row],[test_id]],experiments_specs!A:J,9,FALSE)</f>
        <v>wup_similarity</v>
      </c>
      <c r="J490" s="38" t="str">
        <f>VLOOKUP(Tabella1[[#This Row],[test_id]],experiments_specs!A:J,10,FALSE)</f>
        <v>False</v>
      </c>
      <c r="K490" s="40" t="s">
        <v>18</v>
      </c>
      <c r="L490" s="36" t="s">
        <v>44</v>
      </c>
      <c r="M490" s="36">
        <v>0</v>
      </c>
      <c r="N490" s="36" t="s">
        <v>652</v>
      </c>
      <c r="O490" s="36">
        <v>1.12485E-2</v>
      </c>
      <c r="P490" s="36">
        <v>0.21052631578947367</v>
      </c>
      <c r="Q490" s="36" t="s">
        <v>46</v>
      </c>
      <c r="R490" s="36">
        <v>0</v>
      </c>
      <c r="S490" s="36" t="s">
        <v>652</v>
      </c>
      <c r="T490" s="36">
        <v>1.12485E-2</v>
      </c>
      <c r="U490" s="37">
        <v>0.21052631578947367</v>
      </c>
      <c r="V490"/>
    </row>
    <row r="491" spans="1:22" ht="17" x14ac:dyDescent="0.2">
      <c r="A491" s="36" t="s">
        <v>141</v>
      </c>
      <c r="B491" s="45" t="str">
        <f>VLOOKUP(Tabella1[[#This Row],[test_id]],experiments_specs!A:J,2,FALSE)</f>
        <v>NN,JJ</v>
      </c>
      <c r="C491" s="38">
        <f>VLOOKUP(Tabella1[[#This Row],[test_id]],experiments_specs!A:J,3,FALSE)</f>
        <v>1</v>
      </c>
      <c r="D491" s="38">
        <f>VLOOKUP(Tabella1[[#This Row],[test_id]],experiments_specs!A:J,4,FALSE)</f>
        <v>2</v>
      </c>
      <c r="E491" s="38" t="str">
        <f>VLOOKUP(Tabella1[[#This Row],[test_id]],experiments_specs!A:J,5,FALSE)</f>
        <v>True</v>
      </c>
      <c r="F491" s="38" t="str">
        <f>VLOOKUP(Tabella1[[#This Row],[test_id]],experiments_specs!A:J,6,FALSE)</f>
        <v>False</v>
      </c>
      <c r="G491" s="38" t="str">
        <f>VLOOKUP(Tabella1[[#This Row],[test_id]],experiments_specs!A:J,7,FALSE)</f>
        <v>True</v>
      </c>
      <c r="H491" s="38" t="str">
        <f>VLOOKUP(Tabella1[[#This Row],[test_id]],experiments_specs!A:J,8,FALSE)</f>
        <v>False</v>
      </c>
      <c r="I491" s="45" t="str">
        <f>VLOOKUP(Tabella1[[#This Row],[test_id]],experiments_specs!A:J,9,FALSE)</f>
        <v>wup_similarity</v>
      </c>
      <c r="J491" s="38" t="str">
        <f>VLOOKUP(Tabella1[[#This Row],[test_id]],experiments_specs!A:J,10,FALSE)</f>
        <v>False</v>
      </c>
      <c r="K491" s="40" t="s">
        <v>19</v>
      </c>
      <c r="L491" s="36" t="s">
        <v>354</v>
      </c>
      <c r="M491" s="36">
        <v>0</v>
      </c>
      <c r="N491" s="36" t="s">
        <v>533</v>
      </c>
      <c r="O491" s="36">
        <v>1.0686899999999999E-2</v>
      </c>
      <c r="P491" s="36">
        <v>0.19047619047619047</v>
      </c>
      <c r="Q491" s="36" t="s">
        <v>47</v>
      </c>
      <c r="R491" s="36">
        <v>6.3757599999999998E-2</v>
      </c>
      <c r="S491" s="36" t="s">
        <v>533</v>
      </c>
      <c r="T491" s="36">
        <v>1.5058800000000001E-2</v>
      </c>
      <c r="U491" s="37">
        <v>0.19047619047619047</v>
      </c>
      <c r="V491"/>
    </row>
    <row r="492" spans="1:22" ht="34" x14ac:dyDescent="0.2">
      <c r="A492" s="36" t="s">
        <v>141</v>
      </c>
      <c r="B492" s="45" t="str">
        <f>VLOOKUP(Tabella1[[#This Row],[test_id]],experiments_specs!A:J,2,FALSE)</f>
        <v>NN,JJ</v>
      </c>
      <c r="C492" s="38">
        <f>VLOOKUP(Tabella1[[#This Row],[test_id]],experiments_specs!A:J,3,FALSE)</f>
        <v>1</v>
      </c>
      <c r="D492" s="38">
        <f>VLOOKUP(Tabella1[[#This Row],[test_id]],experiments_specs!A:J,4,FALSE)</f>
        <v>2</v>
      </c>
      <c r="E492" s="38" t="str">
        <f>VLOOKUP(Tabella1[[#This Row],[test_id]],experiments_specs!A:J,5,FALSE)</f>
        <v>True</v>
      </c>
      <c r="F492" s="38" t="str">
        <f>VLOOKUP(Tabella1[[#This Row],[test_id]],experiments_specs!A:J,6,FALSE)</f>
        <v>False</v>
      </c>
      <c r="G492" s="38" t="str">
        <f>VLOOKUP(Tabella1[[#This Row],[test_id]],experiments_specs!A:J,7,FALSE)</f>
        <v>True</v>
      </c>
      <c r="H492" s="38" t="str">
        <f>VLOOKUP(Tabella1[[#This Row],[test_id]],experiments_specs!A:J,8,FALSE)</f>
        <v>False</v>
      </c>
      <c r="I492" s="45" t="str">
        <f>VLOOKUP(Tabella1[[#This Row],[test_id]],experiments_specs!A:J,9,FALSE)</f>
        <v>wup_similarity</v>
      </c>
      <c r="J492" s="38" t="str">
        <f>VLOOKUP(Tabella1[[#This Row],[test_id]],experiments_specs!A:J,10,FALSE)</f>
        <v>False</v>
      </c>
      <c r="K492" s="40" t="s">
        <v>12</v>
      </c>
      <c r="L492" s="36" t="s">
        <v>623</v>
      </c>
      <c r="M492" s="36">
        <v>0</v>
      </c>
      <c r="N492" s="36" t="s">
        <v>624</v>
      </c>
      <c r="O492" s="36">
        <v>1.9848999999999999E-3</v>
      </c>
      <c r="P492" s="36">
        <v>0.25</v>
      </c>
      <c r="Q492" s="36" t="s">
        <v>391</v>
      </c>
      <c r="R492" s="36" t="s">
        <v>626</v>
      </c>
      <c r="S492" s="36" t="s">
        <v>628</v>
      </c>
      <c r="T492" s="36" t="s">
        <v>654</v>
      </c>
      <c r="U492" s="37">
        <v>0.46153846153846156</v>
      </c>
      <c r="V492"/>
    </row>
    <row r="493" spans="1:22" ht="17" x14ac:dyDescent="0.2">
      <c r="A493" s="36" t="s">
        <v>141</v>
      </c>
      <c r="B493" s="45" t="str">
        <f>VLOOKUP(Tabella1[[#This Row],[test_id]],experiments_specs!A:J,2,FALSE)</f>
        <v>NN,JJ</v>
      </c>
      <c r="C493" s="38">
        <f>VLOOKUP(Tabella1[[#This Row],[test_id]],experiments_specs!A:J,3,FALSE)</f>
        <v>1</v>
      </c>
      <c r="D493" s="38">
        <f>VLOOKUP(Tabella1[[#This Row],[test_id]],experiments_specs!A:J,4,FALSE)</f>
        <v>2</v>
      </c>
      <c r="E493" s="38" t="str">
        <f>VLOOKUP(Tabella1[[#This Row],[test_id]],experiments_specs!A:J,5,FALSE)</f>
        <v>True</v>
      </c>
      <c r="F493" s="38" t="str">
        <f>VLOOKUP(Tabella1[[#This Row],[test_id]],experiments_specs!A:J,6,FALSE)</f>
        <v>False</v>
      </c>
      <c r="G493" s="38" t="str">
        <f>VLOOKUP(Tabella1[[#This Row],[test_id]],experiments_specs!A:J,7,FALSE)</f>
        <v>True</v>
      </c>
      <c r="H493" s="38" t="str">
        <f>VLOOKUP(Tabella1[[#This Row],[test_id]],experiments_specs!A:J,8,FALSE)</f>
        <v>False</v>
      </c>
      <c r="I493" s="45" t="str">
        <f>VLOOKUP(Tabella1[[#This Row],[test_id]],experiments_specs!A:J,9,FALSE)</f>
        <v>wup_similarity</v>
      </c>
      <c r="J493" s="38" t="str">
        <f>VLOOKUP(Tabella1[[#This Row],[test_id]],experiments_specs!A:J,10,FALSE)</f>
        <v>False</v>
      </c>
      <c r="K493" s="40" t="s">
        <v>13</v>
      </c>
      <c r="L493" s="36" t="s">
        <v>32</v>
      </c>
      <c r="M493" s="36">
        <v>6.5937999999999997E-2</v>
      </c>
      <c r="N493" s="36" t="s">
        <v>631</v>
      </c>
      <c r="O493" s="36">
        <v>7.3264000000000003E-3</v>
      </c>
      <c r="P493" s="36">
        <v>0.4</v>
      </c>
      <c r="Q493" s="36" t="s">
        <v>34</v>
      </c>
      <c r="R493" s="36">
        <v>0</v>
      </c>
      <c r="S493" s="36" t="s">
        <v>35</v>
      </c>
      <c r="T493" s="36">
        <v>2.1281399999999999E-2</v>
      </c>
      <c r="U493" s="37" t="s">
        <v>25</v>
      </c>
      <c r="V493"/>
    </row>
    <row r="494" spans="1:22" ht="34" x14ac:dyDescent="0.2">
      <c r="A494" s="36" t="s">
        <v>141</v>
      </c>
      <c r="B494" s="45" t="str">
        <f>VLOOKUP(Tabella1[[#This Row],[test_id]],experiments_specs!A:J,2,FALSE)</f>
        <v>NN,JJ</v>
      </c>
      <c r="C494" s="38">
        <f>VLOOKUP(Tabella1[[#This Row],[test_id]],experiments_specs!A:J,3,FALSE)</f>
        <v>1</v>
      </c>
      <c r="D494" s="38">
        <f>VLOOKUP(Tabella1[[#This Row],[test_id]],experiments_specs!A:J,4,FALSE)</f>
        <v>2</v>
      </c>
      <c r="E494" s="38" t="str">
        <f>VLOOKUP(Tabella1[[#This Row],[test_id]],experiments_specs!A:J,5,FALSE)</f>
        <v>True</v>
      </c>
      <c r="F494" s="38" t="str">
        <f>VLOOKUP(Tabella1[[#This Row],[test_id]],experiments_specs!A:J,6,FALSE)</f>
        <v>False</v>
      </c>
      <c r="G494" s="38" t="str">
        <f>VLOOKUP(Tabella1[[#This Row],[test_id]],experiments_specs!A:J,7,FALSE)</f>
        <v>True</v>
      </c>
      <c r="H494" s="38" t="str">
        <f>VLOOKUP(Tabella1[[#This Row],[test_id]],experiments_specs!A:J,8,FALSE)</f>
        <v>False</v>
      </c>
      <c r="I494" s="45" t="str">
        <f>VLOOKUP(Tabella1[[#This Row],[test_id]],experiments_specs!A:J,9,FALSE)</f>
        <v>wup_similarity</v>
      </c>
      <c r="J494" s="38" t="str">
        <f>VLOOKUP(Tabella1[[#This Row],[test_id]],experiments_specs!A:J,10,FALSE)</f>
        <v>False</v>
      </c>
      <c r="K494" s="40" t="s">
        <v>14</v>
      </c>
      <c r="L494" s="36" t="s">
        <v>534</v>
      </c>
      <c r="M494" s="36">
        <v>5.5555500000000001E-2</v>
      </c>
      <c r="N494" s="36" t="s">
        <v>632</v>
      </c>
      <c r="O494" s="36">
        <v>6.3492000000000002E-3</v>
      </c>
      <c r="P494" s="36">
        <v>0.33333333333333331</v>
      </c>
      <c r="Q494" s="36" t="s">
        <v>634</v>
      </c>
      <c r="R494" s="36" t="s">
        <v>186</v>
      </c>
      <c r="S494" s="36" t="s">
        <v>636</v>
      </c>
      <c r="T494" s="36" t="s">
        <v>656</v>
      </c>
      <c r="U494" s="37">
        <v>0.33333333333333331</v>
      </c>
      <c r="V494"/>
    </row>
    <row r="495" spans="1:22" ht="17" x14ac:dyDescent="0.2">
      <c r="A495" s="36" t="s">
        <v>141</v>
      </c>
      <c r="B495" s="45" t="str">
        <f>VLOOKUP(Tabella1[[#This Row],[test_id]],experiments_specs!A:J,2,FALSE)</f>
        <v>NN,JJ</v>
      </c>
      <c r="C495" s="38">
        <f>VLOOKUP(Tabella1[[#This Row],[test_id]],experiments_specs!A:J,3,FALSE)</f>
        <v>1</v>
      </c>
      <c r="D495" s="38">
        <f>VLOOKUP(Tabella1[[#This Row],[test_id]],experiments_specs!A:J,4,FALSE)</f>
        <v>2</v>
      </c>
      <c r="E495" s="38" t="str">
        <f>VLOOKUP(Tabella1[[#This Row],[test_id]],experiments_specs!A:J,5,FALSE)</f>
        <v>True</v>
      </c>
      <c r="F495" s="38" t="str">
        <f>VLOOKUP(Tabella1[[#This Row],[test_id]],experiments_specs!A:J,6,FALSE)</f>
        <v>False</v>
      </c>
      <c r="G495" s="38" t="str">
        <f>VLOOKUP(Tabella1[[#This Row],[test_id]],experiments_specs!A:J,7,FALSE)</f>
        <v>True</v>
      </c>
      <c r="H495" s="38" t="str">
        <f>VLOOKUP(Tabella1[[#This Row],[test_id]],experiments_specs!A:J,8,FALSE)</f>
        <v>False</v>
      </c>
      <c r="I495" s="45" t="str">
        <f>VLOOKUP(Tabella1[[#This Row],[test_id]],experiments_specs!A:J,9,FALSE)</f>
        <v>wup_similarity</v>
      </c>
      <c r="J495" s="38" t="str">
        <f>VLOOKUP(Tabella1[[#This Row],[test_id]],experiments_specs!A:J,10,FALSE)</f>
        <v>False</v>
      </c>
      <c r="K495" s="40" t="s">
        <v>15</v>
      </c>
      <c r="L495" s="36" t="s">
        <v>639</v>
      </c>
      <c r="M495" s="36">
        <v>0</v>
      </c>
      <c r="N495" s="36" t="s">
        <v>435</v>
      </c>
      <c r="O495" s="36">
        <v>3.9202999999999998E-3</v>
      </c>
      <c r="P495" s="36">
        <v>0.44444444444444442</v>
      </c>
      <c r="Q495" s="36" t="s">
        <v>365</v>
      </c>
      <c r="R495" s="36">
        <v>0</v>
      </c>
      <c r="S495" s="36" t="s">
        <v>26</v>
      </c>
      <c r="T495" s="36">
        <v>2.6293199999999999E-2</v>
      </c>
      <c r="U495" s="37">
        <v>0.18181818181818182</v>
      </c>
      <c r="V495"/>
    </row>
    <row r="496" spans="1:22" ht="17" x14ac:dyDescent="0.2">
      <c r="A496" s="36" t="s">
        <v>141</v>
      </c>
      <c r="B496" s="45" t="str">
        <f>VLOOKUP(Tabella1[[#This Row],[test_id]],experiments_specs!A:J,2,FALSE)</f>
        <v>NN,JJ</v>
      </c>
      <c r="C496" s="38">
        <f>VLOOKUP(Tabella1[[#This Row],[test_id]],experiments_specs!A:J,3,FALSE)</f>
        <v>1</v>
      </c>
      <c r="D496" s="38">
        <f>VLOOKUP(Tabella1[[#This Row],[test_id]],experiments_specs!A:J,4,FALSE)</f>
        <v>2</v>
      </c>
      <c r="E496" s="38" t="str">
        <f>VLOOKUP(Tabella1[[#This Row],[test_id]],experiments_specs!A:J,5,FALSE)</f>
        <v>True</v>
      </c>
      <c r="F496" s="38" t="str">
        <f>VLOOKUP(Tabella1[[#This Row],[test_id]],experiments_specs!A:J,6,FALSE)</f>
        <v>False</v>
      </c>
      <c r="G496" s="38" t="str">
        <f>VLOOKUP(Tabella1[[#This Row],[test_id]],experiments_specs!A:J,7,FALSE)</f>
        <v>True</v>
      </c>
      <c r="H496" s="38" t="str">
        <f>VLOOKUP(Tabella1[[#This Row],[test_id]],experiments_specs!A:J,8,FALSE)</f>
        <v>False</v>
      </c>
      <c r="I496" s="45" t="str">
        <f>VLOOKUP(Tabella1[[#This Row],[test_id]],experiments_specs!A:J,9,FALSE)</f>
        <v>wup_similarity</v>
      </c>
      <c r="J496" s="38" t="str">
        <f>VLOOKUP(Tabella1[[#This Row],[test_id]],experiments_specs!A:J,10,FALSE)</f>
        <v>False</v>
      </c>
      <c r="K496" s="40" t="s">
        <v>16</v>
      </c>
      <c r="L496" s="36" t="s">
        <v>640</v>
      </c>
      <c r="M496" s="36">
        <v>0</v>
      </c>
      <c r="N496" s="36" t="s">
        <v>641</v>
      </c>
      <c r="O496" s="36">
        <v>4.6296000000000002E-3</v>
      </c>
      <c r="P496" s="36">
        <v>0.13333333333333333</v>
      </c>
      <c r="Q496" s="36" t="s">
        <v>642</v>
      </c>
      <c r="R496" s="36">
        <v>0</v>
      </c>
      <c r="S496" s="36" t="s">
        <v>643</v>
      </c>
      <c r="T496" s="36">
        <v>6.4181000000000004E-3</v>
      </c>
      <c r="U496" s="37">
        <v>0.70588235294117652</v>
      </c>
      <c r="V496"/>
    </row>
    <row r="497" spans="1:22" ht="34" x14ac:dyDescent="0.2">
      <c r="A497" s="36" t="s">
        <v>141</v>
      </c>
      <c r="B497" s="45" t="str">
        <f>VLOOKUP(Tabella1[[#This Row],[test_id]],experiments_specs!A:J,2,FALSE)</f>
        <v>NN,JJ</v>
      </c>
      <c r="C497" s="38">
        <f>VLOOKUP(Tabella1[[#This Row],[test_id]],experiments_specs!A:J,3,FALSE)</f>
        <v>1</v>
      </c>
      <c r="D497" s="38">
        <f>VLOOKUP(Tabella1[[#This Row],[test_id]],experiments_specs!A:J,4,FALSE)</f>
        <v>2</v>
      </c>
      <c r="E497" s="38" t="str">
        <f>VLOOKUP(Tabella1[[#This Row],[test_id]],experiments_specs!A:J,5,FALSE)</f>
        <v>True</v>
      </c>
      <c r="F497" s="38" t="str">
        <f>VLOOKUP(Tabella1[[#This Row],[test_id]],experiments_specs!A:J,6,FALSE)</f>
        <v>False</v>
      </c>
      <c r="G497" s="38" t="str">
        <f>VLOOKUP(Tabella1[[#This Row],[test_id]],experiments_specs!A:J,7,FALSE)</f>
        <v>True</v>
      </c>
      <c r="H497" s="38" t="str">
        <f>VLOOKUP(Tabella1[[#This Row],[test_id]],experiments_specs!A:J,8,FALSE)</f>
        <v>False</v>
      </c>
      <c r="I497" s="45" t="str">
        <f>VLOOKUP(Tabella1[[#This Row],[test_id]],experiments_specs!A:J,9,FALSE)</f>
        <v>wup_similarity</v>
      </c>
      <c r="J497" s="38" t="str">
        <f>VLOOKUP(Tabella1[[#This Row],[test_id]],experiments_specs!A:J,10,FALSE)</f>
        <v>False</v>
      </c>
      <c r="K497" s="40" t="s">
        <v>17</v>
      </c>
      <c r="L497" s="36" t="s">
        <v>220</v>
      </c>
      <c r="M497" s="36">
        <v>0</v>
      </c>
      <c r="N497" s="36" t="s">
        <v>657</v>
      </c>
      <c r="O497" s="36">
        <v>3.6369000000000002E-3</v>
      </c>
      <c r="P497" s="36">
        <v>0.36363636363636365</v>
      </c>
      <c r="Q497" s="36" t="s">
        <v>647</v>
      </c>
      <c r="R497" s="36" t="s">
        <v>186</v>
      </c>
      <c r="S497" s="36" t="s">
        <v>649</v>
      </c>
      <c r="T497" s="36" t="s">
        <v>659</v>
      </c>
      <c r="U497" s="37">
        <v>0.18181818181818182</v>
      </c>
      <c r="V497"/>
    </row>
    <row r="498" spans="1:22" ht="34" x14ac:dyDescent="0.2">
      <c r="A498" s="36" t="s">
        <v>141</v>
      </c>
      <c r="B498" s="45" t="str">
        <f>VLOOKUP(Tabella1[[#This Row],[test_id]],experiments_specs!A:J,2,FALSE)</f>
        <v>NN,JJ</v>
      </c>
      <c r="C498" s="38">
        <f>VLOOKUP(Tabella1[[#This Row],[test_id]],experiments_specs!A:J,3,FALSE)</f>
        <v>1</v>
      </c>
      <c r="D498" s="38">
        <f>VLOOKUP(Tabella1[[#This Row],[test_id]],experiments_specs!A:J,4,FALSE)</f>
        <v>2</v>
      </c>
      <c r="E498" s="38" t="str">
        <f>VLOOKUP(Tabella1[[#This Row],[test_id]],experiments_specs!A:J,5,FALSE)</f>
        <v>True</v>
      </c>
      <c r="F498" s="38" t="str">
        <f>VLOOKUP(Tabella1[[#This Row],[test_id]],experiments_specs!A:J,6,FALSE)</f>
        <v>False</v>
      </c>
      <c r="G498" s="38" t="str">
        <f>VLOOKUP(Tabella1[[#This Row],[test_id]],experiments_specs!A:J,7,FALSE)</f>
        <v>True</v>
      </c>
      <c r="H498" s="38" t="str">
        <f>VLOOKUP(Tabella1[[#This Row],[test_id]],experiments_specs!A:J,8,FALSE)</f>
        <v>False</v>
      </c>
      <c r="I498" s="45" t="str">
        <f>VLOOKUP(Tabella1[[#This Row],[test_id]],experiments_specs!A:J,9,FALSE)</f>
        <v>wup_similarity</v>
      </c>
      <c r="J498" s="38" t="str">
        <f>VLOOKUP(Tabella1[[#This Row],[test_id]],experiments_specs!A:J,10,FALSE)</f>
        <v>False</v>
      </c>
      <c r="K498" s="40" t="s">
        <v>18</v>
      </c>
      <c r="L498" s="36" t="s">
        <v>44</v>
      </c>
      <c r="M498" s="36">
        <v>0</v>
      </c>
      <c r="N498" s="36" t="s">
        <v>652</v>
      </c>
      <c r="O498" s="36">
        <v>7.8050999999999997E-3</v>
      </c>
      <c r="P498" s="36">
        <v>0.21052631578947367</v>
      </c>
      <c r="Q498" s="36" t="s">
        <v>46</v>
      </c>
      <c r="R498" s="36">
        <v>0</v>
      </c>
      <c r="S498" s="36" t="s">
        <v>652</v>
      </c>
      <c r="T498" s="36">
        <v>1.0064399999999999E-2</v>
      </c>
      <c r="U498" s="37">
        <v>0.21052631578947367</v>
      </c>
      <c r="V498"/>
    </row>
    <row r="499" spans="1:22" ht="17" x14ac:dyDescent="0.2">
      <c r="A499" s="36" t="s">
        <v>142</v>
      </c>
      <c r="B499" s="45" t="str">
        <f>VLOOKUP(Tabella1[[#This Row],[test_id]],experiments_specs!A:J,2,FALSE)</f>
        <v>NN,VB</v>
      </c>
      <c r="C499" s="38">
        <f>VLOOKUP(Tabella1[[#This Row],[test_id]],experiments_specs!A:J,3,FALSE)</f>
        <v>1</v>
      </c>
      <c r="D499" s="38">
        <f>VLOOKUP(Tabella1[[#This Row],[test_id]],experiments_specs!A:J,4,FALSE)</f>
        <v>2</v>
      </c>
      <c r="E499" s="38" t="str">
        <f>VLOOKUP(Tabella1[[#This Row],[test_id]],experiments_specs!A:J,5,FALSE)</f>
        <v>True</v>
      </c>
      <c r="F499" s="38" t="str">
        <f>VLOOKUP(Tabella1[[#This Row],[test_id]],experiments_specs!A:J,6,FALSE)</f>
        <v>False</v>
      </c>
      <c r="G499" s="38" t="str">
        <f>VLOOKUP(Tabella1[[#This Row],[test_id]],experiments_specs!A:J,7,FALSE)</f>
        <v>True</v>
      </c>
      <c r="H499" s="38" t="str">
        <f>VLOOKUP(Tabella1[[#This Row],[test_id]],experiments_specs!A:J,8,FALSE)</f>
        <v>False</v>
      </c>
      <c r="I499" s="45" t="str">
        <f>VLOOKUP(Tabella1[[#This Row],[test_id]],experiments_specs!A:J,9,FALSE)</f>
        <v>wup_similarity</v>
      </c>
      <c r="J499" s="38" t="str">
        <f>VLOOKUP(Tabella1[[#This Row],[test_id]],experiments_specs!A:J,10,FALSE)</f>
        <v>False</v>
      </c>
      <c r="K499" s="40" t="s">
        <v>19</v>
      </c>
      <c r="L499" s="36" t="s">
        <v>354</v>
      </c>
      <c r="M499" s="36">
        <v>0</v>
      </c>
      <c r="N499" s="36" t="s">
        <v>533</v>
      </c>
      <c r="O499" s="36">
        <v>1.44041E-2</v>
      </c>
      <c r="P499" s="36">
        <v>0.19047619047619047</v>
      </c>
      <c r="Q499" s="36" t="s">
        <v>47</v>
      </c>
      <c r="R499" s="36">
        <v>6.3757599999999998E-2</v>
      </c>
      <c r="S499" s="36" t="s">
        <v>533</v>
      </c>
      <c r="T499" s="36">
        <v>1.6564700000000002E-2</v>
      </c>
      <c r="U499" s="37">
        <v>0.19047619047619047</v>
      </c>
      <c r="V499"/>
    </row>
    <row r="500" spans="1:22" ht="34" x14ac:dyDescent="0.2">
      <c r="A500" s="36" t="s">
        <v>142</v>
      </c>
      <c r="B500" s="45" t="str">
        <f>VLOOKUP(Tabella1[[#This Row],[test_id]],experiments_specs!A:J,2,FALSE)</f>
        <v>NN,VB</v>
      </c>
      <c r="C500" s="38">
        <f>VLOOKUP(Tabella1[[#This Row],[test_id]],experiments_specs!A:J,3,FALSE)</f>
        <v>1</v>
      </c>
      <c r="D500" s="38">
        <f>VLOOKUP(Tabella1[[#This Row],[test_id]],experiments_specs!A:J,4,FALSE)</f>
        <v>2</v>
      </c>
      <c r="E500" s="38" t="str">
        <f>VLOOKUP(Tabella1[[#This Row],[test_id]],experiments_specs!A:J,5,FALSE)</f>
        <v>True</v>
      </c>
      <c r="F500" s="38" t="str">
        <f>VLOOKUP(Tabella1[[#This Row],[test_id]],experiments_specs!A:J,6,FALSE)</f>
        <v>False</v>
      </c>
      <c r="G500" s="38" t="str">
        <f>VLOOKUP(Tabella1[[#This Row],[test_id]],experiments_specs!A:J,7,FALSE)</f>
        <v>True</v>
      </c>
      <c r="H500" s="38" t="str">
        <f>VLOOKUP(Tabella1[[#This Row],[test_id]],experiments_specs!A:J,8,FALSE)</f>
        <v>False</v>
      </c>
      <c r="I500" s="45" t="str">
        <f>VLOOKUP(Tabella1[[#This Row],[test_id]],experiments_specs!A:J,9,FALSE)</f>
        <v>wup_similarity</v>
      </c>
      <c r="J500" s="38" t="str">
        <f>VLOOKUP(Tabella1[[#This Row],[test_id]],experiments_specs!A:J,10,FALSE)</f>
        <v>False</v>
      </c>
      <c r="K500" s="40" t="s">
        <v>12</v>
      </c>
      <c r="L500" s="36" t="s">
        <v>660</v>
      </c>
      <c r="M500" s="36">
        <v>0</v>
      </c>
      <c r="N500" s="36" t="s">
        <v>661</v>
      </c>
      <c r="O500" s="36">
        <v>2.8070999999999999E-3</v>
      </c>
      <c r="P500" s="36">
        <v>0.14285714285714285</v>
      </c>
      <c r="Q500" s="36" t="s">
        <v>391</v>
      </c>
      <c r="R500" s="36" t="s">
        <v>626</v>
      </c>
      <c r="S500" s="36" t="s">
        <v>628</v>
      </c>
      <c r="T500" s="36" t="s">
        <v>663</v>
      </c>
      <c r="U500" s="37">
        <v>0.46153846153846156</v>
      </c>
      <c r="V500"/>
    </row>
    <row r="501" spans="1:22" ht="17" x14ac:dyDescent="0.2">
      <c r="A501" s="36" t="s">
        <v>142</v>
      </c>
      <c r="B501" s="45" t="str">
        <f>VLOOKUP(Tabella1[[#This Row],[test_id]],experiments_specs!A:J,2,FALSE)</f>
        <v>NN,VB</v>
      </c>
      <c r="C501" s="38">
        <f>VLOOKUP(Tabella1[[#This Row],[test_id]],experiments_specs!A:J,3,FALSE)</f>
        <v>1</v>
      </c>
      <c r="D501" s="38">
        <f>VLOOKUP(Tabella1[[#This Row],[test_id]],experiments_specs!A:J,4,FALSE)</f>
        <v>2</v>
      </c>
      <c r="E501" s="38" t="str">
        <f>VLOOKUP(Tabella1[[#This Row],[test_id]],experiments_specs!A:J,5,FALSE)</f>
        <v>True</v>
      </c>
      <c r="F501" s="38" t="str">
        <f>VLOOKUP(Tabella1[[#This Row],[test_id]],experiments_specs!A:J,6,FALSE)</f>
        <v>False</v>
      </c>
      <c r="G501" s="38" t="str">
        <f>VLOOKUP(Tabella1[[#This Row],[test_id]],experiments_specs!A:J,7,FALSE)</f>
        <v>True</v>
      </c>
      <c r="H501" s="38" t="str">
        <f>VLOOKUP(Tabella1[[#This Row],[test_id]],experiments_specs!A:J,8,FALSE)</f>
        <v>False</v>
      </c>
      <c r="I501" s="45" t="str">
        <f>VLOOKUP(Tabella1[[#This Row],[test_id]],experiments_specs!A:J,9,FALSE)</f>
        <v>wup_similarity</v>
      </c>
      <c r="J501" s="38" t="str">
        <f>VLOOKUP(Tabella1[[#This Row],[test_id]],experiments_specs!A:J,10,FALSE)</f>
        <v>False</v>
      </c>
      <c r="K501" s="40" t="s">
        <v>13</v>
      </c>
      <c r="L501" s="36" t="s">
        <v>32</v>
      </c>
      <c r="M501" s="36">
        <v>6.5937999999999997E-2</v>
      </c>
      <c r="N501" s="36" t="s">
        <v>631</v>
      </c>
      <c r="O501" s="36">
        <v>9.9906000000000005E-3</v>
      </c>
      <c r="P501" s="36">
        <v>0.4</v>
      </c>
      <c r="Q501" s="36" t="s">
        <v>34</v>
      </c>
      <c r="R501" s="36">
        <v>0</v>
      </c>
      <c r="S501" s="36" t="s">
        <v>35</v>
      </c>
      <c r="T501" s="36">
        <v>1.6370300000000001E-2</v>
      </c>
      <c r="U501" s="37" t="s">
        <v>25</v>
      </c>
      <c r="V501"/>
    </row>
    <row r="502" spans="1:22" ht="34" x14ac:dyDescent="0.2">
      <c r="A502" s="36" t="s">
        <v>142</v>
      </c>
      <c r="B502" s="45" t="str">
        <f>VLOOKUP(Tabella1[[#This Row],[test_id]],experiments_specs!A:J,2,FALSE)</f>
        <v>NN,VB</v>
      </c>
      <c r="C502" s="38">
        <f>VLOOKUP(Tabella1[[#This Row],[test_id]],experiments_specs!A:J,3,FALSE)</f>
        <v>1</v>
      </c>
      <c r="D502" s="38">
        <f>VLOOKUP(Tabella1[[#This Row],[test_id]],experiments_specs!A:J,4,FALSE)</f>
        <v>2</v>
      </c>
      <c r="E502" s="38" t="str">
        <f>VLOOKUP(Tabella1[[#This Row],[test_id]],experiments_specs!A:J,5,FALSE)</f>
        <v>True</v>
      </c>
      <c r="F502" s="38" t="str">
        <f>VLOOKUP(Tabella1[[#This Row],[test_id]],experiments_specs!A:J,6,FALSE)</f>
        <v>False</v>
      </c>
      <c r="G502" s="38" t="str">
        <f>VLOOKUP(Tabella1[[#This Row],[test_id]],experiments_specs!A:J,7,FALSE)</f>
        <v>True</v>
      </c>
      <c r="H502" s="38" t="str">
        <f>VLOOKUP(Tabella1[[#This Row],[test_id]],experiments_specs!A:J,8,FALSE)</f>
        <v>False</v>
      </c>
      <c r="I502" s="45" t="str">
        <f>VLOOKUP(Tabella1[[#This Row],[test_id]],experiments_specs!A:J,9,FALSE)</f>
        <v>wup_similarity</v>
      </c>
      <c r="J502" s="38" t="str">
        <f>VLOOKUP(Tabella1[[#This Row],[test_id]],experiments_specs!A:J,10,FALSE)</f>
        <v>False</v>
      </c>
      <c r="K502" s="40" t="s">
        <v>14</v>
      </c>
      <c r="L502" s="36" t="s">
        <v>534</v>
      </c>
      <c r="M502" s="36">
        <v>5.5555500000000001E-2</v>
      </c>
      <c r="N502" s="36" t="s">
        <v>632</v>
      </c>
      <c r="O502" s="36">
        <v>7.4073999999999997E-3</v>
      </c>
      <c r="P502" s="36">
        <v>0.33333333333333331</v>
      </c>
      <c r="Q502" s="36" t="s">
        <v>634</v>
      </c>
      <c r="R502" s="36" t="s">
        <v>186</v>
      </c>
      <c r="S502" s="36" t="s">
        <v>636</v>
      </c>
      <c r="T502" s="36" t="s">
        <v>665</v>
      </c>
      <c r="U502" s="37">
        <v>0.33333333333333331</v>
      </c>
      <c r="V502"/>
    </row>
    <row r="503" spans="1:22" ht="17" x14ac:dyDescent="0.2">
      <c r="A503" s="36" t="s">
        <v>142</v>
      </c>
      <c r="B503" s="45" t="str">
        <f>VLOOKUP(Tabella1[[#This Row],[test_id]],experiments_specs!A:J,2,FALSE)</f>
        <v>NN,VB</v>
      </c>
      <c r="C503" s="38">
        <f>VLOOKUP(Tabella1[[#This Row],[test_id]],experiments_specs!A:J,3,FALSE)</f>
        <v>1</v>
      </c>
      <c r="D503" s="38">
        <f>VLOOKUP(Tabella1[[#This Row],[test_id]],experiments_specs!A:J,4,FALSE)</f>
        <v>2</v>
      </c>
      <c r="E503" s="38" t="str">
        <f>VLOOKUP(Tabella1[[#This Row],[test_id]],experiments_specs!A:J,5,FALSE)</f>
        <v>True</v>
      </c>
      <c r="F503" s="38" t="str">
        <f>VLOOKUP(Tabella1[[#This Row],[test_id]],experiments_specs!A:J,6,FALSE)</f>
        <v>False</v>
      </c>
      <c r="G503" s="38" t="str">
        <f>VLOOKUP(Tabella1[[#This Row],[test_id]],experiments_specs!A:J,7,FALSE)</f>
        <v>True</v>
      </c>
      <c r="H503" s="38" t="str">
        <f>VLOOKUP(Tabella1[[#This Row],[test_id]],experiments_specs!A:J,8,FALSE)</f>
        <v>False</v>
      </c>
      <c r="I503" s="45" t="str">
        <f>VLOOKUP(Tabella1[[#This Row],[test_id]],experiments_specs!A:J,9,FALSE)</f>
        <v>wup_similarity</v>
      </c>
      <c r="J503" s="38" t="str">
        <f>VLOOKUP(Tabella1[[#This Row],[test_id]],experiments_specs!A:J,10,FALSE)</f>
        <v>False</v>
      </c>
      <c r="K503" s="40" t="s">
        <v>15</v>
      </c>
      <c r="L503" s="36" t="s">
        <v>409</v>
      </c>
      <c r="M503" s="36">
        <v>4.7088100000000001E-2</v>
      </c>
      <c r="N503" s="36" t="s">
        <v>410</v>
      </c>
      <c r="O503" s="36">
        <v>6.9842999999999997E-3</v>
      </c>
      <c r="P503" s="36">
        <v>0.22222222222222221</v>
      </c>
      <c r="Q503" s="36" t="s">
        <v>365</v>
      </c>
      <c r="R503" s="36">
        <v>0</v>
      </c>
      <c r="S503" s="36" t="s">
        <v>26</v>
      </c>
      <c r="T503" s="36">
        <v>2.3248700000000001E-2</v>
      </c>
      <c r="U503" s="37">
        <v>0.18181818181818182</v>
      </c>
      <c r="V503"/>
    </row>
    <row r="504" spans="1:22" ht="17" x14ac:dyDescent="0.2">
      <c r="A504" s="36" t="s">
        <v>142</v>
      </c>
      <c r="B504" s="45" t="str">
        <f>VLOOKUP(Tabella1[[#This Row],[test_id]],experiments_specs!A:J,2,FALSE)</f>
        <v>NN,VB</v>
      </c>
      <c r="C504" s="38">
        <f>VLOOKUP(Tabella1[[#This Row],[test_id]],experiments_specs!A:J,3,FALSE)</f>
        <v>1</v>
      </c>
      <c r="D504" s="38">
        <f>VLOOKUP(Tabella1[[#This Row],[test_id]],experiments_specs!A:J,4,FALSE)</f>
        <v>2</v>
      </c>
      <c r="E504" s="38" t="str">
        <f>VLOOKUP(Tabella1[[#This Row],[test_id]],experiments_specs!A:J,5,FALSE)</f>
        <v>True</v>
      </c>
      <c r="F504" s="38" t="str">
        <f>VLOOKUP(Tabella1[[#This Row],[test_id]],experiments_specs!A:J,6,FALSE)</f>
        <v>False</v>
      </c>
      <c r="G504" s="38" t="str">
        <f>VLOOKUP(Tabella1[[#This Row],[test_id]],experiments_specs!A:J,7,FALSE)</f>
        <v>True</v>
      </c>
      <c r="H504" s="38" t="str">
        <f>VLOOKUP(Tabella1[[#This Row],[test_id]],experiments_specs!A:J,8,FALSE)</f>
        <v>False</v>
      </c>
      <c r="I504" s="45" t="str">
        <f>VLOOKUP(Tabella1[[#This Row],[test_id]],experiments_specs!A:J,9,FALSE)</f>
        <v>wup_similarity</v>
      </c>
      <c r="J504" s="38" t="str">
        <f>VLOOKUP(Tabella1[[#This Row],[test_id]],experiments_specs!A:J,10,FALSE)</f>
        <v>False</v>
      </c>
      <c r="K504" s="40" t="s">
        <v>16</v>
      </c>
      <c r="L504" s="36" t="s">
        <v>640</v>
      </c>
      <c r="M504" s="36">
        <v>0</v>
      </c>
      <c r="N504" s="36" t="s">
        <v>641</v>
      </c>
      <c r="O504" s="36">
        <v>4.3858999999999999E-3</v>
      </c>
      <c r="P504" s="36">
        <v>0.13333333333333333</v>
      </c>
      <c r="Q504" s="36" t="s">
        <v>642</v>
      </c>
      <c r="R504" s="36">
        <v>0</v>
      </c>
      <c r="S504" s="36" t="s">
        <v>643</v>
      </c>
      <c r="T504" s="36">
        <v>5.7425000000000002E-3</v>
      </c>
      <c r="U504" s="37">
        <v>0.70588235294117652</v>
      </c>
      <c r="V504"/>
    </row>
    <row r="505" spans="1:22" ht="34" x14ac:dyDescent="0.2">
      <c r="A505" s="36" t="s">
        <v>142</v>
      </c>
      <c r="B505" s="45" t="str">
        <f>VLOOKUP(Tabella1[[#This Row],[test_id]],experiments_specs!A:J,2,FALSE)</f>
        <v>NN,VB</v>
      </c>
      <c r="C505" s="38">
        <f>VLOOKUP(Tabella1[[#This Row],[test_id]],experiments_specs!A:J,3,FALSE)</f>
        <v>1</v>
      </c>
      <c r="D505" s="38">
        <f>VLOOKUP(Tabella1[[#This Row],[test_id]],experiments_specs!A:J,4,FALSE)</f>
        <v>2</v>
      </c>
      <c r="E505" s="38" t="str">
        <f>VLOOKUP(Tabella1[[#This Row],[test_id]],experiments_specs!A:J,5,FALSE)</f>
        <v>True</v>
      </c>
      <c r="F505" s="38" t="str">
        <f>VLOOKUP(Tabella1[[#This Row],[test_id]],experiments_specs!A:J,6,FALSE)</f>
        <v>False</v>
      </c>
      <c r="G505" s="38" t="str">
        <f>VLOOKUP(Tabella1[[#This Row],[test_id]],experiments_specs!A:J,7,FALSE)</f>
        <v>True</v>
      </c>
      <c r="H505" s="38" t="str">
        <f>VLOOKUP(Tabella1[[#This Row],[test_id]],experiments_specs!A:J,8,FALSE)</f>
        <v>False</v>
      </c>
      <c r="I505" s="45" t="str">
        <f>VLOOKUP(Tabella1[[#This Row],[test_id]],experiments_specs!A:J,9,FALSE)</f>
        <v>wup_similarity</v>
      </c>
      <c r="J505" s="38" t="str">
        <f>VLOOKUP(Tabella1[[#This Row],[test_id]],experiments_specs!A:J,10,FALSE)</f>
        <v>False</v>
      </c>
      <c r="K505" s="40" t="s">
        <v>17</v>
      </c>
      <c r="L505" s="36" t="s">
        <v>601</v>
      </c>
      <c r="M505" s="36" t="s">
        <v>603</v>
      </c>
      <c r="N505" s="36" t="s">
        <v>605</v>
      </c>
      <c r="O505" s="36" t="s">
        <v>667</v>
      </c>
      <c r="P505" s="36">
        <v>0.22222222222222221</v>
      </c>
      <c r="Q505" s="36" t="s">
        <v>647</v>
      </c>
      <c r="R505" s="36" t="s">
        <v>186</v>
      </c>
      <c r="S505" s="36" t="s">
        <v>649</v>
      </c>
      <c r="T505" s="36" t="s">
        <v>669</v>
      </c>
      <c r="U505" s="37">
        <v>0.18181818181818182</v>
      </c>
      <c r="V505"/>
    </row>
    <row r="506" spans="1:22" ht="34" x14ac:dyDescent="0.2">
      <c r="A506" s="36" t="s">
        <v>142</v>
      </c>
      <c r="B506" s="45" t="str">
        <f>VLOOKUP(Tabella1[[#This Row],[test_id]],experiments_specs!A:J,2,FALSE)</f>
        <v>NN,VB</v>
      </c>
      <c r="C506" s="38">
        <f>VLOOKUP(Tabella1[[#This Row],[test_id]],experiments_specs!A:J,3,FALSE)</f>
        <v>1</v>
      </c>
      <c r="D506" s="38">
        <f>VLOOKUP(Tabella1[[#This Row],[test_id]],experiments_specs!A:J,4,FALSE)</f>
        <v>2</v>
      </c>
      <c r="E506" s="38" t="str">
        <f>VLOOKUP(Tabella1[[#This Row],[test_id]],experiments_specs!A:J,5,FALSE)</f>
        <v>True</v>
      </c>
      <c r="F506" s="38" t="str">
        <f>VLOOKUP(Tabella1[[#This Row],[test_id]],experiments_specs!A:J,6,FALSE)</f>
        <v>False</v>
      </c>
      <c r="G506" s="38" t="str">
        <f>VLOOKUP(Tabella1[[#This Row],[test_id]],experiments_specs!A:J,7,FALSE)</f>
        <v>True</v>
      </c>
      <c r="H506" s="38" t="str">
        <f>VLOOKUP(Tabella1[[#This Row],[test_id]],experiments_specs!A:J,8,FALSE)</f>
        <v>False</v>
      </c>
      <c r="I506" s="45" t="str">
        <f>VLOOKUP(Tabella1[[#This Row],[test_id]],experiments_specs!A:J,9,FALSE)</f>
        <v>wup_similarity</v>
      </c>
      <c r="J506" s="38" t="str">
        <f>VLOOKUP(Tabella1[[#This Row],[test_id]],experiments_specs!A:J,10,FALSE)</f>
        <v>False</v>
      </c>
      <c r="K506" s="40" t="s">
        <v>18</v>
      </c>
      <c r="L506" s="36" t="s">
        <v>44</v>
      </c>
      <c r="M506" s="36">
        <v>0</v>
      </c>
      <c r="N506" s="36" t="s">
        <v>652</v>
      </c>
      <c r="O506" s="36">
        <v>8.4989000000000002E-3</v>
      </c>
      <c r="P506" s="36">
        <v>0.21052631578947367</v>
      </c>
      <c r="Q506" s="36" t="s">
        <v>46</v>
      </c>
      <c r="R506" s="36">
        <v>0</v>
      </c>
      <c r="S506" s="36" t="s">
        <v>652</v>
      </c>
      <c r="T506" s="36">
        <v>8.4989000000000002E-3</v>
      </c>
      <c r="U506" s="37">
        <v>0.21052631578947367</v>
      </c>
      <c r="V506"/>
    </row>
    <row r="507" spans="1:22" ht="17" x14ac:dyDescent="0.2">
      <c r="A507" s="36" t="s">
        <v>143</v>
      </c>
      <c r="B507" s="45" t="str">
        <f>VLOOKUP(Tabella1[[#This Row],[test_id]],experiments_specs!A:J,2,FALSE)</f>
        <v>NN,VB,VBD,VBG,VBN,VBP,VBZ</v>
      </c>
      <c r="C507" s="38">
        <f>VLOOKUP(Tabella1[[#This Row],[test_id]],experiments_specs!A:J,3,FALSE)</f>
        <v>1</v>
      </c>
      <c r="D507" s="38">
        <f>VLOOKUP(Tabella1[[#This Row],[test_id]],experiments_specs!A:J,4,FALSE)</f>
        <v>2</v>
      </c>
      <c r="E507" s="38" t="str">
        <f>VLOOKUP(Tabella1[[#This Row],[test_id]],experiments_specs!A:J,5,FALSE)</f>
        <v>True</v>
      </c>
      <c r="F507" s="38" t="str">
        <f>VLOOKUP(Tabella1[[#This Row],[test_id]],experiments_specs!A:J,6,FALSE)</f>
        <v>False</v>
      </c>
      <c r="G507" s="38" t="str">
        <f>VLOOKUP(Tabella1[[#This Row],[test_id]],experiments_specs!A:J,7,FALSE)</f>
        <v>True</v>
      </c>
      <c r="H507" s="38" t="str">
        <f>VLOOKUP(Tabella1[[#This Row],[test_id]],experiments_specs!A:J,8,FALSE)</f>
        <v>False</v>
      </c>
      <c r="I507" s="45" t="str">
        <f>VLOOKUP(Tabella1[[#This Row],[test_id]],experiments_specs!A:J,9,FALSE)</f>
        <v>wup_similarity</v>
      </c>
      <c r="J507" s="38" t="str">
        <f>VLOOKUP(Tabella1[[#This Row],[test_id]],experiments_specs!A:J,10,FALSE)</f>
        <v>False</v>
      </c>
      <c r="K507" s="40" t="s">
        <v>19</v>
      </c>
      <c r="L507" s="36" t="s">
        <v>354</v>
      </c>
      <c r="M507" s="36">
        <v>0</v>
      </c>
      <c r="N507" s="36" t="s">
        <v>533</v>
      </c>
      <c r="O507" s="36">
        <v>1.03529E-2</v>
      </c>
      <c r="P507" s="36">
        <v>0.19047619047619047</v>
      </c>
      <c r="Q507" s="36" t="s">
        <v>47</v>
      </c>
      <c r="R507" s="36">
        <v>6.3757599999999998E-2</v>
      </c>
      <c r="S507" s="36" t="s">
        <v>533</v>
      </c>
      <c r="T507" s="36">
        <v>1.32517E-2</v>
      </c>
      <c r="U507" s="37">
        <v>0.19047619047619047</v>
      </c>
      <c r="V507"/>
    </row>
    <row r="508" spans="1:22" ht="34" x14ac:dyDescent="0.2">
      <c r="A508" s="36" t="s">
        <v>143</v>
      </c>
      <c r="B508" s="45" t="str">
        <f>VLOOKUP(Tabella1[[#This Row],[test_id]],experiments_specs!A:J,2,FALSE)</f>
        <v>NN,VB,VBD,VBG,VBN,VBP,VBZ</v>
      </c>
      <c r="C508" s="38">
        <f>VLOOKUP(Tabella1[[#This Row],[test_id]],experiments_specs!A:J,3,FALSE)</f>
        <v>1</v>
      </c>
      <c r="D508" s="38">
        <f>VLOOKUP(Tabella1[[#This Row],[test_id]],experiments_specs!A:J,4,FALSE)</f>
        <v>2</v>
      </c>
      <c r="E508" s="38" t="str">
        <f>VLOOKUP(Tabella1[[#This Row],[test_id]],experiments_specs!A:J,5,FALSE)</f>
        <v>True</v>
      </c>
      <c r="F508" s="38" t="str">
        <f>VLOOKUP(Tabella1[[#This Row],[test_id]],experiments_specs!A:J,6,FALSE)</f>
        <v>False</v>
      </c>
      <c r="G508" s="38" t="str">
        <f>VLOOKUP(Tabella1[[#This Row],[test_id]],experiments_specs!A:J,7,FALSE)</f>
        <v>True</v>
      </c>
      <c r="H508" s="38" t="str">
        <f>VLOOKUP(Tabella1[[#This Row],[test_id]],experiments_specs!A:J,8,FALSE)</f>
        <v>False</v>
      </c>
      <c r="I508" s="45" t="str">
        <f>VLOOKUP(Tabella1[[#This Row],[test_id]],experiments_specs!A:J,9,FALSE)</f>
        <v>wup_similarity</v>
      </c>
      <c r="J508" s="38" t="str">
        <f>VLOOKUP(Tabella1[[#This Row],[test_id]],experiments_specs!A:J,10,FALSE)</f>
        <v>False</v>
      </c>
      <c r="K508" s="40" t="s">
        <v>12</v>
      </c>
      <c r="L508" s="36" t="s">
        <v>660</v>
      </c>
      <c r="M508" s="36">
        <v>0</v>
      </c>
      <c r="N508" s="36" t="s">
        <v>661</v>
      </c>
      <c r="O508" s="36">
        <v>2.3392999999999999E-3</v>
      </c>
      <c r="P508" s="36">
        <v>0.14285714285714285</v>
      </c>
      <c r="Q508" s="36" t="s">
        <v>391</v>
      </c>
      <c r="R508" s="36" t="s">
        <v>626</v>
      </c>
      <c r="S508" s="36" t="s">
        <v>628</v>
      </c>
      <c r="T508" s="36" t="s">
        <v>671</v>
      </c>
      <c r="U508" s="37">
        <v>0.46153846153846156</v>
      </c>
      <c r="V508"/>
    </row>
    <row r="509" spans="1:22" ht="17" x14ac:dyDescent="0.2">
      <c r="A509" s="36" t="s">
        <v>143</v>
      </c>
      <c r="B509" s="45" t="str">
        <f>VLOOKUP(Tabella1[[#This Row],[test_id]],experiments_specs!A:J,2,FALSE)</f>
        <v>NN,VB,VBD,VBG,VBN,VBP,VBZ</v>
      </c>
      <c r="C509" s="38">
        <f>VLOOKUP(Tabella1[[#This Row],[test_id]],experiments_specs!A:J,3,FALSE)</f>
        <v>1</v>
      </c>
      <c r="D509" s="38">
        <f>VLOOKUP(Tabella1[[#This Row],[test_id]],experiments_specs!A:J,4,FALSE)</f>
        <v>2</v>
      </c>
      <c r="E509" s="38" t="str">
        <f>VLOOKUP(Tabella1[[#This Row],[test_id]],experiments_specs!A:J,5,FALSE)</f>
        <v>True</v>
      </c>
      <c r="F509" s="38" t="str">
        <f>VLOOKUP(Tabella1[[#This Row],[test_id]],experiments_specs!A:J,6,FALSE)</f>
        <v>False</v>
      </c>
      <c r="G509" s="38" t="str">
        <f>VLOOKUP(Tabella1[[#This Row],[test_id]],experiments_specs!A:J,7,FALSE)</f>
        <v>True</v>
      </c>
      <c r="H509" s="38" t="str">
        <f>VLOOKUP(Tabella1[[#This Row],[test_id]],experiments_specs!A:J,8,FALSE)</f>
        <v>False</v>
      </c>
      <c r="I509" s="45" t="str">
        <f>VLOOKUP(Tabella1[[#This Row],[test_id]],experiments_specs!A:J,9,FALSE)</f>
        <v>wup_similarity</v>
      </c>
      <c r="J509" s="38" t="str">
        <f>VLOOKUP(Tabella1[[#This Row],[test_id]],experiments_specs!A:J,10,FALSE)</f>
        <v>False</v>
      </c>
      <c r="K509" s="40" t="s">
        <v>13</v>
      </c>
      <c r="L509" s="36" t="s">
        <v>32</v>
      </c>
      <c r="M509" s="36">
        <v>6.5937999999999997E-2</v>
      </c>
      <c r="N509" s="36" t="s">
        <v>631</v>
      </c>
      <c r="O509" s="36">
        <v>8.6759999999999997E-3</v>
      </c>
      <c r="P509" s="36">
        <v>0.4</v>
      </c>
      <c r="Q509" s="36" t="s">
        <v>34</v>
      </c>
      <c r="R509" s="36">
        <v>0</v>
      </c>
      <c r="S509" s="36" t="s">
        <v>35</v>
      </c>
      <c r="T509" s="36">
        <v>1.5200999999999999E-2</v>
      </c>
      <c r="U509" s="37" t="s">
        <v>25</v>
      </c>
      <c r="V509"/>
    </row>
    <row r="510" spans="1:22" ht="34" x14ac:dyDescent="0.2">
      <c r="A510" s="36" t="s">
        <v>143</v>
      </c>
      <c r="B510" s="45" t="str">
        <f>VLOOKUP(Tabella1[[#This Row],[test_id]],experiments_specs!A:J,2,FALSE)</f>
        <v>NN,VB,VBD,VBG,VBN,VBP,VBZ</v>
      </c>
      <c r="C510" s="38">
        <f>VLOOKUP(Tabella1[[#This Row],[test_id]],experiments_specs!A:J,3,FALSE)</f>
        <v>1</v>
      </c>
      <c r="D510" s="38">
        <f>VLOOKUP(Tabella1[[#This Row],[test_id]],experiments_specs!A:J,4,FALSE)</f>
        <v>2</v>
      </c>
      <c r="E510" s="38" t="str">
        <f>VLOOKUP(Tabella1[[#This Row],[test_id]],experiments_specs!A:J,5,FALSE)</f>
        <v>True</v>
      </c>
      <c r="F510" s="38" t="str">
        <f>VLOOKUP(Tabella1[[#This Row],[test_id]],experiments_specs!A:J,6,FALSE)</f>
        <v>False</v>
      </c>
      <c r="G510" s="38" t="str">
        <f>VLOOKUP(Tabella1[[#This Row],[test_id]],experiments_specs!A:J,7,FALSE)</f>
        <v>True</v>
      </c>
      <c r="H510" s="38" t="str">
        <f>VLOOKUP(Tabella1[[#This Row],[test_id]],experiments_specs!A:J,8,FALSE)</f>
        <v>False</v>
      </c>
      <c r="I510" s="45" t="str">
        <f>VLOOKUP(Tabella1[[#This Row],[test_id]],experiments_specs!A:J,9,FALSE)</f>
        <v>wup_similarity</v>
      </c>
      <c r="J510" s="38" t="str">
        <f>VLOOKUP(Tabella1[[#This Row],[test_id]],experiments_specs!A:J,10,FALSE)</f>
        <v>False</v>
      </c>
      <c r="K510" s="40" t="s">
        <v>14</v>
      </c>
      <c r="L510" s="36" t="s">
        <v>534</v>
      </c>
      <c r="M510" s="36">
        <v>5.5555500000000001E-2</v>
      </c>
      <c r="N510" s="36" t="s">
        <v>632</v>
      </c>
      <c r="O510" s="36">
        <v>5.4200000000000003E-3</v>
      </c>
      <c r="P510" s="36">
        <v>0.33333333333333331</v>
      </c>
      <c r="Q510" s="36" t="s">
        <v>634</v>
      </c>
      <c r="R510" s="36" t="s">
        <v>186</v>
      </c>
      <c r="S510" s="36" t="s">
        <v>636</v>
      </c>
      <c r="T510" s="36" t="s">
        <v>673</v>
      </c>
      <c r="U510" s="37">
        <v>0.33333333333333331</v>
      </c>
      <c r="V510"/>
    </row>
    <row r="511" spans="1:22" ht="17" x14ac:dyDescent="0.2">
      <c r="A511" s="36" t="s">
        <v>143</v>
      </c>
      <c r="B511" s="45" t="str">
        <f>VLOOKUP(Tabella1[[#This Row],[test_id]],experiments_specs!A:J,2,FALSE)</f>
        <v>NN,VB,VBD,VBG,VBN,VBP,VBZ</v>
      </c>
      <c r="C511" s="38">
        <f>VLOOKUP(Tabella1[[#This Row],[test_id]],experiments_specs!A:J,3,FALSE)</f>
        <v>1</v>
      </c>
      <c r="D511" s="38">
        <f>VLOOKUP(Tabella1[[#This Row],[test_id]],experiments_specs!A:J,4,FALSE)</f>
        <v>2</v>
      </c>
      <c r="E511" s="38" t="str">
        <f>VLOOKUP(Tabella1[[#This Row],[test_id]],experiments_specs!A:J,5,FALSE)</f>
        <v>True</v>
      </c>
      <c r="F511" s="38" t="str">
        <f>VLOOKUP(Tabella1[[#This Row],[test_id]],experiments_specs!A:J,6,FALSE)</f>
        <v>False</v>
      </c>
      <c r="G511" s="38" t="str">
        <f>VLOOKUP(Tabella1[[#This Row],[test_id]],experiments_specs!A:J,7,FALSE)</f>
        <v>True</v>
      </c>
      <c r="H511" s="38" t="str">
        <f>VLOOKUP(Tabella1[[#This Row],[test_id]],experiments_specs!A:J,8,FALSE)</f>
        <v>False</v>
      </c>
      <c r="I511" s="45" t="str">
        <f>VLOOKUP(Tabella1[[#This Row],[test_id]],experiments_specs!A:J,9,FALSE)</f>
        <v>wup_similarity</v>
      </c>
      <c r="J511" s="38" t="str">
        <f>VLOOKUP(Tabella1[[#This Row],[test_id]],experiments_specs!A:J,10,FALSE)</f>
        <v>False</v>
      </c>
      <c r="K511" s="40" t="s">
        <v>15</v>
      </c>
      <c r="L511" s="36" t="s">
        <v>409</v>
      </c>
      <c r="M511" s="36">
        <v>4.7088100000000001E-2</v>
      </c>
      <c r="N511" s="36" t="s">
        <v>410</v>
      </c>
      <c r="O511" s="36">
        <v>9.0119999999999992E-3</v>
      </c>
      <c r="P511" s="36">
        <v>0.22222222222222221</v>
      </c>
      <c r="Q511" s="36" t="s">
        <v>365</v>
      </c>
      <c r="R511" s="36">
        <v>0</v>
      </c>
      <c r="S511" s="36" t="s">
        <v>26</v>
      </c>
      <c r="T511" s="36">
        <v>1.7669000000000001E-2</v>
      </c>
      <c r="U511" s="37">
        <v>0.18181818181818182</v>
      </c>
      <c r="V511"/>
    </row>
    <row r="512" spans="1:22" ht="17" x14ac:dyDescent="0.2">
      <c r="A512" s="36" t="s">
        <v>143</v>
      </c>
      <c r="B512" s="45" t="str">
        <f>VLOOKUP(Tabella1[[#This Row],[test_id]],experiments_specs!A:J,2,FALSE)</f>
        <v>NN,VB,VBD,VBG,VBN,VBP,VBZ</v>
      </c>
      <c r="C512" s="38">
        <f>VLOOKUP(Tabella1[[#This Row],[test_id]],experiments_specs!A:J,3,FALSE)</f>
        <v>1</v>
      </c>
      <c r="D512" s="38">
        <f>VLOOKUP(Tabella1[[#This Row],[test_id]],experiments_specs!A:J,4,FALSE)</f>
        <v>2</v>
      </c>
      <c r="E512" s="38" t="str">
        <f>VLOOKUP(Tabella1[[#This Row],[test_id]],experiments_specs!A:J,5,FALSE)</f>
        <v>True</v>
      </c>
      <c r="F512" s="38" t="str">
        <f>VLOOKUP(Tabella1[[#This Row],[test_id]],experiments_specs!A:J,6,FALSE)</f>
        <v>False</v>
      </c>
      <c r="G512" s="38" t="str">
        <f>VLOOKUP(Tabella1[[#This Row],[test_id]],experiments_specs!A:J,7,FALSE)</f>
        <v>True</v>
      </c>
      <c r="H512" s="38" t="str">
        <f>VLOOKUP(Tabella1[[#This Row],[test_id]],experiments_specs!A:J,8,FALSE)</f>
        <v>False</v>
      </c>
      <c r="I512" s="45" t="str">
        <f>VLOOKUP(Tabella1[[#This Row],[test_id]],experiments_specs!A:J,9,FALSE)</f>
        <v>wup_similarity</v>
      </c>
      <c r="J512" s="38" t="str">
        <f>VLOOKUP(Tabella1[[#This Row],[test_id]],experiments_specs!A:J,10,FALSE)</f>
        <v>False</v>
      </c>
      <c r="K512" s="40" t="s">
        <v>16</v>
      </c>
      <c r="L512" s="36" t="s">
        <v>640</v>
      </c>
      <c r="M512" s="36">
        <v>0</v>
      </c>
      <c r="N512" s="36" t="s">
        <v>641</v>
      </c>
      <c r="O512" s="36">
        <v>3.4721999999999999E-3</v>
      </c>
      <c r="P512" s="36">
        <v>0.13333333333333333</v>
      </c>
      <c r="Q512" s="36" t="s">
        <v>642</v>
      </c>
      <c r="R512" s="36">
        <v>0</v>
      </c>
      <c r="S512" s="36" t="s">
        <v>643</v>
      </c>
      <c r="T512" s="36">
        <v>4.7438000000000003E-3</v>
      </c>
      <c r="U512" s="37">
        <v>0.70588235294117652</v>
      </c>
      <c r="V512"/>
    </row>
    <row r="513" spans="1:22" ht="34" x14ac:dyDescent="0.2">
      <c r="A513" s="36" t="s">
        <v>143</v>
      </c>
      <c r="B513" s="45" t="str">
        <f>VLOOKUP(Tabella1[[#This Row],[test_id]],experiments_specs!A:J,2,FALSE)</f>
        <v>NN,VB,VBD,VBG,VBN,VBP,VBZ</v>
      </c>
      <c r="C513" s="38">
        <f>VLOOKUP(Tabella1[[#This Row],[test_id]],experiments_specs!A:J,3,FALSE)</f>
        <v>1</v>
      </c>
      <c r="D513" s="38">
        <f>VLOOKUP(Tabella1[[#This Row],[test_id]],experiments_specs!A:J,4,FALSE)</f>
        <v>2</v>
      </c>
      <c r="E513" s="38" t="str">
        <f>VLOOKUP(Tabella1[[#This Row],[test_id]],experiments_specs!A:J,5,FALSE)</f>
        <v>True</v>
      </c>
      <c r="F513" s="38" t="str">
        <f>VLOOKUP(Tabella1[[#This Row],[test_id]],experiments_specs!A:J,6,FALSE)</f>
        <v>False</v>
      </c>
      <c r="G513" s="38" t="str">
        <f>VLOOKUP(Tabella1[[#This Row],[test_id]],experiments_specs!A:J,7,FALSE)</f>
        <v>True</v>
      </c>
      <c r="H513" s="38" t="str">
        <f>VLOOKUP(Tabella1[[#This Row],[test_id]],experiments_specs!A:J,8,FALSE)</f>
        <v>False</v>
      </c>
      <c r="I513" s="45" t="str">
        <f>VLOOKUP(Tabella1[[#This Row],[test_id]],experiments_specs!A:J,9,FALSE)</f>
        <v>wup_similarity</v>
      </c>
      <c r="J513" s="38" t="str">
        <f>VLOOKUP(Tabella1[[#This Row],[test_id]],experiments_specs!A:J,10,FALSE)</f>
        <v>False</v>
      </c>
      <c r="K513" s="40" t="s">
        <v>17</v>
      </c>
      <c r="L513" s="36" t="s">
        <v>601</v>
      </c>
      <c r="M513" s="36" t="s">
        <v>603</v>
      </c>
      <c r="N513" s="36" t="s">
        <v>605</v>
      </c>
      <c r="O513" s="36" t="s">
        <v>675</v>
      </c>
      <c r="P513" s="36">
        <v>0.22222222222222221</v>
      </c>
      <c r="Q513" s="36" t="s">
        <v>601</v>
      </c>
      <c r="R513" s="36" t="s">
        <v>603</v>
      </c>
      <c r="S513" s="36" t="s">
        <v>605</v>
      </c>
      <c r="T513" s="36" t="s">
        <v>677</v>
      </c>
      <c r="U513" s="37">
        <v>0.22222222222222221</v>
      </c>
      <c r="V513"/>
    </row>
    <row r="514" spans="1:22" ht="34" x14ac:dyDescent="0.2">
      <c r="A514" s="36" t="s">
        <v>143</v>
      </c>
      <c r="B514" s="45" t="str">
        <f>VLOOKUP(Tabella1[[#This Row],[test_id]],experiments_specs!A:J,2,FALSE)</f>
        <v>NN,VB,VBD,VBG,VBN,VBP,VBZ</v>
      </c>
      <c r="C514" s="38">
        <f>VLOOKUP(Tabella1[[#This Row],[test_id]],experiments_specs!A:J,3,FALSE)</f>
        <v>1</v>
      </c>
      <c r="D514" s="38">
        <f>VLOOKUP(Tabella1[[#This Row],[test_id]],experiments_specs!A:J,4,FALSE)</f>
        <v>2</v>
      </c>
      <c r="E514" s="38" t="str">
        <f>VLOOKUP(Tabella1[[#This Row],[test_id]],experiments_specs!A:J,5,FALSE)</f>
        <v>True</v>
      </c>
      <c r="F514" s="38" t="str">
        <f>VLOOKUP(Tabella1[[#This Row],[test_id]],experiments_specs!A:J,6,FALSE)</f>
        <v>False</v>
      </c>
      <c r="G514" s="38" t="str">
        <f>VLOOKUP(Tabella1[[#This Row],[test_id]],experiments_specs!A:J,7,FALSE)</f>
        <v>True</v>
      </c>
      <c r="H514" s="38" t="str">
        <f>VLOOKUP(Tabella1[[#This Row],[test_id]],experiments_specs!A:J,8,FALSE)</f>
        <v>False</v>
      </c>
      <c r="I514" s="45" t="str">
        <f>VLOOKUP(Tabella1[[#This Row],[test_id]],experiments_specs!A:J,9,FALSE)</f>
        <v>wup_similarity</v>
      </c>
      <c r="J514" s="38" t="str">
        <f>VLOOKUP(Tabella1[[#This Row],[test_id]],experiments_specs!A:J,10,FALSE)</f>
        <v>False</v>
      </c>
      <c r="K514" s="40" t="s">
        <v>18</v>
      </c>
      <c r="L514" s="36" t="s">
        <v>44</v>
      </c>
      <c r="M514" s="36">
        <v>0</v>
      </c>
      <c r="N514" s="36" t="s">
        <v>652</v>
      </c>
      <c r="O514" s="36">
        <v>5.9756999999999996E-3</v>
      </c>
      <c r="P514" s="36">
        <v>0.21052631578947367</v>
      </c>
      <c r="Q514" s="36" t="s">
        <v>46</v>
      </c>
      <c r="R514" s="36">
        <v>0</v>
      </c>
      <c r="S514" s="36" t="s">
        <v>652</v>
      </c>
      <c r="T514" s="36">
        <v>6.9535999999999999E-3</v>
      </c>
      <c r="U514" s="37">
        <v>0.21052631578947367</v>
      </c>
      <c r="V514"/>
    </row>
    <row r="515" spans="1:22" ht="17" x14ac:dyDescent="0.2">
      <c r="A515" s="36" t="s">
        <v>144</v>
      </c>
      <c r="B515" s="45" t="str">
        <f>VLOOKUP(Tabella1[[#This Row],[test_id]],experiments_specs!A:J,2,FALSE)</f>
        <v>NN,RB</v>
      </c>
      <c r="C515" s="38">
        <f>VLOOKUP(Tabella1[[#This Row],[test_id]],experiments_specs!A:J,3,FALSE)</f>
        <v>1</v>
      </c>
      <c r="D515" s="38">
        <f>VLOOKUP(Tabella1[[#This Row],[test_id]],experiments_specs!A:J,4,FALSE)</f>
        <v>2</v>
      </c>
      <c r="E515" s="38" t="str">
        <f>VLOOKUP(Tabella1[[#This Row],[test_id]],experiments_specs!A:J,5,FALSE)</f>
        <v>True</v>
      </c>
      <c r="F515" s="38" t="str">
        <f>VLOOKUP(Tabella1[[#This Row],[test_id]],experiments_specs!A:J,6,FALSE)</f>
        <v>False</v>
      </c>
      <c r="G515" s="38" t="str">
        <f>VLOOKUP(Tabella1[[#This Row],[test_id]],experiments_specs!A:J,7,FALSE)</f>
        <v>True</v>
      </c>
      <c r="H515" s="38" t="str">
        <f>VLOOKUP(Tabella1[[#This Row],[test_id]],experiments_specs!A:J,8,FALSE)</f>
        <v>False</v>
      </c>
      <c r="I515" s="45" t="str">
        <f>VLOOKUP(Tabella1[[#This Row],[test_id]],experiments_specs!A:J,9,FALSE)</f>
        <v>wup_similarity</v>
      </c>
      <c r="J515" s="38" t="str">
        <f>VLOOKUP(Tabella1[[#This Row],[test_id]],experiments_specs!A:J,10,FALSE)</f>
        <v>False</v>
      </c>
      <c r="K515" s="40" t="s">
        <v>19</v>
      </c>
      <c r="L515" s="36" t="s">
        <v>354</v>
      </c>
      <c r="M515" s="36">
        <v>0</v>
      </c>
      <c r="N515" s="36" t="s">
        <v>533</v>
      </c>
      <c r="O515" s="36">
        <v>1.3803899999999999E-2</v>
      </c>
      <c r="P515" s="36">
        <v>0.19047619047619047</v>
      </c>
      <c r="Q515" s="36" t="s">
        <v>47</v>
      </c>
      <c r="R515" s="36">
        <v>6.3757599999999998E-2</v>
      </c>
      <c r="S515" s="36" t="s">
        <v>533</v>
      </c>
      <c r="T515" s="36">
        <v>1.7436500000000001E-2</v>
      </c>
      <c r="U515" s="37">
        <v>0.19047619047619047</v>
      </c>
      <c r="V515"/>
    </row>
    <row r="516" spans="1:22" ht="34" x14ac:dyDescent="0.2">
      <c r="A516" s="36" t="s">
        <v>144</v>
      </c>
      <c r="B516" s="45" t="str">
        <f>VLOOKUP(Tabella1[[#This Row],[test_id]],experiments_specs!A:J,2,FALSE)</f>
        <v>NN,RB</v>
      </c>
      <c r="C516" s="38">
        <f>VLOOKUP(Tabella1[[#This Row],[test_id]],experiments_specs!A:J,3,FALSE)</f>
        <v>1</v>
      </c>
      <c r="D516" s="38">
        <f>VLOOKUP(Tabella1[[#This Row],[test_id]],experiments_specs!A:J,4,FALSE)</f>
        <v>2</v>
      </c>
      <c r="E516" s="38" t="str">
        <f>VLOOKUP(Tabella1[[#This Row],[test_id]],experiments_specs!A:J,5,FALSE)</f>
        <v>True</v>
      </c>
      <c r="F516" s="38" t="str">
        <f>VLOOKUP(Tabella1[[#This Row],[test_id]],experiments_specs!A:J,6,FALSE)</f>
        <v>False</v>
      </c>
      <c r="G516" s="38" t="str">
        <f>VLOOKUP(Tabella1[[#This Row],[test_id]],experiments_specs!A:J,7,FALSE)</f>
        <v>True</v>
      </c>
      <c r="H516" s="38" t="str">
        <f>VLOOKUP(Tabella1[[#This Row],[test_id]],experiments_specs!A:J,8,FALSE)</f>
        <v>False</v>
      </c>
      <c r="I516" s="45" t="str">
        <f>VLOOKUP(Tabella1[[#This Row],[test_id]],experiments_specs!A:J,9,FALSE)</f>
        <v>wup_similarity</v>
      </c>
      <c r="J516" s="38" t="str">
        <f>VLOOKUP(Tabella1[[#This Row],[test_id]],experiments_specs!A:J,10,FALSE)</f>
        <v>False</v>
      </c>
      <c r="K516" s="40" t="s">
        <v>12</v>
      </c>
      <c r="L516" s="36" t="s">
        <v>623</v>
      </c>
      <c r="M516" s="36">
        <v>0</v>
      </c>
      <c r="N516" s="36" t="s">
        <v>624</v>
      </c>
      <c r="O516" s="36">
        <v>3.3081999999999999E-3</v>
      </c>
      <c r="P516" s="36">
        <v>0.25</v>
      </c>
      <c r="Q516" s="36" t="s">
        <v>391</v>
      </c>
      <c r="R516" s="36" t="s">
        <v>626</v>
      </c>
      <c r="S516" s="36" t="s">
        <v>628</v>
      </c>
      <c r="T516" s="36" t="s">
        <v>630</v>
      </c>
      <c r="U516" s="37">
        <v>0.46153846153846156</v>
      </c>
      <c r="V516"/>
    </row>
    <row r="517" spans="1:22" ht="17" x14ac:dyDescent="0.2">
      <c r="A517" s="36" t="s">
        <v>144</v>
      </c>
      <c r="B517" s="45" t="str">
        <f>VLOOKUP(Tabella1[[#This Row],[test_id]],experiments_specs!A:J,2,FALSE)</f>
        <v>NN,RB</v>
      </c>
      <c r="C517" s="38">
        <f>VLOOKUP(Tabella1[[#This Row],[test_id]],experiments_specs!A:J,3,FALSE)</f>
        <v>1</v>
      </c>
      <c r="D517" s="38">
        <f>VLOOKUP(Tabella1[[#This Row],[test_id]],experiments_specs!A:J,4,FALSE)</f>
        <v>2</v>
      </c>
      <c r="E517" s="38" t="str">
        <f>VLOOKUP(Tabella1[[#This Row],[test_id]],experiments_specs!A:J,5,FALSE)</f>
        <v>True</v>
      </c>
      <c r="F517" s="38" t="str">
        <f>VLOOKUP(Tabella1[[#This Row],[test_id]],experiments_specs!A:J,6,FALSE)</f>
        <v>False</v>
      </c>
      <c r="G517" s="38" t="str">
        <f>VLOOKUP(Tabella1[[#This Row],[test_id]],experiments_specs!A:J,7,FALSE)</f>
        <v>True</v>
      </c>
      <c r="H517" s="38" t="str">
        <f>VLOOKUP(Tabella1[[#This Row],[test_id]],experiments_specs!A:J,8,FALSE)</f>
        <v>False</v>
      </c>
      <c r="I517" s="45" t="str">
        <f>VLOOKUP(Tabella1[[#This Row],[test_id]],experiments_specs!A:J,9,FALSE)</f>
        <v>wup_similarity</v>
      </c>
      <c r="J517" s="38" t="str">
        <f>VLOOKUP(Tabella1[[#This Row],[test_id]],experiments_specs!A:J,10,FALSE)</f>
        <v>False</v>
      </c>
      <c r="K517" s="40" t="s">
        <v>13</v>
      </c>
      <c r="L517" s="36" t="s">
        <v>32</v>
      </c>
      <c r="M517" s="36">
        <v>6.5937999999999997E-2</v>
      </c>
      <c r="N517" s="36" t="s">
        <v>631</v>
      </c>
      <c r="O517" s="36">
        <v>1.09896E-2</v>
      </c>
      <c r="P517" s="36">
        <v>0.4</v>
      </c>
      <c r="Q517" s="36" t="s">
        <v>34</v>
      </c>
      <c r="R517" s="36">
        <v>0</v>
      </c>
      <c r="S517" s="36" t="s">
        <v>35</v>
      </c>
      <c r="T517" s="36">
        <v>2.1281399999999999E-2</v>
      </c>
      <c r="U517" s="37" t="s">
        <v>25</v>
      </c>
      <c r="V517"/>
    </row>
    <row r="518" spans="1:22" ht="34" x14ac:dyDescent="0.2">
      <c r="A518" s="36" t="s">
        <v>144</v>
      </c>
      <c r="B518" s="45" t="str">
        <f>VLOOKUP(Tabella1[[#This Row],[test_id]],experiments_specs!A:J,2,FALSE)</f>
        <v>NN,RB</v>
      </c>
      <c r="C518" s="38">
        <f>VLOOKUP(Tabella1[[#This Row],[test_id]],experiments_specs!A:J,3,FALSE)</f>
        <v>1</v>
      </c>
      <c r="D518" s="38">
        <f>VLOOKUP(Tabella1[[#This Row],[test_id]],experiments_specs!A:J,4,FALSE)</f>
        <v>2</v>
      </c>
      <c r="E518" s="38" t="str">
        <f>VLOOKUP(Tabella1[[#This Row],[test_id]],experiments_specs!A:J,5,FALSE)</f>
        <v>True</v>
      </c>
      <c r="F518" s="38" t="str">
        <f>VLOOKUP(Tabella1[[#This Row],[test_id]],experiments_specs!A:J,6,FALSE)</f>
        <v>False</v>
      </c>
      <c r="G518" s="38" t="str">
        <f>VLOOKUP(Tabella1[[#This Row],[test_id]],experiments_specs!A:J,7,FALSE)</f>
        <v>True</v>
      </c>
      <c r="H518" s="38" t="str">
        <f>VLOOKUP(Tabella1[[#This Row],[test_id]],experiments_specs!A:J,8,FALSE)</f>
        <v>False</v>
      </c>
      <c r="I518" s="45" t="str">
        <f>VLOOKUP(Tabella1[[#This Row],[test_id]],experiments_specs!A:J,9,FALSE)</f>
        <v>wup_similarity</v>
      </c>
      <c r="J518" s="38" t="str">
        <f>VLOOKUP(Tabella1[[#This Row],[test_id]],experiments_specs!A:J,10,FALSE)</f>
        <v>False</v>
      </c>
      <c r="K518" s="40" t="s">
        <v>14</v>
      </c>
      <c r="L518" s="36" t="s">
        <v>534</v>
      </c>
      <c r="M518" s="36">
        <v>5.5555500000000001E-2</v>
      </c>
      <c r="N518" s="36" t="s">
        <v>632</v>
      </c>
      <c r="O518" s="36">
        <v>7.6628E-3</v>
      </c>
      <c r="P518" s="36">
        <v>0.33333333333333331</v>
      </c>
      <c r="Q518" s="36" t="s">
        <v>634</v>
      </c>
      <c r="R518" s="36" t="s">
        <v>186</v>
      </c>
      <c r="S518" s="36" t="s">
        <v>636</v>
      </c>
      <c r="T518" s="36" t="s">
        <v>638</v>
      </c>
      <c r="U518" s="37">
        <v>0.33333333333333331</v>
      </c>
      <c r="V518"/>
    </row>
    <row r="519" spans="1:22" ht="17" x14ac:dyDescent="0.2">
      <c r="A519" s="36" t="s">
        <v>144</v>
      </c>
      <c r="B519" s="45" t="str">
        <f>VLOOKUP(Tabella1[[#This Row],[test_id]],experiments_specs!A:J,2,FALSE)</f>
        <v>NN,RB</v>
      </c>
      <c r="C519" s="38">
        <f>VLOOKUP(Tabella1[[#This Row],[test_id]],experiments_specs!A:J,3,FALSE)</f>
        <v>1</v>
      </c>
      <c r="D519" s="38">
        <f>VLOOKUP(Tabella1[[#This Row],[test_id]],experiments_specs!A:J,4,FALSE)</f>
        <v>2</v>
      </c>
      <c r="E519" s="38" t="str">
        <f>VLOOKUP(Tabella1[[#This Row],[test_id]],experiments_specs!A:J,5,FALSE)</f>
        <v>True</v>
      </c>
      <c r="F519" s="38" t="str">
        <f>VLOOKUP(Tabella1[[#This Row],[test_id]],experiments_specs!A:J,6,FALSE)</f>
        <v>False</v>
      </c>
      <c r="G519" s="38" t="str">
        <f>VLOOKUP(Tabella1[[#This Row],[test_id]],experiments_specs!A:J,7,FALSE)</f>
        <v>True</v>
      </c>
      <c r="H519" s="38" t="str">
        <f>VLOOKUP(Tabella1[[#This Row],[test_id]],experiments_specs!A:J,8,FALSE)</f>
        <v>False</v>
      </c>
      <c r="I519" s="45" t="str">
        <f>VLOOKUP(Tabella1[[#This Row],[test_id]],experiments_specs!A:J,9,FALSE)</f>
        <v>wup_similarity</v>
      </c>
      <c r="J519" s="38" t="str">
        <f>VLOOKUP(Tabella1[[#This Row],[test_id]],experiments_specs!A:J,10,FALSE)</f>
        <v>False</v>
      </c>
      <c r="K519" s="40" t="s">
        <v>15</v>
      </c>
      <c r="L519" s="36" t="s">
        <v>639</v>
      </c>
      <c r="M519" s="36">
        <v>0</v>
      </c>
      <c r="N519" s="36" t="s">
        <v>435</v>
      </c>
      <c r="O519" s="36">
        <v>6.0111000000000001E-3</v>
      </c>
      <c r="P519" s="36">
        <v>0.44444444444444442</v>
      </c>
      <c r="Q519" s="36" t="s">
        <v>365</v>
      </c>
      <c r="R519" s="36">
        <v>0</v>
      </c>
      <c r="S519" s="36" t="s">
        <v>26</v>
      </c>
      <c r="T519" s="36">
        <v>2.7607799999999998E-2</v>
      </c>
      <c r="U519" s="37">
        <v>0.18181818181818182</v>
      </c>
      <c r="V519"/>
    </row>
    <row r="520" spans="1:22" ht="17" x14ac:dyDescent="0.2">
      <c r="A520" s="36" t="s">
        <v>144</v>
      </c>
      <c r="B520" s="45" t="str">
        <f>VLOOKUP(Tabella1[[#This Row],[test_id]],experiments_specs!A:J,2,FALSE)</f>
        <v>NN,RB</v>
      </c>
      <c r="C520" s="38">
        <f>VLOOKUP(Tabella1[[#This Row],[test_id]],experiments_specs!A:J,3,FALSE)</f>
        <v>1</v>
      </c>
      <c r="D520" s="38">
        <f>VLOOKUP(Tabella1[[#This Row],[test_id]],experiments_specs!A:J,4,FALSE)</f>
        <v>2</v>
      </c>
      <c r="E520" s="38" t="str">
        <f>VLOOKUP(Tabella1[[#This Row],[test_id]],experiments_specs!A:J,5,FALSE)</f>
        <v>True</v>
      </c>
      <c r="F520" s="38" t="str">
        <f>VLOOKUP(Tabella1[[#This Row],[test_id]],experiments_specs!A:J,6,FALSE)</f>
        <v>False</v>
      </c>
      <c r="G520" s="38" t="str">
        <f>VLOOKUP(Tabella1[[#This Row],[test_id]],experiments_specs!A:J,7,FALSE)</f>
        <v>True</v>
      </c>
      <c r="H520" s="38" t="str">
        <f>VLOOKUP(Tabella1[[#This Row],[test_id]],experiments_specs!A:J,8,FALSE)</f>
        <v>False</v>
      </c>
      <c r="I520" s="45" t="str">
        <f>VLOOKUP(Tabella1[[#This Row],[test_id]],experiments_specs!A:J,9,FALSE)</f>
        <v>wup_similarity</v>
      </c>
      <c r="J520" s="38" t="str">
        <f>VLOOKUP(Tabella1[[#This Row],[test_id]],experiments_specs!A:J,10,FALSE)</f>
        <v>False</v>
      </c>
      <c r="K520" s="40" t="s">
        <v>16</v>
      </c>
      <c r="L520" s="36" t="s">
        <v>640</v>
      </c>
      <c r="M520" s="36">
        <v>0</v>
      </c>
      <c r="N520" s="36" t="s">
        <v>641</v>
      </c>
      <c r="O520" s="36">
        <v>4.7619000000000003E-3</v>
      </c>
      <c r="P520" s="36">
        <v>0.13333333333333333</v>
      </c>
      <c r="Q520" s="36" t="s">
        <v>642</v>
      </c>
      <c r="R520" s="36">
        <v>0</v>
      </c>
      <c r="S520" s="36" t="s">
        <v>643</v>
      </c>
      <c r="T520" s="36">
        <v>6.6125999999999997E-3</v>
      </c>
      <c r="U520" s="37">
        <v>0.70588235294117652</v>
      </c>
      <c r="V520"/>
    </row>
    <row r="521" spans="1:22" ht="34" x14ac:dyDescent="0.2">
      <c r="A521" s="36" t="s">
        <v>144</v>
      </c>
      <c r="B521" s="45" t="str">
        <f>VLOOKUP(Tabella1[[#This Row],[test_id]],experiments_specs!A:J,2,FALSE)</f>
        <v>NN,RB</v>
      </c>
      <c r="C521" s="38">
        <f>VLOOKUP(Tabella1[[#This Row],[test_id]],experiments_specs!A:J,3,FALSE)</f>
        <v>1</v>
      </c>
      <c r="D521" s="38">
        <f>VLOOKUP(Tabella1[[#This Row],[test_id]],experiments_specs!A:J,4,FALSE)</f>
        <v>2</v>
      </c>
      <c r="E521" s="38" t="str">
        <f>VLOOKUP(Tabella1[[#This Row],[test_id]],experiments_specs!A:J,5,FALSE)</f>
        <v>True</v>
      </c>
      <c r="F521" s="38" t="str">
        <f>VLOOKUP(Tabella1[[#This Row],[test_id]],experiments_specs!A:J,6,FALSE)</f>
        <v>False</v>
      </c>
      <c r="G521" s="38" t="str">
        <f>VLOOKUP(Tabella1[[#This Row],[test_id]],experiments_specs!A:J,7,FALSE)</f>
        <v>True</v>
      </c>
      <c r="H521" s="38" t="str">
        <f>VLOOKUP(Tabella1[[#This Row],[test_id]],experiments_specs!A:J,8,FALSE)</f>
        <v>False</v>
      </c>
      <c r="I521" s="45" t="str">
        <f>VLOOKUP(Tabella1[[#This Row],[test_id]],experiments_specs!A:J,9,FALSE)</f>
        <v>wup_similarity</v>
      </c>
      <c r="J521" s="38" t="str">
        <f>VLOOKUP(Tabella1[[#This Row],[test_id]],experiments_specs!A:J,10,FALSE)</f>
        <v>False</v>
      </c>
      <c r="K521" s="40" t="s">
        <v>17</v>
      </c>
      <c r="L521" s="36" t="s">
        <v>644</v>
      </c>
      <c r="M521" s="36">
        <v>4.8794999999999998E-2</v>
      </c>
      <c r="N521" s="36" t="s">
        <v>645</v>
      </c>
      <c r="O521" s="36">
        <v>2.7553999999999999E-3</v>
      </c>
      <c r="P521" s="36">
        <v>0.22222222222222221</v>
      </c>
      <c r="Q521" s="36" t="s">
        <v>647</v>
      </c>
      <c r="R521" s="36" t="s">
        <v>186</v>
      </c>
      <c r="S521" s="36" t="s">
        <v>649</v>
      </c>
      <c r="T521" s="36" t="s">
        <v>651</v>
      </c>
      <c r="U521" s="37">
        <v>0.18181818181818182</v>
      </c>
      <c r="V521"/>
    </row>
    <row r="522" spans="1:22" ht="34" x14ac:dyDescent="0.2">
      <c r="A522" s="36" t="s">
        <v>144</v>
      </c>
      <c r="B522" s="45" t="str">
        <f>VLOOKUP(Tabella1[[#This Row],[test_id]],experiments_specs!A:J,2,FALSE)</f>
        <v>NN,RB</v>
      </c>
      <c r="C522" s="38">
        <f>VLOOKUP(Tabella1[[#This Row],[test_id]],experiments_specs!A:J,3,FALSE)</f>
        <v>1</v>
      </c>
      <c r="D522" s="38">
        <f>VLOOKUP(Tabella1[[#This Row],[test_id]],experiments_specs!A:J,4,FALSE)</f>
        <v>2</v>
      </c>
      <c r="E522" s="38" t="str">
        <f>VLOOKUP(Tabella1[[#This Row],[test_id]],experiments_specs!A:J,5,FALSE)</f>
        <v>True</v>
      </c>
      <c r="F522" s="38" t="str">
        <f>VLOOKUP(Tabella1[[#This Row],[test_id]],experiments_specs!A:J,6,FALSE)</f>
        <v>False</v>
      </c>
      <c r="G522" s="38" t="str">
        <f>VLOOKUP(Tabella1[[#This Row],[test_id]],experiments_specs!A:J,7,FALSE)</f>
        <v>True</v>
      </c>
      <c r="H522" s="38" t="str">
        <f>VLOOKUP(Tabella1[[#This Row],[test_id]],experiments_specs!A:J,8,FALSE)</f>
        <v>False</v>
      </c>
      <c r="I522" s="45" t="str">
        <f>VLOOKUP(Tabella1[[#This Row],[test_id]],experiments_specs!A:J,9,FALSE)</f>
        <v>wup_similarity</v>
      </c>
      <c r="J522" s="38" t="str">
        <f>VLOOKUP(Tabella1[[#This Row],[test_id]],experiments_specs!A:J,10,FALSE)</f>
        <v>False</v>
      </c>
      <c r="K522" s="40" t="s">
        <v>18</v>
      </c>
      <c r="L522" s="36" t="s">
        <v>44</v>
      </c>
      <c r="M522" s="36">
        <v>0</v>
      </c>
      <c r="N522" s="36" t="s">
        <v>652</v>
      </c>
      <c r="O522" s="36">
        <v>9.3279999999999995E-3</v>
      </c>
      <c r="P522" s="36">
        <v>0.21052631578947367</v>
      </c>
      <c r="Q522" s="36" t="s">
        <v>46</v>
      </c>
      <c r="R522" s="36">
        <v>0</v>
      </c>
      <c r="S522" s="36" t="s">
        <v>652</v>
      </c>
      <c r="T522" s="36">
        <v>1.12485E-2</v>
      </c>
      <c r="U522" s="37">
        <v>0.21052631578947367</v>
      </c>
      <c r="V522"/>
    </row>
    <row r="523" spans="1:22" ht="17" x14ac:dyDescent="0.2">
      <c r="A523" s="36" t="s">
        <v>145</v>
      </c>
      <c r="B523" s="45" t="str">
        <f>VLOOKUP(Tabella1[[#This Row],[test_id]],experiments_specs!A:J,2,FALSE)</f>
        <v>NN,JJ,VB,VBD,VBG,VBN,VBP,VBZ</v>
      </c>
      <c r="C523" s="38">
        <f>VLOOKUP(Tabella1[[#This Row],[test_id]],experiments_specs!A:J,3,FALSE)</f>
        <v>1</v>
      </c>
      <c r="D523" s="38">
        <f>VLOOKUP(Tabella1[[#This Row],[test_id]],experiments_specs!A:J,4,FALSE)</f>
        <v>2</v>
      </c>
      <c r="E523" s="38" t="str">
        <f>VLOOKUP(Tabella1[[#This Row],[test_id]],experiments_specs!A:J,5,FALSE)</f>
        <v>True</v>
      </c>
      <c r="F523" s="38" t="str">
        <f>VLOOKUP(Tabella1[[#This Row],[test_id]],experiments_specs!A:J,6,FALSE)</f>
        <v>False</v>
      </c>
      <c r="G523" s="38" t="str">
        <f>VLOOKUP(Tabella1[[#This Row],[test_id]],experiments_specs!A:J,7,FALSE)</f>
        <v>True</v>
      </c>
      <c r="H523" s="38" t="str">
        <f>VLOOKUP(Tabella1[[#This Row],[test_id]],experiments_specs!A:J,8,FALSE)</f>
        <v>False</v>
      </c>
      <c r="I523" s="45" t="str">
        <f>VLOOKUP(Tabella1[[#This Row],[test_id]],experiments_specs!A:J,9,FALSE)</f>
        <v>wup_similarity</v>
      </c>
      <c r="J523" s="38" t="str">
        <f>VLOOKUP(Tabella1[[#This Row],[test_id]],experiments_specs!A:J,10,FALSE)</f>
        <v>False</v>
      </c>
      <c r="K523" s="40" t="s">
        <v>19</v>
      </c>
      <c r="L523" s="36" t="s">
        <v>354</v>
      </c>
      <c r="M523" s="36">
        <v>0</v>
      </c>
      <c r="N523" s="36" t="s">
        <v>533</v>
      </c>
      <c r="O523" s="36">
        <v>8.0803000000000003E-3</v>
      </c>
      <c r="P523" s="36">
        <v>0.19047619047619047</v>
      </c>
      <c r="Q523" s="36" t="s">
        <v>47</v>
      </c>
      <c r="R523" s="36">
        <v>6.3757599999999998E-2</v>
      </c>
      <c r="S523" s="36" t="s">
        <v>533</v>
      </c>
      <c r="T523" s="36">
        <v>1.1831899999999999E-2</v>
      </c>
      <c r="U523" s="37">
        <v>0.19047619047619047</v>
      </c>
      <c r="V523"/>
    </row>
    <row r="524" spans="1:22" ht="34" x14ac:dyDescent="0.2">
      <c r="A524" s="36" t="s">
        <v>145</v>
      </c>
      <c r="B524" s="45" t="str">
        <f>VLOOKUP(Tabella1[[#This Row],[test_id]],experiments_specs!A:J,2,FALSE)</f>
        <v>NN,JJ,VB,VBD,VBG,VBN,VBP,VBZ</v>
      </c>
      <c r="C524" s="38">
        <f>VLOOKUP(Tabella1[[#This Row],[test_id]],experiments_specs!A:J,3,FALSE)</f>
        <v>1</v>
      </c>
      <c r="D524" s="38">
        <f>VLOOKUP(Tabella1[[#This Row],[test_id]],experiments_specs!A:J,4,FALSE)</f>
        <v>2</v>
      </c>
      <c r="E524" s="38" t="str">
        <f>VLOOKUP(Tabella1[[#This Row],[test_id]],experiments_specs!A:J,5,FALSE)</f>
        <v>True</v>
      </c>
      <c r="F524" s="38" t="str">
        <f>VLOOKUP(Tabella1[[#This Row],[test_id]],experiments_specs!A:J,6,FALSE)</f>
        <v>False</v>
      </c>
      <c r="G524" s="38" t="str">
        <f>VLOOKUP(Tabella1[[#This Row],[test_id]],experiments_specs!A:J,7,FALSE)</f>
        <v>True</v>
      </c>
      <c r="H524" s="38" t="str">
        <f>VLOOKUP(Tabella1[[#This Row],[test_id]],experiments_specs!A:J,8,FALSE)</f>
        <v>False</v>
      </c>
      <c r="I524" s="45" t="str">
        <f>VLOOKUP(Tabella1[[#This Row],[test_id]],experiments_specs!A:J,9,FALSE)</f>
        <v>wup_similarity</v>
      </c>
      <c r="J524" s="38" t="str">
        <f>VLOOKUP(Tabella1[[#This Row],[test_id]],experiments_specs!A:J,10,FALSE)</f>
        <v>False</v>
      </c>
      <c r="K524" s="40" t="s">
        <v>12</v>
      </c>
      <c r="L524" s="36" t="s">
        <v>660</v>
      </c>
      <c r="M524" s="36">
        <v>0</v>
      </c>
      <c r="N524" s="36" t="s">
        <v>661</v>
      </c>
      <c r="O524" s="36">
        <v>1.7543999999999999E-3</v>
      </c>
      <c r="P524" s="36">
        <v>0.14285714285714285</v>
      </c>
      <c r="Q524" s="36" t="s">
        <v>391</v>
      </c>
      <c r="R524" s="36" t="s">
        <v>626</v>
      </c>
      <c r="S524" s="36" t="s">
        <v>628</v>
      </c>
      <c r="T524" s="36" t="s">
        <v>679</v>
      </c>
      <c r="U524" s="37">
        <v>0.46153846153846156</v>
      </c>
      <c r="V524"/>
    </row>
    <row r="525" spans="1:22" ht="17" x14ac:dyDescent="0.2">
      <c r="A525" s="36" t="s">
        <v>145</v>
      </c>
      <c r="B525" s="45" t="str">
        <f>VLOOKUP(Tabella1[[#This Row],[test_id]],experiments_specs!A:J,2,FALSE)</f>
        <v>NN,JJ,VB,VBD,VBG,VBN,VBP,VBZ</v>
      </c>
      <c r="C525" s="38">
        <f>VLOOKUP(Tabella1[[#This Row],[test_id]],experiments_specs!A:J,3,FALSE)</f>
        <v>1</v>
      </c>
      <c r="D525" s="38">
        <f>VLOOKUP(Tabella1[[#This Row],[test_id]],experiments_specs!A:J,4,FALSE)</f>
        <v>2</v>
      </c>
      <c r="E525" s="38" t="str">
        <f>VLOOKUP(Tabella1[[#This Row],[test_id]],experiments_specs!A:J,5,FALSE)</f>
        <v>True</v>
      </c>
      <c r="F525" s="38" t="str">
        <f>VLOOKUP(Tabella1[[#This Row],[test_id]],experiments_specs!A:J,6,FALSE)</f>
        <v>False</v>
      </c>
      <c r="G525" s="38" t="str">
        <f>VLOOKUP(Tabella1[[#This Row],[test_id]],experiments_specs!A:J,7,FALSE)</f>
        <v>True</v>
      </c>
      <c r="H525" s="38" t="str">
        <f>VLOOKUP(Tabella1[[#This Row],[test_id]],experiments_specs!A:J,8,FALSE)</f>
        <v>False</v>
      </c>
      <c r="I525" s="45" t="str">
        <f>VLOOKUP(Tabella1[[#This Row],[test_id]],experiments_specs!A:J,9,FALSE)</f>
        <v>wup_similarity</v>
      </c>
      <c r="J525" s="38" t="str">
        <f>VLOOKUP(Tabella1[[#This Row],[test_id]],experiments_specs!A:J,10,FALSE)</f>
        <v>False</v>
      </c>
      <c r="K525" s="40" t="s">
        <v>13</v>
      </c>
      <c r="L525" s="36" t="s">
        <v>32</v>
      </c>
      <c r="M525" s="36">
        <v>6.5937999999999997E-2</v>
      </c>
      <c r="N525" s="36" t="s">
        <v>631</v>
      </c>
      <c r="O525" s="36">
        <v>6.5938000000000004E-3</v>
      </c>
      <c r="P525" s="36">
        <v>0.4</v>
      </c>
      <c r="Q525" s="36" t="s">
        <v>34</v>
      </c>
      <c r="R525" s="36">
        <v>0</v>
      </c>
      <c r="S525" s="36" t="s">
        <v>35</v>
      </c>
      <c r="T525" s="36">
        <v>1.5200999999999999E-2</v>
      </c>
      <c r="U525" s="37" t="s">
        <v>25</v>
      </c>
      <c r="V525"/>
    </row>
    <row r="526" spans="1:22" ht="34" x14ac:dyDescent="0.2">
      <c r="A526" s="36" t="s">
        <v>145</v>
      </c>
      <c r="B526" s="45" t="str">
        <f>VLOOKUP(Tabella1[[#This Row],[test_id]],experiments_specs!A:J,2,FALSE)</f>
        <v>NN,JJ,VB,VBD,VBG,VBN,VBP,VBZ</v>
      </c>
      <c r="C526" s="38">
        <f>VLOOKUP(Tabella1[[#This Row],[test_id]],experiments_specs!A:J,3,FALSE)</f>
        <v>1</v>
      </c>
      <c r="D526" s="38">
        <f>VLOOKUP(Tabella1[[#This Row],[test_id]],experiments_specs!A:J,4,FALSE)</f>
        <v>2</v>
      </c>
      <c r="E526" s="38" t="str">
        <f>VLOOKUP(Tabella1[[#This Row],[test_id]],experiments_specs!A:J,5,FALSE)</f>
        <v>True</v>
      </c>
      <c r="F526" s="38" t="str">
        <f>VLOOKUP(Tabella1[[#This Row],[test_id]],experiments_specs!A:J,6,FALSE)</f>
        <v>False</v>
      </c>
      <c r="G526" s="38" t="str">
        <f>VLOOKUP(Tabella1[[#This Row],[test_id]],experiments_specs!A:J,7,FALSE)</f>
        <v>True</v>
      </c>
      <c r="H526" s="38" t="str">
        <f>VLOOKUP(Tabella1[[#This Row],[test_id]],experiments_specs!A:J,8,FALSE)</f>
        <v>False</v>
      </c>
      <c r="I526" s="45" t="str">
        <f>VLOOKUP(Tabella1[[#This Row],[test_id]],experiments_specs!A:J,9,FALSE)</f>
        <v>wup_similarity</v>
      </c>
      <c r="J526" s="38" t="str">
        <f>VLOOKUP(Tabella1[[#This Row],[test_id]],experiments_specs!A:J,10,FALSE)</f>
        <v>False</v>
      </c>
      <c r="K526" s="40" t="s">
        <v>14</v>
      </c>
      <c r="L526" s="36" t="s">
        <v>534</v>
      </c>
      <c r="M526" s="36">
        <v>5.5555500000000001E-2</v>
      </c>
      <c r="N526" s="36" t="s">
        <v>632</v>
      </c>
      <c r="O526" s="36">
        <v>4.6296000000000002E-3</v>
      </c>
      <c r="P526" s="36">
        <v>0.33333333333333331</v>
      </c>
      <c r="Q526" s="36" t="s">
        <v>634</v>
      </c>
      <c r="R526" s="36" t="s">
        <v>186</v>
      </c>
      <c r="S526" s="36" t="s">
        <v>636</v>
      </c>
      <c r="T526" s="36" t="s">
        <v>681</v>
      </c>
      <c r="U526" s="37">
        <v>0.33333333333333331</v>
      </c>
      <c r="V526"/>
    </row>
    <row r="527" spans="1:22" ht="17" x14ac:dyDescent="0.2">
      <c r="A527" s="36" t="s">
        <v>145</v>
      </c>
      <c r="B527" s="45" t="str">
        <f>VLOOKUP(Tabella1[[#This Row],[test_id]],experiments_specs!A:J,2,FALSE)</f>
        <v>NN,JJ,VB,VBD,VBG,VBN,VBP,VBZ</v>
      </c>
      <c r="C527" s="38">
        <f>VLOOKUP(Tabella1[[#This Row],[test_id]],experiments_specs!A:J,3,FALSE)</f>
        <v>1</v>
      </c>
      <c r="D527" s="38">
        <f>VLOOKUP(Tabella1[[#This Row],[test_id]],experiments_specs!A:J,4,FALSE)</f>
        <v>2</v>
      </c>
      <c r="E527" s="38" t="str">
        <f>VLOOKUP(Tabella1[[#This Row],[test_id]],experiments_specs!A:J,5,FALSE)</f>
        <v>True</v>
      </c>
      <c r="F527" s="38" t="str">
        <f>VLOOKUP(Tabella1[[#This Row],[test_id]],experiments_specs!A:J,6,FALSE)</f>
        <v>False</v>
      </c>
      <c r="G527" s="38" t="str">
        <f>VLOOKUP(Tabella1[[#This Row],[test_id]],experiments_specs!A:J,7,FALSE)</f>
        <v>True</v>
      </c>
      <c r="H527" s="38" t="str">
        <f>VLOOKUP(Tabella1[[#This Row],[test_id]],experiments_specs!A:J,8,FALSE)</f>
        <v>False</v>
      </c>
      <c r="I527" s="45" t="str">
        <f>VLOOKUP(Tabella1[[#This Row],[test_id]],experiments_specs!A:J,9,FALSE)</f>
        <v>wup_similarity</v>
      </c>
      <c r="J527" s="38" t="str">
        <f>VLOOKUP(Tabella1[[#This Row],[test_id]],experiments_specs!A:J,10,FALSE)</f>
        <v>False</v>
      </c>
      <c r="K527" s="40" t="s">
        <v>15</v>
      </c>
      <c r="L527" s="36" t="s">
        <v>409</v>
      </c>
      <c r="M527" s="36">
        <v>4.7088100000000001E-2</v>
      </c>
      <c r="N527" s="36" t="s">
        <v>410</v>
      </c>
      <c r="O527" s="36">
        <v>6.9842999999999997E-3</v>
      </c>
      <c r="P527" s="36">
        <v>0.22222222222222221</v>
      </c>
      <c r="Q527" s="36" t="s">
        <v>365</v>
      </c>
      <c r="R527" s="36">
        <v>0</v>
      </c>
      <c r="S527" s="36" t="s">
        <v>26</v>
      </c>
      <c r="T527" s="36">
        <v>1.7811500000000001E-2</v>
      </c>
      <c r="U527" s="37">
        <v>0.18181818181818182</v>
      </c>
      <c r="V527"/>
    </row>
    <row r="528" spans="1:22" ht="17" x14ac:dyDescent="0.2">
      <c r="A528" s="36" t="s">
        <v>145</v>
      </c>
      <c r="B528" s="45" t="str">
        <f>VLOOKUP(Tabella1[[#This Row],[test_id]],experiments_specs!A:J,2,FALSE)</f>
        <v>NN,JJ,VB,VBD,VBG,VBN,VBP,VBZ</v>
      </c>
      <c r="C528" s="38">
        <f>VLOOKUP(Tabella1[[#This Row],[test_id]],experiments_specs!A:J,3,FALSE)</f>
        <v>1</v>
      </c>
      <c r="D528" s="38">
        <f>VLOOKUP(Tabella1[[#This Row],[test_id]],experiments_specs!A:J,4,FALSE)</f>
        <v>2</v>
      </c>
      <c r="E528" s="38" t="str">
        <f>VLOOKUP(Tabella1[[#This Row],[test_id]],experiments_specs!A:J,5,FALSE)</f>
        <v>True</v>
      </c>
      <c r="F528" s="38" t="str">
        <f>VLOOKUP(Tabella1[[#This Row],[test_id]],experiments_specs!A:J,6,FALSE)</f>
        <v>False</v>
      </c>
      <c r="G528" s="38" t="str">
        <f>VLOOKUP(Tabella1[[#This Row],[test_id]],experiments_specs!A:J,7,FALSE)</f>
        <v>True</v>
      </c>
      <c r="H528" s="38" t="str">
        <f>VLOOKUP(Tabella1[[#This Row],[test_id]],experiments_specs!A:J,8,FALSE)</f>
        <v>False</v>
      </c>
      <c r="I528" s="45" t="str">
        <f>VLOOKUP(Tabella1[[#This Row],[test_id]],experiments_specs!A:J,9,FALSE)</f>
        <v>wup_similarity</v>
      </c>
      <c r="J528" s="38" t="str">
        <f>VLOOKUP(Tabella1[[#This Row],[test_id]],experiments_specs!A:J,10,FALSE)</f>
        <v>False</v>
      </c>
      <c r="K528" s="40" t="s">
        <v>16</v>
      </c>
      <c r="L528" s="36" t="s">
        <v>640</v>
      </c>
      <c r="M528" s="36">
        <v>0</v>
      </c>
      <c r="N528" s="36" t="s">
        <v>641</v>
      </c>
      <c r="O528" s="36">
        <v>3.2050999999999998E-3</v>
      </c>
      <c r="P528" s="36">
        <v>0.13333333333333333</v>
      </c>
      <c r="Q528" s="36" t="s">
        <v>642</v>
      </c>
      <c r="R528" s="36">
        <v>0</v>
      </c>
      <c r="S528" s="36" t="s">
        <v>643</v>
      </c>
      <c r="T528" s="36">
        <v>4.6429000000000002E-3</v>
      </c>
      <c r="U528" s="37">
        <v>0.70588235294117652</v>
      </c>
      <c r="V528"/>
    </row>
    <row r="529" spans="1:22" ht="34" x14ac:dyDescent="0.2">
      <c r="A529" s="36" t="s">
        <v>145</v>
      </c>
      <c r="B529" s="45" t="str">
        <f>VLOOKUP(Tabella1[[#This Row],[test_id]],experiments_specs!A:J,2,FALSE)</f>
        <v>NN,JJ,VB,VBD,VBG,VBN,VBP,VBZ</v>
      </c>
      <c r="C529" s="38">
        <f>VLOOKUP(Tabella1[[#This Row],[test_id]],experiments_specs!A:J,3,FALSE)</f>
        <v>1</v>
      </c>
      <c r="D529" s="38">
        <f>VLOOKUP(Tabella1[[#This Row],[test_id]],experiments_specs!A:J,4,FALSE)</f>
        <v>2</v>
      </c>
      <c r="E529" s="38" t="str">
        <f>VLOOKUP(Tabella1[[#This Row],[test_id]],experiments_specs!A:J,5,FALSE)</f>
        <v>True</v>
      </c>
      <c r="F529" s="38" t="str">
        <f>VLOOKUP(Tabella1[[#This Row],[test_id]],experiments_specs!A:J,6,FALSE)</f>
        <v>False</v>
      </c>
      <c r="G529" s="38" t="str">
        <f>VLOOKUP(Tabella1[[#This Row],[test_id]],experiments_specs!A:J,7,FALSE)</f>
        <v>True</v>
      </c>
      <c r="H529" s="38" t="str">
        <f>VLOOKUP(Tabella1[[#This Row],[test_id]],experiments_specs!A:J,8,FALSE)</f>
        <v>False</v>
      </c>
      <c r="I529" s="45" t="str">
        <f>VLOOKUP(Tabella1[[#This Row],[test_id]],experiments_specs!A:J,9,FALSE)</f>
        <v>wup_similarity</v>
      </c>
      <c r="J529" s="38" t="str">
        <f>VLOOKUP(Tabella1[[#This Row],[test_id]],experiments_specs!A:J,10,FALSE)</f>
        <v>False</v>
      </c>
      <c r="K529" s="40" t="s">
        <v>17</v>
      </c>
      <c r="L529" s="36" t="s">
        <v>601</v>
      </c>
      <c r="M529" s="36" t="s">
        <v>603</v>
      </c>
      <c r="N529" s="36" t="s">
        <v>605</v>
      </c>
      <c r="O529" s="36" t="s">
        <v>683</v>
      </c>
      <c r="P529" s="36">
        <v>0.22222222222222221</v>
      </c>
      <c r="Q529" s="36" t="s">
        <v>601</v>
      </c>
      <c r="R529" s="36" t="s">
        <v>603</v>
      </c>
      <c r="S529" s="36" t="s">
        <v>605</v>
      </c>
      <c r="T529" s="36" t="s">
        <v>685</v>
      </c>
      <c r="U529" s="37">
        <v>0.22222222222222221</v>
      </c>
      <c r="V529"/>
    </row>
    <row r="530" spans="1:22" ht="34" x14ac:dyDescent="0.2">
      <c r="A530" s="36" t="s">
        <v>145</v>
      </c>
      <c r="B530" s="45" t="str">
        <f>VLOOKUP(Tabella1[[#This Row],[test_id]],experiments_specs!A:J,2,FALSE)</f>
        <v>NN,JJ,VB,VBD,VBG,VBN,VBP,VBZ</v>
      </c>
      <c r="C530" s="38">
        <f>VLOOKUP(Tabella1[[#This Row],[test_id]],experiments_specs!A:J,3,FALSE)</f>
        <v>1</v>
      </c>
      <c r="D530" s="38">
        <f>VLOOKUP(Tabella1[[#This Row],[test_id]],experiments_specs!A:J,4,FALSE)</f>
        <v>2</v>
      </c>
      <c r="E530" s="38" t="str">
        <f>VLOOKUP(Tabella1[[#This Row],[test_id]],experiments_specs!A:J,5,FALSE)</f>
        <v>True</v>
      </c>
      <c r="F530" s="38" t="str">
        <f>VLOOKUP(Tabella1[[#This Row],[test_id]],experiments_specs!A:J,6,FALSE)</f>
        <v>False</v>
      </c>
      <c r="G530" s="38" t="str">
        <f>VLOOKUP(Tabella1[[#This Row],[test_id]],experiments_specs!A:J,7,FALSE)</f>
        <v>True</v>
      </c>
      <c r="H530" s="38" t="str">
        <f>VLOOKUP(Tabella1[[#This Row],[test_id]],experiments_specs!A:J,8,FALSE)</f>
        <v>False</v>
      </c>
      <c r="I530" s="45" t="str">
        <f>VLOOKUP(Tabella1[[#This Row],[test_id]],experiments_specs!A:J,9,FALSE)</f>
        <v>wup_similarity</v>
      </c>
      <c r="J530" s="38" t="str">
        <f>VLOOKUP(Tabella1[[#This Row],[test_id]],experiments_specs!A:J,10,FALSE)</f>
        <v>False</v>
      </c>
      <c r="K530" s="40" t="s">
        <v>18</v>
      </c>
      <c r="L530" s="36" t="s">
        <v>44</v>
      </c>
      <c r="M530" s="36">
        <v>0</v>
      </c>
      <c r="N530" s="36" t="s">
        <v>652</v>
      </c>
      <c r="O530" s="36">
        <v>4.8411000000000001E-3</v>
      </c>
      <c r="P530" s="36">
        <v>0.21052631578947367</v>
      </c>
      <c r="Q530" s="36" t="s">
        <v>46</v>
      </c>
      <c r="R530" s="36">
        <v>0</v>
      </c>
      <c r="S530" s="36" t="s">
        <v>652</v>
      </c>
      <c r="T530" s="36">
        <v>6.4821999999999996E-3</v>
      </c>
      <c r="U530" s="37">
        <v>0.21052631578947367</v>
      </c>
      <c r="V530"/>
    </row>
    <row r="531" spans="1:22" ht="17" x14ac:dyDescent="0.2">
      <c r="A531" s="36" t="s">
        <v>146</v>
      </c>
      <c r="B531" s="45" t="str">
        <f>VLOOKUP(Tabella1[[#This Row],[test_id]],experiments_specs!A:J,2,FALSE)</f>
        <v>NN</v>
      </c>
      <c r="C531" s="38">
        <f>VLOOKUP(Tabella1[[#This Row],[test_id]],experiments_specs!A:J,3,FALSE)</f>
        <v>1</v>
      </c>
      <c r="D531" s="38">
        <f>VLOOKUP(Tabella1[[#This Row],[test_id]],experiments_specs!A:J,4,FALSE)</f>
        <v>2</v>
      </c>
      <c r="E531" s="38" t="str">
        <f>VLOOKUP(Tabella1[[#This Row],[test_id]],experiments_specs!A:J,5,FALSE)</f>
        <v>True</v>
      </c>
      <c r="F531" s="38" t="str">
        <f>VLOOKUP(Tabella1[[#This Row],[test_id]],experiments_specs!A:J,6,FALSE)</f>
        <v>False</v>
      </c>
      <c r="G531" s="38" t="str">
        <f>VLOOKUP(Tabella1[[#This Row],[test_id]],experiments_specs!A:J,7,FALSE)</f>
        <v>True</v>
      </c>
      <c r="H531" s="38" t="str">
        <f>VLOOKUP(Tabella1[[#This Row],[test_id]],experiments_specs!A:J,8,FALSE)</f>
        <v>False</v>
      </c>
      <c r="I531" s="45" t="str">
        <f>VLOOKUP(Tabella1[[#This Row],[test_id]],experiments_specs!A:J,9,FALSE)</f>
        <v>wup_similarity</v>
      </c>
      <c r="J531" s="38" t="str">
        <f>VLOOKUP(Tabella1[[#This Row],[test_id]],experiments_specs!A:J,10,FALSE)</f>
        <v>True</v>
      </c>
      <c r="K531" s="40" t="s">
        <v>19</v>
      </c>
      <c r="L531" s="36" t="s">
        <v>354</v>
      </c>
      <c r="M531" s="36">
        <v>0</v>
      </c>
      <c r="N531" s="36" t="s">
        <v>533</v>
      </c>
      <c r="O531" s="36">
        <v>1.5058800000000001E-2</v>
      </c>
      <c r="P531" s="36">
        <v>0.19047619047619047</v>
      </c>
      <c r="Q531" s="36" t="s">
        <v>47</v>
      </c>
      <c r="R531" s="36">
        <v>6.3757599999999998E-2</v>
      </c>
      <c r="S531" s="36" t="s">
        <v>533</v>
      </c>
      <c r="T531" s="36">
        <v>1.5775899999999999E-2</v>
      </c>
      <c r="U531" s="37">
        <v>0.19047619047619047</v>
      </c>
      <c r="V531"/>
    </row>
    <row r="532" spans="1:22" ht="34" x14ac:dyDescent="0.2">
      <c r="A532" s="36" t="s">
        <v>146</v>
      </c>
      <c r="B532" s="45" t="str">
        <f>VLOOKUP(Tabella1[[#This Row],[test_id]],experiments_specs!A:J,2,FALSE)</f>
        <v>NN</v>
      </c>
      <c r="C532" s="38">
        <f>VLOOKUP(Tabella1[[#This Row],[test_id]],experiments_specs!A:J,3,FALSE)</f>
        <v>1</v>
      </c>
      <c r="D532" s="38">
        <f>VLOOKUP(Tabella1[[#This Row],[test_id]],experiments_specs!A:J,4,FALSE)</f>
        <v>2</v>
      </c>
      <c r="E532" s="38" t="str">
        <f>VLOOKUP(Tabella1[[#This Row],[test_id]],experiments_specs!A:J,5,FALSE)</f>
        <v>True</v>
      </c>
      <c r="F532" s="38" t="str">
        <f>VLOOKUP(Tabella1[[#This Row],[test_id]],experiments_specs!A:J,6,FALSE)</f>
        <v>False</v>
      </c>
      <c r="G532" s="38" t="str">
        <f>VLOOKUP(Tabella1[[#This Row],[test_id]],experiments_specs!A:J,7,FALSE)</f>
        <v>True</v>
      </c>
      <c r="H532" s="38" t="str">
        <f>VLOOKUP(Tabella1[[#This Row],[test_id]],experiments_specs!A:J,8,FALSE)</f>
        <v>False</v>
      </c>
      <c r="I532" s="45" t="str">
        <f>VLOOKUP(Tabella1[[#This Row],[test_id]],experiments_specs!A:J,9,FALSE)</f>
        <v>wup_similarity</v>
      </c>
      <c r="J532" s="38" t="str">
        <f>VLOOKUP(Tabella1[[#This Row],[test_id]],experiments_specs!A:J,10,FALSE)</f>
        <v>True</v>
      </c>
      <c r="K532" s="40" t="s">
        <v>12</v>
      </c>
      <c r="L532" s="36" t="s">
        <v>623</v>
      </c>
      <c r="M532" s="36">
        <v>0</v>
      </c>
      <c r="N532" s="36" t="s">
        <v>624</v>
      </c>
      <c r="O532" s="36">
        <v>3.3081999999999999E-3</v>
      </c>
      <c r="P532" s="36">
        <v>0.25</v>
      </c>
      <c r="Q532" s="36" t="s">
        <v>391</v>
      </c>
      <c r="R532" s="36" t="s">
        <v>626</v>
      </c>
      <c r="S532" s="36" t="s">
        <v>628</v>
      </c>
      <c r="T532" s="36" t="s">
        <v>630</v>
      </c>
      <c r="U532" s="37">
        <v>0.46153846153846156</v>
      </c>
      <c r="V532"/>
    </row>
    <row r="533" spans="1:22" ht="17" x14ac:dyDescent="0.2">
      <c r="A533" s="36" t="s">
        <v>146</v>
      </c>
      <c r="B533" s="45" t="str">
        <f>VLOOKUP(Tabella1[[#This Row],[test_id]],experiments_specs!A:J,2,FALSE)</f>
        <v>NN</v>
      </c>
      <c r="C533" s="38">
        <f>VLOOKUP(Tabella1[[#This Row],[test_id]],experiments_specs!A:J,3,FALSE)</f>
        <v>1</v>
      </c>
      <c r="D533" s="38">
        <f>VLOOKUP(Tabella1[[#This Row],[test_id]],experiments_specs!A:J,4,FALSE)</f>
        <v>2</v>
      </c>
      <c r="E533" s="38" t="str">
        <f>VLOOKUP(Tabella1[[#This Row],[test_id]],experiments_specs!A:J,5,FALSE)</f>
        <v>True</v>
      </c>
      <c r="F533" s="38" t="str">
        <f>VLOOKUP(Tabella1[[#This Row],[test_id]],experiments_specs!A:J,6,FALSE)</f>
        <v>False</v>
      </c>
      <c r="G533" s="38" t="str">
        <f>VLOOKUP(Tabella1[[#This Row],[test_id]],experiments_specs!A:J,7,FALSE)</f>
        <v>True</v>
      </c>
      <c r="H533" s="38" t="str">
        <f>VLOOKUP(Tabella1[[#This Row],[test_id]],experiments_specs!A:J,8,FALSE)</f>
        <v>False</v>
      </c>
      <c r="I533" s="45" t="str">
        <f>VLOOKUP(Tabella1[[#This Row],[test_id]],experiments_specs!A:J,9,FALSE)</f>
        <v>wup_similarity</v>
      </c>
      <c r="J533" s="38" t="str">
        <f>VLOOKUP(Tabella1[[#This Row],[test_id]],experiments_specs!A:J,10,FALSE)</f>
        <v>True</v>
      </c>
      <c r="K533" s="40" t="s">
        <v>13</v>
      </c>
      <c r="L533" s="36" t="s">
        <v>688</v>
      </c>
      <c r="M533" s="36">
        <v>7.3720900000000006E-2</v>
      </c>
      <c r="N533" s="36" t="s">
        <v>689</v>
      </c>
      <c r="O533" s="36">
        <v>2.5079999999999998E-3</v>
      </c>
      <c r="P533" s="36" t="s">
        <v>25</v>
      </c>
      <c r="Q533" s="36" t="s">
        <v>34</v>
      </c>
      <c r="R533" s="36">
        <v>0</v>
      </c>
      <c r="S533" s="36" t="s">
        <v>35</v>
      </c>
      <c r="T533" s="36">
        <v>1.77345E-2</v>
      </c>
      <c r="U533" s="37" t="s">
        <v>25</v>
      </c>
      <c r="V533"/>
    </row>
    <row r="534" spans="1:22" ht="34" x14ac:dyDescent="0.2">
      <c r="A534" s="36" t="s">
        <v>146</v>
      </c>
      <c r="B534" s="45" t="str">
        <f>VLOOKUP(Tabella1[[#This Row],[test_id]],experiments_specs!A:J,2,FALSE)</f>
        <v>NN</v>
      </c>
      <c r="C534" s="38">
        <f>VLOOKUP(Tabella1[[#This Row],[test_id]],experiments_specs!A:J,3,FALSE)</f>
        <v>1</v>
      </c>
      <c r="D534" s="38">
        <f>VLOOKUP(Tabella1[[#This Row],[test_id]],experiments_specs!A:J,4,FALSE)</f>
        <v>2</v>
      </c>
      <c r="E534" s="38" t="str">
        <f>VLOOKUP(Tabella1[[#This Row],[test_id]],experiments_specs!A:J,5,FALSE)</f>
        <v>True</v>
      </c>
      <c r="F534" s="38" t="str">
        <f>VLOOKUP(Tabella1[[#This Row],[test_id]],experiments_specs!A:J,6,FALSE)</f>
        <v>False</v>
      </c>
      <c r="G534" s="38" t="str">
        <f>VLOOKUP(Tabella1[[#This Row],[test_id]],experiments_specs!A:J,7,FALSE)</f>
        <v>True</v>
      </c>
      <c r="H534" s="38" t="str">
        <f>VLOOKUP(Tabella1[[#This Row],[test_id]],experiments_specs!A:J,8,FALSE)</f>
        <v>False</v>
      </c>
      <c r="I534" s="45" t="str">
        <f>VLOOKUP(Tabella1[[#This Row],[test_id]],experiments_specs!A:J,9,FALSE)</f>
        <v>wup_similarity</v>
      </c>
      <c r="J534" s="38" t="str">
        <f>VLOOKUP(Tabella1[[#This Row],[test_id]],experiments_specs!A:J,10,FALSE)</f>
        <v>True</v>
      </c>
      <c r="K534" s="40" t="s">
        <v>14</v>
      </c>
      <c r="L534" s="36" t="s">
        <v>534</v>
      </c>
      <c r="M534" s="36">
        <v>5.5555500000000001E-2</v>
      </c>
      <c r="N534" s="36" t="s">
        <v>632</v>
      </c>
      <c r="O534" s="36">
        <v>7.9365000000000008E-3</v>
      </c>
      <c r="P534" s="36">
        <v>0.33333333333333331</v>
      </c>
      <c r="Q534" s="36" t="s">
        <v>634</v>
      </c>
      <c r="R534" s="36" t="s">
        <v>186</v>
      </c>
      <c r="S534" s="36" t="s">
        <v>636</v>
      </c>
      <c r="T534" s="36" t="s">
        <v>656</v>
      </c>
      <c r="U534" s="37">
        <v>0.33333333333333331</v>
      </c>
      <c r="V534"/>
    </row>
    <row r="535" spans="1:22" ht="17" x14ac:dyDescent="0.2">
      <c r="A535" s="36" t="s">
        <v>146</v>
      </c>
      <c r="B535" s="45" t="str">
        <f>VLOOKUP(Tabella1[[#This Row],[test_id]],experiments_specs!A:J,2,FALSE)</f>
        <v>NN</v>
      </c>
      <c r="C535" s="38">
        <f>VLOOKUP(Tabella1[[#This Row],[test_id]],experiments_specs!A:J,3,FALSE)</f>
        <v>1</v>
      </c>
      <c r="D535" s="38">
        <f>VLOOKUP(Tabella1[[#This Row],[test_id]],experiments_specs!A:J,4,FALSE)</f>
        <v>2</v>
      </c>
      <c r="E535" s="38" t="str">
        <f>VLOOKUP(Tabella1[[#This Row],[test_id]],experiments_specs!A:J,5,FALSE)</f>
        <v>True</v>
      </c>
      <c r="F535" s="38" t="str">
        <f>VLOOKUP(Tabella1[[#This Row],[test_id]],experiments_specs!A:J,6,FALSE)</f>
        <v>False</v>
      </c>
      <c r="G535" s="38" t="str">
        <f>VLOOKUP(Tabella1[[#This Row],[test_id]],experiments_specs!A:J,7,FALSE)</f>
        <v>True</v>
      </c>
      <c r="H535" s="38" t="str">
        <f>VLOOKUP(Tabella1[[#This Row],[test_id]],experiments_specs!A:J,8,FALSE)</f>
        <v>False</v>
      </c>
      <c r="I535" s="45" t="str">
        <f>VLOOKUP(Tabella1[[#This Row],[test_id]],experiments_specs!A:J,9,FALSE)</f>
        <v>wup_similarity</v>
      </c>
      <c r="J535" s="38" t="str">
        <f>VLOOKUP(Tabella1[[#This Row],[test_id]],experiments_specs!A:J,10,FALSE)</f>
        <v>True</v>
      </c>
      <c r="K535" s="40" t="s">
        <v>15</v>
      </c>
      <c r="L535" s="36" t="s">
        <v>639</v>
      </c>
      <c r="M535" s="36">
        <v>0</v>
      </c>
      <c r="N535" s="36" t="s">
        <v>435</v>
      </c>
      <c r="O535" s="36">
        <v>6.4403999999999998E-3</v>
      </c>
      <c r="P535" s="36">
        <v>0.44444444444444442</v>
      </c>
      <c r="Q535" s="36" t="s">
        <v>365</v>
      </c>
      <c r="R535" s="36">
        <v>0</v>
      </c>
      <c r="S535" s="36" t="s">
        <v>26</v>
      </c>
      <c r="T535" s="36">
        <v>2.94484E-2</v>
      </c>
      <c r="U535" s="37">
        <v>0.18181818181818182</v>
      </c>
      <c r="V535"/>
    </row>
    <row r="536" spans="1:22" ht="17" x14ac:dyDescent="0.2">
      <c r="A536" s="36" t="s">
        <v>146</v>
      </c>
      <c r="B536" s="45" t="str">
        <f>VLOOKUP(Tabella1[[#This Row],[test_id]],experiments_specs!A:J,2,FALSE)</f>
        <v>NN</v>
      </c>
      <c r="C536" s="38">
        <f>VLOOKUP(Tabella1[[#This Row],[test_id]],experiments_specs!A:J,3,FALSE)</f>
        <v>1</v>
      </c>
      <c r="D536" s="38">
        <f>VLOOKUP(Tabella1[[#This Row],[test_id]],experiments_specs!A:J,4,FALSE)</f>
        <v>2</v>
      </c>
      <c r="E536" s="38" t="str">
        <f>VLOOKUP(Tabella1[[#This Row],[test_id]],experiments_specs!A:J,5,FALSE)</f>
        <v>True</v>
      </c>
      <c r="F536" s="38" t="str">
        <f>VLOOKUP(Tabella1[[#This Row],[test_id]],experiments_specs!A:J,6,FALSE)</f>
        <v>False</v>
      </c>
      <c r="G536" s="38" t="str">
        <f>VLOOKUP(Tabella1[[#This Row],[test_id]],experiments_specs!A:J,7,FALSE)</f>
        <v>True</v>
      </c>
      <c r="H536" s="38" t="str">
        <f>VLOOKUP(Tabella1[[#This Row],[test_id]],experiments_specs!A:J,8,FALSE)</f>
        <v>False</v>
      </c>
      <c r="I536" s="45" t="str">
        <f>VLOOKUP(Tabella1[[#This Row],[test_id]],experiments_specs!A:J,9,FALSE)</f>
        <v>wup_similarity</v>
      </c>
      <c r="J536" s="38" t="str">
        <f>VLOOKUP(Tabella1[[#This Row],[test_id]],experiments_specs!A:J,10,FALSE)</f>
        <v>True</v>
      </c>
      <c r="K536" s="40" t="s">
        <v>16</v>
      </c>
      <c r="L536" s="36" t="s">
        <v>640</v>
      </c>
      <c r="M536" s="36">
        <v>0</v>
      </c>
      <c r="N536" s="36" t="s">
        <v>641</v>
      </c>
      <c r="O536" s="36">
        <v>5.3762999999999997E-3</v>
      </c>
      <c r="P536" s="36">
        <v>0.13333333333333333</v>
      </c>
      <c r="Q536" s="36" t="s">
        <v>642</v>
      </c>
      <c r="R536" s="36">
        <v>0</v>
      </c>
      <c r="S536" s="36" t="s">
        <v>643</v>
      </c>
      <c r="T536" s="36">
        <v>6.6125999999999997E-3</v>
      </c>
      <c r="U536" s="37">
        <v>0.70588235294117652</v>
      </c>
      <c r="V536"/>
    </row>
    <row r="537" spans="1:22" ht="409.6" x14ac:dyDescent="0.2">
      <c r="A537" s="36" t="s">
        <v>146</v>
      </c>
      <c r="B537" s="45" t="str">
        <f>VLOOKUP(Tabella1[[#This Row],[test_id]],experiments_specs!A:J,2,FALSE)</f>
        <v>NN</v>
      </c>
      <c r="C537" s="38">
        <f>VLOOKUP(Tabella1[[#This Row],[test_id]],experiments_specs!A:J,3,FALSE)</f>
        <v>1</v>
      </c>
      <c r="D537" s="38">
        <f>VLOOKUP(Tabella1[[#This Row],[test_id]],experiments_specs!A:J,4,FALSE)</f>
        <v>2</v>
      </c>
      <c r="E537" s="38" t="str">
        <f>VLOOKUP(Tabella1[[#This Row],[test_id]],experiments_specs!A:J,5,FALSE)</f>
        <v>True</v>
      </c>
      <c r="F537" s="38" t="str">
        <f>VLOOKUP(Tabella1[[#This Row],[test_id]],experiments_specs!A:J,6,FALSE)</f>
        <v>False</v>
      </c>
      <c r="G537" s="38" t="str">
        <f>VLOOKUP(Tabella1[[#This Row],[test_id]],experiments_specs!A:J,7,FALSE)</f>
        <v>True</v>
      </c>
      <c r="H537" s="38" t="str">
        <f>VLOOKUP(Tabella1[[#This Row],[test_id]],experiments_specs!A:J,8,FALSE)</f>
        <v>False</v>
      </c>
      <c r="I537" s="45" t="str">
        <f>VLOOKUP(Tabella1[[#This Row],[test_id]],experiments_specs!A:J,9,FALSE)</f>
        <v>wup_similarity</v>
      </c>
      <c r="J537" s="38" t="str">
        <f>VLOOKUP(Tabella1[[#This Row],[test_id]],experiments_specs!A:J,10,FALSE)</f>
        <v>True</v>
      </c>
      <c r="K537" s="40" t="s">
        <v>17</v>
      </c>
      <c r="L537" s="36" t="s">
        <v>725</v>
      </c>
      <c r="M537" s="36" t="s">
        <v>727</v>
      </c>
      <c r="N537" s="36" t="s">
        <v>729</v>
      </c>
      <c r="O537" s="36" t="s">
        <v>731</v>
      </c>
      <c r="P537" s="36">
        <v>0.13333333333333333</v>
      </c>
      <c r="Q537" s="36" t="s">
        <v>647</v>
      </c>
      <c r="R537" s="36" t="s">
        <v>186</v>
      </c>
      <c r="S537" s="36" t="s">
        <v>649</v>
      </c>
      <c r="T537" s="36" t="s">
        <v>651</v>
      </c>
      <c r="U537" s="37">
        <v>0.18181818181818182</v>
      </c>
      <c r="V537"/>
    </row>
    <row r="538" spans="1:22" ht="34" x14ac:dyDescent="0.2">
      <c r="A538" s="36" t="s">
        <v>146</v>
      </c>
      <c r="B538" s="45" t="str">
        <f>VLOOKUP(Tabella1[[#This Row],[test_id]],experiments_specs!A:J,2,FALSE)</f>
        <v>NN</v>
      </c>
      <c r="C538" s="38">
        <f>VLOOKUP(Tabella1[[#This Row],[test_id]],experiments_specs!A:J,3,FALSE)</f>
        <v>1</v>
      </c>
      <c r="D538" s="38">
        <f>VLOOKUP(Tabella1[[#This Row],[test_id]],experiments_specs!A:J,4,FALSE)</f>
        <v>2</v>
      </c>
      <c r="E538" s="38" t="str">
        <f>VLOOKUP(Tabella1[[#This Row],[test_id]],experiments_specs!A:J,5,FALSE)</f>
        <v>True</v>
      </c>
      <c r="F538" s="38" t="str">
        <f>VLOOKUP(Tabella1[[#This Row],[test_id]],experiments_specs!A:J,6,FALSE)</f>
        <v>False</v>
      </c>
      <c r="G538" s="38" t="str">
        <f>VLOOKUP(Tabella1[[#This Row],[test_id]],experiments_specs!A:J,7,FALSE)</f>
        <v>True</v>
      </c>
      <c r="H538" s="38" t="str">
        <f>VLOOKUP(Tabella1[[#This Row],[test_id]],experiments_specs!A:J,8,FALSE)</f>
        <v>False</v>
      </c>
      <c r="I538" s="45" t="str">
        <f>VLOOKUP(Tabella1[[#This Row],[test_id]],experiments_specs!A:J,9,FALSE)</f>
        <v>wup_similarity</v>
      </c>
      <c r="J538" s="38" t="str">
        <f>VLOOKUP(Tabella1[[#This Row],[test_id]],experiments_specs!A:J,10,FALSE)</f>
        <v>True</v>
      </c>
      <c r="K538" s="40" t="s">
        <v>18</v>
      </c>
      <c r="L538" s="36" t="s">
        <v>44</v>
      </c>
      <c r="M538" s="36">
        <v>0</v>
      </c>
      <c r="N538" s="36" t="s">
        <v>652</v>
      </c>
      <c r="O538" s="36">
        <v>1.12485E-2</v>
      </c>
      <c r="P538" s="36">
        <v>0.21052631578947367</v>
      </c>
      <c r="Q538" s="36" t="s">
        <v>46</v>
      </c>
      <c r="R538" s="36">
        <v>0</v>
      </c>
      <c r="S538" s="36" t="s">
        <v>652</v>
      </c>
      <c r="T538" s="36">
        <v>1.12485E-2</v>
      </c>
      <c r="U538" s="37">
        <v>0.21052631578947367</v>
      </c>
      <c r="V538"/>
    </row>
    <row r="539" spans="1:22" ht="17" x14ac:dyDescent="0.2">
      <c r="A539" s="36" t="s">
        <v>147</v>
      </c>
      <c r="B539" s="45" t="str">
        <f>VLOOKUP(Tabella1[[#This Row],[test_id]],experiments_specs!A:J,2,FALSE)</f>
        <v>NN,JJ</v>
      </c>
      <c r="C539" s="38">
        <f>VLOOKUP(Tabella1[[#This Row],[test_id]],experiments_specs!A:J,3,FALSE)</f>
        <v>1</v>
      </c>
      <c r="D539" s="38">
        <f>VLOOKUP(Tabella1[[#This Row],[test_id]],experiments_specs!A:J,4,FALSE)</f>
        <v>2</v>
      </c>
      <c r="E539" s="38" t="str">
        <f>VLOOKUP(Tabella1[[#This Row],[test_id]],experiments_specs!A:J,5,FALSE)</f>
        <v>True</v>
      </c>
      <c r="F539" s="38" t="str">
        <f>VLOOKUP(Tabella1[[#This Row],[test_id]],experiments_specs!A:J,6,FALSE)</f>
        <v>False</v>
      </c>
      <c r="G539" s="38" t="str">
        <f>VLOOKUP(Tabella1[[#This Row],[test_id]],experiments_specs!A:J,7,FALSE)</f>
        <v>True</v>
      </c>
      <c r="H539" s="38" t="str">
        <f>VLOOKUP(Tabella1[[#This Row],[test_id]],experiments_specs!A:J,8,FALSE)</f>
        <v>False</v>
      </c>
      <c r="I539" s="45" t="str">
        <f>VLOOKUP(Tabella1[[#This Row],[test_id]],experiments_specs!A:J,9,FALSE)</f>
        <v>wup_similarity</v>
      </c>
      <c r="J539" s="38" t="str">
        <f>VLOOKUP(Tabella1[[#This Row],[test_id]],experiments_specs!A:J,10,FALSE)</f>
        <v>True</v>
      </c>
      <c r="K539" s="40" t="s">
        <v>19</v>
      </c>
      <c r="L539" s="36" t="s">
        <v>354</v>
      </c>
      <c r="M539" s="36">
        <v>0</v>
      </c>
      <c r="N539" s="36" t="s">
        <v>533</v>
      </c>
      <c r="O539" s="36">
        <v>1.1423900000000001E-2</v>
      </c>
      <c r="P539" s="36">
        <v>0.19047619047619047</v>
      </c>
      <c r="Q539" s="36" t="s">
        <v>47</v>
      </c>
      <c r="R539" s="36">
        <v>6.3757599999999998E-2</v>
      </c>
      <c r="S539" s="36" t="s">
        <v>533</v>
      </c>
      <c r="T539" s="36">
        <v>1.1831899999999999E-2</v>
      </c>
      <c r="U539" s="37">
        <v>0.19047619047619047</v>
      </c>
      <c r="V539"/>
    </row>
    <row r="540" spans="1:22" ht="34" x14ac:dyDescent="0.2">
      <c r="A540" s="36" t="s">
        <v>147</v>
      </c>
      <c r="B540" s="45" t="str">
        <f>VLOOKUP(Tabella1[[#This Row],[test_id]],experiments_specs!A:J,2,FALSE)</f>
        <v>NN,JJ</v>
      </c>
      <c r="C540" s="38">
        <f>VLOOKUP(Tabella1[[#This Row],[test_id]],experiments_specs!A:J,3,FALSE)</f>
        <v>1</v>
      </c>
      <c r="D540" s="38">
        <f>VLOOKUP(Tabella1[[#This Row],[test_id]],experiments_specs!A:J,4,FALSE)</f>
        <v>2</v>
      </c>
      <c r="E540" s="38" t="str">
        <f>VLOOKUP(Tabella1[[#This Row],[test_id]],experiments_specs!A:J,5,FALSE)</f>
        <v>True</v>
      </c>
      <c r="F540" s="38" t="str">
        <f>VLOOKUP(Tabella1[[#This Row],[test_id]],experiments_specs!A:J,6,FALSE)</f>
        <v>False</v>
      </c>
      <c r="G540" s="38" t="str">
        <f>VLOOKUP(Tabella1[[#This Row],[test_id]],experiments_specs!A:J,7,FALSE)</f>
        <v>True</v>
      </c>
      <c r="H540" s="38" t="str">
        <f>VLOOKUP(Tabella1[[#This Row],[test_id]],experiments_specs!A:J,8,FALSE)</f>
        <v>False</v>
      </c>
      <c r="I540" s="45" t="str">
        <f>VLOOKUP(Tabella1[[#This Row],[test_id]],experiments_specs!A:J,9,FALSE)</f>
        <v>wup_similarity</v>
      </c>
      <c r="J540" s="38" t="str">
        <f>VLOOKUP(Tabella1[[#This Row],[test_id]],experiments_specs!A:J,10,FALSE)</f>
        <v>True</v>
      </c>
      <c r="K540" s="40" t="s">
        <v>12</v>
      </c>
      <c r="L540" s="36" t="s">
        <v>623</v>
      </c>
      <c r="M540" s="36">
        <v>0</v>
      </c>
      <c r="N540" s="36" t="s">
        <v>624</v>
      </c>
      <c r="O540" s="36">
        <v>2.7066999999999998E-3</v>
      </c>
      <c r="P540" s="36">
        <v>0.25</v>
      </c>
      <c r="Q540" s="36" t="s">
        <v>391</v>
      </c>
      <c r="R540" s="36" t="s">
        <v>626</v>
      </c>
      <c r="S540" s="36" t="s">
        <v>628</v>
      </c>
      <c r="T540" s="36" t="s">
        <v>687</v>
      </c>
      <c r="U540" s="37">
        <v>0.46153846153846156</v>
      </c>
      <c r="V540"/>
    </row>
    <row r="541" spans="1:22" ht="17" x14ac:dyDescent="0.2">
      <c r="A541" s="36" t="s">
        <v>147</v>
      </c>
      <c r="B541" s="45" t="str">
        <f>VLOOKUP(Tabella1[[#This Row],[test_id]],experiments_specs!A:J,2,FALSE)</f>
        <v>NN,JJ</v>
      </c>
      <c r="C541" s="38">
        <f>VLOOKUP(Tabella1[[#This Row],[test_id]],experiments_specs!A:J,3,FALSE)</f>
        <v>1</v>
      </c>
      <c r="D541" s="38">
        <f>VLOOKUP(Tabella1[[#This Row],[test_id]],experiments_specs!A:J,4,FALSE)</f>
        <v>2</v>
      </c>
      <c r="E541" s="38" t="str">
        <f>VLOOKUP(Tabella1[[#This Row],[test_id]],experiments_specs!A:J,5,FALSE)</f>
        <v>True</v>
      </c>
      <c r="F541" s="38" t="str">
        <f>VLOOKUP(Tabella1[[#This Row],[test_id]],experiments_specs!A:J,6,FALSE)</f>
        <v>False</v>
      </c>
      <c r="G541" s="38" t="str">
        <f>VLOOKUP(Tabella1[[#This Row],[test_id]],experiments_specs!A:J,7,FALSE)</f>
        <v>True</v>
      </c>
      <c r="H541" s="38" t="str">
        <f>VLOOKUP(Tabella1[[#This Row],[test_id]],experiments_specs!A:J,8,FALSE)</f>
        <v>False</v>
      </c>
      <c r="I541" s="45" t="str">
        <f>VLOOKUP(Tabella1[[#This Row],[test_id]],experiments_specs!A:J,9,FALSE)</f>
        <v>wup_similarity</v>
      </c>
      <c r="J541" s="38" t="str">
        <f>VLOOKUP(Tabella1[[#This Row],[test_id]],experiments_specs!A:J,10,FALSE)</f>
        <v>True</v>
      </c>
      <c r="K541" s="40" t="s">
        <v>13</v>
      </c>
      <c r="L541" s="36" t="s">
        <v>688</v>
      </c>
      <c r="M541" s="36">
        <v>7.3720900000000006E-2</v>
      </c>
      <c r="N541" s="36" t="s">
        <v>689</v>
      </c>
      <c r="O541" s="36">
        <v>2.5079999999999998E-3</v>
      </c>
      <c r="P541" s="36" t="s">
        <v>25</v>
      </c>
      <c r="Q541" s="36" t="s">
        <v>34</v>
      </c>
      <c r="R541" s="36">
        <v>0</v>
      </c>
      <c r="S541" s="36" t="s">
        <v>35</v>
      </c>
      <c r="T541" s="36">
        <v>1.77345E-2</v>
      </c>
      <c r="U541" s="37" t="s">
        <v>25</v>
      </c>
      <c r="V541"/>
    </row>
    <row r="542" spans="1:22" ht="34" x14ac:dyDescent="0.2">
      <c r="A542" s="36" t="s">
        <v>147</v>
      </c>
      <c r="B542" s="45" t="str">
        <f>VLOOKUP(Tabella1[[#This Row],[test_id]],experiments_specs!A:J,2,FALSE)</f>
        <v>NN,JJ</v>
      </c>
      <c r="C542" s="38">
        <f>VLOOKUP(Tabella1[[#This Row],[test_id]],experiments_specs!A:J,3,FALSE)</f>
        <v>1</v>
      </c>
      <c r="D542" s="38">
        <f>VLOOKUP(Tabella1[[#This Row],[test_id]],experiments_specs!A:J,4,FALSE)</f>
        <v>2</v>
      </c>
      <c r="E542" s="38" t="str">
        <f>VLOOKUP(Tabella1[[#This Row],[test_id]],experiments_specs!A:J,5,FALSE)</f>
        <v>True</v>
      </c>
      <c r="F542" s="38" t="str">
        <f>VLOOKUP(Tabella1[[#This Row],[test_id]],experiments_specs!A:J,6,FALSE)</f>
        <v>False</v>
      </c>
      <c r="G542" s="38" t="str">
        <f>VLOOKUP(Tabella1[[#This Row],[test_id]],experiments_specs!A:J,7,FALSE)</f>
        <v>True</v>
      </c>
      <c r="H542" s="38" t="str">
        <f>VLOOKUP(Tabella1[[#This Row],[test_id]],experiments_specs!A:J,8,FALSE)</f>
        <v>False</v>
      </c>
      <c r="I542" s="45" t="str">
        <f>VLOOKUP(Tabella1[[#This Row],[test_id]],experiments_specs!A:J,9,FALSE)</f>
        <v>wup_similarity</v>
      </c>
      <c r="J542" s="38" t="str">
        <f>VLOOKUP(Tabella1[[#This Row],[test_id]],experiments_specs!A:J,10,FALSE)</f>
        <v>True</v>
      </c>
      <c r="K542" s="40" t="s">
        <v>14</v>
      </c>
      <c r="L542" s="36" t="s">
        <v>534</v>
      </c>
      <c r="M542" s="36">
        <v>5.5555500000000001E-2</v>
      </c>
      <c r="N542" s="36" t="s">
        <v>632</v>
      </c>
      <c r="O542" s="36">
        <v>6.7340000000000004E-3</v>
      </c>
      <c r="P542" s="36">
        <v>0.33333333333333331</v>
      </c>
      <c r="Q542" s="36" t="s">
        <v>634</v>
      </c>
      <c r="R542" s="36" t="s">
        <v>186</v>
      </c>
      <c r="S542" s="36" t="s">
        <v>636</v>
      </c>
      <c r="T542" s="36" t="s">
        <v>691</v>
      </c>
      <c r="U542" s="37">
        <v>0.33333333333333331</v>
      </c>
      <c r="V542"/>
    </row>
    <row r="543" spans="1:22" ht="17" x14ac:dyDescent="0.2">
      <c r="A543" s="36" t="s">
        <v>147</v>
      </c>
      <c r="B543" s="45" t="str">
        <f>VLOOKUP(Tabella1[[#This Row],[test_id]],experiments_specs!A:J,2,FALSE)</f>
        <v>NN,JJ</v>
      </c>
      <c r="C543" s="38">
        <f>VLOOKUP(Tabella1[[#This Row],[test_id]],experiments_specs!A:J,3,FALSE)</f>
        <v>1</v>
      </c>
      <c r="D543" s="38">
        <f>VLOOKUP(Tabella1[[#This Row],[test_id]],experiments_specs!A:J,4,FALSE)</f>
        <v>2</v>
      </c>
      <c r="E543" s="38" t="str">
        <f>VLOOKUP(Tabella1[[#This Row],[test_id]],experiments_specs!A:J,5,FALSE)</f>
        <v>True</v>
      </c>
      <c r="F543" s="38" t="str">
        <f>VLOOKUP(Tabella1[[#This Row],[test_id]],experiments_specs!A:J,6,FALSE)</f>
        <v>False</v>
      </c>
      <c r="G543" s="38" t="str">
        <f>VLOOKUP(Tabella1[[#This Row],[test_id]],experiments_specs!A:J,7,FALSE)</f>
        <v>True</v>
      </c>
      <c r="H543" s="38" t="str">
        <f>VLOOKUP(Tabella1[[#This Row],[test_id]],experiments_specs!A:J,8,FALSE)</f>
        <v>False</v>
      </c>
      <c r="I543" s="45" t="str">
        <f>VLOOKUP(Tabella1[[#This Row],[test_id]],experiments_specs!A:J,9,FALSE)</f>
        <v>wup_similarity</v>
      </c>
      <c r="J543" s="38" t="str">
        <f>VLOOKUP(Tabella1[[#This Row],[test_id]],experiments_specs!A:J,10,FALSE)</f>
        <v>True</v>
      </c>
      <c r="K543" s="40" t="s">
        <v>15</v>
      </c>
      <c r="L543" s="36" t="s">
        <v>639</v>
      </c>
      <c r="M543" s="36">
        <v>0</v>
      </c>
      <c r="N543" s="36" t="s">
        <v>435</v>
      </c>
      <c r="O543" s="36">
        <v>4.5082999999999998E-3</v>
      </c>
      <c r="P543" s="36">
        <v>0.44444444444444442</v>
      </c>
      <c r="Q543" s="36" t="s">
        <v>365</v>
      </c>
      <c r="R543" s="36">
        <v>0</v>
      </c>
      <c r="S543" s="36" t="s">
        <v>26</v>
      </c>
      <c r="T543" s="36">
        <v>2.6293199999999999E-2</v>
      </c>
      <c r="U543" s="37">
        <v>0.18181818181818182</v>
      </c>
      <c r="V543"/>
    </row>
    <row r="544" spans="1:22" ht="17" x14ac:dyDescent="0.2">
      <c r="A544" s="36" t="s">
        <v>147</v>
      </c>
      <c r="B544" s="45" t="str">
        <f>VLOOKUP(Tabella1[[#This Row],[test_id]],experiments_specs!A:J,2,FALSE)</f>
        <v>NN,JJ</v>
      </c>
      <c r="C544" s="38">
        <f>VLOOKUP(Tabella1[[#This Row],[test_id]],experiments_specs!A:J,3,FALSE)</f>
        <v>1</v>
      </c>
      <c r="D544" s="38">
        <f>VLOOKUP(Tabella1[[#This Row],[test_id]],experiments_specs!A:J,4,FALSE)</f>
        <v>2</v>
      </c>
      <c r="E544" s="38" t="str">
        <f>VLOOKUP(Tabella1[[#This Row],[test_id]],experiments_specs!A:J,5,FALSE)</f>
        <v>True</v>
      </c>
      <c r="F544" s="38" t="str">
        <f>VLOOKUP(Tabella1[[#This Row],[test_id]],experiments_specs!A:J,6,FALSE)</f>
        <v>False</v>
      </c>
      <c r="G544" s="38" t="str">
        <f>VLOOKUP(Tabella1[[#This Row],[test_id]],experiments_specs!A:J,7,FALSE)</f>
        <v>True</v>
      </c>
      <c r="H544" s="38" t="str">
        <f>VLOOKUP(Tabella1[[#This Row],[test_id]],experiments_specs!A:J,8,FALSE)</f>
        <v>False</v>
      </c>
      <c r="I544" s="45" t="str">
        <f>VLOOKUP(Tabella1[[#This Row],[test_id]],experiments_specs!A:J,9,FALSE)</f>
        <v>wup_similarity</v>
      </c>
      <c r="J544" s="38" t="str">
        <f>VLOOKUP(Tabella1[[#This Row],[test_id]],experiments_specs!A:J,10,FALSE)</f>
        <v>True</v>
      </c>
      <c r="K544" s="40" t="s">
        <v>16</v>
      </c>
      <c r="L544" s="36" t="s">
        <v>640</v>
      </c>
      <c r="M544" s="36">
        <v>0</v>
      </c>
      <c r="N544" s="36" t="s">
        <v>641</v>
      </c>
      <c r="O544" s="36">
        <v>5.2082999999999999E-3</v>
      </c>
      <c r="P544" s="36">
        <v>0.13333333333333333</v>
      </c>
      <c r="Q544" s="36" t="s">
        <v>642</v>
      </c>
      <c r="R544" s="36">
        <v>0</v>
      </c>
      <c r="S544" s="36" t="s">
        <v>643</v>
      </c>
      <c r="T544" s="36">
        <v>6.4181000000000004E-3</v>
      </c>
      <c r="U544" s="37">
        <v>0.70588235294117652</v>
      </c>
      <c r="V544"/>
    </row>
    <row r="545" spans="1:22" ht="34" x14ac:dyDescent="0.2">
      <c r="A545" s="36" t="s">
        <v>147</v>
      </c>
      <c r="B545" s="45" t="str">
        <f>VLOOKUP(Tabella1[[#This Row],[test_id]],experiments_specs!A:J,2,FALSE)</f>
        <v>NN,JJ</v>
      </c>
      <c r="C545" s="38">
        <f>VLOOKUP(Tabella1[[#This Row],[test_id]],experiments_specs!A:J,3,FALSE)</f>
        <v>1</v>
      </c>
      <c r="D545" s="38">
        <f>VLOOKUP(Tabella1[[#This Row],[test_id]],experiments_specs!A:J,4,FALSE)</f>
        <v>2</v>
      </c>
      <c r="E545" s="38" t="str">
        <f>VLOOKUP(Tabella1[[#This Row],[test_id]],experiments_specs!A:J,5,FALSE)</f>
        <v>True</v>
      </c>
      <c r="F545" s="38" t="str">
        <f>VLOOKUP(Tabella1[[#This Row],[test_id]],experiments_specs!A:J,6,FALSE)</f>
        <v>False</v>
      </c>
      <c r="G545" s="38" t="str">
        <f>VLOOKUP(Tabella1[[#This Row],[test_id]],experiments_specs!A:J,7,FALSE)</f>
        <v>True</v>
      </c>
      <c r="H545" s="38" t="str">
        <f>VLOOKUP(Tabella1[[#This Row],[test_id]],experiments_specs!A:J,8,FALSE)</f>
        <v>False</v>
      </c>
      <c r="I545" s="45" t="str">
        <f>VLOOKUP(Tabella1[[#This Row],[test_id]],experiments_specs!A:J,9,FALSE)</f>
        <v>wup_similarity</v>
      </c>
      <c r="J545" s="38" t="str">
        <f>VLOOKUP(Tabella1[[#This Row],[test_id]],experiments_specs!A:J,10,FALSE)</f>
        <v>True</v>
      </c>
      <c r="K545" s="40" t="s">
        <v>17</v>
      </c>
      <c r="L545" s="36" t="s">
        <v>220</v>
      </c>
      <c r="M545" s="36">
        <v>0</v>
      </c>
      <c r="N545" s="36" t="s">
        <v>657</v>
      </c>
      <c r="O545" s="36">
        <v>4.0410000000000003E-3</v>
      </c>
      <c r="P545" s="36">
        <v>0.36363636363636365</v>
      </c>
      <c r="Q545" s="36" t="s">
        <v>647</v>
      </c>
      <c r="R545" s="36" t="s">
        <v>186</v>
      </c>
      <c r="S545" s="36" t="s">
        <v>649</v>
      </c>
      <c r="T545" s="36" t="s">
        <v>693</v>
      </c>
      <c r="U545" s="37">
        <v>0.18181818181818182</v>
      </c>
      <c r="V545"/>
    </row>
    <row r="546" spans="1:22" ht="34" x14ac:dyDescent="0.2">
      <c r="A546" s="36" t="s">
        <v>147</v>
      </c>
      <c r="B546" s="45" t="str">
        <f>VLOOKUP(Tabella1[[#This Row],[test_id]],experiments_specs!A:J,2,FALSE)</f>
        <v>NN,JJ</v>
      </c>
      <c r="C546" s="38">
        <f>VLOOKUP(Tabella1[[#This Row],[test_id]],experiments_specs!A:J,3,FALSE)</f>
        <v>1</v>
      </c>
      <c r="D546" s="38">
        <f>VLOOKUP(Tabella1[[#This Row],[test_id]],experiments_specs!A:J,4,FALSE)</f>
        <v>2</v>
      </c>
      <c r="E546" s="38" t="str">
        <f>VLOOKUP(Tabella1[[#This Row],[test_id]],experiments_specs!A:J,5,FALSE)</f>
        <v>True</v>
      </c>
      <c r="F546" s="38" t="str">
        <f>VLOOKUP(Tabella1[[#This Row],[test_id]],experiments_specs!A:J,6,FALSE)</f>
        <v>False</v>
      </c>
      <c r="G546" s="38" t="str">
        <f>VLOOKUP(Tabella1[[#This Row],[test_id]],experiments_specs!A:J,7,FALSE)</f>
        <v>True</v>
      </c>
      <c r="H546" s="38" t="str">
        <f>VLOOKUP(Tabella1[[#This Row],[test_id]],experiments_specs!A:J,8,FALSE)</f>
        <v>False</v>
      </c>
      <c r="I546" s="45" t="str">
        <f>VLOOKUP(Tabella1[[#This Row],[test_id]],experiments_specs!A:J,9,FALSE)</f>
        <v>wup_similarity</v>
      </c>
      <c r="J546" s="38" t="str">
        <f>VLOOKUP(Tabella1[[#This Row],[test_id]],experiments_specs!A:J,10,FALSE)</f>
        <v>True</v>
      </c>
      <c r="K546" s="40" t="s">
        <v>18</v>
      </c>
      <c r="L546" s="36" t="s">
        <v>44</v>
      </c>
      <c r="M546" s="36">
        <v>0</v>
      </c>
      <c r="N546" s="36" t="s">
        <v>652</v>
      </c>
      <c r="O546" s="36">
        <v>1.03365E-2</v>
      </c>
      <c r="P546" s="36">
        <v>0.21052631578947367</v>
      </c>
      <c r="Q546" s="36" t="s">
        <v>46</v>
      </c>
      <c r="R546" s="36">
        <v>0</v>
      </c>
      <c r="S546" s="36" t="s">
        <v>652</v>
      </c>
      <c r="T546" s="36">
        <v>1.03365E-2</v>
      </c>
      <c r="U546" s="37">
        <v>0.21052631578947367</v>
      </c>
      <c r="V546"/>
    </row>
    <row r="547" spans="1:22" ht="17" x14ac:dyDescent="0.2">
      <c r="A547" s="36" t="s">
        <v>148</v>
      </c>
      <c r="B547" s="45" t="str">
        <f>VLOOKUP(Tabella1[[#This Row],[test_id]],experiments_specs!A:J,2,FALSE)</f>
        <v>NN,VB</v>
      </c>
      <c r="C547" s="38">
        <f>VLOOKUP(Tabella1[[#This Row],[test_id]],experiments_specs!A:J,3,FALSE)</f>
        <v>1</v>
      </c>
      <c r="D547" s="38">
        <f>VLOOKUP(Tabella1[[#This Row],[test_id]],experiments_specs!A:J,4,FALSE)</f>
        <v>2</v>
      </c>
      <c r="E547" s="38" t="str">
        <f>VLOOKUP(Tabella1[[#This Row],[test_id]],experiments_specs!A:J,5,FALSE)</f>
        <v>True</v>
      </c>
      <c r="F547" s="38" t="str">
        <f>VLOOKUP(Tabella1[[#This Row],[test_id]],experiments_specs!A:J,6,FALSE)</f>
        <v>False</v>
      </c>
      <c r="G547" s="38" t="str">
        <f>VLOOKUP(Tabella1[[#This Row],[test_id]],experiments_specs!A:J,7,FALSE)</f>
        <v>True</v>
      </c>
      <c r="H547" s="38" t="str">
        <f>VLOOKUP(Tabella1[[#This Row],[test_id]],experiments_specs!A:J,8,FALSE)</f>
        <v>False</v>
      </c>
      <c r="I547" s="45" t="str">
        <f>VLOOKUP(Tabella1[[#This Row],[test_id]],experiments_specs!A:J,9,FALSE)</f>
        <v>wup_similarity</v>
      </c>
      <c r="J547" s="38" t="str">
        <f>VLOOKUP(Tabella1[[#This Row],[test_id]],experiments_specs!A:J,10,FALSE)</f>
        <v>True</v>
      </c>
      <c r="K547" s="40" t="s">
        <v>19</v>
      </c>
      <c r="L547" s="36" t="s">
        <v>354</v>
      </c>
      <c r="M547" s="36">
        <v>0</v>
      </c>
      <c r="N547" s="36" t="s">
        <v>533</v>
      </c>
      <c r="O547" s="36">
        <v>1.44041E-2</v>
      </c>
      <c r="P547" s="36">
        <v>0.19047619047619047</v>
      </c>
      <c r="Q547" s="36" t="s">
        <v>47</v>
      </c>
      <c r="R547" s="36">
        <v>6.3757599999999998E-2</v>
      </c>
      <c r="S547" s="36" t="s">
        <v>533</v>
      </c>
      <c r="T547" s="36">
        <v>1.5058800000000001E-2</v>
      </c>
      <c r="U547" s="37">
        <v>0.19047619047619047</v>
      </c>
      <c r="V547"/>
    </row>
    <row r="548" spans="1:22" ht="34" x14ac:dyDescent="0.2">
      <c r="A548" s="36" t="s">
        <v>148</v>
      </c>
      <c r="B548" s="45" t="str">
        <f>VLOOKUP(Tabella1[[#This Row],[test_id]],experiments_specs!A:J,2,FALSE)</f>
        <v>NN,VB</v>
      </c>
      <c r="C548" s="38">
        <f>VLOOKUP(Tabella1[[#This Row],[test_id]],experiments_specs!A:J,3,FALSE)</f>
        <v>1</v>
      </c>
      <c r="D548" s="38">
        <f>VLOOKUP(Tabella1[[#This Row],[test_id]],experiments_specs!A:J,4,FALSE)</f>
        <v>2</v>
      </c>
      <c r="E548" s="38" t="str">
        <f>VLOOKUP(Tabella1[[#This Row],[test_id]],experiments_specs!A:J,5,FALSE)</f>
        <v>True</v>
      </c>
      <c r="F548" s="38" t="str">
        <f>VLOOKUP(Tabella1[[#This Row],[test_id]],experiments_specs!A:J,6,FALSE)</f>
        <v>False</v>
      </c>
      <c r="G548" s="38" t="str">
        <f>VLOOKUP(Tabella1[[#This Row],[test_id]],experiments_specs!A:J,7,FALSE)</f>
        <v>True</v>
      </c>
      <c r="H548" s="38" t="str">
        <f>VLOOKUP(Tabella1[[#This Row],[test_id]],experiments_specs!A:J,8,FALSE)</f>
        <v>False</v>
      </c>
      <c r="I548" s="45" t="str">
        <f>VLOOKUP(Tabella1[[#This Row],[test_id]],experiments_specs!A:J,9,FALSE)</f>
        <v>wup_similarity</v>
      </c>
      <c r="J548" s="38" t="str">
        <f>VLOOKUP(Tabella1[[#This Row],[test_id]],experiments_specs!A:J,10,FALSE)</f>
        <v>True</v>
      </c>
      <c r="K548" s="40" t="s">
        <v>12</v>
      </c>
      <c r="L548" s="36" t="s">
        <v>623</v>
      </c>
      <c r="M548" s="36">
        <v>0</v>
      </c>
      <c r="N548" s="36" t="s">
        <v>624</v>
      </c>
      <c r="O548" s="36">
        <v>2.5890000000000002E-3</v>
      </c>
      <c r="P548" s="36">
        <v>0.25</v>
      </c>
      <c r="Q548" s="36" t="s">
        <v>391</v>
      </c>
      <c r="R548" s="36" t="s">
        <v>626</v>
      </c>
      <c r="S548" s="36" t="s">
        <v>628</v>
      </c>
      <c r="T548" s="36" t="s">
        <v>695</v>
      </c>
      <c r="U548" s="37">
        <v>0.46153846153846156</v>
      </c>
      <c r="V548"/>
    </row>
    <row r="549" spans="1:22" ht="17" x14ac:dyDescent="0.2">
      <c r="A549" s="36" t="s">
        <v>148</v>
      </c>
      <c r="B549" s="45" t="str">
        <f>VLOOKUP(Tabella1[[#This Row],[test_id]],experiments_specs!A:J,2,FALSE)</f>
        <v>NN,VB</v>
      </c>
      <c r="C549" s="38">
        <f>VLOOKUP(Tabella1[[#This Row],[test_id]],experiments_specs!A:J,3,FALSE)</f>
        <v>1</v>
      </c>
      <c r="D549" s="38">
        <f>VLOOKUP(Tabella1[[#This Row],[test_id]],experiments_specs!A:J,4,FALSE)</f>
        <v>2</v>
      </c>
      <c r="E549" s="38" t="str">
        <f>VLOOKUP(Tabella1[[#This Row],[test_id]],experiments_specs!A:J,5,FALSE)</f>
        <v>True</v>
      </c>
      <c r="F549" s="38" t="str">
        <f>VLOOKUP(Tabella1[[#This Row],[test_id]],experiments_specs!A:J,6,FALSE)</f>
        <v>False</v>
      </c>
      <c r="G549" s="38" t="str">
        <f>VLOOKUP(Tabella1[[#This Row],[test_id]],experiments_specs!A:J,7,FALSE)</f>
        <v>True</v>
      </c>
      <c r="H549" s="38" t="str">
        <f>VLOOKUP(Tabella1[[#This Row],[test_id]],experiments_specs!A:J,8,FALSE)</f>
        <v>False</v>
      </c>
      <c r="I549" s="45" t="str">
        <f>VLOOKUP(Tabella1[[#This Row],[test_id]],experiments_specs!A:J,9,FALSE)</f>
        <v>wup_similarity</v>
      </c>
      <c r="J549" s="38" t="str">
        <f>VLOOKUP(Tabella1[[#This Row],[test_id]],experiments_specs!A:J,10,FALSE)</f>
        <v>True</v>
      </c>
      <c r="K549" s="40" t="s">
        <v>13</v>
      </c>
      <c r="L549" s="36" t="s">
        <v>696</v>
      </c>
      <c r="M549" s="36">
        <v>4.0892999999999999E-2</v>
      </c>
      <c r="N549" s="36" t="s">
        <v>697</v>
      </c>
      <c r="O549" s="36">
        <v>2.5420999999999998E-3</v>
      </c>
      <c r="P549" s="36" t="s">
        <v>25</v>
      </c>
      <c r="Q549" s="36" t="s">
        <v>34</v>
      </c>
      <c r="R549" s="36">
        <v>0</v>
      </c>
      <c r="S549" s="36" t="s">
        <v>35</v>
      </c>
      <c r="T549" s="36">
        <v>1.46768E-2</v>
      </c>
      <c r="U549" s="37" t="s">
        <v>25</v>
      </c>
      <c r="V549"/>
    </row>
    <row r="550" spans="1:22" ht="34" x14ac:dyDescent="0.2">
      <c r="A550" s="36" t="s">
        <v>148</v>
      </c>
      <c r="B550" s="45" t="str">
        <f>VLOOKUP(Tabella1[[#This Row],[test_id]],experiments_specs!A:J,2,FALSE)</f>
        <v>NN,VB</v>
      </c>
      <c r="C550" s="38">
        <f>VLOOKUP(Tabella1[[#This Row],[test_id]],experiments_specs!A:J,3,FALSE)</f>
        <v>1</v>
      </c>
      <c r="D550" s="38">
        <f>VLOOKUP(Tabella1[[#This Row],[test_id]],experiments_specs!A:J,4,FALSE)</f>
        <v>2</v>
      </c>
      <c r="E550" s="38" t="str">
        <f>VLOOKUP(Tabella1[[#This Row],[test_id]],experiments_specs!A:J,5,FALSE)</f>
        <v>True</v>
      </c>
      <c r="F550" s="38" t="str">
        <f>VLOOKUP(Tabella1[[#This Row],[test_id]],experiments_specs!A:J,6,FALSE)</f>
        <v>False</v>
      </c>
      <c r="G550" s="38" t="str">
        <f>VLOOKUP(Tabella1[[#This Row],[test_id]],experiments_specs!A:J,7,FALSE)</f>
        <v>True</v>
      </c>
      <c r="H550" s="38" t="str">
        <f>VLOOKUP(Tabella1[[#This Row],[test_id]],experiments_specs!A:J,8,FALSE)</f>
        <v>False</v>
      </c>
      <c r="I550" s="45" t="str">
        <f>VLOOKUP(Tabella1[[#This Row],[test_id]],experiments_specs!A:J,9,FALSE)</f>
        <v>wup_similarity</v>
      </c>
      <c r="J550" s="38" t="str">
        <f>VLOOKUP(Tabella1[[#This Row],[test_id]],experiments_specs!A:J,10,FALSE)</f>
        <v>True</v>
      </c>
      <c r="K550" s="40" t="s">
        <v>14</v>
      </c>
      <c r="L550" s="36" t="s">
        <v>534</v>
      </c>
      <c r="M550" s="36">
        <v>5.5555500000000001E-2</v>
      </c>
      <c r="N550" s="36" t="s">
        <v>632</v>
      </c>
      <c r="O550" s="36">
        <v>7.4073999999999997E-3</v>
      </c>
      <c r="P550" s="36">
        <v>0.33333333333333331</v>
      </c>
      <c r="Q550" s="36" t="s">
        <v>634</v>
      </c>
      <c r="R550" s="36" t="s">
        <v>186</v>
      </c>
      <c r="S550" s="36" t="s">
        <v>636</v>
      </c>
      <c r="T550" s="36" t="s">
        <v>699</v>
      </c>
      <c r="U550" s="37">
        <v>0.33333333333333331</v>
      </c>
      <c r="V550"/>
    </row>
    <row r="551" spans="1:22" ht="17" x14ac:dyDescent="0.2">
      <c r="A551" s="36" t="s">
        <v>148</v>
      </c>
      <c r="B551" s="45" t="str">
        <f>VLOOKUP(Tabella1[[#This Row],[test_id]],experiments_specs!A:J,2,FALSE)</f>
        <v>NN,VB</v>
      </c>
      <c r="C551" s="38">
        <f>VLOOKUP(Tabella1[[#This Row],[test_id]],experiments_specs!A:J,3,FALSE)</f>
        <v>1</v>
      </c>
      <c r="D551" s="38">
        <f>VLOOKUP(Tabella1[[#This Row],[test_id]],experiments_specs!A:J,4,FALSE)</f>
        <v>2</v>
      </c>
      <c r="E551" s="38" t="str">
        <f>VLOOKUP(Tabella1[[#This Row],[test_id]],experiments_specs!A:J,5,FALSE)</f>
        <v>True</v>
      </c>
      <c r="F551" s="38" t="str">
        <f>VLOOKUP(Tabella1[[#This Row],[test_id]],experiments_specs!A:J,6,FALSE)</f>
        <v>False</v>
      </c>
      <c r="G551" s="38" t="str">
        <f>VLOOKUP(Tabella1[[#This Row],[test_id]],experiments_specs!A:J,7,FALSE)</f>
        <v>True</v>
      </c>
      <c r="H551" s="38" t="str">
        <f>VLOOKUP(Tabella1[[#This Row],[test_id]],experiments_specs!A:J,8,FALSE)</f>
        <v>False</v>
      </c>
      <c r="I551" s="45" t="str">
        <f>VLOOKUP(Tabella1[[#This Row],[test_id]],experiments_specs!A:J,9,FALSE)</f>
        <v>wup_similarity</v>
      </c>
      <c r="J551" s="38" t="str">
        <f>VLOOKUP(Tabella1[[#This Row],[test_id]],experiments_specs!A:J,10,FALSE)</f>
        <v>True</v>
      </c>
      <c r="K551" s="40" t="s">
        <v>15</v>
      </c>
      <c r="L551" s="36" t="s">
        <v>639</v>
      </c>
      <c r="M551" s="36">
        <v>0</v>
      </c>
      <c r="N551" s="36" t="s">
        <v>435</v>
      </c>
      <c r="O551" s="36">
        <v>5.6353999999999996E-3</v>
      </c>
      <c r="P551" s="36">
        <v>0.44444444444444442</v>
      </c>
      <c r="Q551" s="36" t="s">
        <v>365</v>
      </c>
      <c r="R551" s="36">
        <v>0</v>
      </c>
      <c r="S551" s="36" t="s">
        <v>26</v>
      </c>
      <c r="T551" s="36">
        <v>2.5983800000000001E-2</v>
      </c>
      <c r="U551" s="37">
        <v>0.18181818181818182</v>
      </c>
      <c r="V551"/>
    </row>
    <row r="552" spans="1:22" ht="17" x14ac:dyDescent="0.2">
      <c r="A552" s="36" t="s">
        <v>148</v>
      </c>
      <c r="B552" s="45" t="str">
        <f>VLOOKUP(Tabella1[[#This Row],[test_id]],experiments_specs!A:J,2,FALSE)</f>
        <v>NN,VB</v>
      </c>
      <c r="C552" s="38">
        <f>VLOOKUP(Tabella1[[#This Row],[test_id]],experiments_specs!A:J,3,FALSE)</f>
        <v>1</v>
      </c>
      <c r="D552" s="38">
        <f>VLOOKUP(Tabella1[[#This Row],[test_id]],experiments_specs!A:J,4,FALSE)</f>
        <v>2</v>
      </c>
      <c r="E552" s="38" t="str">
        <f>VLOOKUP(Tabella1[[#This Row],[test_id]],experiments_specs!A:J,5,FALSE)</f>
        <v>True</v>
      </c>
      <c r="F552" s="38" t="str">
        <f>VLOOKUP(Tabella1[[#This Row],[test_id]],experiments_specs!A:J,6,FALSE)</f>
        <v>False</v>
      </c>
      <c r="G552" s="38" t="str">
        <f>VLOOKUP(Tabella1[[#This Row],[test_id]],experiments_specs!A:J,7,FALSE)</f>
        <v>True</v>
      </c>
      <c r="H552" s="38" t="str">
        <f>VLOOKUP(Tabella1[[#This Row],[test_id]],experiments_specs!A:J,8,FALSE)</f>
        <v>False</v>
      </c>
      <c r="I552" s="45" t="str">
        <f>VLOOKUP(Tabella1[[#This Row],[test_id]],experiments_specs!A:J,9,FALSE)</f>
        <v>wup_similarity</v>
      </c>
      <c r="J552" s="38" t="str">
        <f>VLOOKUP(Tabella1[[#This Row],[test_id]],experiments_specs!A:J,10,FALSE)</f>
        <v>True</v>
      </c>
      <c r="K552" s="40" t="s">
        <v>16</v>
      </c>
      <c r="L552" s="36" t="s">
        <v>640</v>
      </c>
      <c r="M552" s="36">
        <v>0</v>
      </c>
      <c r="N552" s="36" t="s">
        <v>641</v>
      </c>
      <c r="O552" s="36">
        <v>4.7619000000000003E-3</v>
      </c>
      <c r="P552" s="36">
        <v>0.13333333333333333</v>
      </c>
      <c r="Q552" s="36" t="s">
        <v>642</v>
      </c>
      <c r="R552" s="36">
        <v>0</v>
      </c>
      <c r="S552" s="36" t="s">
        <v>643</v>
      </c>
      <c r="T552" s="36">
        <v>5.8976999999999996E-3</v>
      </c>
      <c r="U552" s="37">
        <v>0.70588235294117652</v>
      </c>
      <c r="V552"/>
    </row>
    <row r="553" spans="1:22" ht="409.6" x14ac:dyDescent="0.2">
      <c r="A553" s="36" t="s">
        <v>148</v>
      </c>
      <c r="B553" s="45" t="str">
        <f>VLOOKUP(Tabella1[[#This Row],[test_id]],experiments_specs!A:J,2,FALSE)</f>
        <v>NN,VB</v>
      </c>
      <c r="C553" s="38">
        <f>VLOOKUP(Tabella1[[#This Row],[test_id]],experiments_specs!A:J,3,FALSE)</f>
        <v>1</v>
      </c>
      <c r="D553" s="38">
        <f>VLOOKUP(Tabella1[[#This Row],[test_id]],experiments_specs!A:J,4,FALSE)</f>
        <v>2</v>
      </c>
      <c r="E553" s="38" t="str">
        <f>VLOOKUP(Tabella1[[#This Row],[test_id]],experiments_specs!A:J,5,FALSE)</f>
        <v>True</v>
      </c>
      <c r="F553" s="38" t="str">
        <f>VLOOKUP(Tabella1[[#This Row],[test_id]],experiments_specs!A:J,6,FALSE)</f>
        <v>False</v>
      </c>
      <c r="G553" s="38" t="str">
        <f>VLOOKUP(Tabella1[[#This Row],[test_id]],experiments_specs!A:J,7,FALSE)</f>
        <v>True</v>
      </c>
      <c r="H553" s="38" t="str">
        <f>VLOOKUP(Tabella1[[#This Row],[test_id]],experiments_specs!A:J,8,FALSE)</f>
        <v>False</v>
      </c>
      <c r="I553" s="45" t="str">
        <f>VLOOKUP(Tabella1[[#This Row],[test_id]],experiments_specs!A:J,9,FALSE)</f>
        <v>wup_similarity</v>
      </c>
      <c r="J553" s="38" t="str">
        <f>VLOOKUP(Tabella1[[#This Row],[test_id]],experiments_specs!A:J,10,FALSE)</f>
        <v>True</v>
      </c>
      <c r="K553" s="40" t="s">
        <v>17</v>
      </c>
      <c r="L553" s="36" t="s">
        <v>701</v>
      </c>
      <c r="M553" s="36" t="s">
        <v>703</v>
      </c>
      <c r="N553" s="36" t="s">
        <v>705</v>
      </c>
      <c r="O553" s="36" t="s">
        <v>707</v>
      </c>
      <c r="P553" s="36">
        <v>0.13333333333333333</v>
      </c>
      <c r="Q553" s="36" t="s">
        <v>647</v>
      </c>
      <c r="R553" s="36" t="s">
        <v>186</v>
      </c>
      <c r="S553" s="36" t="s">
        <v>649</v>
      </c>
      <c r="T553" s="36" t="s">
        <v>709</v>
      </c>
      <c r="U553" s="37">
        <v>0.18181818181818182</v>
      </c>
      <c r="V553"/>
    </row>
    <row r="554" spans="1:22" ht="34" x14ac:dyDescent="0.2">
      <c r="A554" s="36" t="s">
        <v>148</v>
      </c>
      <c r="B554" s="45" t="str">
        <f>VLOOKUP(Tabella1[[#This Row],[test_id]],experiments_specs!A:J,2,FALSE)</f>
        <v>NN,VB</v>
      </c>
      <c r="C554" s="38">
        <f>VLOOKUP(Tabella1[[#This Row],[test_id]],experiments_specs!A:J,3,FALSE)</f>
        <v>1</v>
      </c>
      <c r="D554" s="38">
        <f>VLOOKUP(Tabella1[[#This Row],[test_id]],experiments_specs!A:J,4,FALSE)</f>
        <v>2</v>
      </c>
      <c r="E554" s="38" t="str">
        <f>VLOOKUP(Tabella1[[#This Row],[test_id]],experiments_specs!A:J,5,FALSE)</f>
        <v>True</v>
      </c>
      <c r="F554" s="38" t="str">
        <f>VLOOKUP(Tabella1[[#This Row],[test_id]],experiments_specs!A:J,6,FALSE)</f>
        <v>False</v>
      </c>
      <c r="G554" s="38" t="str">
        <f>VLOOKUP(Tabella1[[#This Row],[test_id]],experiments_specs!A:J,7,FALSE)</f>
        <v>True</v>
      </c>
      <c r="H554" s="38" t="str">
        <f>VLOOKUP(Tabella1[[#This Row],[test_id]],experiments_specs!A:J,8,FALSE)</f>
        <v>False</v>
      </c>
      <c r="I554" s="45" t="str">
        <f>VLOOKUP(Tabella1[[#This Row],[test_id]],experiments_specs!A:J,9,FALSE)</f>
        <v>wup_similarity</v>
      </c>
      <c r="J554" s="38" t="str">
        <f>VLOOKUP(Tabella1[[#This Row],[test_id]],experiments_specs!A:J,10,FALSE)</f>
        <v>True</v>
      </c>
      <c r="K554" s="40" t="s">
        <v>18</v>
      </c>
      <c r="L554" s="36" t="s">
        <v>44</v>
      </c>
      <c r="M554" s="36">
        <v>0</v>
      </c>
      <c r="N554" s="36" t="s">
        <v>652</v>
      </c>
      <c r="O554" s="36">
        <v>8.6920000000000001E-3</v>
      </c>
      <c r="P554" s="36">
        <v>0.21052631578947367</v>
      </c>
      <c r="Q554" s="36" t="s">
        <v>46</v>
      </c>
      <c r="R554" s="36">
        <v>0</v>
      </c>
      <c r="S554" s="36" t="s">
        <v>652</v>
      </c>
      <c r="T554" s="36">
        <v>8.6920000000000001E-3</v>
      </c>
      <c r="U554" s="37">
        <v>0.21052631578947367</v>
      </c>
      <c r="V554"/>
    </row>
    <row r="555" spans="1:22" ht="17" x14ac:dyDescent="0.2">
      <c r="A555" s="36" t="s">
        <v>149</v>
      </c>
      <c r="B555" s="45" t="str">
        <f>VLOOKUP(Tabella1[[#This Row],[test_id]],experiments_specs!A:J,2,FALSE)</f>
        <v>NN,VB,VBD,VBG,VBN,VBP,VBZ</v>
      </c>
      <c r="C555" s="38">
        <f>VLOOKUP(Tabella1[[#This Row],[test_id]],experiments_specs!A:J,3,FALSE)</f>
        <v>1</v>
      </c>
      <c r="D555" s="38">
        <f>VLOOKUP(Tabella1[[#This Row],[test_id]],experiments_specs!A:J,4,FALSE)</f>
        <v>2</v>
      </c>
      <c r="E555" s="38" t="str">
        <f>VLOOKUP(Tabella1[[#This Row],[test_id]],experiments_specs!A:J,5,FALSE)</f>
        <v>True</v>
      </c>
      <c r="F555" s="38" t="str">
        <f>VLOOKUP(Tabella1[[#This Row],[test_id]],experiments_specs!A:J,6,FALSE)</f>
        <v>False</v>
      </c>
      <c r="G555" s="38" t="str">
        <f>VLOOKUP(Tabella1[[#This Row],[test_id]],experiments_specs!A:J,7,FALSE)</f>
        <v>True</v>
      </c>
      <c r="H555" s="38" t="str">
        <f>VLOOKUP(Tabella1[[#This Row],[test_id]],experiments_specs!A:J,8,FALSE)</f>
        <v>False</v>
      </c>
      <c r="I555" s="45" t="str">
        <f>VLOOKUP(Tabella1[[#This Row],[test_id]],experiments_specs!A:J,9,FALSE)</f>
        <v>wup_similarity</v>
      </c>
      <c r="J555" s="38" t="str">
        <f>VLOOKUP(Tabella1[[#This Row],[test_id]],experiments_specs!A:J,10,FALSE)</f>
        <v>True</v>
      </c>
      <c r="K555" s="40" t="s">
        <v>19</v>
      </c>
      <c r="L555" s="36" t="s">
        <v>354</v>
      </c>
      <c r="M555" s="36">
        <v>0</v>
      </c>
      <c r="N555" s="36" t="s">
        <v>533</v>
      </c>
      <c r="O555" s="36">
        <v>1.44041E-2</v>
      </c>
      <c r="P555" s="36">
        <v>0.19047619047619047</v>
      </c>
      <c r="Q555" s="36" t="s">
        <v>47</v>
      </c>
      <c r="R555" s="36">
        <v>6.3757599999999998E-2</v>
      </c>
      <c r="S555" s="36" t="s">
        <v>533</v>
      </c>
      <c r="T555" s="36">
        <v>1.5058800000000001E-2</v>
      </c>
      <c r="U555" s="37">
        <v>0.19047619047619047</v>
      </c>
      <c r="V555"/>
    </row>
    <row r="556" spans="1:22" ht="34" x14ac:dyDescent="0.2">
      <c r="A556" s="36" t="s">
        <v>149</v>
      </c>
      <c r="B556" s="45" t="str">
        <f>VLOOKUP(Tabella1[[#This Row],[test_id]],experiments_specs!A:J,2,FALSE)</f>
        <v>NN,VB,VBD,VBG,VBN,VBP,VBZ</v>
      </c>
      <c r="C556" s="38">
        <f>VLOOKUP(Tabella1[[#This Row],[test_id]],experiments_specs!A:J,3,FALSE)</f>
        <v>1</v>
      </c>
      <c r="D556" s="38">
        <f>VLOOKUP(Tabella1[[#This Row],[test_id]],experiments_specs!A:J,4,FALSE)</f>
        <v>2</v>
      </c>
      <c r="E556" s="38" t="str">
        <f>VLOOKUP(Tabella1[[#This Row],[test_id]],experiments_specs!A:J,5,FALSE)</f>
        <v>True</v>
      </c>
      <c r="F556" s="38" t="str">
        <f>VLOOKUP(Tabella1[[#This Row],[test_id]],experiments_specs!A:J,6,FALSE)</f>
        <v>False</v>
      </c>
      <c r="G556" s="38" t="str">
        <f>VLOOKUP(Tabella1[[#This Row],[test_id]],experiments_specs!A:J,7,FALSE)</f>
        <v>True</v>
      </c>
      <c r="H556" s="38" t="str">
        <f>VLOOKUP(Tabella1[[#This Row],[test_id]],experiments_specs!A:J,8,FALSE)</f>
        <v>False</v>
      </c>
      <c r="I556" s="45" t="str">
        <f>VLOOKUP(Tabella1[[#This Row],[test_id]],experiments_specs!A:J,9,FALSE)</f>
        <v>wup_similarity</v>
      </c>
      <c r="J556" s="38" t="str">
        <f>VLOOKUP(Tabella1[[#This Row],[test_id]],experiments_specs!A:J,10,FALSE)</f>
        <v>True</v>
      </c>
      <c r="K556" s="40" t="s">
        <v>12</v>
      </c>
      <c r="L556" s="36" t="s">
        <v>623</v>
      </c>
      <c r="M556" s="36">
        <v>0</v>
      </c>
      <c r="N556" s="36" t="s">
        <v>624</v>
      </c>
      <c r="O556" s="36">
        <v>2.3819000000000002E-3</v>
      </c>
      <c r="P556" s="36">
        <v>0.25</v>
      </c>
      <c r="Q556" s="36" t="s">
        <v>391</v>
      </c>
      <c r="R556" s="36" t="s">
        <v>626</v>
      </c>
      <c r="S556" s="36" t="s">
        <v>628</v>
      </c>
      <c r="T556" s="36" t="s">
        <v>711</v>
      </c>
      <c r="U556" s="37">
        <v>0.46153846153846156</v>
      </c>
      <c r="V556"/>
    </row>
    <row r="557" spans="1:22" ht="17" x14ac:dyDescent="0.2">
      <c r="A557" s="36" t="s">
        <v>149</v>
      </c>
      <c r="B557" s="45" t="str">
        <f>VLOOKUP(Tabella1[[#This Row],[test_id]],experiments_specs!A:J,2,FALSE)</f>
        <v>NN,VB,VBD,VBG,VBN,VBP,VBZ</v>
      </c>
      <c r="C557" s="38">
        <f>VLOOKUP(Tabella1[[#This Row],[test_id]],experiments_specs!A:J,3,FALSE)</f>
        <v>1</v>
      </c>
      <c r="D557" s="38">
        <f>VLOOKUP(Tabella1[[#This Row],[test_id]],experiments_specs!A:J,4,FALSE)</f>
        <v>2</v>
      </c>
      <c r="E557" s="38" t="str">
        <f>VLOOKUP(Tabella1[[#This Row],[test_id]],experiments_specs!A:J,5,FALSE)</f>
        <v>True</v>
      </c>
      <c r="F557" s="38" t="str">
        <f>VLOOKUP(Tabella1[[#This Row],[test_id]],experiments_specs!A:J,6,FALSE)</f>
        <v>False</v>
      </c>
      <c r="G557" s="38" t="str">
        <f>VLOOKUP(Tabella1[[#This Row],[test_id]],experiments_specs!A:J,7,FALSE)</f>
        <v>True</v>
      </c>
      <c r="H557" s="38" t="str">
        <f>VLOOKUP(Tabella1[[#This Row],[test_id]],experiments_specs!A:J,8,FALSE)</f>
        <v>False</v>
      </c>
      <c r="I557" s="45" t="str">
        <f>VLOOKUP(Tabella1[[#This Row],[test_id]],experiments_specs!A:J,9,FALSE)</f>
        <v>wup_similarity</v>
      </c>
      <c r="J557" s="38" t="str">
        <f>VLOOKUP(Tabella1[[#This Row],[test_id]],experiments_specs!A:J,10,FALSE)</f>
        <v>True</v>
      </c>
      <c r="K557" s="40" t="s">
        <v>13</v>
      </c>
      <c r="L557" s="36" t="s">
        <v>696</v>
      </c>
      <c r="M557" s="36">
        <v>4.0892999999999999E-2</v>
      </c>
      <c r="N557" s="36" t="s">
        <v>697</v>
      </c>
      <c r="O557" s="36">
        <v>2.4572999999999999E-3</v>
      </c>
      <c r="P557" s="36" t="s">
        <v>25</v>
      </c>
      <c r="Q557" s="36" t="s">
        <v>34</v>
      </c>
      <c r="R557" s="36">
        <v>0</v>
      </c>
      <c r="S557" s="36" t="s">
        <v>35</v>
      </c>
      <c r="T557" s="36">
        <v>1.41876E-2</v>
      </c>
      <c r="U557" s="37" t="s">
        <v>25</v>
      </c>
      <c r="V557"/>
    </row>
    <row r="558" spans="1:22" ht="34" x14ac:dyDescent="0.2">
      <c r="A558" s="36" t="s">
        <v>149</v>
      </c>
      <c r="B558" s="45" t="str">
        <f>VLOOKUP(Tabella1[[#This Row],[test_id]],experiments_specs!A:J,2,FALSE)</f>
        <v>NN,VB,VBD,VBG,VBN,VBP,VBZ</v>
      </c>
      <c r="C558" s="38">
        <f>VLOOKUP(Tabella1[[#This Row],[test_id]],experiments_specs!A:J,3,FALSE)</f>
        <v>1</v>
      </c>
      <c r="D558" s="38">
        <f>VLOOKUP(Tabella1[[#This Row],[test_id]],experiments_specs!A:J,4,FALSE)</f>
        <v>2</v>
      </c>
      <c r="E558" s="38" t="str">
        <f>VLOOKUP(Tabella1[[#This Row],[test_id]],experiments_specs!A:J,5,FALSE)</f>
        <v>True</v>
      </c>
      <c r="F558" s="38" t="str">
        <f>VLOOKUP(Tabella1[[#This Row],[test_id]],experiments_specs!A:J,6,FALSE)</f>
        <v>False</v>
      </c>
      <c r="G558" s="38" t="str">
        <f>VLOOKUP(Tabella1[[#This Row],[test_id]],experiments_specs!A:J,7,FALSE)</f>
        <v>True</v>
      </c>
      <c r="H558" s="38" t="str">
        <f>VLOOKUP(Tabella1[[#This Row],[test_id]],experiments_specs!A:J,8,FALSE)</f>
        <v>False</v>
      </c>
      <c r="I558" s="45" t="str">
        <f>VLOOKUP(Tabella1[[#This Row],[test_id]],experiments_specs!A:J,9,FALSE)</f>
        <v>wup_similarity</v>
      </c>
      <c r="J558" s="38" t="str">
        <f>VLOOKUP(Tabella1[[#This Row],[test_id]],experiments_specs!A:J,10,FALSE)</f>
        <v>True</v>
      </c>
      <c r="K558" s="40" t="s">
        <v>14</v>
      </c>
      <c r="L558" s="36" t="s">
        <v>534</v>
      </c>
      <c r="M558" s="36">
        <v>5.5555500000000001E-2</v>
      </c>
      <c r="N558" s="36" t="s">
        <v>632</v>
      </c>
      <c r="O558" s="36">
        <v>6.5358999999999999E-3</v>
      </c>
      <c r="P558" s="36">
        <v>0.33333333333333331</v>
      </c>
      <c r="Q558" s="36" t="s">
        <v>634</v>
      </c>
      <c r="R558" s="36" t="s">
        <v>186</v>
      </c>
      <c r="S558" s="36" t="s">
        <v>636</v>
      </c>
      <c r="T558" s="36" t="s">
        <v>713</v>
      </c>
      <c r="U558" s="37">
        <v>0.33333333333333331</v>
      </c>
      <c r="V558"/>
    </row>
    <row r="559" spans="1:22" ht="17" x14ac:dyDescent="0.2">
      <c r="A559" s="36" t="s">
        <v>149</v>
      </c>
      <c r="B559" s="45" t="str">
        <f>VLOOKUP(Tabella1[[#This Row],[test_id]],experiments_specs!A:J,2,FALSE)</f>
        <v>NN,VB,VBD,VBG,VBN,VBP,VBZ</v>
      </c>
      <c r="C559" s="38">
        <f>VLOOKUP(Tabella1[[#This Row],[test_id]],experiments_specs!A:J,3,FALSE)</f>
        <v>1</v>
      </c>
      <c r="D559" s="38">
        <f>VLOOKUP(Tabella1[[#This Row],[test_id]],experiments_specs!A:J,4,FALSE)</f>
        <v>2</v>
      </c>
      <c r="E559" s="38" t="str">
        <f>VLOOKUP(Tabella1[[#This Row],[test_id]],experiments_specs!A:J,5,FALSE)</f>
        <v>True</v>
      </c>
      <c r="F559" s="38" t="str">
        <f>VLOOKUP(Tabella1[[#This Row],[test_id]],experiments_specs!A:J,6,FALSE)</f>
        <v>False</v>
      </c>
      <c r="G559" s="38" t="str">
        <f>VLOOKUP(Tabella1[[#This Row],[test_id]],experiments_specs!A:J,7,FALSE)</f>
        <v>True</v>
      </c>
      <c r="H559" s="38" t="str">
        <f>VLOOKUP(Tabella1[[#This Row],[test_id]],experiments_specs!A:J,8,FALSE)</f>
        <v>False</v>
      </c>
      <c r="I559" s="45" t="str">
        <f>VLOOKUP(Tabella1[[#This Row],[test_id]],experiments_specs!A:J,9,FALSE)</f>
        <v>wup_similarity</v>
      </c>
      <c r="J559" s="38" t="str">
        <f>VLOOKUP(Tabella1[[#This Row],[test_id]],experiments_specs!A:J,10,FALSE)</f>
        <v>True</v>
      </c>
      <c r="K559" s="40" t="s">
        <v>15</v>
      </c>
      <c r="L559" s="36" t="s">
        <v>639</v>
      </c>
      <c r="M559" s="36">
        <v>0</v>
      </c>
      <c r="N559" s="36" t="s">
        <v>435</v>
      </c>
      <c r="O559" s="36">
        <v>5.0092000000000001E-3</v>
      </c>
      <c r="P559" s="36">
        <v>0.44444444444444442</v>
      </c>
      <c r="Q559" s="36" t="s">
        <v>365</v>
      </c>
      <c r="R559" s="36">
        <v>0</v>
      </c>
      <c r="S559" s="36" t="s">
        <v>26</v>
      </c>
      <c r="T559" s="36">
        <v>2.3248700000000001E-2</v>
      </c>
      <c r="U559" s="37">
        <v>0.18181818181818182</v>
      </c>
      <c r="V559"/>
    </row>
    <row r="560" spans="1:22" ht="17" x14ac:dyDescent="0.2">
      <c r="A560" s="36" t="s">
        <v>149</v>
      </c>
      <c r="B560" s="45" t="str">
        <f>VLOOKUP(Tabella1[[#This Row],[test_id]],experiments_specs!A:J,2,FALSE)</f>
        <v>NN,VB,VBD,VBG,VBN,VBP,VBZ</v>
      </c>
      <c r="C560" s="38">
        <f>VLOOKUP(Tabella1[[#This Row],[test_id]],experiments_specs!A:J,3,FALSE)</f>
        <v>1</v>
      </c>
      <c r="D560" s="38">
        <f>VLOOKUP(Tabella1[[#This Row],[test_id]],experiments_specs!A:J,4,FALSE)</f>
        <v>2</v>
      </c>
      <c r="E560" s="38" t="str">
        <f>VLOOKUP(Tabella1[[#This Row],[test_id]],experiments_specs!A:J,5,FALSE)</f>
        <v>True</v>
      </c>
      <c r="F560" s="38" t="str">
        <f>VLOOKUP(Tabella1[[#This Row],[test_id]],experiments_specs!A:J,6,FALSE)</f>
        <v>False</v>
      </c>
      <c r="G560" s="38" t="str">
        <f>VLOOKUP(Tabella1[[#This Row],[test_id]],experiments_specs!A:J,7,FALSE)</f>
        <v>True</v>
      </c>
      <c r="H560" s="38" t="str">
        <f>VLOOKUP(Tabella1[[#This Row],[test_id]],experiments_specs!A:J,8,FALSE)</f>
        <v>False</v>
      </c>
      <c r="I560" s="45" t="str">
        <f>VLOOKUP(Tabella1[[#This Row],[test_id]],experiments_specs!A:J,9,FALSE)</f>
        <v>wup_similarity</v>
      </c>
      <c r="J560" s="38" t="str">
        <f>VLOOKUP(Tabella1[[#This Row],[test_id]],experiments_specs!A:J,10,FALSE)</f>
        <v>True</v>
      </c>
      <c r="K560" s="40" t="s">
        <v>16</v>
      </c>
      <c r="L560" s="36" t="s">
        <v>640</v>
      </c>
      <c r="M560" s="36">
        <v>0</v>
      </c>
      <c r="N560" s="36" t="s">
        <v>641</v>
      </c>
      <c r="O560" s="36">
        <v>4.6296000000000002E-3</v>
      </c>
      <c r="P560" s="36">
        <v>0.13333333333333333</v>
      </c>
      <c r="Q560" s="36" t="s">
        <v>642</v>
      </c>
      <c r="R560" s="36">
        <v>0</v>
      </c>
      <c r="S560" s="36" t="s">
        <v>643</v>
      </c>
      <c r="T560" s="36">
        <v>5.7425000000000002E-3</v>
      </c>
      <c r="U560" s="37">
        <v>0.70588235294117652</v>
      </c>
      <c r="V560"/>
    </row>
    <row r="561" spans="1:22" ht="409.6" x14ac:dyDescent="0.2">
      <c r="A561" s="36" t="s">
        <v>149</v>
      </c>
      <c r="B561" s="45" t="str">
        <f>VLOOKUP(Tabella1[[#This Row],[test_id]],experiments_specs!A:J,2,FALSE)</f>
        <v>NN,VB,VBD,VBG,VBN,VBP,VBZ</v>
      </c>
      <c r="C561" s="38">
        <f>VLOOKUP(Tabella1[[#This Row],[test_id]],experiments_specs!A:J,3,FALSE)</f>
        <v>1</v>
      </c>
      <c r="D561" s="38">
        <f>VLOOKUP(Tabella1[[#This Row],[test_id]],experiments_specs!A:J,4,FALSE)</f>
        <v>2</v>
      </c>
      <c r="E561" s="38" t="str">
        <f>VLOOKUP(Tabella1[[#This Row],[test_id]],experiments_specs!A:J,5,FALSE)</f>
        <v>True</v>
      </c>
      <c r="F561" s="38" t="str">
        <f>VLOOKUP(Tabella1[[#This Row],[test_id]],experiments_specs!A:J,6,FALSE)</f>
        <v>False</v>
      </c>
      <c r="G561" s="38" t="str">
        <f>VLOOKUP(Tabella1[[#This Row],[test_id]],experiments_specs!A:J,7,FALSE)</f>
        <v>True</v>
      </c>
      <c r="H561" s="38" t="str">
        <f>VLOOKUP(Tabella1[[#This Row],[test_id]],experiments_specs!A:J,8,FALSE)</f>
        <v>False</v>
      </c>
      <c r="I561" s="45" t="str">
        <f>VLOOKUP(Tabella1[[#This Row],[test_id]],experiments_specs!A:J,9,FALSE)</f>
        <v>wup_similarity</v>
      </c>
      <c r="J561" s="38" t="str">
        <f>VLOOKUP(Tabella1[[#This Row],[test_id]],experiments_specs!A:J,10,FALSE)</f>
        <v>True</v>
      </c>
      <c r="K561" s="40" t="s">
        <v>17</v>
      </c>
      <c r="L561" s="36" t="s">
        <v>715</v>
      </c>
      <c r="M561" s="36" t="s">
        <v>717</v>
      </c>
      <c r="N561" s="36" t="s">
        <v>719</v>
      </c>
      <c r="O561" s="36" t="s">
        <v>721</v>
      </c>
      <c r="P561" s="36">
        <v>0.13333333333333333</v>
      </c>
      <c r="Q561" s="36" t="s">
        <v>647</v>
      </c>
      <c r="R561" s="36" t="s">
        <v>186</v>
      </c>
      <c r="S561" s="36" t="s">
        <v>649</v>
      </c>
      <c r="T561" s="36" t="s">
        <v>723</v>
      </c>
      <c r="U561" s="37">
        <v>0.18181818181818182</v>
      </c>
      <c r="V561"/>
    </row>
    <row r="562" spans="1:22" ht="34" x14ac:dyDescent="0.2">
      <c r="A562" s="36" t="s">
        <v>149</v>
      </c>
      <c r="B562" s="45" t="str">
        <f>VLOOKUP(Tabella1[[#This Row],[test_id]],experiments_specs!A:J,2,FALSE)</f>
        <v>NN,VB,VBD,VBG,VBN,VBP,VBZ</v>
      </c>
      <c r="C562" s="38">
        <f>VLOOKUP(Tabella1[[#This Row],[test_id]],experiments_specs!A:J,3,FALSE)</f>
        <v>1</v>
      </c>
      <c r="D562" s="38">
        <f>VLOOKUP(Tabella1[[#This Row],[test_id]],experiments_specs!A:J,4,FALSE)</f>
        <v>2</v>
      </c>
      <c r="E562" s="38" t="str">
        <f>VLOOKUP(Tabella1[[#This Row],[test_id]],experiments_specs!A:J,5,FALSE)</f>
        <v>True</v>
      </c>
      <c r="F562" s="38" t="str">
        <f>VLOOKUP(Tabella1[[#This Row],[test_id]],experiments_specs!A:J,6,FALSE)</f>
        <v>False</v>
      </c>
      <c r="G562" s="38" t="str">
        <f>VLOOKUP(Tabella1[[#This Row],[test_id]],experiments_specs!A:J,7,FALSE)</f>
        <v>True</v>
      </c>
      <c r="H562" s="38" t="str">
        <f>VLOOKUP(Tabella1[[#This Row],[test_id]],experiments_specs!A:J,8,FALSE)</f>
        <v>False</v>
      </c>
      <c r="I562" s="45" t="str">
        <f>VLOOKUP(Tabella1[[#This Row],[test_id]],experiments_specs!A:J,9,FALSE)</f>
        <v>wup_similarity</v>
      </c>
      <c r="J562" s="38" t="str">
        <f>VLOOKUP(Tabella1[[#This Row],[test_id]],experiments_specs!A:J,10,FALSE)</f>
        <v>True</v>
      </c>
      <c r="K562" s="40" t="s">
        <v>18</v>
      </c>
      <c r="L562" s="36" t="s">
        <v>44</v>
      </c>
      <c r="M562" s="36">
        <v>0</v>
      </c>
      <c r="N562" s="36" t="s">
        <v>652</v>
      </c>
      <c r="O562" s="36">
        <v>7.9676999999999994E-3</v>
      </c>
      <c r="P562" s="36">
        <v>0.21052631578947367</v>
      </c>
      <c r="Q562" s="36" t="s">
        <v>46</v>
      </c>
      <c r="R562" s="36">
        <v>0</v>
      </c>
      <c r="S562" s="36" t="s">
        <v>652</v>
      </c>
      <c r="T562" s="36">
        <v>8.1372000000000007E-3</v>
      </c>
      <c r="U562" s="37">
        <v>0.21052631578947367</v>
      </c>
      <c r="V562"/>
    </row>
    <row r="563" spans="1:22" ht="17" x14ac:dyDescent="0.2">
      <c r="A563" s="36" t="s">
        <v>150</v>
      </c>
      <c r="B563" s="45" t="str">
        <f>VLOOKUP(Tabella1[[#This Row],[test_id]],experiments_specs!A:J,2,FALSE)</f>
        <v>NN,RB</v>
      </c>
      <c r="C563" s="38">
        <f>VLOOKUP(Tabella1[[#This Row],[test_id]],experiments_specs!A:J,3,FALSE)</f>
        <v>1</v>
      </c>
      <c r="D563" s="38">
        <f>VLOOKUP(Tabella1[[#This Row],[test_id]],experiments_specs!A:J,4,FALSE)</f>
        <v>2</v>
      </c>
      <c r="E563" s="38" t="str">
        <f>VLOOKUP(Tabella1[[#This Row],[test_id]],experiments_specs!A:J,5,FALSE)</f>
        <v>True</v>
      </c>
      <c r="F563" s="38" t="str">
        <f>VLOOKUP(Tabella1[[#This Row],[test_id]],experiments_specs!A:J,6,FALSE)</f>
        <v>False</v>
      </c>
      <c r="G563" s="38" t="str">
        <f>VLOOKUP(Tabella1[[#This Row],[test_id]],experiments_specs!A:J,7,FALSE)</f>
        <v>True</v>
      </c>
      <c r="H563" s="38" t="str">
        <f>VLOOKUP(Tabella1[[#This Row],[test_id]],experiments_specs!A:J,8,FALSE)</f>
        <v>False</v>
      </c>
      <c r="I563" s="45" t="str">
        <f>VLOOKUP(Tabella1[[#This Row],[test_id]],experiments_specs!A:J,9,FALSE)</f>
        <v>wup_similarity</v>
      </c>
      <c r="J563" s="38" t="str">
        <f>VLOOKUP(Tabella1[[#This Row],[test_id]],experiments_specs!A:J,10,FALSE)</f>
        <v>True</v>
      </c>
      <c r="K563" s="40" t="s">
        <v>19</v>
      </c>
      <c r="L563" s="36" t="s">
        <v>354</v>
      </c>
      <c r="M563" s="36">
        <v>0</v>
      </c>
      <c r="N563" s="36" t="s">
        <v>533</v>
      </c>
      <c r="O563" s="36">
        <v>1.5058800000000001E-2</v>
      </c>
      <c r="P563" s="36">
        <v>0.19047619047619047</v>
      </c>
      <c r="Q563" s="36" t="s">
        <v>47</v>
      </c>
      <c r="R563" s="36">
        <v>6.3757599999999998E-2</v>
      </c>
      <c r="S563" s="36" t="s">
        <v>533</v>
      </c>
      <c r="T563" s="36">
        <v>1.5775899999999999E-2</v>
      </c>
      <c r="U563" s="37">
        <v>0.19047619047619047</v>
      </c>
      <c r="V563"/>
    </row>
    <row r="564" spans="1:22" ht="34" x14ac:dyDescent="0.2">
      <c r="A564" s="36" t="s">
        <v>150</v>
      </c>
      <c r="B564" s="45" t="str">
        <f>VLOOKUP(Tabella1[[#This Row],[test_id]],experiments_specs!A:J,2,FALSE)</f>
        <v>NN,RB</v>
      </c>
      <c r="C564" s="38">
        <f>VLOOKUP(Tabella1[[#This Row],[test_id]],experiments_specs!A:J,3,FALSE)</f>
        <v>1</v>
      </c>
      <c r="D564" s="38">
        <f>VLOOKUP(Tabella1[[#This Row],[test_id]],experiments_specs!A:J,4,FALSE)</f>
        <v>2</v>
      </c>
      <c r="E564" s="38" t="str">
        <f>VLOOKUP(Tabella1[[#This Row],[test_id]],experiments_specs!A:J,5,FALSE)</f>
        <v>True</v>
      </c>
      <c r="F564" s="38" t="str">
        <f>VLOOKUP(Tabella1[[#This Row],[test_id]],experiments_specs!A:J,6,FALSE)</f>
        <v>False</v>
      </c>
      <c r="G564" s="38" t="str">
        <f>VLOOKUP(Tabella1[[#This Row],[test_id]],experiments_specs!A:J,7,FALSE)</f>
        <v>True</v>
      </c>
      <c r="H564" s="38" t="str">
        <f>VLOOKUP(Tabella1[[#This Row],[test_id]],experiments_specs!A:J,8,FALSE)</f>
        <v>False</v>
      </c>
      <c r="I564" s="45" t="str">
        <f>VLOOKUP(Tabella1[[#This Row],[test_id]],experiments_specs!A:J,9,FALSE)</f>
        <v>wup_similarity</v>
      </c>
      <c r="J564" s="38" t="str">
        <f>VLOOKUP(Tabella1[[#This Row],[test_id]],experiments_specs!A:J,10,FALSE)</f>
        <v>True</v>
      </c>
      <c r="K564" s="40" t="s">
        <v>12</v>
      </c>
      <c r="L564" s="36" t="s">
        <v>623</v>
      </c>
      <c r="M564" s="36">
        <v>0</v>
      </c>
      <c r="N564" s="36" t="s">
        <v>624</v>
      </c>
      <c r="O564" s="36">
        <v>3.3081999999999999E-3</v>
      </c>
      <c r="P564" s="36">
        <v>0.25</v>
      </c>
      <c r="Q564" s="36" t="s">
        <v>391</v>
      </c>
      <c r="R564" s="36" t="s">
        <v>626</v>
      </c>
      <c r="S564" s="36" t="s">
        <v>628</v>
      </c>
      <c r="T564" s="36" t="s">
        <v>630</v>
      </c>
      <c r="U564" s="37">
        <v>0.46153846153846156</v>
      </c>
      <c r="V564"/>
    </row>
    <row r="565" spans="1:22" ht="17" x14ac:dyDescent="0.2">
      <c r="A565" s="36" t="s">
        <v>150</v>
      </c>
      <c r="B565" s="45" t="str">
        <f>VLOOKUP(Tabella1[[#This Row],[test_id]],experiments_specs!A:J,2,FALSE)</f>
        <v>NN,RB</v>
      </c>
      <c r="C565" s="38">
        <f>VLOOKUP(Tabella1[[#This Row],[test_id]],experiments_specs!A:J,3,FALSE)</f>
        <v>1</v>
      </c>
      <c r="D565" s="38">
        <f>VLOOKUP(Tabella1[[#This Row],[test_id]],experiments_specs!A:J,4,FALSE)</f>
        <v>2</v>
      </c>
      <c r="E565" s="38" t="str">
        <f>VLOOKUP(Tabella1[[#This Row],[test_id]],experiments_specs!A:J,5,FALSE)</f>
        <v>True</v>
      </c>
      <c r="F565" s="38" t="str">
        <f>VLOOKUP(Tabella1[[#This Row],[test_id]],experiments_specs!A:J,6,FALSE)</f>
        <v>False</v>
      </c>
      <c r="G565" s="38" t="str">
        <f>VLOOKUP(Tabella1[[#This Row],[test_id]],experiments_specs!A:J,7,FALSE)</f>
        <v>True</v>
      </c>
      <c r="H565" s="38" t="str">
        <f>VLOOKUP(Tabella1[[#This Row],[test_id]],experiments_specs!A:J,8,FALSE)</f>
        <v>False</v>
      </c>
      <c r="I565" s="45" t="str">
        <f>VLOOKUP(Tabella1[[#This Row],[test_id]],experiments_specs!A:J,9,FALSE)</f>
        <v>wup_similarity</v>
      </c>
      <c r="J565" s="38" t="str">
        <f>VLOOKUP(Tabella1[[#This Row],[test_id]],experiments_specs!A:J,10,FALSE)</f>
        <v>True</v>
      </c>
      <c r="K565" s="40" t="s">
        <v>13</v>
      </c>
      <c r="L565" s="36" t="s">
        <v>688</v>
      </c>
      <c r="M565" s="36">
        <v>7.3720900000000006E-2</v>
      </c>
      <c r="N565" s="36" t="s">
        <v>689</v>
      </c>
      <c r="O565" s="36">
        <v>2.5079999999999998E-3</v>
      </c>
      <c r="P565" s="36" t="s">
        <v>25</v>
      </c>
      <c r="Q565" s="36" t="s">
        <v>34</v>
      </c>
      <c r="R565" s="36">
        <v>0</v>
      </c>
      <c r="S565" s="36" t="s">
        <v>35</v>
      </c>
      <c r="T565" s="36">
        <v>1.77345E-2</v>
      </c>
      <c r="U565" s="37" t="s">
        <v>25</v>
      </c>
      <c r="V565"/>
    </row>
    <row r="566" spans="1:22" ht="34" x14ac:dyDescent="0.2">
      <c r="A566" s="36" t="s">
        <v>150</v>
      </c>
      <c r="B566" s="45" t="str">
        <f>VLOOKUP(Tabella1[[#This Row],[test_id]],experiments_specs!A:J,2,FALSE)</f>
        <v>NN,RB</v>
      </c>
      <c r="C566" s="38">
        <f>VLOOKUP(Tabella1[[#This Row],[test_id]],experiments_specs!A:J,3,FALSE)</f>
        <v>1</v>
      </c>
      <c r="D566" s="38">
        <f>VLOOKUP(Tabella1[[#This Row],[test_id]],experiments_specs!A:J,4,FALSE)</f>
        <v>2</v>
      </c>
      <c r="E566" s="38" t="str">
        <f>VLOOKUP(Tabella1[[#This Row],[test_id]],experiments_specs!A:J,5,FALSE)</f>
        <v>True</v>
      </c>
      <c r="F566" s="38" t="str">
        <f>VLOOKUP(Tabella1[[#This Row],[test_id]],experiments_specs!A:J,6,FALSE)</f>
        <v>False</v>
      </c>
      <c r="G566" s="38" t="str">
        <f>VLOOKUP(Tabella1[[#This Row],[test_id]],experiments_specs!A:J,7,FALSE)</f>
        <v>True</v>
      </c>
      <c r="H566" s="38" t="str">
        <f>VLOOKUP(Tabella1[[#This Row],[test_id]],experiments_specs!A:J,8,FALSE)</f>
        <v>False</v>
      </c>
      <c r="I566" s="45" t="str">
        <f>VLOOKUP(Tabella1[[#This Row],[test_id]],experiments_specs!A:J,9,FALSE)</f>
        <v>wup_similarity</v>
      </c>
      <c r="J566" s="38" t="str">
        <f>VLOOKUP(Tabella1[[#This Row],[test_id]],experiments_specs!A:J,10,FALSE)</f>
        <v>True</v>
      </c>
      <c r="K566" s="40" t="s">
        <v>14</v>
      </c>
      <c r="L566" s="36" t="s">
        <v>534</v>
      </c>
      <c r="M566" s="36">
        <v>5.5555500000000001E-2</v>
      </c>
      <c r="N566" s="36" t="s">
        <v>632</v>
      </c>
      <c r="O566" s="36">
        <v>7.9365000000000008E-3</v>
      </c>
      <c r="P566" s="36">
        <v>0.33333333333333331</v>
      </c>
      <c r="Q566" s="36" t="s">
        <v>634</v>
      </c>
      <c r="R566" s="36" t="s">
        <v>186</v>
      </c>
      <c r="S566" s="36" t="s">
        <v>636</v>
      </c>
      <c r="T566" s="36" t="s">
        <v>656</v>
      </c>
      <c r="U566" s="37">
        <v>0.33333333333333331</v>
      </c>
      <c r="V566"/>
    </row>
    <row r="567" spans="1:22" ht="17" x14ac:dyDescent="0.2">
      <c r="A567" s="36" t="s">
        <v>150</v>
      </c>
      <c r="B567" s="45" t="str">
        <f>VLOOKUP(Tabella1[[#This Row],[test_id]],experiments_specs!A:J,2,FALSE)</f>
        <v>NN,RB</v>
      </c>
      <c r="C567" s="38">
        <f>VLOOKUP(Tabella1[[#This Row],[test_id]],experiments_specs!A:J,3,FALSE)</f>
        <v>1</v>
      </c>
      <c r="D567" s="38">
        <f>VLOOKUP(Tabella1[[#This Row],[test_id]],experiments_specs!A:J,4,FALSE)</f>
        <v>2</v>
      </c>
      <c r="E567" s="38" t="str">
        <f>VLOOKUP(Tabella1[[#This Row],[test_id]],experiments_specs!A:J,5,FALSE)</f>
        <v>True</v>
      </c>
      <c r="F567" s="38" t="str">
        <f>VLOOKUP(Tabella1[[#This Row],[test_id]],experiments_specs!A:J,6,FALSE)</f>
        <v>False</v>
      </c>
      <c r="G567" s="38" t="str">
        <f>VLOOKUP(Tabella1[[#This Row],[test_id]],experiments_specs!A:J,7,FALSE)</f>
        <v>True</v>
      </c>
      <c r="H567" s="38" t="str">
        <f>VLOOKUP(Tabella1[[#This Row],[test_id]],experiments_specs!A:J,8,FALSE)</f>
        <v>False</v>
      </c>
      <c r="I567" s="45" t="str">
        <f>VLOOKUP(Tabella1[[#This Row],[test_id]],experiments_specs!A:J,9,FALSE)</f>
        <v>wup_similarity</v>
      </c>
      <c r="J567" s="38" t="str">
        <f>VLOOKUP(Tabella1[[#This Row],[test_id]],experiments_specs!A:J,10,FALSE)</f>
        <v>True</v>
      </c>
      <c r="K567" s="40" t="s">
        <v>15</v>
      </c>
      <c r="L567" s="36" t="s">
        <v>639</v>
      </c>
      <c r="M567" s="36">
        <v>0</v>
      </c>
      <c r="N567" s="36" t="s">
        <v>435</v>
      </c>
      <c r="O567" s="36">
        <v>6.4403999999999998E-3</v>
      </c>
      <c r="P567" s="36">
        <v>0.44444444444444442</v>
      </c>
      <c r="Q567" s="36" t="s">
        <v>365</v>
      </c>
      <c r="R567" s="36">
        <v>0</v>
      </c>
      <c r="S567" s="36" t="s">
        <v>26</v>
      </c>
      <c r="T567" s="36">
        <v>2.94484E-2</v>
      </c>
      <c r="U567" s="37">
        <v>0.18181818181818182</v>
      </c>
      <c r="V567"/>
    </row>
    <row r="568" spans="1:22" ht="17" x14ac:dyDescent="0.2">
      <c r="A568" s="36" t="s">
        <v>150</v>
      </c>
      <c r="B568" s="45" t="str">
        <f>VLOOKUP(Tabella1[[#This Row],[test_id]],experiments_specs!A:J,2,FALSE)</f>
        <v>NN,RB</v>
      </c>
      <c r="C568" s="38">
        <f>VLOOKUP(Tabella1[[#This Row],[test_id]],experiments_specs!A:J,3,FALSE)</f>
        <v>1</v>
      </c>
      <c r="D568" s="38">
        <f>VLOOKUP(Tabella1[[#This Row],[test_id]],experiments_specs!A:J,4,FALSE)</f>
        <v>2</v>
      </c>
      <c r="E568" s="38" t="str">
        <f>VLOOKUP(Tabella1[[#This Row],[test_id]],experiments_specs!A:J,5,FALSE)</f>
        <v>True</v>
      </c>
      <c r="F568" s="38" t="str">
        <f>VLOOKUP(Tabella1[[#This Row],[test_id]],experiments_specs!A:J,6,FALSE)</f>
        <v>False</v>
      </c>
      <c r="G568" s="38" t="str">
        <f>VLOOKUP(Tabella1[[#This Row],[test_id]],experiments_specs!A:J,7,FALSE)</f>
        <v>True</v>
      </c>
      <c r="H568" s="38" t="str">
        <f>VLOOKUP(Tabella1[[#This Row],[test_id]],experiments_specs!A:J,8,FALSE)</f>
        <v>False</v>
      </c>
      <c r="I568" s="45" t="str">
        <f>VLOOKUP(Tabella1[[#This Row],[test_id]],experiments_specs!A:J,9,FALSE)</f>
        <v>wup_similarity</v>
      </c>
      <c r="J568" s="38" t="str">
        <f>VLOOKUP(Tabella1[[#This Row],[test_id]],experiments_specs!A:J,10,FALSE)</f>
        <v>True</v>
      </c>
      <c r="K568" s="40" t="s">
        <v>16</v>
      </c>
      <c r="L568" s="36" t="s">
        <v>640</v>
      </c>
      <c r="M568" s="36">
        <v>0</v>
      </c>
      <c r="N568" s="36" t="s">
        <v>641</v>
      </c>
      <c r="O568" s="36">
        <v>5.3762999999999997E-3</v>
      </c>
      <c r="P568" s="36">
        <v>0.13333333333333333</v>
      </c>
      <c r="Q568" s="36" t="s">
        <v>642</v>
      </c>
      <c r="R568" s="36">
        <v>0</v>
      </c>
      <c r="S568" s="36" t="s">
        <v>643</v>
      </c>
      <c r="T568" s="36">
        <v>6.6125999999999997E-3</v>
      </c>
      <c r="U568" s="37">
        <v>0.70588235294117652</v>
      </c>
      <c r="V568"/>
    </row>
    <row r="569" spans="1:22" ht="409.6" x14ac:dyDescent="0.2">
      <c r="A569" s="36" t="s">
        <v>150</v>
      </c>
      <c r="B569" s="45" t="str">
        <f>VLOOKUP(Tabella1[[#This Row],[test_id]],experiments_specs!A:J,2,FALSE)</f>
        <v>NN,RB</v>
      </c>
      <c r="C569" s="38">
        <f>VLOOKUP(Tabella1[[#This Row],[test_id]],experiments_specs!A:J,3,FALSE)</f>
        <v>1</v>
      </c>
      <c r="D569" s="38">
        <f>VLOOKUP(Tabella1[[#This Row],[test_id]],experiments_specs!A:J,4,FALSE)</f>
        <v>2</v>
      </c>
      <c r="E569" s="38" t="str">
        <f>VLOOKUP(Tabella1[[#This Row],[test_id]],experiments_specs!A:J,5,FALSE)</f>
        <v>True</v>
      </c>
      <c r="F569" s="38" t="str">
        <f>VLOOKUP(Tabella1[[#This Row],[test_id]],experiments_specs!A:J,6,FALSE)</f>
        <v>False</v>
      </c>
      <c r="G569" s="38" t="str">
        <f>VLOOKUP(Tabella1[[#This Row],[test_id]],experiments_specs!A:J,7,FALSE)</f>
        <v>True</v>
      </c>
      <c r="H569" s="38" t="str">
        <f>VLOOKUP(Tabella1[[#This Row],[test_id]],experiments_specs!A:J,8,FALSE)</f>
        <v>False</v>
      </c>
      <c r="I569" s="45" t="str">
        <f>VLOOKUP(Tabella1[[#This Row],[test_id]],experiments_specs!A:J,9,FALSE)</f>
        <v>wup_similarity</v>
      </c>
      <c r="J569" s="38" t="str">
        <f>VLOOKUP(Tabella1[[#This Row],[test_id]],experiments_specs!A:J,10,FALSE)</f>
        <v>True</v>
      </c>
      <c r="K569" s="40" t="s">
        <v>17</v>
      </c>
      <c r="L569" s="36" t="s">
        <v>725</v>
      </c>
      <c r="M569" s="36" t="s">
        <v>727</v>
      </c>
      <c r="N569" s="36" t="s">
        <v>729</v>
      </c>
      <c r="O569" s="36" t="s">
        <v>731</v>
      </c>
      <c r="P569" s="36">
        <v>0.13333333333333333</v>
      </c>
      <c r="Q569" s="36" t="s">
        <v>647</v>
      </c>
      <c r="R569" s="36" t="s">
        <v>186</v>
      </c>
      <c r="S569" s="36" t="s">
        <v>649</v>
      </c>
      <c r="T569" s="36" t="s">
        <v>651</v>
      </c>
      <c r="U569" s="37">
        <v>0.18181818181818182</v>
      </c>
      <c r="V569"/>
    </row>
    <row r="570" spans="1:22" ht="34" x14ac:dyDescent="0.2">
      <c r="A570" s="36" t="s">
        <v>150</v>
      </c>
      <c r="B570" s="45" t="str">
        <f>VLOOKUP(Tabella1[[#This Row],[test_id]],experiments_specs!A:J,2,FALSE)</f>
        <v>NN,RB</v>
      </c>
      <c r="C570" s="38">
        <f>VLOOKUP(Tabella1[[#This Row],[test_id]],experiments_specs!A:J,3,FALSE)</f>
        <v>1</v>
      </c>
      <c r="D570" s="38">
        <f>VLOOKUP(Tabella1[[#This Row],[test_id]],experiments_specs!A:J,4,FALSE)</f>
        <v>2</v>
      </c>
      <c r="E570" s="38" t="str">
        <f>VLOOKUP(Tabella1[[#This Row],[test_id]],experiments_specs!A:J,5,FALSE)</f>
        <v>True</v>
      </c>
      <c r="F570" s="38" t="str">
        <f>VLOOKUP(Tabella1[[#This Row],[test_id]],experiments_specs!A:J,6,FALSE)</f>
        <v>False</v>
      </c>
      <c r="G570" s="38" t="str">
        <f>VLOOKUP(Tabella1[[#This Row],[test_id]],experiments_specs!A:J,7,FALSE)</f>
        <v>True</v>
      </c>
      <c r="H570" s="38" t="str">
        <f>VLOOKUP(Tabella1[[#This Row],[test_id]],experiments_specs!A:J,8,FALSE)</f>
        <v>False</v>
      </c>
      <c r="I570" s="45" t="str">
        <f>VLOOKUP(Tabella1[[#This Row],[test_id]],experiments_specs!A:J,9,FALSE)</f>
        <v>wup_similarity</v>
      </c>
      <c r="J570" s="38" t="str">
        <f>VLOOKUP(Tabella1[[#This Row],[test_id]],experiments_specs!A:J,10,FALSE)</f>
        <v>True</v>
      </c>
      <c r="K570" s="40" t="s">
        <v>18</v>
      </c>
      <c r="L570" s="36" t="s">
        <v>44</v>
      </c>
      <c r="M570" s="36">
        <v>0</v>
      </c>
      <c r="N570" s="36" t="s">
        <v>652</v>
      </c>
      <c r="O570" s="36">
        <v>1.12485E-2</v>
      </c>
      <c r="P570" s="36">
        <v>0.21052631578947367</v>
      </c>
      <c r="Q570" s="36" t="s">
        <v>46</v>
      </c>
      <c r="R570" s="36">
        <v>0</v>
      </c>
      <c r="S570" s="36" t="s">
        <v>652</v>
      </c>
      <c r="T570" s="36">
        <v>1.12485E-2</v>
      </c>
      <c r="U570" s="37">
        <v>0.21052631578947367</v>
      </c>
      <c r="V570"/>
    </row>
    <row r="571" spans="1:22" ht="17" x14ac:dyDescent="0.2">
      <c r="A571" s="36" t="s">
        <v>151</v>
      </c>
      <c r="B571" s="45" t="str">
        <f>VLOOKUP(Tabella1[[#This Row],[test_id]],experiments_specs!A:J,2,FALSE)</f>
        <v>NN,JJ,VB,VBD,VBG,VBN,VBP,VBZ</v>
      </c>
      <c r="C571" s="38">
        <f>VLOOKUP(Tabella1[[#This Row],[test_id]],experiments_specs!A:J,3,FALSE)</f>
        <v>1</v>
      </c>
      <c r="D571" s="38">
        <f>VLOOKUP(Tabella1[[#This Row],[test_id]],experiments_specs!A:J,4,FALSE)</f>
        <v>2</v>
      </c>
      <c r="E571" s="38" t="str">
        <f>VLOOKUP(Tabella1[[#This Row],[test_id]],experiments_specs!A:J,5,FALSE)</f>
        <v>True</v>
      </c>
      <c r="F571" s="38" t="str">
        <f>VLOOKUP(Tabella1[[#This Row],[test_id]],experiments_specs!A:J,6,FALSE)</f>
        <v>False</v>
      </c>
      <c r="G571" s="38" t="str">
        <f>VLOOKUP(Tabella1[[#This Row],[test_id]],experiments_specs!A:J,7,FALSE)</f>
        <v>True</v>
      </c>
      <c r="H571" s="38" t="str">
        <f>VLOOKUP(Tabella1[[#This Row],[test_id]],experiments_specs!A:J,8,FALSE)</f>
        <v>False</v>
      </c>
      <c r="I571" s="45" t="str">
        <f>VLOOKUP(Tabella1[[#This Row],[test_id]],experiments_specs!A:J,9,FALSE)</f>
        <v>wup_similarity</v>
      </c>
      <c r="J571" s="38" t="str">
        <f>VLOOKUP(Tabella1[[#This Row],[test_id]],experiments_specs!A:J,10,FALSE)</f>
        <v>True</v>
      </c>
      <c r="K571" s="40" t="s">
        <v>19</v>
      </c>
      <c r="L571" s="36" t="s">
        <v>354</v>
      </c>
      <c r="M571" s="36">
        <v>0</v>
      </c>
      <c r="N571" s="36" t="s">
        <v>533</v>
      </c>
      <c r="O571" s="36">
        <v>1.10431E-2</v>
      </c>
      <c r="P571" s="36">
        <v>0.19047619047619047</v>
      </c>
      <c r="Q571" s="36" t="s">
        <v>47</v>
      </c>
      <c r="R571" s="36">
        <v>6.3757599999999998E-2</v>
      </c>
      <c r="S571" s="36" t="s">
        <v>533</v>
      </c>
      <c r="T571" s="36">
        <v>1.1423900000000001E-2</v>
      </c>
      <c r="U571" s="37">
        <v>0.19047619047619047</v>
      </c>
      <c r="V571"/>
    </row>
    <row r="572" spans="1:22" ht="34" x14ac:dyDescent="0.2">
      <c r="A572" s="36" t="s">
        <v>151</v>
      </c>
      <c r="B572" s="45" t="str">
        <f>VLOOKUP(Tabella1[[#This Row],[test_id]],experiments_specs!A:J,2,FALSE)</f>
        <v>NN,JJ,VB,VBD,VBG,VBN,VBP,VBZ</v>
      </c>
      <c r="C572" s="38">
        <f>VLOOKUP(Tabella1[[#This Row],[test_id]],experiments_specs!A:J,3,FALSE)</f>
        <v>1</v>
      </c>
      <c r="D572" s="38">
        <f>VLOOKUP(Tabella1[[#This Row],[test_id]],experiments_specs!A:J,4,FALSE)</f>
        <v>2</v>
      </c>
      <c r="E572" s="38" t="str">
        <f>VLOOKUP(Tabella1[[#This Row],[test_id]],experiments_specs!A:J,5,FALSE)</f>
        <v>True</v>
      </c>
      <c r="F572" s="38" t="str">
        <f>VLOOKUP(Tabella1[[#This Row],[test_id]],experiments_specs!A:J,6,FALSE)</f>
        <v>False</v>
      </c>
      <c r="G572" s="38" t="str">
        <f>VLOOKUP(Tabella1[[#This Row],[test_id]],experiments_specs!A:J,7,FALSE)</f>
        <v>True</v>
      </c>
      <c r="H572" s="38" t="str">
        <f>VLOOKUP(Tabella1[[#This Row],[test_id]],experiments_specs!A:J,8,FALSE)</f>
        <v>False</v>
      </c>
      <c r="I572" s="45" t="str">
        <f>VLOOKUP(Tabella1[[#This Row],[test_id]],experiments_specs!A:J,9,FALSE)</f>
        <v>wup_similarity</v>
      </c>
      <c r="J572" s="38" t="str">
        <f>VLOOKUP(Tabella1[[#This Row],[test_id]],experiments_specs!A:J,10,FALSE)</f>
        <v>True</v>
      </c>
      <c r="K572" s="40" t="s">
        <v>12</v>
      </c>
      <c r="L572" s="36" t="s">
        <v>623</v>
      </c>
      <c r="M572" s="36">
        <v>0</v>
      </c>
      <c r="N572" s="36" t="s">
        <v>624</v>
      </c>
      <c r="O572" s="36">
        <v>2.0533999999999999E-3</v>
      </c>
      <c r="P572" s="36">
        <v>0.25</v>
      </c>
      <c r="Q572" s="36" t="s">
        <v>391</v>
      </c>
      <c r="R572" s="36" t="s">
        <v>626</v>
      </c>
      <c r="S572" s="36" t="s">
        <v>628</v>
      </c>
      <c r="T572" s="36" t="s">
        <v>733</v>
      </c>
      <c r="U572" s="37">
        <v>0.46153846153846156</v>
      </c>
      <c r="V572"/>
    </row>
    <row r="573" spans="1:22" ht="17" x14ac:dyDescent="0.2">
      <c r="A573" s="36" t="s">
        <v>151</v>
      </c>
      <c r="B573" s="45" t="str">
        <f>VLOOKUP(Tabella1[[#This Row],[test_id]],experiments_specs!A:J,2,FALSE)</f>
        <v>NN,JJ,VB,VBD,VBG,VBN,VBP,VBZ</v>
      </c>
      <c r="C573" s="38">
        <f>VLOOKUP(Tabella1[[#This Row],[test_id]],experiments_specs!A:J,3,FALSE)</f>
        <v>1</v>
      </c>
      <c r="D573" s="38">
        <f>VLOOKUP(Tabella1[[#This Row],[test_id]],experiments_specs!A:J,4,FALSE)</f>
        <v>2</v>
      </c>
      <c r="E573" s="38" t="str">
        <f>VLOOKUP(Tabella1[[#This Row],[test_id]],experiments_specs!A:J,5,FALSE)</f>
        <v>True</v>
      </c>
      <c r="F573" s="38" t="str">
        <f>VLOOKUP(Tabella1[[#This Row],[test_id]],experiments_specs!A:J,6,FALSE)</f>
        <v>False</v>
      </c>
      <c r="G573" s="38" t="str">
        <f>VLOOKUP(Tabella1[[#This Row],[test_id]],experiments_specs!A:J,7,FALSE)</f>
        <v>True</v>
      </c>
      <c r="H573" s="38" t="str">
        <f>VLOOKUP(Tabella1[[#This Row],[test_id]],experiments_specs!A:J,8,FALSE)</f>
        <v>False</v>
      </c>
      <c r="I573" s="45" t="str">
        <f>VLOOKUP(Tabella1[[#This Row],[test_id]],experiments_specs!A:J,9,FALSE)</f>
        <v>wup_similarity</v>
      </c>
      <c r="J573" s="38" t="str">
        <f>VLOOKUP(Tabella1[[#This Row],[test_id]],experiments_specs!A:J,10,FALSE)</f>
        <v>True</v>
      </c>
      <c r="K573" s="40" t="s">
        <v>13</v>
      </c>
      <c r="L573" s="36" t="s">
        <v>696</v>
      </c>
      <c r="M573" s="36">
        <v>4.0892999999999999E-2</v>
      </c>
      <c r="N573" s="36" t="s">
        <v>697</v>
      </c>
      <c r="O573" s="36">
        <v>2.4572999999999999E-3</v>
      </c>
      <c r="P573" s="36" t="s">
        <v>25</v>
      </c>
      <c r="Q573" s="36" t="s">
        <v>34</v>
      </c>
      <c r="R573" s="36">
        <v>0</v>
      </c>
      <c r="S573" s="36" t="s">
        <v>35</v>
      </c>
      <c r="T573" s="36">
        <v>1.41876E-2</v>
      </c>
      <c r="U573" s="37" t="s">
        <v>25</v>
      </c>
      <c r="V573"/>
    </row>
    <row r="574" spans="1:22" ht="34" x14ac:dyDescent="0.2">
      <c r="A574" s="36" t="s">
        <v>151</v>
      </c>
      <c r="B574" s="45" t="str">
        <f>VLOOKUP(Tabella1[[#This Row],[test_id]],experiments_specs!A:J,2,FALSE)</f>
        <v>NN,JJ,VB,VBD,VBG,VBN,VBP,VBZ</v>
      </c>
      <c r="C574" s="38">
        <f>VLOOKUP(Tabella1[[#This Row],[test_id]],experiments_specs!A:J,3,FALSE)</f>
        <v>1</v>
      </c>
      <c r="D574" s="38">
        <f>VLOOKUP(Tabella1[[#This Row],[test_id]],experiments_specs!A:J,4,FALSE)</f>
        <v>2</v>
      </c>
      <c r="E574" s="38" t="str">
        <f>VLOOKUP(Tabella1[[#This Row],[test_id]],experiments_specs!A:J,5,FALSE)</f>
        <v>True</v>
      </c>
      <c r="F574" s="38" t="str">
        <f>VLOOKUP(Tabella1[[#This Row],[test_id]],experiments_specs!A:J,6,FALSE)</f>
        <v>False</v>
      </c>
      <c r="G574" s="38" t="str">
        <f>VLOOKUP(Tabella1[[#This Row],[test_id]],experiments_specs!A:J,7,FALSE)</f>
        <v>True</v>
      </c>
      <c r="H574" s="38" t="str">
        <f>VLOOKUP(Tabella1[[#This Row],[test_id]],experiments_specs!A:J,8,FALSE)</f>
        <v>False</v>
      </c>
      <c r="I574" s="45" t="str">
        <f>VLOOKUP(Tabella1[[#This Row],[test_id]],experiments_specs!A:J,9,FALSE)</f>
        <v>wup_similarity</v>
      </c>
      <c r="J574" s="38" t="str">
        <f>VLOOKUP(Tabella1[[#This Row],[test_id]],experiments_specs!A:J,10,FALSE)</f>
        <v>True</v>
      </c>
      <c r="K574" s="40" t="s">
        <v>14</v>
      </c>
      <c r="L574" s="36" t="s">
        <v>534</v>
      </c>
      <c r="M574" s="36">
        <v>5.5555500000000001E-2</v>
      </c>
      <c r="N574" s="36" t="s">
        <v>632</v>
      </c>
      <c r="O574" s="36">
        <v>5.6979999999999999E-3</v>
      </c>
      <c r="P574" s="36">
        <v>0.33333333333333331</v>
      </c>
      <c r="Q574" s="36" t="s">
        <v>634</v>
      </c>
      <c r="R574" s="36" t="s">
        <v>186</v>
      </c>
      <c r="S574" s="36" t="s">
        <v>636</v>
      </c>
      <c r="T574" s="36" t="s">
        <v>735</v>
      </c>
      <c r="U574" s="37">
        <v>0.33333333333333331</v>
      </c>
      <c r="V574"/>
    </row>
    <row r="575" spans="1:22" ht="17" x14ac:dyDescent="0.2">
      <c r="A575" s="36" t="s">
        <v>151</v>
      </c>
      <c r="B575" s="45" t="str">
        <f>VLOOKUP(Tabella1[[#This Row],[test_id]],experiments_specs!A:J,2,FALSE)</f>
        <v>NN,JJ,VB,VBD,VBG,VBN,VBP,VBZ</v>
      </c>
      <c r="C575" s="38">
        <f>VLOOKUP(Tabella1[[#This Row],[test_id]],experiments_specs!A:J,3,FALSE)</f>
        <v>1</v>
      </c>
      <c r="D575" s="38">
        <f>VLOOKUP(Tabella1[[#This Row],[test_id]],experiments_specs!A:J,4,FALSE)</f>
        <v>2</v>
      </c>
      <c r="E575" s="38" t="str">
        <f>VLOOKUP(Tabella1[[#This Row],[test_id]],experiments_specs!A:J,5,FALSE)</f>
        <v>True</v>
      </c>
      <c r="F575" s="38" t="str">
        <f>VLOOKUP(Tabella1[[#This Row],[test_id]],experiments_specs!A:J,6,FALSE)</f>
        <v>False</v>
      </c>
      <c r="G575" s="38" t="str">
        <f>VLOOKUP(Tabella1[[#This Row],[test_id]],experiments_specs!A:J,7,FALSE)</f>
        <v>True</v>
      </c>
      <c r="H575" s="38" t="str">
        <f>VLOOKUP(Tabella1[[#This Row],[test_id]],experiments_specs!A:J,8,FALSE)</f>
        <v>False</v>
      </c>
      <c r="I575" s="45" t="str">
        <f>VLOOKUP(Tabella1[[#This Row],[test_id]],experiments_specs!A:J,9,FALSE)</f>
        <v>wup_similarity</v>
      </c>
      <c r="J575" s="38" t="str">
        <f>VLOOKUP(Tabella1[[#This Row],[test_id]],experiments_specs!A:J,10,FALSE)</f>
        <v>True</v>
      </c>
      <c r="K575" s="40" t="s">
        <v>15</v>
      </c>
      <c r="L575" s="36" t="s">
        <v>639</v>
      </c>
      <c r="M575" s="36">
        <v>0</v>
      </c>
      <c r="N575" s="36" t="s">
        <v>435</v>
      </c>
      <c r="O575" s="36">
        <v>3.7569000000000001E-3</v>
      </c>
      <c r="P575" s="36">
        <v>0.44444444444444442</v>
      </c>
      <c r="Q575" s="36" t="s">
        <v>365</v>
      </c>
      <c r="R575" s="36">
        <v>0</v>
      </c>
      <c r="S575" s="36" t="s">
        <v>26</v>
      </c>
      <c r="T575" s="36">
        <v>2.20863E-2</v>
      </c>
      <c r="U575" s="37">
        <v>0.18181818181818182</v>
      </c>
      <c r="V575"/>
    </row>
    <row r="576" spans="1:22" ht="17" x14ac:dyDescent="0.2">
      <c r="A576" s="36" t="s">
        <v>151</v>
      </c>
      <c r="B576" s="45" t="str">
        <f>VLOOKUP(Tabella1[[#This Row],[test_id]],experiments_specs!A:J,2,FALSE)</f>
        <v>NN,JJ,VB,VBD,VBG,VBN,VBP,VBZ</v>
      </c>
      <c r="C576" s="38">
        <f>VLOOKUP(Tabella1[[#This Row],[test_id]],experiments_specs!A:J,3,FALSE)</f>
        <v>1</v>
      </c>
      <c r="D576" s="38">
        <f>VLOOKUP(Tabella1[[#This Row],[test_id]],experiments_specs!A:J,4,FALSE)</f>
        <v>2</v>
      </c>
      <c r="E576" s="38" t="str">
        <f>VLOOKUP(Tabella1[[#This Row],[test_id]],experiments_specs!A:J,5,FALSE)</f>
        <v>True</v>
      </c>
      <c r="F576" s="38" t="str">
        <f>VLOOKUP(Tabella1[[#This Row],[test_id]],experiments_specs!A:J,6,FALSE)</f>
        <v>False</v>
      </c>
      <c r="G576" s="38" t="str">
        <f>VLOOKUP(Tabella1[[#This Row],[test_id]],experiments_specs!A:J,7,FALSE)</f>
        <v>True</v>
      </c>
      <c r="H576" s="38" t="str">
        <f>VLOOKUP(Tabella1[[#This Row],[test_id]],experiments_specs!A:J,8,FALSE)</f>
        <v>False</v>
      </c>
      <c r="I576" s="45" t="str">
        <f>VLOOKUP(Tabella1[[#This Row],[test_id]],experiments_specs!A:J,9,FALSE)</f>
        <v>wup_similarity</v>
      </c>
      <c r="J576" s="38" t="str">
        <f>VLOOKUP(Tabella1[[#This Row],[test_id]],experiments_specs!A:J,10,FALSE)</f>
        <v>True</v>
      </c>
      <c r="K576" s="40" t="s">
        <v>16</v>
      </c>
      <c r="L576" s="36" t="s">
        <v>640</v>
      </c>
      <c r="M576" s="36">
        <v>0</v>
      </c>
      <c r="N576" s="36" t="s">
        <v>641</v>
      </c>
      <c r="O576" s="36">
        <v>4.5044999999999998E-3</v>
      </c>
      <c r="P576" s="36">
        <v>0.13333333333333333</v>
      </c>
      <c r="Q576" s="36" t="s">
        <v>642</v>
      </c>
      <c r="R576" s="36">
        <v>0</v>
      </c>
      <c r="S576" s="36" t="s">
        <v>643</v>
      </c>
      <c r="T576" s="36">
        <v>5.5953000000000001E-3</v>
      </c>
      <c r="U576" s="37">
        <v>0.70588235294117652</v>
      </c>
      <c r="V576"/>
    </row>
    <row r="577" spans="1:22" ht="34" x14ac:dyDescent="0.2">
      <c r="A577" s="36" t="s">
        <v>151</v>
      </c>
      <c r="B577" s="45" t="str">
        <f>VLOOKUP(Tabella1[[#This Row],[test_id]],experiments_specs!A:J,2,FALSE)</f>
        <v>NN,JJ,VB,VBD,VBG,VBN,VBP,VBZ</v>
      </c>
      <c r="C577" s="38">
        <f>VLOOKUP(Tabella1[[#This Row],[test_id]],experiments_specs!A:J,3,FALSE)</f>
        <v>1</v>
      </c>
      <c r="D577" s="38">
        <f>VLOOKUP(Tabella1[[#This Row],[test_id]],experiments_specs!A:J,4,FALSE)</f>
        <v>2</v>
      </c>
      <c r="E577" s="38" t="str">
        <f>VLOOKUP(Tabella1[[#This Row],[test_id]],experiments_specs!A:J,5,FALSE)</f>
        <v>True</v>
      </c>
      <c r="F577" s="38" t="str">
        <f>VLOOKUP(Tabella1[[#This Row],[test_id]],experiments_specs!A:J,6,FALSE)</f>
        <v>False</v>
      </c>
      <c r="G577" s="38" t="str">
        <f>VLOOKUP(Tabella1[[#This Row],[test_id]],experiments_specs!A:J,7,FALSE)</f>
        <v>True</v>
      </c>
      <c r="H577" s="38" t="str">
        <f>VLOOKUP(Tabella1[[#This Row],[test_id]],experiments_specs!A:J,8,FALSE)</f>
        <v>False</v>
      </c>
      <c r="I577" s="45" t="str">
        <f>VLOOKUP(Tabella1[[#This Row],[test_id]],experiments_specs!A:J,9,FALSE)</f>
        <v>wup_similarity</v>
      </c>
      <c r="J577" s="38" t="str">
        <f>VLOOKUP(Tabella1[[#This Row],[test_id]],experiments_specs!A:J,10,FALSE)</f>
        <v>True</v>
      </c>
      <c r="K577" s="40" t="s">
        <v>17</v>
      </c>
      <c r="L577" s="36" t="s">
        <v>220</v>
      </c>
      <c r="M577" s="36">
        <v>0</v>
      </c>
      <c r="N577" s="36" t="s">
        <v>657</v>
      </c>
      <c r="O577" s="36">
        <v>3.3062999999999999E-3</v>
      </c>
      <c r="P577" s="36">
        <v>0.36363636363636365</v>
      </c>
      <c r="Q577" s="36" t="s">
        <v>647</v>
      </c>
      <c r="R577" s="36" t="s">
        <v>186</v>
      </c>
      <c r="S577" s="36" t="s">
        <v>649</v>
      </c>
      <c r="T577" s="36" t="s">
        <v>737</v>
      </c>
      <c r="U577" s="37">
        <v>0.18181818181818182</v>
      </c>
      <c r="V577"/>
    </row>
    <row r="578" spans="1:22" ht="34" x14ac:dyDescent="0.2">
      <c r="A578" s="36" t="s">
        <v>151</v>
      </c>
      <c r="B578" s="45" t="str">
        <f>VLOOKUP(Tabella1[[#This Row],[test_id]],experiments_specs!A:J,2,FALSE)</f>
        <v>NN,JJ,VB,VBD,VBG,VBN,VBP,VBZ</v>
      </c>
      <c r="C578" s="38">
        <f>VLOOKUP(Tabella1[[#This Row],[test_id]],experiments_specs!A:J,3,FALSE)</f>
        <v>1</v>
      </c>
      <c r="D578" s="38">
        <f>VLOOKUP(Tabella1[[#This Row],[test_id]],experiments_specs!A:J,4,FALSE)</f>
        <v>2</v>
      </c>
      <c r="E578" s="38" t="str">
        <f>VLOOKUP(Tabella1[[#This Row],[test_id]],experiments_specs!A:J,5,FALSE)</f>
        <v>True</v>
      </c>
      <c r="F578" s="38" t="str">
        <f>VLOOKUP(Tabella1[[#This Row],[test_id]],experiments_specs!A:J,6,FALSE)</f>
        <v>False</v>
      </c>
      <c r="G578" s="38" t="str">
        <f>VLOOKUP(Tabella1[[#This Row],[test_id]],experiments_specs!A:J,7,FALSE)</f>
        <v>True</v>
      </c>
      <c r="H578" s="38" t="str">
        <f>VLOOKUP(Tabella1[[#This Row],[test_id]],experiments_specs!A:J,8,FALSE)</f>
        <v>False</v>
      </c>
      <c r="I578" s="45" t="str">
        <f>VLOOKUP(Tabella1[[#This Row],[test_id]],experiments_specs!A:J,9,FALSE)</f>
        <v>wup_similarity</v>
      </c>
      <c r="J578" s="38" t="str">
        <f>VLOOKUP(Tabella1[[#This Row],[test_id]],experiments_specs!A:J,10,FALSE)</f>
        <v>True</v>
      </c>
      <c r="K578" s="40" t="s">
        <v>18</v>
      </c>
      <c r="L578" s="36" t="s">
        <v>44</v>
      </c>
      <c r="M578" s="36">
        <v>0</v>
      </c>
      <c r="N578" s="36" t="s">
        <v>652</v>
      </c>
      <c r="O578" s="36">
        <v>7.4989999999999996E-3</v>
      </c>
      <c r="P578" s="36">
        <v>0.21052631578947367</v>
      </c>
      <c r="Q578" s="36" t="s">
        <v>46</v>
      </c>
      <c r="R578" s="36">
        <v>0</v>
      </c>
      <c r="S578" s="36" t="s">
        <v>652</v>
      </c>
      <c r="T578" s="36">
        <v>7.6490000000000004E-3</v>
      </c>
      <c r="U578" s="37">
        <v>0.21052631578947367</v>
      </c>
      <c r="V578"/>
    </row>
    <row r="579" spans="1:22" ht="51" x14ac:dyDescent="0.2">
      <c r="A579" s="36" t="s">
        <v>152</v>
      </c>
      <c r="B579" s="45" t="str">
        <f>VLOOKUP(Tabella1[[#This Row],[test_id]],experiments_specs!A:J,2,FALSE)</f>
        <v>NN</v>
      </c>
      <c r="C579" s="38">
        <f>VLOOKUP(Tabella1[[#This Row],[test_id]],experiments_specs!A:J,3,FALSE)</f>
        <v>1</v>
      </c>
      <c r="D579" s="38">
        <f>VLOOKUP(Tabella1[[#This Row],[test_id]],experiments_specs!A:J,4,FALSE)</f>
        <v>2</v>
      </c>
      <c r="E579" s="38" t="str">
        <f>VLOOKUP(Tabella1[[#This Row],[test_id]],experiments_specs!A:J,5,FALSE)</f>
        <v>False</v>
      </c>
      <c r="F579" s="38" t="str">
        <f>VLOOKUP(Tabella1[[#This Row],[test_id]],experiments_specs!A:J,6,FALSE)</f>
        <v>False</v>
      </c>
      <c r="G579" s="38" t="str">
        <f>VLOOKUP(Tabella1[[#This Row],[test_id]],experiments_specs!A:J,7,FALSE)</f>
        <v>False</v>
      </c>
      <c r="H579" s="38" t="str">
        <f>VLOOKUP(Tabella1[[#This Row],[test_id]],experiments_specs!A:J,8,FALSE)</f>
        <v>True</v>
      </c>
      <c r="I579" s="45" t="str">
        <f>VLOOKUP(Tabella1[[#This Row],[test_id]],experiments_specs!A:J,9,FALSE)</f>
        <v>wup_similarity</v>
      </c>
      <c r="J579" s="38" t="str">
        <f>VLOOKUP(Tabella1[[#This Row],[test_id]],experiments_specs!A:J,10,FALSE)</f>
        <v>False</v>
      </c>
      <c r="K579" s="40" t="s">
        <v>19</v>
      </c>
      <c r="L579" s="36" t="s">
        <v>739</v>
      </c>
      <c r="M579" s="36" t="s">
        <v>741</v>
      </c>
      <c r="N579" s="36" t="s">
        <v>743</v>
      </c>
      <c r="O579" s="36" t="s">
        <v>745</v>
      </c>
      <c r="P579" s="36">
        <v>0.19047619047619047</v>
      </c>
      <c r="Q579" s="36" t="s">
        <v>47</v>
      </c>
      <c r="R579" s="36">
        <v>0.18257409999999999</v>
      </c>
      <c r="S579" s="36" t="s">
        <v>746</v>
      </c>
      <c r="T579" s="36">
        <v>7.0984999999999998E-3</v>
      </c>
      <c r="U579" s="37">
        <v>0.2</v>
      </c>
      <c r="V579"/>
    </row>
    <row r="580" spans="1:22" ht="51" x14ac:dyDescent="0.2">
      <c r="A580" s="36" t="s">
        <v>152</v>
      </c>
      <c r="B580" s="45" t="str">
        <f>VLOOKUP(Tabella1[[#This Row],[test_id]],experiments_specs!A:J,2,FALSE)</f>
        <v>NN</v>
      </c>
      <c r="C580" s="38">
        <f>VLOOKUP(Tabella1[[#This Row],[test_id]],experiments_specs!A:J,3,FALSE)</f>
        <v>1</v>
      </c>
      <c r="D580" s="38">
        <f>VLOOKUP(Tabella1[[#This Row],[test_id]],experiments_specs!A:J,4,FALSE)</f>
        <v>2</v>
      </c>
      <c r="E580" s="38" t="str">
        <f>VLOOKUP(Tabella1[[#This Row],[test_id]],experiments_specs!A:J,5,FALSE)</f>
        <v>False</v>
      </c>
      <c r="F580" s="38" t="str">
        <f>VLOOKUP(Tabella1[[#This Row],[test_id]],experiments_specs!A:J,6,FALSE)</f>
        <v>False</v>
      </c>
      <c r="G580" s="38" t="str">
        <f>VLOOKUP(Tabella1[[#This Row],[test_id]],experiments_specs!A:J,7,FALSE)</f>
        <v>False</v>
      </c>
      <c r="H580" s="38" t="str">
        <f>VLOOKUP(Tabella1[[#This Row],[test_id]],experiments_specs!A:J,8,FALSE)</f>
        <v>True</v>
      </c>
      <c r="I580" s="45" t="str">
        <f>VLOOKUP(Tabella1[[#This Row],[test_id]],experiments_specs!A:J,9,FALSE)</f>
        <v>wup_similarity</v>
      </c>
      <c r="J580" s="38" t="str">
        <f>VLOOKUP(Tabella1[[#This Row],[test_id]],experiments_specs!A:J,10,FALSE)</f>
        <v>False</v>
      </c>
      <c r="K580" s="40" t="s">
        <v>12</v>
      </c>
      <c r="L580" s="36" t="s">
        <v>748</v>
      </c>
      <c r="M580" s="36" t="s">
        <v>750</v>
      </c>
      <c r="N580" s="36" t="s">
        <v>752</v>
      </c>
      <c r="O580" s="36" t="s">
        <v>754</v>
      </c>
      <c r="P580" s="36">
        <v>0.2857142857142857</v>
      </c>
      <c r="Q580" s="36" t="s">
        <v>756</v>
      </c>
      <c r="R580" s="36" t="s">
        <v>758</v>
      </c>
      <c r="S580" s="36" t="s">
        <v>760</v>
      </c>
      <c r="T580" s="36" t="s">
        <v>762</v>
      </c>
      <c r="U580" s="37">
        <v>0.42857142857142855</v>
      </c>
      <c r="V580"/>
    </row>
    <row r="581" spans="1:22" ht="34" x14ac:dyDescent="0.2">
      <c r="A581" s="36" t="s">
        <v>152</v>
      </c>
      <c r="B581" s="45" t="str">
        <f>VLOOKUP(Tabella1[[#This Row],[test_id]],experiments_specs!A:J,2,FALSE)</f>
        <v>NN</v>
      </c>
      <c r="C581" s="38">
        <f>VLOOKUP(Tabella1[[#This Row],[test_id]],experiments_specs!A:J,3,FALSE)</f>
        <v>1</v>
      </c>
      <c r="D581" s="38">
        <f>VLOOKUP(Tabella1[[#This Row],[test_id]],experiments_specs!A:J,4,FALSE)</f>
        <v>2</v>
      </c>
      <c r="E581" s="38" t="str">
        <f>VLOOKUP(Tabella1[[#This Row],[test_id]],experiments_specs!A:J,5,FALSE)</f>
        <v>False</v>
      </c>
      <c r="F581" s="38" t="str">
        <f>VLOOKUP(Tabella1[[#This Row],[test_id]],experiments_specs!A:J,6,FALSE)</f>
        <v>False</v>
      </c>
      <c r="G581" s="38" t="str">
        <f>VLOOKUP(Tabella1[[#This Row],[test_id]],experiments_specs!A:J,7,FALSE)</f>
        <v>False</v>
      </c>
      <c r="H581" s="38" t="str">
        <f>VLOOKUP(Tabella1[[#This Row],[test_id]],experiments_specs!A:J,8,FALSE)</f>
        <v>True</v>
      </c>
      <c r="I581" s="45" t="str">
        <f>VLOOKUP(Tabella1[[#This Row],[test_id]],experiments_specs!A:J,9,FALSE)</f>
        <v>wup_similarity</v>
      </c>
      <c r="J581" s="38" t="str">
        <f>VLOOKUP(Tabella1[[#This Row],[test_id]],experiments_specs!A:J,10,FALSE)</f>
        <v>False</v>
      </c>
      <c r="K581" s="40" t="s">
        <v>13</v>
      </c>
      <c r="L581" s="36" t="s">
        <v>425</v>
      </c>
      <c r="M581" s="36">
        <v>0.1240347</v>
      </c>
      <c r="N581" s="36" t="s">
        <v>426</v>
      </c>
      <c r="O581" s="36">
        <v>1.37894E-2</v>
      </c>
      <c r="P581" s="36" t="s">
        <v>25</v>
      </c>
      <c r="Q581" s="36" t="s">
        <v>427</v>
      </c>
      <c r="R581" s="36">
        <v>0.1240347</v>
      </c>
      <c r="S581" s="36" t="s">
        <v>426</v>
      </c>
      <c r="T581" s="36">
        <v>1.45871E-2</v>
      </c>
      <c r="U581" s="37" t="s">
        <v>25</v>
      </c>
      <c r="V581"/>
    </row>
    <row r="582" spans="1:22" ht="34" x14ac:dyDescent="0.2">
      <c r="A582" s="36" t="s">
        <v>152</v>
      </c>
      <c r="B582" s="45" t="str">
        <f>VLOOKUP(Tabella1[[#This Row],[test_id]],experiments_specs!A:J,2,FALSE)</f>
        <v>NN</v>
      </c>
      <c r="C582" s="38">
        <f>VLOOKUP(Tabella1[[#This Row],[test_id]],experiments_specs!A:J,3,FALSE)</f>
        <v>1</v>
      </c>
      <c r="D582" s="38">
        <f>VLOOKUP(Tabella1[[#This Row],[test_id]],experiments_specs!A:J,4,FALSE)</f>
        <v>2</v>
      </c>
      <c r="E582" s="38" t="str">
        <f>VLOOKUP(Tabella1[[#This Row],[test_id]],experiments_specs!A:J,5,FALSE)</f>
        <v>False</v>
      </c>
      <c r="F582" s="38" t="str">
        <f>VLOOKUP(Tabella1[[#This Row],[test_id]],experiments_specs!A:J,6,FALSE)</f>
        <v>False</v>
      </c>
      <c r="G582" s="38" t="str">
        <f>VLOOKUP(Tabella1[[#This Row],[test_id]],experiments_specs!A:J,7,FALSE)</f>
        <v>False</v>
      </c>
      <c r="H582" s="38" t="str">
        <f>VLOOKUP(Tabella1[[#This Row],[test_id]],experiments_specs!A:J,8,FALSE)</f>
        <v>True</v>
      </c>
      <c r="I582" s="45" t="str">
        <f>VLOOKUP(Tabella1[[#This Row],[test_id]],experiments_specs!A:J,9,FALSE)</f>
        <v>wup_similarity</v>
      </c>
      <c r="J582" s="38" t="str">
        <f>VLOOKUP(Tabella1[[#This Row],[test_id]],experiments_specs!A:J,10,FALSE)</f>
        <v>False</v>
      </c>
      <c r="K582" s="40" t="s">
        <v>14</v>
      </c>
      <c r="L582" s="36" t="s">
        <v>764</v>
      </c>
      <c r="M582" s="36" t="s">
        <v>766</v>
      </c>
      <c r="N582" s="36" t="s">
        <v>768</v>
      </c>
      <c r="O582" s="36" t="s">
        <v>770</v>
      </c>
      <c r="P582" s="36">
        <v>0.25</v>
      </c>
      <c r="Q582" s="36" t="s">
        <v>430</v>
      </c>
      <c r="R582" s="36">
        <v>0.1601281</v>
      </c>
      <c r="S582" s="36" t="s">
        <v>429</v>
      </c>
      <c r="T582" s="36">
        <v>1.1008E-2</v>
      </c>
      <c r="U582" s="37">
        <v>0.125</v>
      </c>
      <c r="V582"/>
    </row>
    <row r="583" spans="1:22" ht="34" x14ac:dyDescent="0.2">
      <c r="A583" s="36" t="s">
        <v>152</v>
      </c>
      <c r="B583" s="45" t="str">
        <f>VLOOKUP(Tabella1[[#This Row],[test_id]],experiments_specs!A:J,2,FALSE)</f>
        <v>NN</v>
      </c>
      <c r="C583" s="38">
        <f>VLOOKUP(Tabella1[[#This Row],[test_id]],experiments_specs!A:J,3,FALSE)</f>
        <v>1</v>
      </c>
      <c r="D583" s="38">
        <f>VLOOKUP(Tabella1[[#This Row],[test_id]],experiments_specs!A:J,4,FALSE)</f>
        <v>2</v>
      </c>
      <c r="E583" s="38" t="str">
        <f>VLOOKUP(Tabella1[[#This Row],[test_id]],experiments_specs!A:J,5,FALSE)</f>
        <v>False</v>
      </c>
      <c r="F583" s="38" t="str">
        <f>VLOOKUP(Tabella1[[#This Row],[test_id]],experiments_specs!A:J,6,FALSE)</f>
        <v>False</v>
      </c>
      <c r="G583" s="38" t="str">
        <f>VLOOKUP(Tabella1[[#This Row],[test_id]],experiments_specs!A:J,7,FALSE)</f>
        <v>False</v>
      </c>
      <c r="H583" s="38" t="str">
        <f>VLOOKUP(Tabella1[[#This Row],[test_id]],experiments_specs!A:J,8,FALSE)</f>
        <v>True</v>
      </c>
      <c r="I583" s="45" t="str">
        <f>VLOOKUP(Tabella1[[#This Row],[test_id]],experiments_specs!A:J,9,FALSE)</f>
        <v>wup_similarity</v>
      </c>
      <c r="J583" s="38" t="str">
        <f>VLOOKUP(Tabella1[[#This Row],[test_id]],experiments_specs!A:J,10,FALSE)</f>
        <v>False</v>
      </c>
      <c r="K583" s="40" t="s">
        <v>15</v>
      </c>
      <c r="L583" s="36" t="s">
        <v>772</v>
      </c>
      <c r="M583" s="36" t="s">
        <v>774</v>
      </c>
      <c r="N583" s="36" t="s">
        <v>776</v>
      </c>
      <c r="O583" s="36" t="s">
        <v>778</v>
      </c>
      <c r="P583" s="36">
        <v>0.16666666666666666</v>
      </c>
      <c r="Q583" s="36" t="s">
        <v>363</v>
      </c>
      <c r="R583" s="36">
        <v>0.1754116</v>
      </c>
      <c r="S583" s="36" t="s">
        <v>779</v>
      </c>
      <c r="T583" s="36">
        <v>1.35292E-2</v>
      </c>
      <c r="U583" s="37">
        <v>0.18181818181818182</v>
      </c>
      <c r="V583"/>
    </row>
    <row r="584" spans="1:22" ht="17" x14ac:dyDescent="0.2">
      <c r="A584" s="36" t="s">
        <v>152</v>
      </c>
      <c r="B584" s="45" t="str">
        <f>VLOOKUP(Tabella1[[#This Row],[test_id]],experiments_specs!A:J,2,FALSE)</f>
        <v>NN</v>
      </c>
      <c r="C584" s="38">
        <f>VLOOKUP(Tabella1[[#This Row],[test_id]],experiments_specs!A:J,3,FALSE)</f>
        <v>1</v>
      </c>
      <c r="D584" s="38">
        <f>VLOOKUP(Tabella1[[#This Row],[test_id]],experiments_specs!A:J,4,FALSE)</f>
        <v>2</v>
      </c>
      <c r="E584" s="38" t="str">
        <f>VLOOKUP(Tabella1[[#This Row],[test_id]],experiments_specs!A:J,5,FALSE)</f>
        <v>False</v>
      </c>
      <c r="F584" s="38" t="str">
        <f>VLOOKUP(Tabella1[[#This Row],[test_id]],experiments_specs!A:J,6,FALSE)</f>
        <v>False</v>
      </c>
      <c r="G584" s="38" t="str">
        <f>VLOOKUP(Tabella1[[#This Row],[test_id]],experiments_specs!A:J,7,FALSE)</f>
        <v>False</v>
      </c>
      <c r="H584" s="38" t="str">
        <f>VLOOKUP(Tabella1[[#This Row],[test_id]],experiments_specs!A:J,8,FALSE)</f>
        <v>True</v>
      </c>
      <c r="I584" s="45" t="str">
        <f>VLOOKUP(Tabella1[[#This Row],[test_id]],experiments_specs!A:J,9,FALSE)</f>
        <v>wup_similarity</v>
      </c>
      <c r="J584" s="38" t="str">
        <f>VLOOKUP(Tabella1[[#This Row],[test_id]],experiments_specs!A:J,10,FALSE)</f>
        <v>False</v>
      </c>
      <c r="K584" s="40" t="s">
        <v>16</v>
      </c>
      <c r="L584" s="36" t="s">
        <v>556</v>
      </c>
      <c r="M584" s="36">
        <v>0.16783619999999999</v>
      </c>
      <c r="N584" s="36" t="s">
        <v>780</v>
      </c>
      <c r="O584" s="36">
        <v>4.3226000000000002E-3</v>
      </c>
      <c r="P584" s="36">
        <v>0.46153846153846156</v>
      </c>
      <c r="Q584" s="36" t="s">
        <v>388</v>
      </c>
      <c r="R584" s="36">
        <v>0.11867809999999999</v>
      </c>
      <c r="S584" s="36" t="s">
        <v>440</v>
      </c>
      <c r="T584" s="36">
        <v>6.8484000000000001E-3</v>
      </c>
      <c r="U584" s="37">
        <v>0.14285714285714285</v>
      </c>
      <c r="V584"/>
    </row>
    <row r="585" spans="1:22" ht="17" x14ac:dyDescent="0.2">
      <c r="A585" s="36" t="s">
        <v>152</v>
      </c>
      <c r="B585" s="45" t="str">
        <f>VLOOKUP(Tabella1[[#This Row],[test_id]],experiments_specs!A:J,2,FALSE)</f>
        <v>NN</v>
      </c>
      <c r="C585" s="38">
        <f>VLOOKUP(Tabella1[[#This Row],[test_id]],experiments_specs!A:J,3,FALSE)</f>
        <v>1</v>
      </c>
      <c r="D585" s="38">
        <f>VLOOKUP(Tabella1[[#This Row],[test_id]],experiments_specs!A:J,4,FALSE)</f>
        <v>2</v>
      </c>
      <c r="E585" s="38" t="str">
        <f>VLOOKUP(Tabella1[[#This Row],[test_id]],experiments_specs!A:J,5,FALSE)</f>
        <v>False</v>
      </c>
      <c r="F585" s="38" t="str">
        <f>VLOOKUP(Tabella1[[#This Row],[test_id]],experiments_specs!A:J,6,FALSE)</f>
        <v>False</v>
      </c>
      <c r="G585" s="38" t="str">
        <f>VLOOKUP(Tabella1[[#This Row],[test_id]],experiments_specs!A:J,7,FALSE)</f>
        <v>False</v>
      </c>
      <c r="H585" s="38" t="str">
        <f>VLOOKUP(Tabella1[[#This Row],[test_id]],experiments_specs!A:J,8,FALSE)</f>
        <v>True</v>
      </c>
      <c r="I585" s="45" t="str">
        <f>VLOOKUP(Tabella1[[#This Row],[test_id]],experiments_specs!A:J,9,FALSE)</f>
        <v>wup_similarity</v>
      </c>
      <c r="J585" s="38" t="str">
        <f>VLOOKUP(Tabella1[[#This Row],[test_id]],experiments_specs!A:J,10,FALSE)</f>
        <v>False</v>
      </c>
      <c r="K585" s="40" t="s">
        <v>17</v>
      </c>
      <c r="L585" s="36" t="s">
        <v>556</v>
      </c>
      <c r="M585" s="36">
        <v>0.1740776</v>
      </c>
      <c r="N585" s="36" t="s">
        <v>780</v>
      </c>
      <c r="O585" s="36">
        <v>4.3696999999999998E-3</v>
      </c>
      <c r="P585" s="36">
        <v>0.44444444444444442</v>
      </c>
      <c r="Q585" s="36" t="s">
        <v>434</v>
      </c>
      <c r="R585" s="36">
        <v>0.1230914</v>
      </c>
      <c r="S585" s="36" t="s">
        <v>780</v>
      </c>
      <c r="T585" s="36">
        <v>8.1489000000000006E-3</v>
      </c>
      <c r="U585" s="37">
        <v>0.44444444444444442</v>
      </c>
      <c r="V585"/>
    </row>
    <row r="586" spans="1:22" ht="34" x14ac:dyDescent="0.2">
      <c r="A586" s="36" t="s">
        <v>152</v>
      </c>
      <c r="B586" s="45" t="str">
        <f>VLOOKUP(Tabella1[[#This Row],[test_id]],experiments_specs!A:J,2,FALSE)</f>
        <v>NN</v>
      </c>
      <c r="C586" s="38">
        <f>VLOOKUP(Tabella1[[#This Row],[test_id]],experiments_specs!A:J,3,FALSE)</f>
        <v>1</v>
      </c>
      <c r="D586" s="38">
        <f>VLOOKUP(Tabella1[[#This Row],[test_id]],experiments_specs!A:J,4,FALSE)</f>
        <v>2</v>
      </c>
      <c r="E586" s="38" t="str">
        <f>VLOOKUP(Tabella1[[#This Row],[test_id]],experiments_specs!A:J,5,FALSE)</f>
        <v>False</v>
      </c>
      <c r="F586" s="38" t="str">
        <f>VLOOKUP(Tabella1[[#This Row],[test_id]],experiments_specs!A:J,6,FALSE)</f>
        <v>False</v>
      </c>
      <c r="G586" s="38" t="str">
        <f>VLOOKUP(Tabella1[[#This Row],[test_id]],experiments_specs!A:J,7,FALSE)</f>
        <v>False</v>
      </c>
      <c r="H586" s="38" t="str">
        <f>VLOOKUP(Tabella1[[#This Row],[test_id]],experiments_specs!A:J,8,FALSE)</f>
        <v>True</v>
      </c>
      <c r="I586" s="45" t="str">
        <f>VLOOKUP(Tabella1[[#This Row],[test_id]],experiments_specs!A:J,9,FALSE)</f>
        <v>wup_similarity</v>
      </c>
      <c r="J586" s="38" t="str">
        <f>VLOOKUP(Tabella1[[#This Row],[test_id]],experiments_specs!A:J,10,FALSE)</f>
        <v>False</v>
      </c>
      <c r="K586" s="40" t="s">
        <v>18</v>
      </c>
      <c r="L586" s="36" t="s">
        <v>44</v>
      </c>
      <c r="M586" s="36">
        <v>0.1015346</v>
      </c>
      <c r="N586" s="36" t="s">
        <v>781</v>
      </c>
      <c r="O586" s="36">
        <v>3.2904000000000002E-3</v>
      </c>
      <c r="P586" s="36">
        <v>0.21052631578947367</v>
      </c>
      <c r="Q586" s="36" t="s">
        <v>388</v>
      </c>
      <c r="R586" s="36">
        <v>0.1015346</v>
      </c>
      <c r="S586" s="36" t="s">
        <v>440</v>
      </c>
      <c r="T586" s="36">
        <v>4.8770999999999997E-3</v>
      </c>
      <c r="U586" s="37">
        <v>0.11764705882352941</v>
      </c>
      <c r="V586"/>
    </row>
    <row r="587" spans="1:22" ht="51" x14ac:dyDescent="0.2">
      <c r="A587" s="36" t="s">
        <v>153</v>
      </c>
      <c r="B587" s="45" t="str">
        <f>VLOOKUP(Tabella1[[#This Row],[test_id]],experiments_specs!A:J,2,FALSE)</f>
        <v>NN,JJ</v>
      </c>
      <c r="C587" s="38">
        <f>VLOOKUP(Tabella1[[#This Row],[test_id]],experiments_specs!A:J,3,FALSE)</f>
        <v>1</v>
      </c>
      <c r="D587" s="38">
        <f>VLOOKUP(Tabella1[[#This Row],[test_id]],experiments_specs!A:J,4,FALSE)</f>
        <v>2</v>
      </c>
      <c r="E587" s="38" t="str">
        <f>VLOOKUP(Tabella1[[#This Row],[test_id]],experiments_specs!A:J,5,FALSE)</f>
        <v>False</v>
      </c>
      <c r="F587" s="38" t="str">
        <f>VLOOKUP(Tabella1[[#This Row],[test_id]],experiments_specs!A:J,6,FALSE)</f>
        <v>False</v>
      </c>
      <c r="G587" s="38" t="str">
        <f>VLOOKUP(Tabella1[[#This Row],[test_id]],experiments_specs!A:J,7,FALSE)</f>
        <v>False</v>
      </c>
      <c r="H587" s="38" t="str">
        <f>VLOOKUP(Tabella1[[#This Row],[test_id]],experiments_specs!A:J,8,FALSE)</f>
        <v>True</v>
      </c>
      <c r="I587" s="45" t="str">
        <f>VLOOKUP(Tabella1[[#This Row],[test_id]],experiments_specs!A:J,9,FALSE)</f>
        <v>wup_similarity</v>
      </c>
      <c r="J587" s="38" t="str">
        <f>VLOOKUP(Tabella1[[#This Row],[test_id]],experiments_specs!A:J,10,FALSE)</f>
        <v>False</v>
      </c>
      <c r="K587" s="40" t="s">
        <v>19</v>
      </c>
      <c r="L587" s="36" t="s">
        <v>739</v>
      </c>
      <c r="M587" s="36" t="s">
        <v>783</v>
      </c>
      <c r="N587" s="36" t="s">
        <v>743</v>
      </c>
      <c r="O587" s="36" t="s">
        <v>785</v>
      </c>
      <c r="P587" s="36">
        <v>0.19047619047619047</v>
      </c>
      <c r="Q587" s="36" t="s">
        <v>562</v>
      </c>
      <c r="R587" s="36" t="s">
        <v>787</v>
      </c>
      <c r="S587" s="36" t="s">
        <v>789</v>
      </c>
      <c r="T587" s="36" t="s">
        <v>791</v>
      </c>
      <c r="U587" s="37">
        <v>0.11764705882352941</v>
      </c>
      <c r="V587"/>
    </row>
    <row r="588" spans="1:22" ht="17" x14ac:dyDescent="0.2">
      <c r="A588" s="36" t="s">
        <v>153</v>
      </c>
      <c r="B588" s="45" t="str">
        <f>VLOOKUP(Tabella1[[#This Row],[test_id]],experiments_specs!A:J,2,FALSE)</f>
        <v>NN,JJ</v>
      </c>
      <c r="C588" s="38">
        <f>VLOOKUP(Tabella1[[#This Row],[test_id]],experiments_specs!A:J,3,FALSE)</f>
        <v>1</v>
      </c>
      <c r="D588" s="38">
        <f>VLOOKUP(Tabella1[[#This Row],[test_id]],experiments_specs!A:J,4,FALSE)</f>
        <v>2</v>
      </c>
      <c r="E588" s="38" t="str">
        <f>VLOOKUP(Tabella1[[#This Row],[test_id]],experiments_specs!A:J,5,FALSE)</f>
        <v>False</v>
      </c>
      <c r="F588" s="38" t="str">
        <f>VLOOKUP(Tabella1[[#This Row],[test_id]],experiments_specs!A:J,6,FALSE)</f>
        <v>False</v>
      </c>
      <c r="G588" s="38" t="str">
        <f>VLOOKUP(Tabella1[[#This Row],[test_id]],experiments_specs!A:J,7,FALSE)</f>
        <v>False</v>
      </c>
      <c r="H588" s="38" t="str">
        <f>VLOOKUP(Tabella1[[#This Row],[test_id]],experiments_specs!A:J,8,FALSE)</f>
        <v>True</v>
      </c>
      <c r="I588" s="45" t="str">
        <f>VLOOKUP(Tabella1[[#This Row],[test_id]],experiments_specs!A:J,9,FALSE)</f>
        <v>wup_similarity</v>
      </c>
      <c r="J588" s="38" t="str">
        <f>VLOOKUP(Tabella1[[#This Row],[test_id]],experiments_specs!A:J,10,FALSE)</f>
        <v>False</v>
      </c>
      <c r="K588" s="40" t="s">
        <v>12</v>
      </c>
      <c r="L588" s="36" t="s">
        <v>792</v>
      </c>
      <c r="M588" s="36">
        <v>0.2617119</v>
      </c>
      <c r="N588" s="36" t="s">
        <v>793</v>
      </c>
      <c r="O588" s="36">
        <v>4.1549000000000004E-3</v>
      </c>
      <c r="P588" s="36">
        <v>0.15384615384615385</v>
      </c>
      <c r="Q588" s="36" t="s">
        <v>794</v>
      </c>
      <c r="R588" s="36">
        <v>0.20272119999999999</v>
      </c>
      <c r="S588" s="36" t="s">
        <v>795</v>
      </c>
      <c r="T588" s="36">
        <v>1.4924E-2</v>
      </c>
      <c r="U588" s="37">
        <v>0.2857142857142857</v>
      </c>
      <c r="V588"/>
    </row>
    <row r="589" spans="1:22" ht="34" x14ac:dyDescent="0.2">
      <c r="A589" s="36" t="s">
        <v>153</v>
      </c>
      <c r="B589" s="45" t="str">
        <f>VLOOKUP(Tabella1[[#This Row],[test_id]],experiments_specs!A:J,2,FALSE)</f>
        <v>NN,JJ</v>
      </c>
      <c r="C589" s="38">
        <f>VLOOKUP(Tabella1[[#This Row],[test_id]],experiments_specs!A:J,3,FALSE)</f>
        <v>1</v>
      </c>
      <c r="D589" s="38">
        <f>VLOOKUP(Tabella1[[#This Row],[test_id]],experiments_specs!A:J,4,FALSE)</f>
        <v>2</v>
      </c>
      <c r="E589" s="38" t="str">
        <f>VLOOKUP(Tabella1[[#This Row],[test_id]],experiments_specs!A:J,5,FALSE)</f>
        <v>False</v>
      </c>
      <c r="F589" s="38" t="str">
        <f>VLOOKUP(Tabella1[[#This Row],[test_id]],experiments_specs!A:J,6,FALSE)</f>
        <v>False</v>
      </c>
      <c r="G589" s="38" t="str">
        <f>VLOOKUP(Tabella1[[#This Row],[test_id]],experiments_specs!A:J,7,FALSE)</f>
        <v>False</v>
      </c>
      <c r="H589" s="38" t="str">
        <f>VLOOKUP(Tabella1[[#This Row],[test_id]],experiments_specs!A:J,8,FALSE)</f>
        <v>True</v>
      </c>
      <c r="I589" s="45" t="str">
        <f>VLOOKUP(Tabella1[[#This Row],[test_id]],experiments_specs!A:J,9,FALSE)</f>
        <v>wup_similarity</v>
      </c>
      <c r="J589" s="38" t="str">
        <f>VLOOKUP(Tabella1[[#This Row],[test_id]],experiments_specs!A:J,10,FALSE)</f>
        <v>False</v>
      </c>
      <c r="K589" s="40" t="s">
        <v>13</v>
      </c>
      <c r="L589" s="36" t="s">
        <v>425</v>
      </c>
      <c r="M589" s="36">
        <v>0.1221694</v>
      </c>
      <c r="N589" s="36" t="s">
        <v>426</v>
      </c>
      <c r="O589" s="36">
        <v>1.02869E-2</v>
      </c>
      <c r="P589" s="36" t="s">
        <v>25</v>
      </c>
      <c r="Q589" s="36" t="s">
        <v>427</v>
      </c>
      <c r="R589" s="36">
        <v>0.1221694</v>
      </c>
      <c r="S589" s="36" t="s">
        <v>426</v>
      </c>
      <c r="T589" s="36">
        <v>1.4367700000000001E-2</v>
      </c>
      <c r="U589" s="37" t="s">
        <v>25</v>
      </c>
      <c r="V589"/>
    </row>
    <row r="590" spans="1:22" ht="34" x14ac:dyDescent="0.2">
      <c r="A590" s="36" t="s">
        <v>153</v>
      </c>
      <c r="B590" s="45" t="str">
        <f>VLOOKUP(Tabella1[[#This Row],[test_id]],experiments_specs!A:J,2,FALSE)</f>
        <v>NN,JJ</v>
      </c>
      <c r="C590" s="38">
        <f>VLOOKUP(Tabella1[[#This Row],[test_id]],experiments_specs!A:J,3,FALSE)</f>
        <v>1</v>
      </c>
      <c r="D590" s="38">
        <f>VLOOKUP(Tabella1[[#This Row],[test_id]],experiments_specs!A:J,4,FALSE)</f>
        <v>2</v>
      </c>
      <c r="E590" s="38" t="str">
        <f>VLOOKUP(Tabella1[[#This Row],[test_id]],experiments_specs!A:J,5,FALSE)</f>
        <v>False</v>
      </c>
      <c r="F590" s="38" t="str">
        <f>VLOOKUP(Tabella1[[#This Row],[test_id]],experiments_specs!A:J,6,FALSE)</f>
        <v>False</v>
      </c>
      <c r="G590" s="38" t="str">
        <f>VLOOKUP(Tabella1[[#This Row],[test_id]],experiments_specs!A:J,7,FALSE)</f>
        <v>False</v>
      </c>
      <c r="H590" s="38" t="str">
        <f>VLOOKUP(Tabella1[[#This Row],[test_id]],experiments_specs!A:J,8,FALSE)</f>
        <v>True</v>
      </c>
      <c r="I590" s="45" t="str">
        <f>VLOOKUP(Tabella1[[#This Row],[test_id]],experiments_specs!A:J,9,FALSE)</f>
        <v>wup_similarity</v>
      </c>
      <c r="J590" s="38" t="str">
        <f>VLOOKUP(Tabella1[[#This Row],[test_id]],experiments_specs!A:J,10,FALSE)</f>
        <v>False</v>
      </c>
      <c r="K590" s="40" t="s">
        <v>14</v>
      </c>
      <c r="L590" s="36" t="s">
        <v>764</v>
      </c>
      <c r="M590" s="36" t="s">
        <v>797</v>
      </c>
      <c r="N590" s="36" t="s">
        <v>768</v>
      </c>
      <c r="O590" s="36" t="s">
        <v>799</v>
      </c>
      <c r="P590" s="36">
        <v>0.25</v>
      </c>
      <c r="Q590" s="36" t="s">
        <v>430</v>
      </c>
      <c r="R590" s="36">
        <v>0.15911139999999999</v>
      </c>
      <c r="S590" s="36" t="s">
        <v>429</v>
      </c>
      <c r="T590" s="36">
        <v>9.9964000000000008E-3</v>
      </c>
      <c r="U590" s="37">
        <v>0.125</v>
      </c>
      <c r="V590"/>
    </row>
    <row r="591" spans="1:22" ht="34" x14ac:dyDescent="0.2">
      <c r="A591" s="36" t="s">
        <v>153</v>
      </c>
      <c r="B591" s="45" t="str">
        <f>VLOOKUP(Tabella1[[#This Row],[test_id]],experiments_specs!A:J,2,FALSE)</f>
        <v>NN,JJ</v>
      </c>
      <c r="C591" s="38">
        <f>VLOOKUP(Tabella1[[#This Row],[test_id]],experiments_specs!A:J,3,FALSE)</f>
        <v>1</v>
      </c>
      <c r="D591" s="38">
        <f>VLOOKUP(Tabella1[[#This Row],[test_id]],experiments_specs!A:J,4,FALSE)</f>
        <v>2</v>
      </c>
      <c r="E591" s="38" t="str">
        <f>VLOOKUP(Tabella1[[#This Row],[test_id]],experiments_specs!A:J,5,FALSE)</f>
        <v>False</v>
      </c>
      <c r="F591" s="38" t="str">
        <f>VLOOKUP(Tabella1[[#This Row],[test_id]],experiments_specs!A:J,6,FALSE)</f>
        <v>False</v>
      </c>
      <c r="G591" s="38" t="str">
        <f>VLOOKUP(Tabella1[[#This Row],[test_id]],experiments_specs!A:J,7,FALSE)</f>
        <v>False</v>
      </c>
      <c r="H591" s="38" t="str">
        <f>VLOOKUP(Tabella1[[#This Row],[test_id]],experiments_specs!A:J,8,FALSE)</f>
        <v>True</v>
      </c>
      <c r="I591" s="45" t="str">
        <f>VLOOKUP(Tabella1[[#This Row],[test_id]],experiments_specs!A:J,9,FALSE)</f>
        <v>wup_similarity</v>
      </c>
      <c r="J591" s="38" t="str">
        <f>VLOOKUP(Tabella1[[#This Row],[test_id]],experiments_specs!A:J,10,FALSE)</f>
        <v>False</v>
      </c>
      <c r="K591" s="40" t="s">
        <v>15</v>
      </c>
      <c r="L591" s="36" t="s">
        <v>772</v>
      </c>
      <c r="M591" s="36" t="s">
        <v>774</v>
      </c>
      <c r="N591" s="36" t="s">
        <v>776</v>
      </c>
      <c r="O591" s="36" t="s">
        <v>801</v>
      </c>
      <c r="P591" s="36">
        <v>0.16666666666666666</v>
      </c>
      <c r="Q591" s="36" t="s">
        <v>363</v>
      </c>
      <c r="R591" s="36">
        <v>0.1754116</v>
      </c>
      <c r="S591" s="36" t="s">
        <v>779</v>
      </c>
      <c r="T591" s="36">
        <v>1.24186E-2</v>
      </c>
      <c r="U591" s="37">
        <v>0.18181818181818182</v>
      </c>
      <c r="V591"/>
    </row>
    <row r="592" spans="1:22" ht="17" x14ac:dyDescent="0.2">
      <c r="A592" s="36" t="s">
        <v>153</v>
      </c>
      <c r="B592" s="45" t="str">
        <f>VLOOKUP(Tabella1[[#This Row],[test_id]],experiments_specs!A:J,2,FALSE)</f>
        <v>NN,JJ</v>
      </c>
      <c r="C592" s="38">
        <f>VLOOKUP(Tabella1[[#This Row],[test_id]],experiments_specs!A:J,3,FALSE)</f>
        <v>1</v>
      </c>
      <c r="D592" s="38">
        <f>VLOOKUP(Tabella1[[#This Row],[test_id]],experiments_specs!A:J,4,FALSE)</f>
        <v>2</v>
      </c>
      <c r="E592" s="38" t="str">
        <f>VLOOKUP(Tabella1[[#This Row],[test_id]],experiments_specs!A:J,5,FALSE)</f>
        <v>False</v>
      </c>
      <c r="F592" s="38" t="str">
        <f>VLOOKUP(Tabella1[[#This Row],[test_id]],experiments_specs!A:J,6,FALSE)</f>
        <v>False</v>
      </c>
      <c r="G592" s="38" t="str">
        <f>VLOOKUP(Tabella1[[#This Row],[test_id]],experiments_specs!A:J,7,FALSE)</f>
        <v>False</v>
      </c>
      <c r="H592" s="38" t="str">
        <f>VLOOKUP(Tabella1[[#This Row],[test_id]],experiments_specs!A:J,8,FALSE)</f>
        <v>True</v>
      </c>
      <c r="I592" s="45" t="str">
        <f>VLOOKUP(Tabella1[[#This Row],[test_id]],experiments_specs!A:J,9,FALSE)</f>
        <v>wup_similarity</v>
      </c>
      <c r="J592" s="38" t="str">
        <f>VLOOKUP(Tabella1[[#This Row],[test_id]],experiments_specs!A:J,10,FALSE)</f>
        <v>False</v>
      </c>
      <c r="K592" s="40" t="s">
        <v>16</v>
      </c>
      <c r="L592" s="36" t="s">
        <v>556</v>
      </c>
      <c r="M592" s="36">
        <v>0.16783619999999999</v>
      </c>
      <c r="N592" s="36" t="s">
        <v>780</v>
      </c>
      <c r="O592" s="36">
        <v>3.4299999999999999E-3</v>
      </c>
      <c r="P592" s="36">
        <v>0.46153846153846156</v>
      </c>
      <c r="Q592" s="36" t="s">
        <v>388</v>
      </c>
      <c r="R592" s="36">
        <v>0.11867809999999999</v>
      </c>
      <c r="S592" s="36" t="s">
        <v>440</v>
      </c>
      <c r="T592" s="36">
        <v>6.7742000000000002E-3</v>
      </c>
      <c r="U592" s="37">
        <v>0.14285714285714285</v>
      </c>
      <c r="V592"/>
    </row>
    <row r="593" spans="1:22" ht="17" x14ac:dyDescent="0.2">
      <c r="A593" s="36" t="s">
        <v>153</v>
      </c>
      <c r="B593" s="45" t="str">
        <f>VLOOKUP(Tabella1[[#This Row],[test_id]],experiments_specs!A:J,2,FALSE)</f>
        <v>NN,JJ</v>
      </c>
      <c r="C593" s="38">
        <f>VLOOKUP(Tabella1[[#This Row],[test_id]],experiments_specs!A:J,3,FALSE)</f>
        <v>1</v>
      </c>
      <c r="D593" s="38">
        <f>VLOOKUP(Tabella1[[#This Row],[test_id]],experiments_specs!A:J,4,FALSE)</f>
        <v>2</v>
      </c>
      <c r="E593" s="38" t="str">
        <f>VLOOKUP(Tabella1[[#This Row],[test_id]],experiments_specs!A:J,5,FALSE)</f>
        <v>False</v>
      </c>
      <c r="F593" s="38" t="str">
        <f>VLOOKUP(Tabella1[[#This Row],[test_id]],experiments_specs!A:J,6,FALSE)</f>
        <v>False</v>
      </c>
      <c r="G593" s="38" t="str">
        <f>VLOOKUP(Tabella1[[#This Row],[test_id]],experiments_specs!A:J,7,FALSE)</f>
        <v>False</v>
      </c>
      <c r="H593" s="38" t="str">
        <f>VLOOKUP(Tabella1[[#This Row],[test_id]],experiments_specs!A:J,8,FALSE)</f>
        <v>True</v>
      </c>
      <c r="I593" s="45" t="str">
        <f>VLOOKUP(Tabella1[[#This Row],[test_id]],experiments_specs!A:J,9,FALSE)</f>
        <v>wup_similarity</v>
      </c>
      <c r="J593" s="38" t="str">
        <f>VLOOKUP(Tabella1[[#This Row],[test_id]],experiments_specs!A:J,10,FALSE)</f>
        <v>False</v>
      </c>
      <c r="K593" s="40" t="s">
        <v>17</v>
      </c>
      <c r="L593" s="36" t="s">
        <v>556</v>
      </c>
      <c r="M593" s="36">
        <v>0.1714985</v>
      </c>
      <c r="N593" s="36" t="s">
        <v>780</v>
      </c>
      <c r="O593" s="36">
        <v>3.9604999999999996E-3</v>
      </c>
      <c r="P593" s="36">
        <v>0.44444444444444442</v>
      </c>
      <c r="Q593" s="36" t="s">
        <v>388</v>
      </c>
      <c r="R593" s="36">
        <v>0.1212678</v>
      </c>
      <c r="S593" s="36" t="s">
        <v>440</v>
      </c>
      <c r="T593" s="36">
        <v>8.7819999999999999E-3</v>
      </c>
      <c r="U593" s="37">
        <v>0.2</v>
      </c>
      <c r="V593"/>
    </row>
    <row r="594" spans="1:22" ht="34" x14ac:dyDescent="0.2">
      <c r="A594" s="36" t="s">
        <v>153</v>
      </c>
      <c r="B594" s="45" t="str">
        <f>VLOOKUP(Tabella1[[#This Row],[test_id]],experiments_specs!A:J,2,FALSE)</f>
        <v>NN,JJ</v>
      </c>
      <c r="C594" s="38">
        <f>VLOOKUP(Tabella1[[#This Row],[test_id]],experiments_specs!A:J,3,FALSE)</f>
        <v>1</v>
      </c>
      <c r="D594" s="38">
        <f>VLOOKUP(Tabella1[[#This Row],[test_id]],experiments_specs!A:J,4,FALSE)</f>
        <v>2</v>
      </c>
      <c r="E594" s="38" t="str">
        <f>VLOOKUP(Tabella1[[#This Row],[test_id]],experiments_specs!A:J,5,FALSE)</f>
        <v>False</v>
      </c>
      <c r="F594" s="38" t="str">
        <f>VLOOKUP(Tabella1[[#This Row],[test_id]],experiments_specs!A:J,6,FALSE)</f>
        <v>False</v>
      </c>
      <c r="G594" s="38" t="str">
        <f>VLOOKUP(Tabella1[[#This Row],[test_id]],experiments_specs!A:J,7,FALSE)</f>
        <v>False</v>
      </c>
      <c r="H594" s="38" t="str">
        <f>VLOOKUP(Tabella1[[#This Row],[test_id]],experiments_specs!A:J,8,FALSE)</f>
        <v>True</v>
      </c>
      <c r="I594" s="45" t="str">
        <f>VLOOKUP(Tabella1[[#This Row],[test_id]],experiments_specs!A:J,9,FALSE)</f>
        <v>wup_similarity</v>
      </c>
      <c r="J594" s="38" t="str">
        <f>VLOOKUP(Tabella1[[#This Row],[test_id]],experiments_specs!A:J,10,FALSE)</f>
        <v>False</v>
      </c>
      <c r="K594" s="40" t="s">
        <v>18</v>
      </c>
      <c r="L594" s="36" t="s">
        <v>44</v>
      </c>
      <c r="M594" s="36">
        <v>0.1010152</v>
      </c>
      <c r="N594" s="36" t="s">
        <v>781</v>
      </c>
      <c r="O594" s="36">
        <v>2.3768000000000001E-3</v>
      </c>
      <c r="P594" s="36">
        <v>0.21052631578947367</v>
      </c>
      <c r="Q594" s="36" t="s">
        <v>438</v>
      </c>
      <c r="R594" s="36">
        <v>0.14285709999999999</v>
      </c>
      <c r="S594" s="36" t="s">
        <v>439</v>
      </c>
      <c r="T594" s="36">
        <v>6.0918999999999999E-3</v>
      </c>
      <c r="U594" s="37">
        <v>0.125</v>
      </c>
      <c r="V594"/>
    </row>
    <row r="595" spans="1:22" ht="51" x14ac:dyDescent="0.2">
      <c r="A595" s="36" t="s">
        <v>154</v>
      </c>
      <c r="B595" s="45" t="str">
        <f>VLOOKUP(Tabella1[[#This Row],[test_id]],experiments_specs!A:J,2,FALSE)</f>
        <v>NN,VB</v>
      </c>
      <c r="C595" s="38">
        <f>VLOOKUP(Tabella1[[#This Row],[test_id]],experiments_specs!A:J,3,FALSE)</f>
        <v>1</v>
      </c>
      <c r="D595" s="38">
        <f>VLOOKUP(Tabella1[[#This Row],[test_id]],experiments_specs!A:J,4,FALSE)</f>
        <v>2</v>
      </c>
      <c r="E595" s="38" t="str">
        <f>VLOOKUP(Tabella1[[#This Row],[test_id]],experiments_specs!A:J,5,FALSE)</f>
        <v>False</v>
      </c>
      <c r="F595" s="38" t="str">
        <f>VLOOKUP(Tabella1[[#This Row],[test_id]],experiments_specs!A:J,6,FALSE)</f>
        <v>False</v>
      </c>
      <c r="G595" s="38" t="str">
        <f>VLOOKUP(Tabella1[[#This Row],[test_id]],experiments_specs!A:J,7,FALSE)</f>
        <v>False</v>
      </c>
      <c r="H595" s="38" t="str">
        <f>VLOOKUP(Tabella1[[#This Row],[test_id]],experiments_specs!A:J,8,FALSE)</f>
        <v>True</v>
      </c>
      <c r="I595" s="45" t="str">
        <f>VLOOKUP(Tabella1[[#This Row],[test_id]],experiments_specs!A:J,9,FALSE)</f>
        <v>wup_similarity</v>
      </c>
      <c r="J595" s="38" t="str">
        <f>VLOOKUP(Tabella1[[#This Row],[test_id]],experiments_specs!A:J,10,FALSE)</f>
        <v>False</v>
      </c>
      <c r="K595" s="40" t="s">
        <v>19</v>
      </c>
      <c r="L595" s="36" t="s">
        <v>739</v>
      </c>
      <c r="M595" s="36" t="s">
        <v>741</v>
      </c>
      <c r="N595" s="36" t="s">
        <v>743</v>
      </c>
      <c r="O595" s="36" t="s">
        <v>803</v>
      </c>
      <c r="P595" s="36">
        <v>0.19047619047619047</v>
      </c>
      <c r="Q595" s="36" t="s">
        <v>805</v>
      </c>
      <c r="R595" s="36" t="s">
        <v>807</v>
      </c>
      <c r="S595" s="36" t="s">
        <v>809</v>
      </c>
      <c r="T595" s="36" t="s">
        <v>811</v>
      </c>
      <c r="U595" s="37">
        <v>0.1</v>
      </c>
      <c r="V595"/>
    </row>
    <row r="596" spans="1:22" ht="17" x14ac:dyDescent="0.2">
      <c r="A596" s="36" t="s">
        <v>154</v>
      </c>
      <c r="B596" s="45" t="str">
        <f>VLOOKUP(Tabella1[[#This Row],[test_id]],experiments_specs!A:J,2,FALSE)</f>
        <v>NN,VB</v>
      </c>
      <c r="C596" s="38">
        <f>VLOOKUP(Tabella1[[#This Row],[test_id]],experiments_specs!A:J,3,FALSE)</f>
        <v>1</v>
      </c>
      <c r="D596" s="38">
        <f>VLOOKUP(Tabella1[[#This Row],[test_id]],experiments_specs!A:J,4,FALSE)</f>
        <v>2</v>
      </c>
      <c r="E596" s="38" t="str">
        <f>VLOOKUP(Tabella1[[#This Row],[test_id]],experiments_specs!A:J,5,FALSE)</f>
        <v>False</v>
      </c>
      <c r="F596" s="38" t="str">
        <f>VLOOKUP(Tabella1[[#This Row],[test_id]],experiments_specs!A:J,6,FALSE)</f>
        <v>False</v>
      </c>
      <c r="G596" s="38" t="str">
        <f>VLOOKUP(Tabella1[[#This Row],[test_id]],experiments_specs!A:J,7,FALSE)</f>
        <v>False</v>
      </c>
      <c r="H596" s="38" t="str">
        <f>VLOOKUP(Tabella1[[#This Row],[test_id]],experiments_specs!A:J,8,FALSE)</f>
        <v>True</v>
      </c>
      <c r="I596" s="45" t="str">
        <f>VLOOKUP(Tabella1[[#This Row],[test_id]],experiments_specs!A:J,9,FALSE)</f>
        <v>wup_similarity</v>
      </c>
      <c r="J596" s="38" t="str">
        <f>VLOOKUP(Tabella1[[#This Row],[test_id]],experiments_specs!A:J,10,FALSE)</f>
        <v>False</v>
      </c>
      <c r="K596" s="40" t="s">
        <v>12</v>
      </c>
      <c r="L596" s="36" t="s">
        <v>251</v>
      </c>
      <c r="M596" s="36">
        <v>0.31851099999999999</v>
      </c>
      <c r="N596" s="36" t="s">
        <v>577</v>
      </c>
      <c r="O596" s="36">
        <v>4.5725999999999996E-3</v>
      </c>
      <c r="P596" s="36">
        <v>0.125</v>
      </c>
      <c r="Q596" s="36" t="s">
        <v>235</v>
      </c>
      <c r="R596" s="36">
        <v>0.24077170000000001</v>
      </c>
      <c r="S596" s="36" t="s">
        <v>251</v>
      </c>
      <c r="T596" s="36">
        <v>1.3332999999999999E-2</v>
      </c>
      <c r="U596" s="37">
        <v>0.13333333333333333</v>
      </c>
      <c r="V596"/>
    </row>
    <row r="597" spans="1:22" ht="17" x14ac:dyDescent="0.2">
      <c r="A597" s="36" t="s">
        <v>154</v>
      </c>
      <c r="B597" s="45" t="str">
        <f>VLOOKUP(Tabella1[[#This Row],[test_id]],experiments_specs!A:J,2,FALSE)</f>
        <v>NN,VB</v>
      </c>
      <c r="C597" s="38">
        <f>VLOOKUP(Tabella1[[#This Row],[test_id]],experiments_specs!A:J,3,FALSE)</f>
        <v>1</v>
      </c>
      <c r="D597" s="38">
        <f>VLOOKUP(Tabella1[[#This Row],[test_id]],experiments_specs!A:J,4,FALSE)</f>
        <v>2</v>
      </c>
      <c r="E597" s="38" t="str">
        <f>VLOOKUP(Tabella1[[#This Row],[test_id]],experiments_specs!A:J,5,FALSE)</f>
        <v>False</v>
      </c>
      <c r="F597" s="38" t="str">
        <f>VLOOKUP(Tabella1[[#This Row],[test_id]],experiments_specs!A:J,6,FALSE)</f>
        <v>False</v>
      </c>
      <c r="G597" s="38" t="str">
        <f>VLOOKUP(Tabella1[[#This Row],[test_id]],experiments_specs!A:J,7,FALSE)</f>
        <v>False</v>
      </c>
      <c r="H597" s="38" t="str">
        <f>VLOOKUP(Tabella1[[#This Row],[test_id]],experiments_specs!A:J,8,FALSE)</f>
        <v>True</v>
      </c>
      <c r="I597" s="45" t="str">
        <f>VLOOKUP(Tabella1[[#This Row],[test_id]],experiments_specs!A:J,9,FALSE)</f>
        <v>wup_similarity</v>
      </c>
      <c r="J597" s="38" t="str">
        <f>VLOOKUP(Tabella1[[#This Row],[test_id]],experiments_specs!A:J,10,FALSE)</f>
        <v>False</v>
      </c>
      <c r="K597" s="40" t="s">
        <v>13</v>
      </c>
      <c r="L597" s="36" t="s">
        <v>425</v>
      </c>
      <c r="M597" s="36">
        <v>0.1221694</v>
      </c>
      <c r="N597" s="36" t="s">
        <v>426</v>
      </c>
      <c r="O597" s="36">
        <v>8.6064000000000002E-3</v>
      </c>
      <c r="P597" s="36" t="s">
        <v>25</v>
      </c>
      <c r="Q597" s="36" t="s">
        <v>252</v>
      </c>
      <c r="R597" s="36">
        <v>0.1727736</v>
      </c>
      <c r="S597" s="36" t="s">
        <v>812</v>
      </c>
      <c r="T597" s="36">
        <v>1.13916E-2</v>
      </c>
      <c r="U597" s="37">
        <v>0.4</v>
      </c>
      <c r="V597"/>
    </row>
    <row r="598" spans="1:22" ht="34" x14ac:dyDescent="0.2">
      <c r="A598" s="36" t="s">
        <v>154</v>
      </c>
      <c r="B598" s="45" t="str">
        <f>VLOOKUP(Tabella1[[#This Row],[test_id]],experiments_specs!A:J,2,FALSE)</f>
        <v>NN,VB</v>
      </c>
      <c r="C598" s="38">
        <f>VLOOKUP(Tabella1[[#This Row],[test_id]],experiments_specs!A:J,3,FALSE)</f>
        <v>1</v>
      </c>
      <c r="D598" s="38">
        <f>VLOOKUP(Tabella1[[#This Row],[test_id]],experiments_specs!A:J,4,FALSE)</f>
        <v>2</v>
      </c>
      <c r="E598" s="38" t="str">
        <f>VLOOKUP(Tabella1[[#This Row],[test_id]],experiments_specs!A:J,5,FALSE)</f>
        <v>False</v>
      </c>
      <c r="F598" s="38" t="str">
        <f>VLOOKUP(Tabella1[[#This Row],[test_id]],experiments_specs!A:J,6,FALSE)</f>
        <v>False</v>
      </c>
      <c r="G598" s="38" t="str">
        <f>VLOOKUP(Tabella1[[#This Row],[test_id]],experiments_specs!A:J,7,FALSE)</f>
        <v>False</v>
      </c>
      <c r="H598" s="38" t="str">
        <f>VLOOKUP(Tabella1[[#This Row],[test_id]],experiments_specs!A:J,8,FALSE)</f>
        <v>True</v>
      </c>
      <c r="I598" s="45" t="str">
        <f>VLOOKUP(Tabella1[[#This Row],[test_id]],experiments_specs!A:J,9,FALSE)</f>
        <v>wup_similarity</v>
      </c>
      <c r="J598" s="38" t="str">
        <f>VLOOKUP(Tabella1[[#This Row],[test_id]],experiments_specs!A:J,10,FALSE)</f>
        <v>False</v>
      </c>
      <c r="K598" s="40" t="s">
        <v>14</v>
      </c>
      <c r="L598" s="36" t="s">
        <v>764</v>
      </c>
      <c r="M598" s="36" t="s">
        <v>766</v>
      </c>
      <c r="N598" s="36" t="s">
        <v>768</v>
      </c>
      <c r="O598" s="36" t="s">
        <v>814</v>
      </c>
      <c r="P598" s="36">
        <v>0.25</v>
      </c>
      <c r="Q598" s="36" t="s">
        <v>430</v>
      </c>
      <c r="R598" s="36">
        <v>0.1601281</v>
      </c>
      <c r="S598" s="36" t="s">
        <v>429</v>
      </c>
      <c r="T598" s="36">
        <v>9.6145999999999992E-3</v>
      </c>
      <c r="U598" s="37">
        <v>0.125</v>
      </c>
      <c r="V598"/>
    </row>
    <row r="599" spans="1:22" ht="34" x14ac:dyDescent="0.2">
      <c r="A599" s="36" t="s">
        <v>154</v>
      </c>
      <c r="B599" s="45" t="str">
        <f>VLOOKUP(Tabella1[[#This Row],[test_id]],experiments_specs!A:J,2,FALSE)</f>
        <v>NN,VB</v>
      </c>
      <c r="C599" s="38">
        <f>VLOOKUP(Tabella1[[#This Row],[test_id]],experiments_specs!A:J,3,FALSE)</f>
        <v>1</v>
      </c>
      <c r="D599" s="38">
        <f>VLOOKUP(Tabella1[[#This Row],[test_id]],experiments_specs!A:J,4,FALSE)</f>
        <v>2</v>
      </c>
      <c r="E599" s="38" t="str">
        <f>VLOOKUP(Tabella1[[#This Row],[test_id]],experiments_specs!A:J,5,FALSE)</f>
        <v>False</v>
      </c>
      <c r="F599" s="38" t="str">
        <f>VLOOKUP(Tabella1[[#This Row],[test_id]],experiments_specs!A:J,6,FALSE)</f>
        <v>False</v>
      </c>
      <c r="G599" s="38" t="str">
        <f>VLOOKUP(Tabella1[[#This Row],[test_id]],experiments_specs!A:J,7,FALSE)</f>
        <v>False</v>
      </c>
      <c r="H599" s="38" t="str">
        <f>VLOOKUP(Tabella1[[#This Row],[test_id]],experiments_specs!A:J,8,FALSE)</f>
        <v>True</v>
      </c>
      <c r="I599" s="45" t="str">
        <f>VLOOKUP(Tabella1[[#This Row],[test_id]],experiments_specs!A:J,9,FALSE)</f>
        <v>wup_similarity</v>
      </c>
      <c r="J599" s="38" t="str">
        <f>VLOOKUP(Tabella1[[#This Row],[test_id]],experiments_specs!A:J,10,FALSE)</f>
        <v>False</v>
      </c>
      <c r="K599" s="40" t="s">
        <v>15</v>
      </c>
      <c r="L599" s="36" t="s">
        <v>772</v>
      </c>
      <c r="M599" s="36" t="s">
        <v>816</v>
      </c>
      <c r="N599" s="36" t="s">
        <v>776</v>
      </c>
      <c r="O599" s="36" t="s">
        <v>818</v>
      </c>
      <c r="P599" s="36">
        <v>0.16666666666666666</v>
      </c>
      <c r="Q599" s="36" t="s">
        <v>240</v>
      </c>
      <c r="R599" s="36" t="s">
        <v>820</v>
      </c>
      <c r="S599" s="36" t="s">
        <v>822</v>
      </c>
      <c r="T599" s="36" t="s">
        <v>824</v>
      </c>
      <c r="U599" s="37">
        <v>0.2</v>
      </c>
      <c r="V599"/>
    </row>
    <row r="600" spans="1:22" ht="51" x14ac:dyDescent="0.2">
      <c r="A600" s="36" t="s">
        <v>154</v>
      </c>
      <c r="B600" s="45" t="str">
        <f>VLOOKUP(Tabella1[[#This Row],[test_id]],experiments_specs!A:J,2,FALSE)</f>
        <v>NN,VB</v>
      </c>
      <c r="C600" s="38">
        <f>VLOOKUP(Tabella1[[#This Row],[test_id]],experiments_specs!A:J,3,FALSE)</f>
        <v>1</v>
      </c>
      <c r="D600" s="38">
        <f>VLOOKUP(Tabella1[[#This Row],[test_id]],experiments_specs!A:J,4,FALSE)</f>
        <v>2</v>
      </c>
      <c r="E600" s="38" t="str">
        <f>VLOOKUP(Tabella1[[#This Row],[test_id]],experiments_specs!A:J,5,FALSE)</f>
        <v>False</v>
      </c>
      <c r="F600" s="38" t="str">
        <f>VLOOKUP(Tabella1[[#This Row],[test_id]],experiments_specs!A:J,6,FALSE)</f>
        <v>False</v>
      </c>
      <c r="G600" s="38" t="str">
        <f>VLOOKUP(Tabella1[[#This Row],[test_id]],experiments_specs!A:J,7,FALSE)</f>
        <v>False</v>
      </c>
      <c r="H600" s="38" t="str">
        <f>VLOOKUP(Tabella1[[#This Row],[test_id]],experiments_specs!A:J,8,FALSE)</f>
        <v>True</v>
      </c>
      <c r="I600" s="45" t="str">
        <f>VLOOKUP(Tabella1[[#This Row],[test_id]],experiments_specs!A:J,9,FALSE)</f>
        <v>wup_similarity</v>
      </c>
      <c r="J600" s="38" t="str">
        <f>VLOOKUP(Tabella1[[#This Row],[test_id]],experiments_specs!A:J,10,FALSE)</f>
        <v>False</v>
      </c>
      <c r="K600" s="40" t="s">
        <v>16</v>
      </c>
      <c r="L600" s="36" t="s">
        <v>556</v>
      </c>
      <c r="M600" s="36">
        <v>0.1666666</v>
      </c>
      <c r="N600" s="36" t="s">
        <v>780</v>
      </c>
      <c r="O600" s="36">
        <v>3.3371999999999998E-3</v>
      </c>
      <c r="P600" s="36">
        <v>0.46153846153846156</v>
      </c>
      <c r="Q600" s="36" t="s">
        <v>562</v>
      </c>
      <c r="R600" s="36" t="s">
        <v>826</v>
      </c>
      <c r="S600" s="36" t="s">
        <v>789</v>
      </c>
      <c r="T600" s="36" t="s">
        <v>828</v>
      </c>
      <c r="U600" s="37">
        <v>0.15384615384615385</v>
      </c>
      <c r="V600"/>
    </row>
    <row r="601" spans="1:22" ht="17" x14ac:dyDescent="0.2">
      <c r="A601" s="36" t="s">
        <v>154</v>
      </c>
      <c r="B601" s="45" t="str">
        <f>VLOOKUP(Tabella1[[#This Row],[test_id]],experiments_specs!A:J,2,FALSE)</f>
        <v>NN,VB</v>
      </c>
      <c r="C601" s="38">
        <f>VLOOKUP(Tabella1[[#This Row],[test_id]],experiments_specs!A:J,3,FALSE)</f>
        <v>1</v>
      </c>
      <c r="D601" s="38">
        <f>VLOOKUP(Tabella1[[#This Row],[test_id]],experiments_specs!A:J,4,FALSE)</f>
        <v>2</v>
      </c>
      <c r="E601" s="38" t="str">
        <f>VLOOKUP(Tabella1[[#This Row],[test_id]],experiments_specs!A:J,5,FALSE)</f>
        <v>False</v>
      </c>
      <c r="F601" s="38" t="str">
        <f>VLOOKUP(Tabella1[[#This Row],[test_id]],experiments_specs!A:J,6,FALSE)</f>
        <v>False</v>
      </c>
      <c r="G601" s="38" t="str">
        <f>VLOOKUP(Tabella1[[#This Row],[test_id]],experiments_specs!A:J,7,FALSE)</f>
        <v>False</v>
      </c>
      <c r="H601" s="38" t="str">
        <f>VLOOKUP(Tabella1[[#This Row],[test_id]],experiments_specs!A:J,8,FALSE)</f>
        <v>True</v>
      </c>
      <c r="I601" s="45" t="str">
        <f>VLOOKUP(Tabella1[[#This Row],[test_id]],experiments_specs!A:J,9,FALSE)</f>
        <v>wup_similarity</v>
      </c>
      <c r="J601" s="38" t="str">
        <f>VLOOKUP(Tabella1[[#This Row],[test_id]],experiments_specs!A:J,10,FALSE)</f>
        <v>False</v>
      </c>
      <c r="K601" s="40" t="s">
        <v>17</v>
      </c>
      <c r="L601" s="36" t="s">
        <v>556</v>
      </c>
      <c r="M601" s="36">
        <v>0.1740776</v>
      </c>
      <c r="N601" s="36" t="s">
        <v>780</v>
      </c>
      <c r="O601" s="36">
        <v>3.3408000000000001E-3</v>
      </c>
      <c r="P601" s="36">
        <v>0.44444444444444442</v>
      </c>
      <c r="Q601" s="36" t="s">
        <v>246</v>
      </c>
      <c r="R601" s="36">
        <v>0.1230914</v>
      </c>
      <c r="S601" s="36" t="s">
        <v>829</v>
      </c>
      <c r="T601" s="36">
        <v>6.9237999999999999E-3</v>
      </c>
      <c r="U601" s="37">
        <v>0.14285714285714285</v>
      </c>
      <c r="V601"/>
    </row>
    <row r="602" spans="1:22" ht="34" x14ac:dyDescent="0.2">
      <c r="A602" s="36" t="s">
        <v>154</v>
      </c>
      <c r="B602" s="45" t="str">
        <f>VLOOKUP(Tabella1[[#This Row],[test_id]],experiments_specs!A:J,2,FALSE)</f>
        <v>NN,VB</v>
      </c>
      <c r="C602" s="38">
        <f>VLOOKUP(Tabella1[[#This Row],[test_id]],experiments_specs!A:J,3,FALSE)</f>
        <v>1</v>
      </c>
      <c r="D602" s="38">
        <f>VLOOKUP(Tabella1[[#This Row],[test_id]],experiments_specs!A:J,4,FALSE)</f>
        <v>2</v>
      </c>
      <c r="E602" s="38" t="str">
        <f>VLOOKUP(Tabella1[[#This Row],[test_id]],experiments_specs!A:J,5,FALSE)</f>
        <v>False</v>
      </c>
      <c r="F602" s="38" t="str">
        <f>VLOOKUP(Tabella1[[#This Row],[test_id]],experiments_specs!A:J,6,FALSE)</f>
        <v>False</v>
      </c>
      <c r="G602" s="38" t="str">
        <f>VLOOKUP(Tabella1[[#This Row],[test_id]],experiments_specs!A:J,7,FALSE)</f>
        <v>False</v>
      </c>
      <c r="H602" s="38" t="str">
        <f>VLOOKUP(Tabella1[[#This Row],[test_id]],experiments_specs!A:J,8,FALSE)</f>
        <v>True</v>
      </c>
      <c r="I602" s="45" t="str">
        <f>VLOOKUP(Tabella1[[#This Row],[test_id]],experiments_specs!A:J,9,FALSE)</f>
        <v>wup_similarity</v>
      </c>
      <c r="J602" s="38" t="str">
        <f>VLOOKUP(Tabella1[[#This Row],[test_id]],experiments_specs!A:J,10,FALSE)</f>
        <v>False</v>
      </c>
      <c r="K602" s="40" t="s">
        <v>18</v>
      </c>
      <c r="L602" s="36" t="s">
        <v>44</v>
      </c>
      <c r="M602" s="36">
        <v>0.1010152</v>
      </c>
      <c r="N602" s="36" t="s">
        <v>781</v>
      </c>
      <c r="O602" s="36">
        <v>2.3888E-3</v>
      </c>
      <c r="P602" s="36">
        <v>0.21052631578947367</v>
      </c>
      <c r="Q602" s="36" t="s">
        <v>388</v>
      </c>
      <c r="R602" s="36">
        <v>0.1010152</v>
      </c>
      <c r="S602" s="36" t="s">
        <v>440</v>
      </c>
      <c r="T602" s="36">
        <v>6.5925000000000003E-3</v>
      </c>
      <c r="U602" s="37">
        <v>0.11764705882352941</v>
      </c>
      <c r="V602"/>
    </row>
    <row r="603" spans="1:22" ht="51" x14ac:dyDescent="0.2">
      <c r="A603" s="36" t="s">
        <v>155</v>
      </c>
      <c r="B603" s="45" t="str">
        <f>VLOOKUP(Tabella1[[#This Row],[test_id]],experiments_specs!A:J,2,FALSE)</f>
        <v>NN,VB,VBD,VBG,VBN,VBP,VBZ</v>
      </c>
      <c r="C603" s="38">
        <f>VLOOKUP(Tabella1[[#This Row],[test_id]],experiments_specs!A:J,3,FALSE)</f>
        <v>1</v>
      </c>
      <c r="D603" s="38">
        <f>VLOOKUP(Tabella1[[#This Row],[test_id]],experiments_specs!A:J,4,FALSE)</f>
        <v>2</v>
      </c>
      <c r="E603" s="38" t="str">
        <f>VLOOKUP(Tabella1[[#This Row],[test_id]],experiments_specs!A:J,5,FALSE)</f>
        <v>False</v>
      </c>
      <c r="F603" s="38" t="str">
        <f>VLOOKUP(Tabella1[[#This Row],[test_id]],experiments_specs!A:J,6,FALSE)</f>
        <v>False</v>
      </c>
      <c r="G603" s="38" t="str">
        <f>VLOOKUP(Tabella1[[#This Row],[test_id]],experiments_specs!A:J,7,FALSE)</f>
        <v>False</v>
      </c>
      <c r="H603" s="38" t="str">
        <f>VLOOKUP(Tabella1[[#This Row],[test_id]],experiments_specs!A:J,8,FALSE)</f>
        <v>True</v>
      </c>
      <c r="I603" s="45" t="str">
        <f>VLOOKUP(Tabella1[[#This Row],[test_id]],experiments_specs!A:J,9,FALSE)</f>
        <v>wup_similarity</v>
      </c>
      <c r="J603" s="38" t="str">
        <f>VLOOKUP(Tabella1[[#This Row],[test_id]],experiments_specs!A:J,10,FALSE)</f>
        <v>False</v>
      </c>
      <c r="K603" s="40" t="s">
        <v>19</v>
      </c>
      <c r="L603" s="36" t="s">
        <v>739</v>
      </c>
      <c r="M603" s="36" t="s">
        <v>831</v>
      </c>
      <c r="N603" s="36" t="s">
        <v>743</v>
      </c>
      <c r="O603" s="36" t="s">
        <v>833</v>
      </c>
      <c r="P603" s="36">
        <v>0.19047619047619047</v>
      </c>
      <c r="Q603" s="36" t="s">
        <v>805</v>
      </c>
      <c r="R603" s="36" t="s">
        <v>835</v>
      </c>
      <c r="S603" s="36" t="s">
        <v>809</v>
      </c>
      <c r="T603" s="36" t="s">
        <v>837</v>
      </c>
      <c r="U603" s="37">
        <v>0.1</v>
      </c>
      <c r="V603"/>
    </row>
    <row r="604" spans="1:22" ht="17" x14ac:dyDescent="0.2">
      <c r="A604" s="36" t="s">
        <v>155</v>
      </c>
      <c r="B604" s="45" t="str">
        <f>VLOOKUP(Tabella1[[#This Row],[test_id]],experiments_specs!A:J,2,FALSE)</f>
        <v>NN,VB,VBD,VBG,VBN,VBP,VBZ</v>
      </c>
      <c r="C604" s="38">
        <f>VLOOKUP(Tabella1[[#This Row],[test_id]],experiments_specs!A:J,3,FALSE)</f>
        <v>1</v>
      </c>
      <c r="D604" s="38">
        <f>VLOOKUP(Tabella1[[#This Row],[test_id]],experiments_specs!A:J,4,FALSE)</f>
        <v>2</v>
      </c>
      <c r="E604" s="38" t="str">
        <f>VLOOKUP(Tabella1[[#This Row],[test_id]],experiments_specs!A:J,5,FALSE)</f>
        <v>False</v>
      </c>
      <c r="F604" s="38" t="str">
        <f>VLOOKUP(Tabella1[[#This Row],[test_id]],experiments_specs!A:J,6,FALSE)</f>
        <v>False</v>
      </c>
      <c r="G604" s="38" t="str">
        <f>VLOOKUP(Tabella1[[#This Row],[test_id]],experiments_specs!A:J,7,FALSE)</f>
        <v>False</v>
      </c>
      <c r="H604" s="38" t="str">
        <f>VLOOKUP(Tabella1[[#This Row],[test_id]],experiments_specs!A:J,8,FALSE)</f>
        <v>True</v>
      </c>
      <c r="I604" s="45" t="str">
        <f>VLOOKUP(Tabella1[[#This Row],[test_id]],experiments_specs!A:J,9,FALSE)</f>
        <v>wup_similarity</v>
      </c>
      <c r="J604" s="38" t="str">
        <f>VLOOKUP(Tabella1[[#This Row],[test_id]],experiments_specs!A:J,10,FALSE)</f>
        <v>False</v>
      </c>
      <c r="K604" s="40" t="s">
        <v>12</v>
      </c>
      <c r="L604" s="36" t="s">
        <v>251</v>
      </c>
      <c r="M604" s="36">
        <v>0.3162277</v>
      </c>
      <c r="N604" s="36" t="s">
        <v>577</v>
      </c>
      <c r="O604" s="36">
        <v>4.2979000000000003E-3</v>
      </c>
      <c r="P604" s="36">
        <v>0.125</v>
      </c>
      <c r="Q604" s="36" t="s">
        <v>235</v>
      </c>
      <c r="R604" s="36">
        <v>0.2390457</v>
      </c>
      <c r="S604" s="36" t="s">
        <v>251</v>
      </c>
      <c r="T604" s="36">
        <v>1.2023799999999999E-2</v>
      </c>
      <c r="U604" s="37">
        <v>0.13333333333333333</v>
      </c>
      <c r="V604"/>
    </row>
    <row r="605" spans="1:22" ht="17" x14ac:dyDescent="0.2">
      <c r="A605" s="36" t="s">
        <v>155</v>
      </c>
      <c r="B605" s="45" t="str">
        <f>VLOOKUP(Tabella1[[#This Row],[test_id]],experiments_specs!A:J,2,FALSE)</f>
        <v>NN,VB,VBD,VBG,VBN,VBP,VBZ</v>
      </c>
      <c r="C605" s="38">
        <f>VLOOKUP(Tabella1[[#This Row],[test_id]],experiments_specs!A:J,3,FALSE)</f>
        <v>1</v>
      </c>
      <c r="D605" s="38">
        <f>VLOOKUP(Tabella1[[#This Row],[test_id]],experiments_specs!A:J,4,FALSE)</f>
        <v>2</v>
      </c>
      <c r="E605" s="38" t="str">
        <f>VLOOKUP(Tabella1[[#This Row],[test_id]],experiments_specs!A:J,5,FALSE)</f>
        <v>False</v>
      </c>
      <c r="F605" s="38" t="str">
        <f>VLOOKUP(Tabella1[[#This Row],[test_id]],experiments_specs!A:J,6,FALSE)</f>
        <v>False</v>
      </c>
      <c r="G605" s="38" t="str">
        <f>VLOOKUP(Tabella1[[#This Row],[test_id]],experiments_specs!A:J,7,FALSE)</f>
        <v>False</v>
      </c>
      <c r="H605" s="38" t="str">
        <f>VLOOKUP(Tabella1[[#This Row],[test_id]],experiments_specs!A:J,8,FALSE)</f>
        <v>True</v>
      </c>
      <c r="I605" s="45" t="str">
        <f>VLOOKUP(Tabella1[[#This Row],[test_id]],experiments_specs!A:J,9,FALSE)</f>
        <v>wup_similarity</v>
      </c>
      <c r="J605" s="38" t="str">
        <f>VLOOKUP(Tabella1[[#This Row],[test_id]],experiments_specs!A:J,10,FALSE)</f>
        <v>False</v>
      </c>
      <c r="K605" s="40" t="s">
        <v>13</v>
      </c>
      <c r="L605" s="36" t="s">
        <v>425</v>
      </c>
      <c r="M605" s="36">
        <v>0.1221694</v>
      </c>
      <c r="N605" s="36" t="s">
        <v>426</v>
      </c>
      <c r="O605" s="36">
        <v>7.5259000000000003E-3</v>
      </c>
      <c r="P605" s="36" t="s">
        <v>25</v>
      </c>
      <c r="Q605" s="36" t="s">
        <v>252</v>
      </c>
      <c r="R605" s="36">
        <v>0.1727736</v>
      </c>
      <c r="S605" s="36" t="s">
        <v>812</v>
      </c>
      <c r="T605" s="36">
        <v>1.20339E-2</v>
      </c>
      <c r="U605" s="37">
        <v>0.4</v>
      </c>
      <c r="V605"/>
    </row>
    <row r="606" spans="1:22" ht="51" x14ac:dyDescent="0.2">
      <c r="A606" s="36" t="s">
        <v>155</v>
      </c>
      <c r="B606" s="45" t="str">
        <f>VLOOKUP(Tabella1[[#This Row],[test_id]],experiments_specs!A:J,2,FALSE)</f>
        <v>NN,VB,VBD,VBG,VBN,VBP,VBZ</v>
      </c>
      <c r="C606" s="38">
        <f>VLOOKUP(Tabella1[[#This Row],[test_id]],experiments_specs!A:J,3,FALSE)</f>
        <v>1</v>
      </c>
      <c r="D606" s="38">
        <f>VLOOKUP(Tabella1[[#This Row],[test_id]],experiments_specs!A:J,4,FALSE)</f>
        <v>2</v>
      </c>
      <c r="E606" s="38" t="str">
        <f>VLOOKUP(Tabella1[[#This Row],[test_id]],experiments_specs!A:J,5,FALSE)</f>
        <v>False</v>
      </c>
      <c r="F606" s="38" t="str">
        <f>VLOOKUP(Tabella1[[#This Row],[test_id]],experiments_specs!A:J,6,FALSE)</f>
        <v>False</v>
      </c>
      <c r="G606" s="38" t="str">
        <f>VLOOKUP(Tabella1[[#This Row],[test_id]],experiments_specs!A:J,7,FALSE)</f>
        <v>False</v>
      </c>
      <c r="H606" s="38" t="str">
        <f>VLOOKUP(Tabella1[[#This Row],[test_id]],experiments_specs!A:J,8,FALSE)</f>
        <v>True</v>
      </c>
      <c r="I606" s="45" t="str">
        <f>VLOOKUP(Tabella1[[#This Row],[test_id]],experiments_specs!A:J,9,FALSE)</f>
        <v>wup_similarity</v>
      </c>
      <c r="J606" s="38" t="str">
        <f>VLOOKUP(Tabella1[[#This Row],[test_id]],experiments_specs!A:J,10,FALSE)</f>
        <v>False</v>
      </c>
      <c r="K606" s="40" t="s">
        <v>14</v>
      </c>
      <c r="L606" s="36" t="s">
        <v>764</v>
      </c>
      <c r="M606" s="36" t="s">
        <v>766</v>
      </c>
      <c r="N606" s="36" t="s">
        <v>768</v>
      </c>
      <c r="O606" s="36" t="s">
        <v>839</v>
      </c>
      <c r="P606" s="36">
        <v>0.25</v>
      </c>
      <c r="Q606" s="36" t="s">
        <v>841</v>
      </c>
      <c r="R606" s="36" t="s">
        <v>843</v>
      </c>
      <c r="S606" s="36" t="s">
        <v>845</v>
      </c>
      <c r="T606" s="36" t="s">
        <v>847</v>
      </c>
      <c r="U606" s="37">
        <v>0.625</v>
      </c>
      <c r="V606"/>
    </row>
    <row r="607" spans="1:22" ht="17" x14ac:dyDescent="0.2">
      <c r="A607" s="36" t="s">
        <v>155</v>
      </c>
      <c r="B607" s="45" t="str">
        <f>VLOOKUP(Tabella1[[#This Row],[test_id]],experiments_specs!A:J,2,FALSE)</f>
        <v>NN,VB,VBD,VBG,VBN,VBP,VBZ</v>
      </c>
      <c r="C607" s="38">
        <f>VLOOKUP(Tabella1[[#This Row],[test_id]],experiments_specs!A:J,3,FALSE)</f>
        <v>1</v>
      </c>
      <c r="D607" s="38">
        <f>VLOOKUP(Tabella1[[#This Row],[test_id]],experiments_specs!A:J,4,FALSE)</f>
        <v>2</v>
      </c>
      <c r="E607" s="38" t="str">
        <f>VLOOKUP(Tabella1[[#This Row],[test_id]],experiments_specs!A:J,5,FALSE)</f>
        <v>False</v>
      </c>
      <c r="F607" s="38" t="str">
        <f>VLOOKUP(Tabella1[[#This Row],[test_id]],experiments_specs!A:J,6,FALSE)</f>
        <v>False</v>
      </c>
      <c r="G607" s="38" t="str">
        <f>VLOOKUP(Tabella1[[#This Row],[test_id]],experiments_specs!A:J,7,FALSE)</f>
        <v>False</v>
      </c>
      <c r="H607" s="38" t="str">
        <f>VLOOKUP(Tabella1[[#This Row],[test_id]],experiments_specs!A:J,8,FALSE)</f>
        <v>True</v>
      </c>
      <c r="I607" s="45" t="str">
        <f>VLOOKUP(Tabella1[[#This Row],[test_id]],experiments_specs!A:J,9,FALSE)</f>
        <v>wup_similarity</v>
      </c>
      <c r="J607" s="38" t="str">
        <f>VLOOKUP(Tabella1[[#This Row],[test_id]],experiments_specs!A:J,10,FALSE)</f>
        <v>False</v>
      </c>
      <c r="K607" s="40" t="s">
        <v>15</v>
      </c>
      <c r="L607" s="36" t="s">
        <v>442</v>
      </c>
      <c r="M607" s="36">
        <v>0.1727736</v>
      </c>
      <c r="N607" s="36" t="s">
        <v>443</v>
      </c>
      <c r="O607" s="36">
        <v>4.5228000000000004E-3</v>
      </c>
      <c r="P607" s="36">
        <v>0.2</v>
      </c>
      <c r="Q607" s="36" t="s">
        <v>383</v>
      </c>
      <c r="R607" s="36">
        <v>0.24433879999999999</v>
      </c>
      <c r="S607" s="36" t="s">
        <v>848</v>
      </c>
      <c r="T607" s="36">
        <v>2.0769699999999999E-2</v>
      </c>
      <c r="U607" s="37">
        <v>0.2</v>
      </c>
      <c r="V607"/>
    </row>
    <row r="608" spans="1:22" ht="51" x14ac:dyDescent="0.2">
      <c r="A608" s="36" t="s">
        <v>155</v>
      </c>
      <c r="B608" s="45" t="str">
        <f>VLOOKUP(Tabella1[[#This Row],[test_id]],experiments_specs!A:J,2,FALSE)</f>
        <v>NN,VB,VBD,VBG,VBN,VBP,VBZ</v>
      </c>
      <c r="C608" s="38">
        <f>VLOOKUP(Tabella1[[#This Row],[test_id]],experiments_specs!A:J,3,FALSE)</f>
        <v>1</v>
      </c>
      <c r="D608" s="38">
        <f>VLOOKUP(Tabella1[[#This Row],[test_id]],experiments_specs!A:J,4,FALSE)</f>
        <v>2</v>
      </c>
      <c r="E608" s="38" t="str">
        <f>VLOOKUP(Tabella1[[#This Row],[test_id]],experiments_specs!A:J,5,FALSE)</f>
        <v>False</v>
      </c>
      <c r="F608" s="38" t="str">
        <f>VLOOKUP(Tabella1[[#This Row],[test_id]],experiments_specs!A:J,6,FALSE)</f>
        <v>False</v>
      </c>
      <c r="G608" s="38" t="str">
        <f>VLOOKUP(Tabella1[[#This Row],[test_id]],experiments_specs!A:J,7,FALSE)</f>
        <v>False</v>
      </c>
      <c r="H608" s="38" t="str">
        <f>VLOOKUP(Tabella1[[#This Row],[test_id]],experiments_specs!A:J,8,FALSE)</f>
        <v>True</v>
      </c>
      <c r="I608" s="45" t="str">
        <f>VLOOKUP(Tabella1[[#This Row],[test_id]],experiments_specs!A:J,9,FALSE)</f>
        <v>wup_similarity</v>
      </c>
      <c r="J608" s="38" t="str">
        <f>VLOOKUP(Tabella1[[#This Row],[test_id]],experiments_specs!A:J,10,FALSE)</f>
        <v>False</v>
      </c>
      <c r="K608" s="40" t="s">
        <v>16</v>
      </c>
      <c r="L608" s="36" t="s">
        <v>385</v>
      </c>
      <c r="M608" s="36">
        <v>0.1178511</v>
      </c>
      <c r="N608" s="36" t="s">
        <v>849</v>
      </c>
      <c r="O608" s="36">
        <v>2.745E-3</v>
      </c>
      <c r="P608" s="36">
        <v>0.14285714285714285</v>
      </c>
      <c r="Q608" s="36" t="s">
        <v>562</v>
      </c>
      <c r="R608" s="36" t="s">
        <v>826</v>
      </c>
      <c r="S608" s="36" t="s">
        <v>789</v>
      </c>
      <c r="T608" s="36" t="s">
        <v>851</v>
      </c>
      <c r="U608" s="37">
        <v>0.15384615384615385</v>
      </c>
      <c r="V608"/>
    </row>
    <row r="609" spans="1:22" ht="34" x14ac:dyDescent="0.2">
      <c r="A609" s="36" t="s">
        <v>155</v>
      </c>
      <c r="B609" s="45" t="str">
        <f>VLOOKUP(Tabella1[[#This Row],[test_id]],experiments_specs!A:J,2,FALSE)</f>
        <v>NN,VB,VBD,VBG,VBN,VBP,VBZ</v>
      </c>
      <c r="C609" s="38">
        <f>VLOOKUP(Tabella1[[#This Row],[test_id]],experiments_specs!A:J,3,FALSE)</f>
        <v>1</v>
      </c>
      <c r="D609" s="38">
        <f>VLOOKUP(Tabella1[[#This Row],[test_id]],experiments_specs!A:J,4,FALSE)</f>
        <v>2</v>
      </c>
      <c r="E609" s="38" t="str">
        <f>VLOOKUP(Tabella1[[#This Row],[test_id]],experiments_specs!A:J,5,FALSE)</f>
        <v>False</v>
      </c>
      <c r="F609" s="38" t="str">
        <f>VLOOKUP(Tabella1[[#This Row],[test_id]],experiments_specs!A:J,6,FALSE)</f>
        <v>False</v>
      </c>
      <c r="G609" s="38" t="str">
        <f>VLOOKUP(Tabella1[[#This Row],[test_id]],experiments_specs!A:J,7,FALSE)</f>
        <v>False</v>
      </c>
      <c r="H609" s="38" t="str">
        <f>VLOOKUP(Tabella1[[#This Row],[test_id]],experiments_specs!A:J,8,FALSE)</f>
        <v>True</v>
      </c>
      <c r="I609" s="45" t="str">
        <f>VLOOKUP(Tabella1[[#This Row],[test_id]],experiments_specs!A:J,9,FALSE)</f>
        <v>wup_similarity</v>
      </c>
      <c r="J609" s="38" t="str">
        <f>VLOOKUP(Tabella1[[#This Row],[test_id]],experiments_specs!A:J,10,FALSE)</f>
        <v>False</v>
      </c>
      <c r="K609" s="40" t="s">
        <v>17</v>
      </c>
      <c r="L609" s="36" t="s">
        <v>853</v>
      </c>
      <c r="M609" s="36" t="s">
        <v>855</v>
      </c>
      <c r="N609" s="36" t="s">
        <v>857</v>
      </c>
      <c r="O609" s="36" t="s">
        <v>859</v>
      </c>
      <c r="P609" s="36">
        <v>0.22222222222222221</v>
      </c>
      <c r="Q609" s="36" t="s">
        <v>30</v>
      </c>
      <c r="R609" s="36">
        <v>0.1714985</v>
      </c>
      <c r="S609" s="36" t="s">
        <v>446</v>
      </c>
      <c r="T609" s="36">
        <v>1.4852199999999999E-2</v>
      </c>
      <c r="U609" s="37">
        <v>0.22222222222222221</v>
      </c>
      <c r="V609"/>
    </row>
    <row r="610" spans="1:22" ht="34" x14ac:dyDescent="0.2">
      <c r="A610" s="36" t="s">
        <v>155</v>
      </c>
      <c r="B610" s="45" t="str">
        <f>VLOOKUP(Tabella1[[#This Row],[test_id]],experiments_specs!A:J,2,FALSE)</f>
        <v>NN,VB,VBD,VBG,VBN,VBP,VBZ</v>
      </c>
      <c r="C610" s="38">
        <f>VLOOKUP(Tabella1[[#This Row],[test_id]],experiments_specs!A:J,3,FALSE)</f>
        <v>1</v>
      </c>
      <c r="D610" s="38">
        <f>VLOOKUP(Tabella1[[#This Row],[test_id]],experiments_specs!A:J,4,FALSE)</f>
        <v>2</v>
      </c>
      <c r="E610" s="38" t="str">
        <f>VLOOKUP(Tabella1[[#This Row],[test_id]],experiments_specs!A:J,5,FALSE)</f>
        <v>False</v>
      </c>
      <c r="F610" s="38" t="str">
        <f>VLOOKUP(Tabella1[[#This Row],[test_id]],experiments_specs!A:J,6,FALSE)</f>
        <v>False</v>
      </c>
      <c r="G610" s="38" t="str">
        <f>VLOOKUP(Tabella1[[#This Row],[test_id]],experiments_specs!A:J,7,FALSE)</f>
        <v>False</v>
      </c>
      <c r="H610" s="38" t="str">
        <f>VLOOKUP(Tabella1[[#This Row],[test_id]],experiments_specs!A:J,8,FALSE)</f>
        <v>True</v>
      </c>
      <c r="I610" s="45" t="str">
        <f>VLOOKUP(Tabella1[[#This Row],[test_id]],experiments_specs!A:J,9,FALSE)</f>
        <v>wup_similarity</v>
      </c>
      <c r="J610" s="38" t="str">
        <f>VLOOKUP(Tabella1[[#This Row],[test_id]],experiments_specs!A:J,10,FALSE)</f>
        <v>False</v>
      </c>
      <c r="K610" s="40" t="s">
        <v>18</v>
      </c>
      <c r="L610" s="36" t="s">
        <v>44</v>
      </c>
      <c r="M610" s="36">
        <v>0.1005037</v>
      </c>
      <c r="N610" s="36" t="s">
        <v>781</v>
      </c>
      <c r="O610" s="36">
        <v>1.5827E-3</v>
      </c>
      <c r="P610" s="36">
        <v>0.21052631578947367</v>
      </c>
      <c r="Q610" s="36" t="s">
        <v>388</v>
      </c>
      <c r="R610" s="36">
        <v>0.1005037</v>
      </c>
      <c r="S610" s="36" t="s">
        <v>440</v>
      </c>
      <c r="T610" s="36">
        <v>9.3600999999999997E-3</v>
      </c>
      <c r="U610" s="37">
        <v>0.11764705882352941</v>
      </c>
      <c r="V610"/>
    </row>
    <row r="611" spans="1:22" ht="51" x14ac:dyDescent="0.2">
      <c r="A611" s="36" t="s">
        <v>156</v>
      </c>
      <c r="B611" s="45" t="str">
        <f>VLOOKUP(Tabella1[[#This Row],[test_id]],experiments_specs!A:J,2,FALSE)</f>
        <v>NN,RB</v>
      </c>
      <c r="C611" s="38">
        <f>VLOOKUP(Tabella1[[#This Row],[test_id]],experiments_specs!A:J,3,FALSE)</f>
        <v>1</v>
      </c>
      <c r="D611" s="38">
        <f>VLOOKUP(Tabella1[[#This Row],[test_id]],experiments_specs!A:J,4,FALSE)</f>
        <v>2</v>
      </c>
      <c r="E611" s="38" t="str">
        <f>VLOOKUP(Tabella1[[#This Row],[test_id]],experiments_specs!A:J,5,FALSE)</f>
        <v>False</v>
      </c>
      <c r="F611" s="38" t="str">
        <f>VLOOKUP(Tabella1[[#This Row],[test_id]],experiments_specs!A:J,6,FALSE)</f>
        <v>False</v>
      </c>
      <c r="G611" s="38" t="str">
        <f>VLOOKUP(Tabella1[[#This Row],[test_id]],experiments_specs!A:J,7,FALSE)</f>
        <v>False</v>
      </c>
      <c r="H611" s="38" t="str">
        <f>VLOOKUP(Tabella1[[#This Row],[test_id]],experiments_specs!A:J,8,FALSE)</f>
        <v>True</v>
      </c>
      <c r="I611" s="45" t="str">
        <f>VLOOKUP(Tabella1[[#This Row],[test_id]],experiments_specs!A:J,9,FALSE)</f>
        <v>wup_similarity</v>
      </c>
      <c r="J611" s="38" t="str">
        <f>VLOOKUP(Tabella1[[#This Row],[test_id]],experiments_specs!A:J,10,FALSE)</f>
        <v>False</v>
      </c>
      <c r="K611" s="40" t="s">
        <v>19</v>
      </c>
      <c r="L611" s="36" t="s">
        <v>739</v>
      </c>
      <c r="M611" s="36" t="s">
        <v>861</v>
      </c>
      <c r="N611" s="36" t="s">
        <v>743</v>
      </c>
      <c r="O611" s="36" t="s">
        <v>863</v>
      </c>
      <c r="P611" s="36">
        <v>0.19047619047619047</v>
      </c>
      <c r="Q611" s="36" t="s">
        <v>47</v>
      </c>
      <c r="R611" s="36">
        <v>0.18107139999999999</v>
      </c>
      <c r="S611" s="36" t="s">
        <v>746</v>
      </c>
      <c r="T611" s="36">
        <v>7.0400999999999997E-3</v>
      </c>
      <c r="U611" s="37">
        <v>0.2</v>
      </c>
      <c r="V611"/>
    </row>
    <row r="612" spans="1:22" ht="51" x14ac:dyDescent="0.2">
      <c r="A612" s="36" t="s">
        <v>156</v>
      </c>
      <c r="B612" s="45" t="str">
        <f>VLOOKUP(Tabella1[[#This Row],[test_id]],experiments_specs!A:J,2,FALSE)</f>
        <v>NN,RB</v>
      </c>
      <c r="C612" s="38">
        <f>VLOOKUP(Tabella1[[#This Row],[test_id]],experiments_specs!A:J,3,FALSE)</f>
        <v>1</v>
      </c>
      <c r="D612" s="38">
        <f>VLOOKUP(Tabella1[[#This Row],[test_id]],experiments_specs!A:J,4,FALSE)</f>
        <v>2</v>
      </c>
      <c r="E612" s="38" t="str">
        <f>VLOOKUP(Tabella1[[#This Row],[test_id]],experiments_specs!A:J,5,FALSE)</f>
        <v>False</v>
      </c>
      <c r="F612" s="38" t="str">
        <f>VLOOKUP(Tabella1[[#This Row],[test_id]],experiments_specs!A:J,6,FALSE)</f>
        <v>False</v>
      </c>
      <c r="G612" s="38" t="str">
        <f>VLOOKUP(Tabella1[[#This Row],[test_id]],experiments_specs!A:J,7,FALSE)</f>
        <v>False</v>
      </c>
      <c r="H612" s="38" t="str">
        <f>VLOOKUP(Tabella1[[#This Row],[test_id]],experiments_specs!A:J,8,FALSE)</f>
        <v>True</v>
      </c>
      <c r="I612" s="45" t="str">
        <f>VLOOKUP(Tabella1[[#This Row],[test_id]],experiments_specs!A:J,9,FALSE)</f>
        <v>wup_similarity</v>
      </c>
      <c r="J612" s="38" t="str">
        <f>VLOOKUP(Tabella1[[#This Row],[test_id]],experiments_specs!A:J,10,FALSE)</f>
        <v>False</v>
      </c>
      <c r="K612" s="40" t="s">
        <v>12</v>
      </c>
      <c r="L612" s="36" t="s">
        <v>748</v>
      </c>
      <c r="M612" s="36" t="s">
        <v>750</v>
      </c>
      <c r="N612" s="36" t="s">
        <v>752</v>
      </c>
      <c r="O612" s="36" t="s">
        <v>754</v>
      </c>
      <c r="P612" s="36">
        <v>0.2857142857142857</v>
      </c>
      <c r="Q612" s="36" t="s">
        <v>756</v>
      </c>
      <c r="R612" s="36" t="s">
        <v>758</v>
      </c>
      <c r="S612" s="36" t="s">
        <v>760</v>
      </c>
      <c r="T612" s="36" t="s">
        <v>762</v>
      </c>
      <c r="U612" s="37">
        <v>0.42857142857142855</v>
      </c>
      <c r="V612"/>
    </row>
    <row r="613" spans="1:22" ht="34" x14ac:dyDescent="0.2">
      <c r="A613" s="36" t="s">
        <v>156</v>
      </c>
      <c r="B613" s="45" t="str">
        <f>VLOOKUP(Tabella1[[#This Row],[test_id]],experiments_specs!A:J,2,FALSE)</f>
        <v>NN,RB</v>
      </c>
      <c r="C613" s="38">
        <f>VLOOKUP(Tabella1[[#This Row],[test_id]],experiments_specs!A:J,3,FALSE)</f>
        <v>1</v>
      </c>
      <c r="D613" s="38">
        <f>VLOOKUP(Tabella1[[#This Row],[test_id]],experiments_specs!A:J,4,FALSE)</f>
        <v>2</v>
      </c>
      <c r="E613" s="38" t="str">
        <f>VLOOKUP(Tabella1[[#This Row],[test_id]],experiments_specs!A:J,5,FALSE)</f>
        <v>False</v>
      </c>
      <c r="F613" s="38" t="str">
        <f>VLOOKUP(Tabella1[[#This Row],[test_id]],experiments_specs!A:J,6,FALSE)</f>
        <v>False</v>
      </c>
      <c r="G613" s="38" t="str">
        <f>VLOOKUP(Tabella1[[#This Row],[test_id]],experiments_specs!A:J,7,FALSE)</f>
        <v>False</v>
      </c>
      <c r="H613" s="38" t="str">
        <f>VLOOKUP(Tabella1[[#This Row],[test_id]],experiments_specs!A:J,8,FALSE)</f>
        <v>True</v>
      </c>
      <c r="I613" s="45" t="str">
        <f>VLOOKUP(Tabella1[[#This Row],[test_id]],experiments_specs!A:J,9,FALSE)</f>
        <v>wup_similarity</v>
      </c>
      <c r="J613" s="38" t="str">
        <f>VLOOKUP(Tabella1[[#This Row],[test_id]],experiments_specs!A:J,10,FALSE)</f>
        <v>False</v>
      </c>
      <c r="K613" s="40" t="s">
        <v>13</v>
      </c>
      <c r="L613" s="36" t="s">
        <v>425</v>
      </c>
      <c r="M613" s="36">
        <v>0.1240347</v>
      </c>
      <c r="N613" s="36" t="s">
        <v>426</v>
      </c>
      <c r="O613" s="36">
        <v>1.37894E-2</v>
      </c>
      <c r="P613" s="36" t="s">
        <v>25</v>
      </c>
      <c r="Q613" s="36" t="s">
        <v>427</v>
      </c>
      <c r="R613" s="36">
        <v>0.1240347</v>
      </c>
      <c r="S613" s="36" t="s">
        <v>426</v>
      </c>
      <c r="T613" s="36">
        <v>1.45871E-2</v>
      </c>
      <c r="U613" s="37" t="s">
        <v>25</v>
      </c>
      <c r="V613"/>
    </row>
    <row r="614" spans="1:22" ht="34" x14ac:dyDescent="0.2">
      <c r="A614" s="36" t="s">
        <v>156</v>
      </c>
      <c r="B614" s="45" t="str">
        <f>VLOOKUP(Tabella1[[#This Row],[test_id]],experiments_specs!A:J,2,FALSE)</f>
        <v>NN,RB</v>
      </c>
      <c r="C614" s="38">
        <f>VLOOKUP(Tabella1[[#This Row],[test_id]],experiments_specs!A:J,3,FALSE)</f>
        <v>1</v>
      </c>
      <c r="D614" s="38">
        <f>VLOOKUP(Tabella1[[#This Row],[test_id]],experiments_specs!A:J,4,FALSE)</f>
        <v>2</v>
      </c>
      <c r="E614" s="38" t="str">
        <f>VLOOKUP(Tabella1[[#This Row],[test_id]],experiments_specs!A:J,5,FALSE)</f>
        <v>False</v>
      </c>
      <c r="F614" s="38" t="str">
        <f>VLOOKUP(Tabella1[[#This Row],[test_id]],experiments_specs!A:J,6,FALSE)</f>
        <v>False</v>
      </c>
      <c r="G614" s="38" t="str">
        <f>VLOOKUP(Tabella1[[#This Row],[test_id]],experiments_specs!A:J,7,FALSE)</f>
        <v>False</v>
      </c>
      <c r="H614" s="38" t="str">
        <f>VLOOKUP(Tabella1[[#This Row],[test_id]],experiments_specs!A:J,8,FALSE)</f>
        <v>True</v>
      </c>
      <c r="I614" s="45" t="str">
        <f>VLOOKUP(Tabella1[[#This Row],[test_id]],experiments_specs!A:J,9,FALSE)</f>
        <v>wup_similarity</v>
      </c>
      <c r="J614" s="38" t="str">
        <f>VLOOKUP(Tabella1[[#This Row],[test_id]],experiments_specs!A:J,10,FALSE)</f>
        <v>False</v>
      </c>
      <c r="K614" s="40" t="s">
        <v>14</v>
      </c>
      <c r="L614" s="36" t="s">
        <v>764</v>
      </c>
      <c r="M614" s="36" t="s">
        <v>766</v>
      </c>
      <c r="N614" s="36" t="s">
        <v>768</v>
      </c>
      <c r="O614" s="36" t="s">
        <v>865</v>
      </c>
      <c r="P614" s="36">
        <v>0.25</v>
      </c>
      <c r="Q614" s="36" t="s">
        <v>430</v>
      </c>
      <c r="R614" s="36">
        <v>0.1601281</v>
      </c>
      <c r="S614" s="36" t="s">
        <v>429</v>
      </c>
      <c r="T614" s="36">
        <v>1.1008E-2</v>
      </c>
      <c r="U614" s="37">
        <v>0.125</v>
      </c>
      <c r="V614"/>
    </row>
    <row r="615" spans="1:22" ht="34" x14ac:dyDescent="0.2">
      <c r="A615" s="36" t="s">
        <v>156</v>
      </c>
      <c r="B615" s="45" t="str">
        <f>VLOOKUP(Tabella1[[#This Row],[test_id]],experiments_specs!A:J,2,FALSE)</f>
        <v>NN,RB</v>
      </c>
      <c r="C615" s="38">
        <f>VLOOKUP(Tabella1[[#This Row],[test_id]],experiments_specs!A:J,3,FALSE)</f>
        <v>1</v>
      </c>
      <c r="D615" s="38">
        <f>VLOOKUP(Tabella1[[#This Row],[test_id]],experiments_specs!A:J,4,FALSE)</f>
        <v>2</v>
      </c>
      <c r="E615" s="38" t="str">
        <f>VLOOKUP(Tabella1[[#This Row],[test_id]],experiments_specs!A:J,5,FALSE)</f>
        <v>False</v>
      </c>
      <c r="F615" s="38" t="str">
        <f>VLOOKUP(Tabella1[[#This Row],[test_id]],experiments_specs!A:J,6,FALSE)</f>
        <v>False</v>
      </c>
      <c r="G615" s="38" t="str">
        <f>VLOOKUP(Tabella1[[#This Row],[test_id]],experiments_specs!A:J,7,FALSE)</f>
        <v>False</v>
      </c>
      <c r="H615" s="38" t="str">
        <f>VLOOKUP(Tabella1[[#This Row],[test_id]],experiments_specs!A:J,8,FALSE)</f>
        <v>True</v>
      </c>
      <c r="I615" s="45" t="str">
        <f>VLOOKUP(Tabella1[[#This Row],[test_id]],experiments_specs!A:J,9,FALSE)</f>
        <v>wup_similarity</v>
      </c>
      <c r="J615" s="38" t="str">
        <f>VLOOKUP(Tabella1[[#This Row],[test_id]],experiments_specs!A:J,10,FALSE)</f>
        <v>False</v>
      </c>
      <c r="K615" s="40" t="s">
        <v>15</v>
      </c>
      <c r="L615" s="36" t="s">
        <v>772</v>
      </c>
      <c r="M615" s="36" t="s">
        <v>774</v>
      </c>
      <c r="N615" s="36" t="s">
        <v>776</v>
      </c>
      <c r="O615" s="36" t="s">
        <v>867</v>
      </c>
      <c r="P615" s="36">
        <v>0.16666666666666666</v>
      </c>
      <c r="Q615" s="36" t="s">
        <v>363</v>
      </c>
      <c r="R615" s="36">
        <v>0.1754116</v>
      </c>
      <c r="S615" s="36" t="s">
        <v>779</v>
      </c>
      <c r="T615" s="36">
        <v>1.28007E-2</v>
      </c>
      <c r="U615" s="37">
        <v>0.18181818181818182</v>
      </c>
      <c r="V615"/>
    </row>
    <row r="616" spans="1:22" ht="17" x14ac:dyDescent="0.2">
      <c r="A616" s="36" t="s">
        <v>156</v>
      </c>
      <c r="B616" s="45" t="str">
        <f>VLOOKUP(Tabella1[[#This Row],[test_id]],experiments_specs!A:J,2,FALSE)</f>
        <v>NN,RB</v>
      </c>
      <c r="C616" s="38">
        <f>VLOOKUP(Tabella1[[#This Row],[test_id]],experiments_specs!A:J,3,FALSE)</f>
        <v>1</v>
      </c>
      <c r="D616" s="38">
        <f>VLOOKUP(Tabella1[[#This Row],[test_id]],experiments_specs!A:J,4,FALSE)</f>
        <v>2</v>
      </c>
      <c r="E616" s="38" t="str">
        <f>VLOOKUP(Tabella1[[#This Row],[test_id]],experiments_specs!A:J,5,FALSE)</f>
        <v>False</v>
      </c>
      <c r="F616" s="38" t="str">
        <f>VLOOKUP(Tabella1[[#This Row],[test_id]],experiments_specs!A:J,6,FALSE)</f>
        <v>False</v>
      </c>
      <c r="G616" s="38" t="str">
        <f>VLOOKUP(Tabella1[[#This Row],[test_id]],experiments_specs!A:J,7,FALSE)</f>
        <v>False</v>
      </c>
      <c r="H616" s="38" t="str">
        <f>VLOOKUP(Tabella1[[#This Row],[test_id]],experiments_specs!A:J,8,FALSE)</f>
        <v>True</v>
      </c>
      <c r="I616" s="45" t="str">
        <f>VLOOKUP(Tabella1[[#This Row],[test_id]],experiments_specs!A:J,9,FALSE)</f>
        <v>wup_similarity</v>
      </c>
      <c r="J616" s="38" t="str">
        <f>VLOOKUP(Tabella1[[#This Row],[test_id]],experiments_specs!A:J,10,FALSE)</f>
        <v>False</v>
      </c>
      <c r="K616" s="40" t="s">
        <v>16</v>
      </c>
      <c r="L616" s="36" t="s">
        <v>556</v>
      </c>
      <c r="M616" s="36">
        <v>0.16783619999999999</v>
      </c>
      <c r="N616" s="36" t="s">
        <v>780</v>
      </c>
      <c r="O616" s="36">
        <v>4.2282999999999999E-3</v>
      </c>
      <c r="P616" s="36">
        <v>0.46153846153846156</v>
      </c>
      <c r="Q616" s="36" t="s">
        <v>388</v>
      </c>
      <c r="R616" s="36">
        <v>0.11867809999999999</v>
      </c>
      <c r="S616" s="36" t="s">
        <v>440</v>
      </c>
      <c r="T616" s="36">
        <v>6.8484000000000001E-3</v>
      </c>
      <c r="U616" s="37">
        <v>0.14285714285714285</v>
      </c>
      <c r="V616"/>
    </row>
    <row r="617" spans="1:22" ht="17" x14ac:dyDescent="0.2">
      <c r="A617" s="36" t="s">
        <v>156</v>
      </c>
      <c r="B617" s="45" t="str">
        <f>VLOOKUP(Tabella1[[#This Row],[test_id]],experiments_specs!A:J,2,FALSE)</f>
        <v>NN,RB</v>
      </c>
      <c r="C617" s="38">
        <f>VLOOKUP(Tabella1[[#This Row],[test_id]],experiments_specs!A:J,3,FALSE)</f>
        <v>1</v>
      </c>
      <c r="D617" s="38">
        <f>VLOOKUP(Tabella1[[#This Row],[test_id]],experiments_specs!A:J,4,FALSE)</f>
        <v>2</v>
      </c>
      <c r="E617" s="38" t="str">
        <f>VLOOKUP(Tabella1[[#This Row],[test_id]],experiments_specs!A:J,5,FALSE)</f>
        <v>False</v>
      </c>
      <c r="F617" s="38" t="str">
        <f>VLOOKUP(Tabella1[[#This Row],[test_id]],experiments_specs!A:J,6,FALSE)</f>
        <v>False</v>
      </c>
      <c r="G617" s="38" t="str">
        <f>VLOOKUP(Tabella1[[#This Row],[test_id]],experiments_specs!A:J,7,FALSE)</f>
        <v>False</v>
      </c>
      <c r="H617" s="38" t="str">
        <f>VLOOKUP(Tabella1[[#This Row],[test_id]],experiments_specs!A:J,8,FALSE)</f>
        <v>True</v>
      </c>
      <c r="I617" s="45" t="str">
        <f>VLOOKUP(Tabella1[[#This Row],[test_id]],experiments_specs!A:J,9,FALSE)</f>
        <v>wup_similarity</v>
      </c>
      <c r="J617" s="38" t="str">
        <f>VLOOKUP(Tabella1[[#This Row],[test_id]],experiments_specs!A:J,10,FALSE)</f>
        <v>False</v>
      </c>
      <c r="K617" s="40" t="s">
        <v>17</v>
      </c>
      <c r="L617" s="36" t="s">
        <v>556</v>
      </c>
      <c r="M617" s="36">
        <v>0.1727736</v>
      </c>
      <c r="N617" s="36" t="s">
        <v>780</v>
      </c>
      <c r="O617" s="36">
        <v>4.2598000000000002E-3</v>
      </c>
      <c r="P617" s="36">
        <v>0.44444444444444442</v>
      </c>
      <c r="Q617" s="36" t="s">
        <v>434</v>
      </c>
      <c r="R617" s="36">
        <v>0.1221694</v>
      </c>
      <c r="S617" s="36" t="s">
        <v>780</v>
      </c>
      <c r="T617" s="36">
        <v>8.0879000000000003E-3</v>
      </c>
      <c r="U617" s="37">
        <v>0.44444444444444442</v>
      </c>
      <c r="V617"/>
    </row>
    <row r="618" spans="1:22" ht="34" x14ac:dyDescent="0.2">
      <c r="A618" s="36" t="s">
        <v>156</v>
      </c>
      <c r="B618" s="45" t="str">
        <f>VLOOKUP(Tabella1[[#This Row],[test_id]],experiments_specs!A:J,2,FALSE)</f>
        <v>NN,RB</v>
      </c>
      <c r="C618" s="38">
        <f>VLOOKUP(Tabella1[[#This Row],[test_id]],experiments_specs!A:J,3,FALSE)</f>
        <v>1</v>
      </c>
      <c r="D618" s="38">
        <f>VLOOKUP(Tabella1[[#This Row],[test_id]],experiments_specs!A:J,4,FALSE)</f>
        <v>2</v>
      </c>
      <c r="E618" s="38" t="str">
        <f>VLOOKUP(Tabella1[[#This Row],[test_id]],experiments_specs!A:J,5,FALSE)</f>
        <v>False</v>
      </c>
      <c r="F618" s="38" t="str">
        <f>VLOOKUP(Tabella1[[#This Row],[test_id]],experiments_specs!A:J,6,FALSE)</f>
        <v>False</v>
      </c>
      <c r="G618" s="38" t="str">
        <f>VLOOKUP(Tabella1[[#This Row],[test_id]],experiments_specs!A:J,7,FALSE)</f>
        <v>False</v>
      </c>
      <c r="H618" s="38" t="str">
        <f>VLOOKUP(Tabella1[[#This Row],[test_id]],experiments_specs!A:J,8,FALSE)</f>
        <v>True</v>
      </c>
      <c r="I618" s="45" t="str">
        <f>VLOOKUP(Tabella1[[#This Row],[test_id]],experiments_specs!A:J,9,FALSE)</f>
        <v>wup_similarity</v>
      </c>
      <c r="J618" s="38" t="str">
        <f>VLOOKUP(Tabella1[[#This Row],[test_id]],experiments_specs!A:J,10,FALSE)</f>
        <v>False</v>
      </c>
      <c r="K618" s="40" t="s">
        <v>18</v>
      </c>
      <c r="L618" s="36" t="s">
        <v>44</v>
      </c>
      <c r="M618" s="36">
        <v>0.1015346</v>
      </c>
      <c r="N618" s="36" t="s">
        <v>781</v>
      </c>
      <c r="O618" s="36">
        <v>2.9551999999999998E-3</v>
      </c>
      <c r="P618" s="36">
        <v>0.21052631578947367</v>
      </c>
      <c r="Q618" s="36" t="s">
        <v>388</v>
      </c>
      <c r="R618" s="36">
        <v>0.1015346</v>
      </c>
      <c r="S618" s="36" t="s">
        <v>440</v>
      </c>
      <c r="T618" s="36">
        <v>4.8647999999999999E-3</v>
      </c>
      <c r="U618" s="37">
        <v>0.11764705882352941</v>
      </c>
      <c r="V618"/>
    </row>
    <row r="619" spans="1:22" ht="51" x14ac:dyDescent="0.2">
      <c r="A619" s="36" t="s">
        <v>157</v>
      </c>
      <c r="B619" s="45" t="str">
        <f>VLOOKUP(Tabella1[[#This Row],[test_id]],experiments_specs!A:J,2,FALSE)</f>
        <v>NN,JJ,VB,VBD,VBG,VBN,VBP,VBZ</v>
      </c>
      <c r="C619" s="38">
        <f>VLOOKUP(Tabella1[[#This Row],[test_id]],experiments_specs!A:J,3,FALSE)</f>
        <v>1</v>
      </c>
      <c r="D619" s="38">
        <f>VLOOKUP(Tabella1[[#This Row],[test_id]],experiments_specs!A:J,4,FALSE)</f>
        <v>2</v>
      </c>
      <c r="E619" s="38" t="str">
        <f>VLOOKUP(Tabella1[[#This Row],[test_id]],experiments_specs!A:J,5,FALSE)</f>
        <v>False</v>
      </c>
      <c r="F619" s="38" t="str">
        <f>VLOOKUP(Tabella1[[#This Row],[test_id]],experiments_specs!A:J,6,FALSE)</f>
        <v>False</v>
      </c>
      <c r="G619" s="38" t="str">
        <f>VLOOKUP(Tabella1[[#This Row],[test_id]],experiments_specs!A:J,7,FALSE)</f>
        <v>False</v>
      </c>
      <c r="H619" s="38" t="str">
        <f>VLOOKUP(Tabella1[[#This Row],[test_id]],experiments_specs!A:J,8,FALSE)</f>
        <v>True</v>
      </c>
      <c r="I619" s="45" t="str">
        <f>VLOOKUP(Tabella1[[#This Row],[test_id]],experiments_specs!A:J,9,FALSE)</f>
        <v>wup_similarity</v>
      </c>
      <c r="J619" s="38" t="str">
        <f>VLOOKUP(Tabella1[[#This Row],[test_id]],experiments_specs!A:J,10,FALSE)</f>
        <v>False</v>
      </c>
      <c r="K619" s="40" t="s">
        <v>19</v>
      </c>
      <c r="L619" s="36" t="s">
        <v>869</v>
      </c>
      <c r="M619" s="36" t="s">
        <v>871</v>
      </c>
      <c r="N619" s="36" t="s">
        <v>873</v>
      </c>
      <c r="O619" s="36" t="s">
        <v>875</v>
      </c>
      <c r="P619" s="36">
        <v>0.10526315789473684</v>
      </c>
      <c r="Q619" s="36" t="s">
        <v>562</v>
      </c>
      <c r="R619" s="36" t="s">
        <v>877</v>
      </c>
      <c r="S619" s="36" t="s">
        <v>789</v>
      </c>
      <c r="T619" s="36" t="s">
        <v>879</v>
      </c>
      <c r="U619" s="37">
        <v>0.11764705882352941</v>
      </c>
      <c r="V619"/>
    </row>
    <row r="620" spans="1:22" ht="17" x14ac:dyDescent="0.2">
      <c r="A620" s="36" t="s">
        <v>157</v>
      </c>
      <c r="B620" s="45" t="str">
        <f>VLOOKUP(Tabella1[[#This Row],[test_id]],experiments_specs!A:J,2,FALSE)</f>
        <v>NN,JJ,VB,VBD,VBG,VBN,VBP,VBZ</v>
      </c>
      <c r="C620" s="38">
        <f>VLOOKUP(Tabella1[[#This Row],[test_id]],experiments_specs!A:J,3,FALSE)</f>
        <v>1</v>
      </c>
      <c r="D620" s="38">
        <f>VLOOKUP(Tabella1[[#This Row],[test_id]],experiments_specs!A:J,4,FALSE)</f>
        <v>2</v>
      </c>
      <c r="E620" s="38" t="str">
        <f>VLOOKUP(Tabella1[[#This Row],[test_id]],experiments_specs!A:J,5,FALSE)</f>
        <v>False</v>
      </c>
      <c r="F620" s="38" t="str">
        <f>VLOOKUP(Tabella1[[#This Row],[test_id]],experiments_specs!A:J,6,FALSE)</f>
        <v>False</v>
      </c>
      <c r="G620" s="38" t="str">
        <f>VLOOKUP(Tabella1[[#This Row],[test_id]],experiments_specs!A:J,7,FALSE)</f>
        <v>False</v>
      </c>
      <c r="H620" s="38" t="str">
        <f>VLOOKUP(Tabella1[[#This Row],[test_id]],experiments_specs!A:J,8,FALSE)</f>
        <v>True</v>
      </c>
      <c r="I620" s="45" t="str">
        <f>VLOOKUP(Tabella1[[#This Row],[test_id]],experiments_specs!A:J,9,FALSE)</f>
        <v>wup_similarity</v>
      </c>
      <c r="J620" s="38" t="str">
        <f>VLOOKUP(Tabella1[[#This Row],[test_id]],experiments_specs!A:J,10,FALSE)</f>
        <v>False</v>
      </c>
      <c r="K620" s="40" t="s">
        <v>12</v>
      </c>
      <c r="L620" s="36" t="s">
        <v>251</v>
      </c>
      <c r="M620" s="36">
        <v>0.30966169999999998</v>
      </c>
      <c r="N620" s="36" t="s">
        <v>577</v>
      </c>
      <c r="O620" s="36">
        <v>3.0948999999999998E-3</v>
      </c>
      <c r="P620" s="36">
        <v>0.125</v>
      </c>
      <c r="Q620" s="36" t="s">
        <v>235</v>
      </c>
      <c r="R620" s="36">
        <v>0.23408219999999999</v>
      </c>
      <c r="S620" s="36" t="s">
        <v>251</v>
      </c>
      <c r="T620" s="36">
        <v>1.08273E-2</v>
      </c>
      <c r="U620" s="37">
        <v>0.13333333333333333</v>
      </c>
      <c r="V620"/>
    </row>
    <row r="621" spans="1:22" ht="17" x14ac:dyDescent="0.2">
      <c r="A621" s="36" t="s">
        <v>157</v>
      </c>
      <c r="B621" s="45" t="str">
        <f>VLOOKUP(Tabella1[[#This Row],[test_id]],experiments_specs!A:J,2,FALSE)</f>
        <v>NN,JJ,VB,VBD,VBG,VBN,VBP,VBZ</v>
      </c>
      <c r="C621" s="38">
        <f>VLOOKUP(Tabella1[[#This Row],[test_id]],experiments_specs!A:J,3,FALSE)</f>
        <v>1</v>
      </c>
      <c r="D621" s="38">
        <f>VLOOKUP(Tabella1[[#This Row],[test_id]],experiments_specs!A:J,4,FALSE)</f>
        <v>2</v>
      </c>
      <c r="E621" s="38" t="str">
        <f>VLOOKUP(Tabella1[[#This Row],[test_id]],experiments_specs!A:J,5,FALSE)</f>
        <v>False</v>
      </c>
      <c r="F621" s="38" t="str">
        <f>VLOOKUP(Tabella1[[#This Row],[test_id]],experiments_specs!A:J,6,FALSE)</f>
        <v>False</v>
      </c>
      <c r="G621" s="38" t="str">
        <f>VLOOKUP(Tabella1[[#This Row],[test_id]],experiments_specs!A:J,7,FALSE)</f>
        <v>False</v>
      </c>
      <c r="H621" s="38" t="str">
        <f>VLOOKUP(Tabella1[[#This Row],[test_id]],experiments_specs!A:J,8,FALSE)</f>
        <v>True</v>
      </c>
      <c r="I621" s="45" t="str">
        <f>VLOOKUP(Tabella1[[#This Row],[test_id]],experiments_specs!A:J,9,FALSE)</f>
        <v>wup_similarity</v>
      </c>
      <c r="J621" s="38" t="str">
        <f>VLOOKUP(Tabella1[[#This Row],[test_id]],experiments_specs!A:J,10,FALSE)</f>
        <v>False</v>
      </c>
      <c r="K621" s="40" t="s">
        <v>13</v>
      </c>
      <c r="L621" s="36" t="s">
        <v>425</v>
      </c>
      <c r="M621" s="36">
        <v>0.1221694</v>
      </c>
      <c r="N621" s="36" t="s">
        <v>426</v>
      </c>
      <c r="O621" s="36">
        <v>6.3914999999999996E-3</v>
      </c>
      <c r="P621" s="36" t="s">
        <v>25</v>
      </c>
      <c r="Q621" s="36" t="s">
        <v>252</v>
      </c>
      <c r="R621" s="36">
        <v>0.1727736</v>
      </c>
      <c r="S621" s="36" t="s">
        <v>812</v>
      </c>
      <c r="T621" s="36">
        <v>1.20339E-2</v>
      </c>
      <c r="U621" s="37">
        <v>0.4</v>
      </c>
      <c r="V621"/>
    </row>
    <row r="622" spans="1:22" ht="51" x14ac:dyDescent="0.2">
      <c r="A622" s="36" t="s">
        <v>157</v>
      </c>
      <c r="B622" s="45" t="str">
        <f>VLOOKUP(Tabella1[[#This Row],[test_id]],experiments_specs!A:J,2,FALSE)</f>
        <v>NN,JJ,VB,VBD,VBG,VBN,VBP,VBZ</v>
      </c>
      <c r="C622" s="38">
        <f>VLOOKUP(Tabella1[[#This Row],[test_id]],experiments_specs!A:J,3,FALSE)</f>
        <v>1</v>
      </c>
      <c r="D622" s="38">
        <f>VLOOKUP(Tabella1[[#This Row],[test_id]],experiments_specs!A:J,4,FALSE)</f>
        <v>2</v>
      </c>
      <c r="E622" s="38" t="str">
        <f>VLOOKUP(Tabella1[[#This Row],[test_id]],experiments_specs!A:J,5,FALSE)</f>
        <v>False</v>
      </c>
      <c r="F622" s="38" t="str">
        <f>VLOOKUP(Tabella1[[#This Row],[test_id]],experiments_specs!A:J,6,FALSE)</f>
        <v>False</v>
      </c>
      <c r="G622" s="38" t="str">
        <f>VLOOKUP(Tabella1[[#This Row],[test_id]],experiments_specs!A:J,7,FALSE)</f>
        <v>False</v>
      </c>
      <c r="H622" s="38" t="str">
        <f>VLOOKUP(Tabella1[[#This Row],[test_id]],experiments_specs!A:J,8,FALSE)</f>
        <v>True</v>
      </c>
      <c r="I622" s="45" t="str">
        <f>VLOOKUP(Tabella1[[#This Row],[test_id]],experiments_specs!A:J,9,FALSE)</f>
        <v>wup_similarity</v>
      </c>
      <c r="J622" s="38" t="str">
        <f>VLOOKUP(Tabella1[[#This Row],[test_id]],experiments_specs!A:J,10,FALSE)</f>
        <v>False</v>
      </c>
      <c r="K622" s="40" t="s">
        <v>14</v>
      </c>
      <c r="L622" s="36" t="s">
        <v>764</v>
      </c>
      <c r="M622" s="36" t="s">
        <v>797</v>
      </c>
      <c r="N622" s="36" t="s">
        <v>768</v>
      </c>
      <c r="O622" s="36" t="s">
        <v>881</v>
      </c>
      <c r="P622" s="36">
        <v>0.25</v>
      </c>
      <c r="Q622" s="36" t="s">
        <v>841</v>
      </c>
      <c r="R622" s="36" t="s">
        <v>883</v>
      </c>
      <c r="S622" s="36" t="s">
        <v>845</v>
      </c>
      <c r="T622" s="36" t="s">
        <v>885</v>
      </c>
      <c r="U622" s="37">
        <v>0.625</v>
      </c>
      <c r="V622"/>
    </row>
    <row r="623" spans="1:22" ht="17" x14ac:dyDescent="0.2">
      <c r="A623" s="36" t="s">
        <v>157</v>
      </c>
      <c r="B623" s="45" t="str">
        <f>VLOOKUP(Tabella1[[#This Row],[test_id]],experiments_specs!A:J,2,FALSE)</f>
        <v>NN,JJ,VB,VBD,VBG,VBN,VBP,VBZ</v>
      </c>
      <c r="C623" s="38">
        <f>VLOOKUP(Tabella1[[#This Row],[test_id]],experiments_specs!A:J,3,FALSE)</f>
        <v>1</v>
      </c>
      <c r="D623" s="38">
        <f>VLOOKUP(Tabella1[[#This Row],[test_id]],experiments_specs!A:J,4,FALSE)</f>
        <v>2</v>
      </c>
      <c r="E623" s="38" t="str">
        <f>VLOOKUP(Tabella1[[#This Row],[test_id]],experiments_specs!A:J,5,FALSE)</f>
        <v>False</v>
      </c>
      <c r="F623" s="38" t="str">
        <f>VLOOKUP(Tabella1[[#This Row],[test_id]],experiments_specs!A:J,6,FALSE)</f>
        <v>False</v>
      </c>
      <c r="G623" s="38" t="str">
        <f>VLOOKUP(Tabella1[[#This Row],[test_id]],experiments_specs!A:J,7,FALSE)</f>
        <v>False</v>
      </c>
      <c r="H623" s="38" t="str">
        <f>VLOOKUP(Tabella1[[#This Row],[test_id]],experiments_specs!A:J,8,FALSE)</f>
        <v>True</v>
      </c>
      <c r="I623" s="45" t="str">
        <f>VLOOKUP(Tabella1[[#This Row],[test_id]],experiments_specs!A:J,9,FALSE)</f>
        <v>wup_similarity</v>
      </c>
      <c r="J623" s="38" t="str">
        <f>VLOOKUP(Tabella1[[#This Row],[test_id]],experiments_specs!A:J,10,FALSE)</f>
        <v>False</v>
      </c>
      <c r="K623" s="40" t="s">
        <v>15</v>
      </c>
      <c r="L623" s="36" t="s">
        <v>442</v>
      </c>
      <c r="M623" s="36">
        <v>0.1727736</v>
      </c>
      <c r="N623" s="36" t="s">
        <v>443</v>
      </c>
      <c r="O623" s="36">
        <v>3.9822E-3</v>
      </c>
      <c r="P623" s="36">
        <v>0.2</v>
      </c>
      <c r="Q623" s="36" t="s">
        <v>383</v>
      </c>
      <c r="R623" s="36">
        <v>0.24433879999999999</v>
      </c>
      <c r="S623" s="36" t="s">
        <v>848</v>
      </c>
      <c r="T623" s="36">
        <v>1.9890999999999999E-2</v>
      </c>
      <c r="U623" s="37">
        <v>0.2</v>
      </c>
      <c r="V623"/>
    </row>
    <row r="624" spans="1:22" ht="51" x14ac:dyDescent="0.2">
      <c r="A624" s="36" t="s">
        <v>157</v>
      </c>
      <c r="B624" s="45" t="str">
        <f>VLOOKUP(Tabella1[[#This Row],[test_id]],experiments_specs!A:J,2,FALSE)</f>
        <v>NN,JJ,VB,VBD,VBG,VBN,VBP,VBZ</v>
      </c>
      <c r="C624" s="38">
        <f>VLOOKUP(Tabella1[[#This Row],[test_id]],experiments_specs!A:J,3,FALSE)</f>
        <v>1</v>
      </c>
      <c r="D624" s="38">
        <f>VLOOKUP(Tabella1[[#This Row],[test_id]],experiments_specs!A:J,4,FALSE)</f>
        <v>2</v>
      </c>
      <c r="E624" s="38" t="str">
        <f>VLOOKUP(Tabella1[[#This Row],[test_id]],experiments_specs!A:J,5,FALSE)</f>
        <v>False</v>
      </c>
      <c r="F624" s="38" t="str">
        <f>VLOOKUP(Tabella1[[#This Row],[test_id]],experiments_specs!A:J,6,FALSE)</f>
        <v>False</v>
      </c>
      <c r="G624" s="38" t="str">
        <f>VLOOKUP(Tabella1[[#This Row],[test_id]],experiments_specs!A:J,7,FALSE)</f>
        <v>False</v>
      </c>
      <c r="H624" s="38" t="str">
        <f>VLOOKUP(Tabella1[[#This Row],[test_id]],experiments_specs!A:J,8,FALSE)</f>
        <v>True</v>
      </c>
      <c r="I624" s="45" t="str">
        <f>VLOOKUP(Tabella1[[#This Row],[test_id]],experiments_specs!A:J,9,FALSE)</f>
        <v>wup_similarity</v>
      </c>
      <c r="J624" s="38" t="str">
        <f>VLOOKUP(Tabella1[[#This Row],[test_id]],experiments_specs!A:J,10,FALSE)</f>
        <v>False</v>
      </c>
      <c r="K624" s="40" t="s">
        <v>16</v>
      </c>
      <c r="L624" s="36" t="s">
        <v>385</v>
      </c>
      <c r="M624" s="36">
        <v>0.1178511</v>
      </c>
      <c r="N624" s="36" t="s">
        <v>849</v>
      </c>
      <c r="O624" s="36">
        <v>2.3568999999999999E-3</v>
      </c>
      <c r="P624" s="36">
        <v>0.14285714285714285</v>
      </c>
      <c r="Q624" s="36" t="s">
        <v>562</v>
      </c>
      <c r="R624" s="36" t="s">
        <v>826</v>
      </c>
      <c r="S624" s="36" t="s">
        <v>789</v>
      </c>
      <c r="T624" s="36" t="s">
        <v>887</v>
      </c>
      <c r="U624" s="37">
        <v>0.15384615384615385</v>
      </c>
      <c r="V624"/>
    </row>
    <row r="625" spans="1:22" ht="34" x14ac:dyDescent="0.2">
      <c r="A625" s="36" t="s">
        <v>157</v>
      </c>
      <c r="B625" s="45" t="str">
        <f>VLOOKUP(Tabella1[[#This Row],[test_id]],experiments_specs!A:J,2,FALSE)</f>
        <v>NN,JJ,VB,VBD,VBG,VBN,VBP,VBZ</v>
      </c>
      <c r="C625" s="38">
        <f>VLOOKUP(Tabella1[[#This Row],[test_id]],experiments_specs!A:J,3,FALSE)</f>
        <v>1</v>
      </c>
      <c r="D625" s="38">
        <f>VLOOKUP(Tabella1[[#This Row],[test_id]],experiments_specs!A:J,4,FALSE)</f>
        <v>2</v>
      </c>
      <c r="E625" s="38" t="str">
        <f>VLOOKUP(Tabella1[[#This Row],[test_id]],experiments_specs!A:J,5,FALSE)</f>
        <v>False</v>
      </c>
      <c r="F625" s="38" t="str">
        <f>VLOOKUP(Tabella1[[#This Row],[test_id]],experiments_specs!A:J,6,FALSE)</f>
        <v>False</v>
      </c>
      <c r="G625" s="38" t="str">
        <f>VLOOKUP(Tabella1[[#This Row],[test_id]],experiments_specs!A:J,7,FALSE)</f>
        <v>False</v>
      </c>
      <c r="H625" s="38" t="str">
        <f>VLOOKUP(Tabella1[[#This Row],[test_id]],experiments_specs!A:J,8,FALSE)</f>
        <v>True</v>
      </c>
      <c r="I625" s="45" t="str">
        <f>VLOOKUP(Tabella1[[#This Row],[test_id]],experiments_specs!A:J,9,FALSE)</f>
        <v>wup_similarity</v>
      </c>
      <c r="J625" s="38" t="str">
        <f>VLOOKUP(Tabella1[[#This Row],[test_id]],experiments_specs!A:J,10,FALSE)</f>
        <v>False</v>
      </c>
      <c r="K625" s="40" t="s">
        <v>17</v>
      </c>
      <c r="L625" s="36" t="s">
        <v>853</v>
      </c>
      <c r="M625" s="36" t="s">
        <v>855</v>
      </c>
      <c r="N625" s="36" t="s">
        <v>857</v>
      </c>
      <c r="O625" s="36" t="s">
        <v>889</v>
      </c>
      <c r="P625" s="36">
        <v>0.22222222222222221</v>
      </c>
      <c r="Q625" s="36" t="s">
        <v>30</v>
      </c>
      <c r="R625" s="36">
        <v>0.1714985</v>
      </c>
      <c r="S625" s="36" t="s">
        <v>446</v>
      </c>
      <c r="T625" s="36">
        <v>1.4746799999999999E-2</v>
      </c>
      <c r="U625" s="37">
        <v>0.22222222222222221</v>
      </c>
      <c r="V625"/>
    </row>
    <row r="626" spans="1:22" ht="34" x14ac:dyDescent="0.2">
      <c r="A626" s="36" t="s">
        <v>157</v>
      </c>
      <c r="B626" s="45" t="str">
        <f>VLOOKUP(Tabella1[[#This Row],[test_id]],experiments_specs!A:J,2,FALSE)</f>
        <v>NN,JJ,VB,VBD,VBG,VBN,VBP,VBZ</v>
      </c>
      <c r="C626" s="38">
        <f>VLOOKUP(Tabella1[[#This Row],[test_id]],experiments_specs!A:J,3,FALSE)</f>
        <v>1</v>
      </c>
      <c r="D626" s="38">
        <f>VLOOKUP(Tabella1[[#This Row],[test_id]],experiments_specs!A:J,4,FALSE)</f>
        <v>2</v>
      </c>
      <c r="E626" s="38" t="str">
        <f>VLOOKUP(Tabella1[[#This Row],[test_id]],experiments_specs!A:J,5,FALSE)</f>
        <v>False</v>
      </c>
      <c r="F626" s="38" t="str">
        <f>VLOOKUP(Tabella1[[#This Row],[test_id]],experiments_specs!A:J,6,FALSE)</f>
        <v>False</v>
      </c>
      <c r="G626" s="38" t="str">
        <f>VLOOKUP(Tabella1[[#This Row],[test_id]],experiments_specs!A:J,7,FALSE)</f>
        <v>False</v>
      </c>
      <c r="H626" s="38" t="str">
        <f>VLOOKUP(Tabella1[[#This Row],[test_id]],experiments_specs!A:J,8,FALSE)</f>
        <v>True</v>
      </c>
      <c r="I626" s="45" t="str">
        <f>VLOOKUP(Tabella1[[#This Row],[test_id]],experiments_specs!A:J,9,FALSE)</f>
        <v>wup_similarity</v>
      </c>
      <c r="J626" s="38" t="str">
        <f>VLOOKUP(Tabella1[[#This Row],[test_id]],experiments_specs!A:J,10,FALSE)</f>
        <v>False</v>
      </c>
      <c r="K626" s="40" t="s">
        <v>18</v>
      </c>
      <c r="L626" s="36" t="s">
        <v>44</v>
      </c>
      <c r="M626" s="36">
        <v>0.1</v>
      </c>
      <c r="N626" s="36" t="s">
        <v>781</v>
      </c>
      <c r="O626" s="36">
        <v>1.3307E-3</v>
      </c>
      <c r="P626" s="36">
        <v>0.21052631578947367</v>
      </c>
      <c r="Q626" s="36" t="s">
        <v>388</v>
      </c>
      <c r="R626" s="36">
        <v>0.1</v>
      </c>
      <c r="S626" s="36" t="s">
        <v>440</v>
      </c>
      <c r="T626" s="36">
        <v>8.4738000000000001E-3</v>
      </c>
      <c r="U626" s="37">
        <v>0.11764705882352941</v>
      </c>
      <c r="V626"/>
    </row>
    <row r="627" spans="1:22" ht="34" x14ac:dyDescent="0.2">
      <c r="A627" s="36" t="s">
        <v>158</v>
      </c>
      <c r="B627" s="45" t="str">
        <f>VLOOKUP(Tabella1[[#This Row],[test_id]],experiments_specs!A:J,2,FALSE)</f>
        <v>NN</v>
      </c>
      <c r="C627" s="38">
        <f>VLOOKUP(Tabella1[[#This Row],[test_id]],experiments_specs!A:J,3,FALSE)</f>
        <v>1</v>
      </c>
      <c r="D627" s="38">
        <f>VLOOKUP(Tabella1[[#This Row],[test_id]],experiments_specs!A:J,4,FALSE)</f>
        <v>2</v>
      </c>
      <c r="E627" s="38" t="str">
        <f>VLOOKUP(Tabella1[[#This Row],[test_id]],experiments_specs!A:J,5,FALSE)</f>
        <v>True</v>
      </c>
      <c r="F627" s="38" t="str">
        <f>VLOOKUP(Tabella1[[#This Row],[test_id]],experiments_specs!A:J,6,FALSE)</f>
        <v>False</v>
      </c>
      <c r="G627" s="38" t="str">
        <f>VLOOKUP(Tabella1[[#This Row],[test_id]],experiments_specs!A:J,7,FALSE)</f>
        <v>False</v>
      </c>
      <c r="H627" s="38" t="str">
        <f>VLOOKUP(Tabella1[[#This Row],[test_id]],experiments_specs!A:J,8,FALSE)</f>
        <v>True</v>
      </c>
      <c r="I627" s="45" t="str">
        <f>VLOOKUP(Tabella1[[#This Row],[test_id]],experiments_specs!A:J,9,FALSE)</f>
        <v>wup_similarity</v>
      </c>
      <c r="J627" s="38" t="str">
        <f>VLOOKUP(Tabella1[[#This Row],[test_id]],experiments_specs!A:J,10,FALSE)</f>
        <v>False</v>
      </c>
      <c r="K627" s="40" t="s">
        <v>19</v>
      </c>
      <c r="L627" s="36" t="s">
        <v>20</v>
      </c>
      <c r="M627" s="36" t="s">
        <v>498</v>
      </c>
      <c r="N627" s="36" t="s">
        <v>891</v>
      </c>
      <c r="O627" s="36" t="s">
        <v>893</v>
      </c>
      <c r="P627" s="36">
        <v>0.19047619047619047</v>
      </c>
      <c r="Q627" s="36" t="s">
        <v>47</v>
      </c>
      <c r="R627" s="36">
        <v>0.18731709999999999</v>
      </c>
      <c r="S627" s="36" t="s">
        <v>746</v>
      </c>
      <c r="T627" s="36">
        <v>3.74115E-2</v>
      </c>
      <c r="U627" s="37">
        <v>0.2</v>
      </c>
      <c r="V627"/>
    </row>
    <row r="628" spans="1:22" ht="170" x14ac:dyDescent="0.2">
      <c r="A628" s="36" t="s">
        <v>158</v>
      </c>
      <c r="B628" s="45" t="str">
        <f>VLOOKUP(Tabella1[[#This Row],[test_id]],experiments_specs!A:J,2,FALSE)</f>
        <v>NN</v>
      </c>
      <c r="C628" s="38">
        <f>VLOOKUP(Tabella1[[#This Row],[test_id]],experiments_specs!A:J,3,FALSE)</f>
        <v>1</v>
      </c>
      <c r="D628" s="38">
        <f>VLOOKUP(Tabella1[[#This Row],[test_id]],experiments_specs!A:J,4,FALSE)</f>
        <v>2</v>
      </c>
      <c r="E628" s="38" t="str">
        <f>VLOOKUP(Tabella1[[#This Row],[test_id]],experiments_specs!A:J,5,FALSE)</f>
        <v>True</v>
      </c>
      <c r="F628" s="38" t="str">
        <f>VLOOKUP(Tabella1[[#This Row],[test_id]],experiments_specs!A:J,6,FALSE)</f>
        <v>False</v>
      </c>
      <c r="G628" s="38" t="str">
        <f>VLOOKUP(Tabella1[[#This Row],[test_id]],experiments_specs!A:J,7,FALSE)</f>
        <v>False</v>
      </c>
      <c r="H628" s="38" t="str">
        <f>VLOOKUP(Tabella1[[#This Row],[test_id]],experiments_specs!A:J,8,FALSE)</f>
        <v>True</v>
      </c>
      <c r="I628" s="45" t="str">
        <f>VLOOKUP(Tabella1[[#This Row],[test_id]],experiments_specs!A:J,9,FALSE)</f>
        <v>wup_similarity</v>
      </c>
      <c r="J628" s="38" t="str">
        <f>VLOOKUP(Tabella1[[#This Row],[test_id]],experiments_specs!A:J,10,FALSE)</f>
        <v>False</v>
      </c>
      <c r="K628" s="40" t="s">
        <v>12</v>
      </c>
      <c r="L628" s="36" t="s">
        <v>895</v>
      </c>
      <c r="M628" s="36" t="s">
        <v>897</v>
      </c>
      <c r="N628" s="36" t="s">
        <v>899</v>
      </c>
      <c r="O628" s="36" t="s">
        <v>901</v>
      </c>
      <c r="P628" s="36">
        <v>0.42857142857142855</v>
      </c>
      <c r="Q628" s="36" t="s">
        <v>391</v>
      </c>
      <c r="R628" s="36" t="s">
        <v>903</v>
      </c>
      <c r="S628" s="36" t="s">
        <v>905</v>
      </c>
      <c r="T628" s="36" t="s">
        <v>907</v>
      </c>
      <c r="U628" s="37">
        <v>0.42857142857142855</v>
      </c>
      <c r="V628"/>
    </row>
    <row r="629" spans="1:22" ht="17" x14ac:dyDescent="0.2">
      <c r="A629" s="36" t="s">
        <v>158</v>
      </c>
      <c r="B629" s="45" t="str">
        <f>VLOOKUP(Tabella1[[#This Row],[test_id]],experiments_specs!A:J,2,FALSE)</f>
        <v>NN</v>
      </c>
      <c r="C629" s="38">
        <f>VLOOKUP(Tabella1[[#This Row],[test_id]],experiments_specs!A:J,3,FALSE)</f>
        <v>1</v>
      </c>
      <c r="D629" s="38">
        <f>VLOOKUP(Tabella1[[#This Row],[test_id]],experiments_specs!A:J,4,FALSE)</f>
        <v>2</v>
      </c>
      <c r="E629" s="38" t="str">
        <f>VLOOKUP(Tabella1[[#This Row],[test_id]],experiments_specs!A:J,5,FALSE)</f>
        <v>True</v>
      </c>
      <c r="F629" s="38" t="str">
        <f>VLOOKUP(Tabella1[[#This Row],[test_id]],experiments_specs!A:J,6,FALSE)</f>
        <v>False</v>
      </c>
      <c r="G629" s="38" t="str">
        <f>VLOOKUP(Tabella1[[#This Row],[test_id]],experiments_specs!A:J,7,FALSE)</f>
        <v>False</v>
      </c>
      <c r="H629" s="38" t="str">
        <f>VLOOKUP(Tabella1[[#This Row],[test_id]],experiments_specs!A:J,8,FALSE)</f>
        <v>True</v>
      </c>
      <c r="I629" s="45" t="str">
        <f>VLOOKUP(Tabella1[[#This Row],[test_id]],experiments_specs!A:J,9,FALSE)</f>
        <v>wup_similarity</v>
      </c>
      <c r="J629" s="38" t="str">
        <f>VLOOKUP(Tabella1[[#This Row],[test_id]],experiments_specs!A:J,10,FALSE)</f>
        <v>False</v>
      </c>
      <c r="K629" s="40" t="s">
        <v>13</v>
      </c>
      <c r="L629" s="36" t="s">
        <v>35</v>
      </c>
      <c r="M629" s="36">
        <v>0.1290994</v>
      </c>
      <c r="N629" s="36" t="s">
        <v>908</v>
      </c>
      <c r="O629" s="36">
        <v>4.65847E-2</v>
      </c>
      <c r="P629" s="36" t="s">
        <v>25</v>
      </c>
      <c r="Q629" s="36" t="s">
        <v>34</v>
      </c>
      <c r="R629" s="36">
        <v>0.1290994</v>
      </c>
      <c r="S629" s="36" t="s">
        <v>908</v>
      </c>
      <c r="T629" s="36">
        <v>5.5901600000000003E-2</v>
      </c>
      <c r="U629" s="37" t="s">
        <v>25</v>
      </c>
      <c r="V629"/>
    </row>
    <row r="630" spans="1:22" ht="17" x14ac:dyDescent="0.2">
      <c r="A630" s="36" t="s">
        <v>158</v>
      </c>
      <c r="B630" s="45" t="str">
        <f>VLOOKUP(Tabella1[[#This Row],[test_id]],experiments_specs!A:J,2,FALSE)</f>
        <v>NN</v>
      </c>
      <c r="C630" s="38">
        <f>VLOOKUP(Tabella1[[#This Row],[test_id]],experiments_specs!A:J,3,FALSE)</f>
        <v>1</v>
      </c>
      <c r="D630" s="38">
        <f>VLOOKUP(Tabella1[[#This Row],[test_id]],experiments_specs!A:J,4,FALSE)</f>
        <v>2</v>
      </c>
      <c r="E630" s="38" t="str">
        <f>VLOOKUP(Tabella1[[#This Row],[test_id]],experiments_specs!A:J,5,FALSE)</f>
        <v>True</v>
      </c>
      <c r="F630" s="38" t="str">
        <f>VLOOKUP(Tabella1[[#This Row],[test_id]],experiments_specs!A:J,6,FALSE)</f>
        <v>False</v>
      </c>
      <c r="G630" s="38" t="str">
        <f>VLOOKUP(Tabella1[[#This Row],[test_id]],experiments_specs!A:J,7,FALSE)</f>
        <v>False</v>
      </c>
      <c r="H630" s="38" t="str">
        <f>VLOOKUP(Tabella1[[#This Row],[test_id]],experiments_specs!A:J,8,FALSE)</f>
        <v>True</v>
      </c>
      <c r="I630" s="45" t="str">
        <f>VLOOKUP(Tabella1[[#This Row],[test_id]],experiments_specs!A:J,9,FALSE)</f>
        <v>wup_similarity</v>
      </c>
      <c r="J630" s="38" t="str">
        <f>VLOOKUP(Tabella1[[#This Row],[test_id]],experiments_specs!A:J,10,FALSE)</f>
        <v>False</v>
      </c>
      <c r="K630" s="40" t="s">
        <v>14</v>
      </c>
      <c r="L630" s="36" t="s">
        <v>449</v>
      </c>
      <c r="M630" s="36">
        <v>0.26919090000000001</v>
      </c>
      <c r="N630" s="36" t="s">
        <v>450</v>
      </c>
      <c r="O630" s="36">
        <v>1.8241199999999999E-2</v>
      </c>
      <c r="P630" s="36">
        <v>0.2857142857142857</v>
      </c>
      <c r="Q630" s="36" t="s">
        <v>451</v>
      </c>
      <c r="R630" s="36">
        <v>0.1203858</v>
      </c>
      <c r="S630" s="36" t="s">
        <v>449</v>
      </c>
      <c r="T630" s="36">
        <v>3.36488E-2</v>
      </c>
      <c r="U630" s="37">
        <v>0.30769230769230771</v>
      </c>
      <c r="V630"/>
    </row>
    <row r="631" spans="1:22" ht="51" x14ac:dyDescent="0.2">
      <c r="A631" s="36" t="s">
        <v>158</v>
      </c>
      <c r="B631" s="45" t="str">
        <f>VLOOKUP(Tabella1[[#This Row],[test_id]],experiments_specs!A:J,2,FALSE)</f>
        <v>NN</v>
      </c>
      <c r="C631" s="38">
        <f>VLOOKUP(Tabella1[[#This Row],[test_id]],experiments_specs!A:J,3,FALSE)</f>
        <v>1</v>
      </c>
      <c r="D631" s="38">
        <f>VLOOKUP(Tabella1[[#This Row],[test_id]],experiments_specs!A:J,4,FALSE)</f>
        <v>2</v>
      </c>
      <c r="E631" s="38" t="str">
        <f>VLOOKUP(Tabella1[[#This Row],[test_id]],experiments_specs!A:J,5,FALSE)</f>
        <v>True</v>
      </c>
      <c r="F631" s="38" t="str">
        <f>VLOOKUP(Tabella1[[#This Row],[test_id]],experiments_specs!A:J,6,FALSE)</f>
        <v>False</v>
      </c>
      <c r="G631" s="38" t="str">
        <f>VLOOKUP(Tabella1[[#This Row],[test_id]],experiments_specs!A:J,7,FALSE)</f>
        <v>False</v>
      </c>
      <c r="H631" s="38" t="str">
        <f>VLOOKUP(Tabella1[[#This Row],[test_id]],experiments_specs!A:J,8,FALSE)</f>
        <v>True</v>
      </c>
      <c r="I631" s="45" t="str">
        <f>VLOOKUP(Tabella1[[#This Row],[test_id]],experiments_specs!A:J,9,FALSE)</f>
        <v>wup_similarity</v>
      </c>
      <c r="J631" s="38" t="str">
        <f>VLOOKUP(Tabella1[[#This Row],[test_id]],experiments_specs!A:J,10,FALSE)</f>
        <v>False</v>
      </c>
      <c r="K631" s="40" t="s">
        <v>15</v>
      </c>
      <c r="L631" s="36" t="s">
        <v>910</v>
      </c>
      <c r="M631" s="36" t="s">
        <v>912</v>
      </c>
      <c r="N631" s="36" t="s">
        <v>914</v>
      </c>
      <c r="O631" s="36" t="s">
        <v>916</v>
      </c>
      <c r="P631" s="36">
        <v>0.16666666666666666</v>
      </c>
      <c r="Q631" s="36" t="s">
        <v>28</v>
      </c>
      <c r="R631" s="36" t="s">
        <v>918</v>
      </c>
      <c r="S631" s="36" t="s">
        <v>920</v>
      </c>
      <c r="T631" s="36" t="s">
        <v>922</v>
      </c>
      <c r="U631" s="37">
        <v>0.18181818181818182</v>
      </c>
      <c r="V631"/>
    </row>
    <row r="632" spans="1:22" ht="119" x14ac:dyDescent="0.2">
      <c r="A632" s="36" t="s">
        <v>158</v>
      </c>
      <c r="B632" s="45" t="str">
        <f>VLOOKUP(Tabella1[[#This Row],[test_id]],experiments_specs!A:J,2,FALSE)</f>
        <v>NN</v>
      </c>
      <c r="C632" s="38">
        <f>VLOOKUP(Tabella1[[#This Row],[test_id]],experiments_specs!A:J,3,FALSE)</f>
        <v>1</v>
      </c>
      <c r="D632" s="38">
        <f>VLOOKUP(Tabella1[[#This Row],[test_id]],experiments_specs!A:J,4,FALSE)</f>
        <v>2</v>
      </c>
      <c r="E632" s="38" t="str">
        <f>VLOOKUP(Tabella1[[#This Row],[test_id]],experiments_specs!A:J,5,FALSE)</f>
        <v>True</v>
      </c>
      <c r="F632" s="38" t="str">
        <f>VLOOKUP(Tabella1[[#This Row],[test_id]],experiments_specs!A:J,6,FALSE)</f>
        <v>False</v>
      </c>
      <c r="G632" s="38" t="str">
        <f>VLOOKUP(Tabella1[[#This Row],[test_id]],experiments_specs!A:J,7,FALSE)</f>
        <v>False</v>
      </c>
      <c r="H632" s="38" t="str">
        <f>VLOOKUP(Tabella1[[#This Row],[test_id]],experiments_specs!A:J,8,FALSE)</f>
        <v>True</v>
      </c>
      <c r="I632" s="45" t="str">
        <f>VLOOKUP(Tabella1[[#This Row],[test_id]],experiments_specs!A:J,9,FALSE)</f>
        <v>wup_similarity</v>
      </c>
      <c r="J632" s="38" t="str">
        <f>VLOOKUP(Tabella1[[#This Row],[test_id]],experiments_specs!A:J,10,FALSE)</f>
        <v>False</v>
      </c>
      <c r="K632" s="40" t="s">
        <v>16</v>
      </c>
      <c r="L632" s="36" t="s">
        <v>924</v>
      </c>
      <c r="M632" s="36" t="s">
        <v>926</v>
      </c>
      <c r="N632" s="36" t="s">
        <v>928</v>
      </c>
      <c r="O632" s="36" t="s">
        <v>930</v>
      </c>
      <c r="P632" s="36">
        <v>0.2857142857142857</v>
      </c>
      <c r="Q632" s="36" t="s">
        <v>932</v>
      </c>
      <c r="R632" s="36" t="s">
        <v>934</v>
      </c>
      <c r="S632" s="36" t="s">
        <v>936</v>
      </c>
      <c r="T632" s="36" t="s">
        <v>938</v>
      </c>
      <c r="U632" s="37">
        <v>0.23529411764705882</v>
      </c>
      <c r="V632"/>
    </row>
    <row r="633" spans="1:22" ht="34" x14ac:dyDescent="0.2">
      <c r="A633" s="36" t="s">
        <v>158</v>
      </c>
      <c r="B633" s="45" t="str">
        <f>VLOOKUP(Tabella1[[#This Row],[test_id]],experiments_specs!A:J,2,FALSE)</f>
        <v>NN</v>
      </c>
      <c r="C633" s="38">
        <f>VLOOKUP(Tabella1[[#This Row],[test_id]],experiments_specs!A:J,3,FALSE)</f>
        <v>1</v>
      </c>
      <c r="D633" s="38">
        <f>VLOOKUP(Tabella1[[#This Row],[test_id]],experiments_specs!A:J,4,FALSE)</f>
        <v>2</v>
      </c>
      <c r="E633" s="38" t="str">
        <f>VLOOKUP(Tabella1[[#This Row],[test_id]],experiments_specs!A:J,5,FALSE)</f>
        <v>True</v>
      </c>
      <c r="F633" s="38" t="str">
        <f>VLOOKUP(Tabella1[[#This Row],[test_id]],experiments_specs!A:J,6,FALSE)</f>
        <v>False</v>
      </c>
      <c r="G633" s="38" t="str">
        <f>VLOOKUP(Tabella1[[#This Row],[test_id]],experiments_specs!A:J,7,FALSE)</f>
        <v>False</v>
      </c>
      <c r="H633" s="38" t="str">
        <f>VLOOKUP(Tabella1[[#This Row],[test_id]],experiments_specs!A:J,8,FALSE)</f>
        <v>True</v>
      </c>
      <c r="I633" s="45" t="str">
        <f>VLOOKUP(Tabella1[[#This Row],[test_id]],experiments_specs!A:J,9,FALSE)</f>
        <v>wup_similarity</v>
      </c>
      <c r="J633" s="38" t="str">
        <f>VLOOKUP(Tabella1[[#This Row],[test_id]],experiments_specs!A:J,10,FALSE)</f>
        <v>False</v>
      </c>
      <c r="K633" s="40" t="s">
        <v>17</v>
      </c>
      <c r="L633" s="36" t="s">
        <v>939</v>
      </c>
      <c r="M633" s="36">
        <v>0.13483990000000001</v>
      </c>
      <c r="N633" s="36" t="s">
        <v>940</v>
      </c>
      <c r="O633" s="36">
        <v>2.2019199999999999E-2</v>
      </c>
      <c r="P633" s="36">
        <v>0.26666666666666666</v>
      </c>
      <c r="Q633" s="36" t="s">
        <v>647</v>
      </c>
      <c r="R633" s="36" t="s">
        <v>467</v>
      </c>
      <c r="S633" s="36" t="s">
        <v>942</v>
      </c>
      <c r="T633" s="36" t="s">
        <v>944</v>
      </c>
      <c r="U633" s="37">
        <v>0.16666666666666666</v>
      </c>
      <c r="V633"/>
    </row>
    <row r="634" spans="1:22" ht="136" x14ac:dyDescent="0.2">
      <c r="A634" s="36" t="s">
        <v>158</v>
      </c>
      <c r="B634" s="45" t="str">
        <f>VLOOKUP(Tabella1[[#This Row],[test_id]],experiments_specs!A:J,2,FALSE)</f>
        <v>NN</v>
      </c>
      <c r="C634" s="38">
        <f>VLOOKUP(Tabella1[[#This Row],[test_id]],experiments_specs!A:J,3,FALSE)</f>
        <v>1</v>
      </c>
      <c r="D634" s="38">
        <f>VLOOKUP(Tabella1[[#This Row],[test_id]],experiments_specs!A:J,4,FALSE)</f>
        <v>2</v>
      </c>
      <c r="E634" s="38" t="str">
        <f>VLOOKUP(Tabella1[[#This Row],[test_id]],experiments_specs!A:J,5,FALSE)</f>
        <v>True</v>
      </c>
      <c r="F634" s="38" t="str">
        <f>VLOOKUP(Tabella1[[#This Row],[test_id]],experiments_specs!A:J,6,FALSE)</f>
        <v>False</v>
      </c>
      <c r="G634" s="38" t="str">
        <f>VLOOKUP(Tabella1[[#This Row],[test_id]],experiments_specs!A:J,7,FALSE)</f>
        <v>False</v>
      </c>
      <c r="H634" s="38" t="str">
        <f>VLOOKUP(Tabella1[[#This Row],[test_id]],experiments_specs!A:J,8,FALSE)</f>
        <v>True</v>
      </c>
      <c r="I634" s="45" t="str">
        <f>VLOOKUP(Tabella1[[#This Row],[test_id]],experiments_specs!A:J,9,FALSE)</f>
        <v>wup_similarity</v>
      </c>
      <c r="J634" s="38" t="str">
        <f>VLOOKUP(Tabella1[[#This Row],[test_id]],experiments_specs!A:J,10,FALSE)</f>
        <v>False</v>
      </c>
      <c r="K634" s="40" t="s">
        <v>18</v>
      </c>
      <c r="L634" s="36" t="s">
        <v>946</v>
      </c>
      <c r="M634" s="36" t="s">
        <v>948</v>
      </c>
      <c r="N634" s="36" t="s">
        <v>950</v>
      </c>
      <c r="O634" s="36" t="s">
        <v>952</v>
      </c>
      <c r="P634" s="36">
        <v>0.21052631578947367</v>
      </c>
      <c r="Q634" s="36" t="s">
        <v>46</v>
      </c>
      <c r="R634" s="36">
        <v>0.1561737</v>
      </c>
      <c r="S634" s="36" t="s">
        <v>953</v>
      </c>
      <c r="T634" s="36">
        <v>3.9379699999999997E-2</v>
      </c>
      <c r="U634" s="37">
        <v>0.21052631578947367</v>
      </c>
      <c r="V634"/>
    </row>
    <row r="635" spans="1:22" ht="34" x14ac:dyDescent="0.2">
      <c r="A635" s="36" t="s">
        <v>159</v>
      </c>
      <c r="B635" s="45" t="str">
        <f>VLOOKUP(Tabella1[[#This Row],[test_id]],experiments_specs!A:J,2,FALSE)</f>
        <v>NN,JJ</v>
      </c>
      <c r="C635" s="38">
        <f>VLOOKUP(Tabella1[[#This Row],[test_id]],experiments_specs!A:J,3,FALSE)</f>
        <v>1</v>
      </c>
      <c r="D635" s="38">
        <f>VLOOKUP(Tabella1[[#This Row],[test_id]],experiments_specs!A:J,4,FALSE)</f>
        <v>2</v>
      </c>
      <c r="E635" s="38" t="str">
        <f>VLOOKUP(Tabella1[[#This Row],[test_id]],experiments_specs!A:J,5,FALSE)</f>
        <v>True</v>
      </c>
      <c r="F635" s="38" t="str">
        <f>VLOOKUP(Tabella1[[#This Row],[test_id]],experiments_specs!A:J,6,FALSE)</f>
        <v>False</v>
      </c>
      <c r="G635" s="38" t="str">
        <f>VLOOKUP(Tabella1[[#This Row],[test_id]],experiments_specs!A:J,7,FALSE)</f>
        <v>False</v>
      </c>
      <c r="H635" s="38" t="str">
        <f>VLOOKUP(Tabella1[[#This Row],[test_id]],experiments_specs!A:J,8,FALSE)</f>
        <v>True</v>
      </c>
      <c r="I635" s="45" t="str">
        <f>VLOOKUP(Tabella1[[#This Row],[test_id]],experiments_specs!A:J,9,FALSE)</f>
        <v>wup_similarity</v>
      </c>
      <c r="J635" s="38" t="str">
        <f>VLOOKUP(Tabella1[[#This Row],[test_id]],experiments_specs!A:J,10,FALSE)</f>
        <v>False</v>
      </c>
      <c r="K635" s="40" t="s">
        <v>19</v>
      </c>
      <c r="L635" s="36" t="s">
        <v>20</v>
      </c>
      <c r="M635" s="36" t="s">
        <v>498</v>
      </c>
      <c r="N635" s="36" t="s">
        <v>891</v>
      </c>
      <c r="O635" s="36" t="s">
        <v>955</v>
      </c>
      <c r="P635" s="36">
        <v>0.19047619047619047</v>
      </c>
      <c r="Q635" s="36" t="s">
        <v>47</v>
      </c>
      <c r="R635" s="36">
        <v>0.18731709999999999</v>
      </c>
      <c r="S635" s="36" t="s">
        <v>746</v>
      </c>
      <c r="T635" s="36">
        <v>3.2309900000000003E-2</v>
      </c>
      <c r="U635" s="37">
        <v>0.2</v>
      </c>
      <c r="V635"/>
    </row>
    <row r="636" spans="1:22" ht="170" x14ac:dyDescent="0.2">
      <c r="A636" s="36" t="s">
        <v>159</v>
      </c>
      <c r="B636" s="45" t="str">
        <f>VLOOKUP(Tabella1[[#This Row],[test_id]],experiments_specs!A:J,2,FALSE)</f>
        <v>NN,JJ</v>
      </c>
      <c r="C636" s="38">
        <f>VLOOKUP(Tabella1[[#This Row],[test_id]],experiments_specs!A:J,3,FALSE)</f>
        <v>1</v>
      </c>
      <c r="D636" s="38">
        <f>VLOOKUP(Tabella1[[#This Row],[test_id]],experiments_specs!A:J,4,FALSE)</f>
        <v>2</v>
      </c>
      <c r="E636" s="38" t="str">
        <f>VLOOKUP(Tabella1[[#This Row],[test_id]],experiments_specs!A:J,5,FALSE)</f>
        <v>True</v>
      </c>
      <c r="F636" s="38" t="str">
        <f>VLOOKUP(Tabella1[[#This Row],[test_id]],experiments_specs!A:J,6,FALSE)</f>
        <v>False</v>
      </c>
      <c r="G636" s="38" t="str">
        <f>VLOOKUP(Tabella1[[#This Row],[test_id]],experiments_specs!A:J,7,FALSE)</f>
        <v>False</v>
      </c>
      <c r="H636" s="38" t="str">
        <f>VLOOKUP(Tabella1[[#This Row],[test_id]],experiments_specs!A:J,8,FALSE)</f>
        <v>True</v>
      </c>
      <c r="I636" s="45" t="str">
        <f>VLOOKUP(Tabella1[[#This Row],[test_id]],experiments_specs!A:J,9,FALSE)</f>
        <v>wup_similarity</v>
      </c>
      <c r="J636" s="38" t="str">
        <f>VLOOKUP(Tabella1[[#This Row],[test_id]],experiments_specs!A:J,10,FALSE)</f>
        <v>False</v>
      </c>
      <c r="K636" s="40" t="s">
        <v>12</v>
      </c>
      <c r="L636" s="36" t="s">
        <v>895</v>
      </c>
      <c r="M636" s="36" t="s">
        <v>957</v>
      </c>
      <c r="N636" s="36" t="s">
        <v>899</v>
      </c>
      <c r="O636" s="36" t="s">
        <v>959</v>
      </c>
      <c r="P636" s="36">
        <v>0.42857142857142855</v>
      </c>
      <c r="Q636" s="36" t="s">
        <v>391</v>
      </c>
      <c r="R636" s="36" t="s">
        <v>961</v>
      </c>
      <c r="S636" s="36" t="s">
        <v>905</v>
      </c>
      <c r="T636" s="36" t="s">
        <v>963</v>
      </c>
      <c r="U636" s="37">
        <v>0.42857142857142855</v>
      </c>
      <c r="V636"/>
    </row>
    <row r="637" spans="1:22" ht="17" x14ac:dyDescent="0.2">
      <c r="A637" s="36" t="s">
        <v>159</v>
      </c>
      <c r="B637" s="45" t="str">
        <f>VLOOKUP(Tabella1[[#This Row],[test_id]],experiments_specs!A:J,2,FALSE)</f>
        <v>NN,JJ</v>
      </c>
      <c r="C637" s="38">
        <f>VLOOKUP(Tabella1[[#This Row],[test_id]],experiments_specs!A:J,3,FALSE)</f>
        <v>1</v>
      </c>
      <c r="D637" s="38">
        <f>VLOOKUP(Tabella1[[#This Row],[test_id]],experiments_specs!A:J,4,FALSE)</f>
        <v>2</v>
      </c>
      <c r="E637" s="38" t="str">
        <f>VLOOKUP(Tabella1[[#This Row],[test_id]],experiments_specs!A:J,5,FALSE)</f>
        <v>True</v>
      </c>
      <c r="F637" s="38" t="str">
        <f>VLOOKUP(Tabella1[[#This Row],[test_id]],experiments_specs!A:J,6,FALSE)</f>
        <v>False</v>
      </c>
      <c r="G637" s="38" t="str">
        <f>VLOOKUP(Tabella1[[#This Row],[test_id]],experiments_specs!A:J,7,FALSE)</f>
        <v>False</v>
      </c>
      <c r="H637" s="38" t="str">
        <f>VLOOKUP(Tabella1[[#This Row],[test_id]],experiments_specs!A:J,8,FALSE)</f>
        <v>True</v>
      </c>
      <c r="I637" s="45" t="str">
        <f>VLOOKUP(Tabella1[[#This Row],[test_id]],experiments_specs!A:J,9,FALSE)</f>
        <v>wup_similarity</v>
      </c>
      <c r="J637" s="38" t="str">
        <f>VLOOKUP(Tabella1[[#This Row],[test_id]],experiments_specs!A:J,10,FALSE)</f>
        <v>False</v>
      </c>
      <c r="K637" s="40" t="s">
        <v>13</v>
      </c>
      <c r="L637" s="36" t="s">
        <v>35</v>
      </c>
      <c r="M637" s="36">
        <v>0.125</v>
      </c>
      <c r="N637" s="36" t="s">
        <v>908</v>
      </c>
      <c r="O637" s="36">
        <v>3.0070300000000001E-2</v>
      </c>
      <c r="P637" s="36" t="s">
        <v>25</v>
      </c>
      <c r="Q637" s="36" t="s">
        <v>34</v>
      </c>
      <c r="R637" s="36">
        <v>0.125</v>
      </c>
      <c r="S637" s="36" t="s">
        <v>908</v>
      </c>
      <c r="T637" s="36">
        <v>5.4126500000000001E-2</v>
      </c>
      <c r="U637" s="37" t="s">
        <v>25</v>
      </c>
      <c r="V637"/>
    </row>
    <row r="638" spans="1:22" ht="17" x14ac:dyDescent="0.2">
      <c r="A638" s="36" t="s">
        <v>159</v>
      </c>
      <c r="B638" s="45" t="str">
        <f>VLOOKUP(Tabella1[[#This Row],[test_id]],experiments_specs!A:J,2,FALSE)</f>
        <v>NN,JJ</v>
      </c>
      <c r="C638" s="38">
        <f>VLOOKUP(Tabella1[[#This Row],[test_id]],experiments_specs!A:J,3,FALSE)</f>
        <v>1</v>
      </c>
      <c r="D638" s="38">
        <f>VLOOKUP(Tabella1[[#This Row],[test_id]],experiments_specs!A:J,4,FALSE)</f>
        <v>2</v>
      </c>
      <c r="E638" s="38" t="str">
        <f>VLOOKUP(Tabella1[[#This Row],[test_id]],experiments_specs!A:J,5,FALSE)</f>
        <v>True</v>
      </c>
      <c r="F638" s="38" t="str">
        <f>VLOOKUP(Tabella1[[#This Row],[test_id]],experiments_specs!A:J,6,FALSE)</f>
        <v>False</v>
      </c>
      <c r="G638" s="38" t="str">
        <f>VLOOKUP(Tabella1[[#This Row],[test_id]],experiments_specs!A:J,7,FALSE)</f>
        <v>False</v>
      </c>
      <c r="H638" s="38" t="str">
        <f>VLOOKUP(Tabella1[[#This Row],[test_id]],experiments_specs!A:J,8,FALSE)</f>
        <v>True</v>
      </c>
      <c r="I638" s="45" t="str">
        <f>VLOOKUP(Tabella1[[#This Row],[test_id]],experiments_specs!A:J,9,FALSE)</f>
        <v>wup_similarity</v>
      </c>
      <c r="J638" s="38" t="str">
        <f>VLOOKUP(Tabella1[[#This Row],[test_id]],experiments_specs!A:J,10,FALSE)</f>
        <v>False</v>
      </c>
      <c r="K638" s="40" t="s">
        <v>14</v>
      </c>
      <c r="L638" s="36" t="s">
        <v>449</v>
      </c>
      <c r="M638" s="36">
        <v>0.26537240000000001</v>
      </c>
      <c r="N638" s="36" t="s">
        <v>450</v>
      </c>
      <c r="O638" s="36">
        <v>1.43859E-2</v>
      </c>
      <c r="P638" s="36">
        <v>0.2857142857142857</v>
      </c>
      <c r="Q638" s="36" t="s">
        <v>451</v>
      </c>
      <c r="R638" s="36">
        <v>0.11867809999999999</v>
      </c>
      <c r="S638" s="36" t="s">
        <v>449</v>
      </c>
      <c r="T638" s="36">
        <v>3.0619799999999999E-2</v>
      </c>
      <c r="U638" s="37">
        <v>0.30769230769230771</v>
      </c>
      <c r="V638"/>
    </row>
    <row r="639" spans="1:22" ht="34" x14ac:dyDescent="0.2">
      <c r="A639" s="36" t="s">
        <v>159</v>
      </c>
      <c r="B639" s="45" t="str">
        <f>VLOOKUP(Tabella1[[#This Row],[test_id]],experiments_specs!A:J,2,FALSE)</f>
        <v>NN,JJ</v>
      </c>
      <c r="C639" s="38">
        <f>VLOOKUP(Tabella1[[#This Row],[test_id]],experiments_specs!A:J,3,FALSE)</f>
        <v>1</v>
      </c>
      <c r="D639" s="38">
        <f>VLOOKUP(Tabella1[[#This Row],[test_id]],experiments_specs!A:J,4,FALSE)</f>
        <v>2</v>
      </c>
      <c r="E639" s="38" t="str">
        <f>VLOOKUP(Tabella1[[#This Row],[test_id]],experiments_specs!A:J,5,FALSE)</f>
        <v>True</v>
      </c>
      <c r="F639" s="38" t="str">
        <f>VLOOKUP(Tabella1[[#This Row],[test_id]],experiments_specs!A:J,6,FALSE)</f>
        <v>False</v>
      </c>
      <c r="G639" s="38" t="str">
        <f>VLOOKUP(Tabella1[[#This Row],[test_id]],experiments_specs!A:J,7,FALSE)</f>
        <v>False</v>
      </c>
      <c r="H639" s="38" t="str">
        <f>VLOOKUP(Tabella1[[#This Row],[test_id]],experiments_specs!A:J,8,FALSE)</f>
        <v>True</v>
      </c>
      <c r="I639" s="45" t="str">
        <f>VLOOKUP(Tabella1[[#This Row],[test_id]],experiments_specs!A:J,9,FALSE)</f>
        <v>wup_similarity</v>
      </c>
      <c r="J639" s="38" t="str">
        <f>VLOOKUP(Tabella1[[#This Row],[test_id]],experiments_specs!A:J,10,FALSE)</f>
        <v>False</v>
      </c>
      <c r="K639" s="40" t="s">
        <v>15</v>
      </c>
      <c r="L639" s="36" t="s">
        <v>772</v>
      </c>
      <c r="M639" s="36" t="s">
        <v>965</v>
      </c>
      <c r="N639" s="36" t="s">
        <v>776</v>
      </c>
      <c r="O639" s="36" t="s">
        <v>967</v>
      </c>
      <c r="P639" s="36">
        <v>0.16666666666666666</v>
      </c>
      <c r="Q639" s="36" t="s">
        <v>969</v>
      </c>
      <c r="R639" s="36" t="s">
        <v>965</v>
      </c>
      <c r="S639" s="36" t="s">
        <v>971</v>
      </c>
      <c r="T639" s="36" t="s">
        <v>973</v>
      </c>
      <c r="U639" s="37">
        <v>0.90909090909090906</v>
      </c>
      <c r="V639"/>
    </row>
    <row r="640" spans="1:22" ht="119" x14ac:dyDescent="0.2">
      <c r="A640" s="36" t="s">
        <v>159</v>
      </c>
      <c r="B640" s="45" t="str">
        <f>VLOOKUP(Tabella1[[#This Row],[test_id]],experiments_specs!A:J,2,FALSE)</f>
        <v>NN,JJ</v>
      </c>
      <c r="C640" s="38">
        <f>VLOOKUP(Tabella1[[#This Row],[test_id]],experiments_specs!A:J,3,FALSE)</f>
        <v>1</v>
      </c>
      <c r="D640" s="38">
        <f>VLOOKUP(Tabella1[[#This Row],[test_id]],experiments_specs!A:J,4,FALSE)</f>
        <v>2</v>
      </c>
      <c r="E640" s="38" t="str">
        <f>VLOOKUP(Tabella1[[#This Row],[test_id]],experiments_specs!A:J,5,FALSE)</f>
        <v>True</v>
      </c>
      <c r="F640" s="38" t="str">
        <f>VLOOKUP(Tabella1[[#This Row],[test_id]],experiments_specs!A:J,6,FALSE)</f>
        <v>False</v>
      </c>
      <c r="G640" s="38" t="str">
        <f>VLOOKUP(Tabella1[[#This Row],[test_id]],experiments_specs!A:J,7,FALSE)</f>
        <v>False</v>
      </c>
      <c r="H640" s="38" t="str">
        <f>VLOOKUP(Tabella1[[#This Row],[test_id]],experiments_specs!A:J,8,FALSE)</f>
        <v>True</v>
      </c>
      <c r="I640" s="45" t="str">
        <f>VLOOKUP(Tabella1[[#This Row],[test_id]],experiments_specs!A:J,9,FALSE)</f>
        <v>wup_similarity</v>
      </c>
      <c r="J640" s="38" t="str">
        <f>VLOOKUP(Tabella1[[#This Row],[test_id]],experiments_specs!A:J,10,FALSE)</f>
        <v>False</v>
      </c>
      <c r="K640" s="40" t="s">
        <v>16</v>
      </c>
      <c r="L640" s="36" t="s">
        <v>924</v>
      </c>
      <c r="M640" s="36" t="s">
        <v>926</v>
      </c>
      <c r="N640" s="36" t="s">
        <v>928</v>
      </c>
      <c r="O640" s="36" t="s">
        <v>975</v>
      </c>
      <c r="P640" s="36">
        <v>0.2857142857142857</v>
      </c>
      <c r="Q640" s="36" t="s">
        <v>932</v>
      </c>
      <c r="R640" s="36" t="s">
        <v>934</v>
      </c>
      <c r="S640" s="36" t="s">
        <v>936</v>
      </c>
      <c r="T640" s="36" t="s">
        <v>977</v>
      </c>
      <c r="U640" s="37">
        <v>0.23529411764705882</v>
      </c>
      <c r="V640"/>
    </row>
    <row r="641" spans="1:22" ht="34" x14ac:dyDescent="0.2">
      <c r="A641" s="36" t="s">
        <v>159</v>
      </c>
      <c r="B641" s="45" t="str">
        <f>VLOOKUP(Tabella1[[#This Row],[test_id]],experiments_specs!A:J,2,FALSE)</f>
        <v>NN,JJ</v>
      </c>
      <c r="C641" s="38">
        <f>VLOOKUP(Tabella1[[#This Row],[test_id]],experiments_specs!A:J,3,FALSE)</f>
        <v>1</v>
      </c>
      <c r="D641" s="38">
        <f>VLOOKUP(Tabella1[[#This Row],[test_id]],experiments_specs!A:J,4,FALSE)</f>
        <v>2</v>
      </c>
      <c r="E641" s="38" t="str">
        <f>VLOOKUP(Tabella1[[#This Row],[test_id]],experiments_specs!A:J,5,FALSE)</f>
        <v>True</v>
      </c>
      <c r="F641" s="38" t="str">
        <f>VLOOKUP(Tabella1[[#This Row],[test_id]],experiments_specs!A:J,6,FALSE)</f>
        <v>False</v>
      </c>
      <c r="G641" s="38" t="str">
        <f>VLOOKUP(Tabella1[[#This Row],[test_id]],experiments_specs!A:J,7,FALSE)</f>
        <v>False</v>
      </c>
      <c r="H641" s="38" t="str">
        <f>VLOOKUP(Tabella1[[#This Row],[test_id]],experiments_specs!A:J,8,FALSE)</f>
        <v>True</v>
      </c>
      <c r="I641" s="45" t="str">
        <f>VLOOKUP(Tabella1[[#This Row],[test_id]],experiments_specs!A:J,9,FALSE)</f>
        <v>wup_similarity</v>
      </c>
      <c r="J641" s="38" t="str">
        <f>VLOOKUP(Tabella1[[#This Row],[test_id]],experiments_specs!A:J,10,FALSE)</f>
        <v>False</v>
      </c>
      <c r="K641" s="40" t="s">
        <v>17</v>
      </c>
      <c r="L641" s="36" t="s">
        <v>939</v>
      </c>
      <c r="M641" s="36">
        <v>0.13483990000000001</v>
      </c>
      <c r="N641" s="36" t="s">
        <v>940</v>
      </c>
      <c r="O641" s="36">
        <v>1.8349299999999999E-2</v>
      </c>
      <c r="P641" s="36">
        <v>0.26666666666666666</v>
      </c>
      <c r="Q641" s="36" t="s">
        <v>647</v>
      </c>
      <c r="R641" s="36" t="s">
        <v>467</v>
      </c>
      <c r="S641" s="36" t="s">
        <v>942</v>
      </c>
      <c r="T641" s="36" t="s">
        <v>979</v>
      </c>
      <c r="U641" s="37">
        <v>0.16666666666666666</v>
      </c>
      <c r="V641"/>
    </row>
    <row r="642" spans="1:22" ht="136" x14ac:dyDescent="0.2">
      <c r="A642" s="36" t="s">
        <v>159</v>
      </c>
      <c r="B642" s="45" t="str">
        <f>VLOOKUP(Tabella1[[#This Row],[test_id]],experiments_specs!A:J,2,FALSE)</f>
        <v>NN,JJ</v>
      </c>
      <c r="C642" s="38">
        <f>VLOOKUP(Tabella1[[#This Row],[test_id]],experiments_specs!A:J,3,FALSE)</f>
        <v>1</v>
      </c>
      <c r="D642" s="38">
        <f>VLOOKUP(Tabella1[[#This Row],[test_id]],experiments_specs!A:J,4,FALSE)</f>
        <v>2</v>
      </c>
      <c r="E642" s="38" t="str">
        <f>VLOOKUP(Tabella1[[#This Row],[test_id]],experiments_specs!A:J,5,FALSE)</f>
        <v>True</v>
      </c>
      <c r="F642" s="38" t="str">
        <f>VLOOKUP(Tabella1[[#This Row],[test_id]],experiments_specs!A:J,6,FALSE)</f>
        <v>False</v>
      </c>
      <c r="G642" s="38" t="str">
        <f>VLOOKUP(Tabella1[[#This Row],[test_id]],experiments_specs!A:J,7,FALSE)</f>
        <v>False</v>
      </c>
      <c r="H642" s="38" t="str">
        <f>VLOOKUP(Tabella1[[#This Row],[test_id]],experiments_specs!A:J,8,FALSE)</f>
        <v>True</v>
      </c>
      <c r="I642" s="45" t="str">
        <f>VLOOKUP(Tabella1[[#This Row],[test_id]],experiments_specs!A:J,9,FALSE)</f>
        <v>wup_similarity</v>
      </c>
      <c r="J642" s="38" t="str">
        <f>VLOOKUP(Tabella1[[#This Row],[test_id]],experiments_specs!A:J,10,FALSE)</f>
        <v>False</v>
      </c>
      <c r="K642" s="40" t="s">
        <v>18</v>
      </c>
      <c r="L642" s="36" t="s">
        <v>946</v>
      </c>
      <c r="M642" s="36" t="s">
        <v>981</v>
      </c>
      <c r="N642" s="36" t="s">
        <v>950</v>
      </c>
      <c r="O642" s="36" t="s">
        <v>983</v>
      </c>
      <c r="P642" s="36">
        <v>0.21052631578947367</v>
      </c>
      <c r="Q642" s="36" t="s">
        <v>46</v>
      </c>
      <c r="R642" s="36">
        <v>0.15249850000000001</v>
      </c>
      <c r="S642" s="36" t="s">
        <v>436</v>
      </c>
      <c r="T642" s="36">
        <v>3.9727800000000001E-2</v>
      </c>
      <c r="U642" s="37">
        <v>0.22222222222222221</v>
      </c>
      <c r="V642"/>
    </row>
    <row r="643" spans="1:22" ht="34" x14ac:dyDescent="0.2">
      <c r="A643" s="36" t="s">
        <v>160</v>
      </c>
      <c r="B643" s="45" t="str">
        <f>VLOOKUP(Tabella1[[#This Row],[test_id]],experiments_specs!A:J,2,FALSE)</f>
        <v>NN,VB</v>
      </c>
      <c r="C643" s="38">
        <f>VLOOKUP(Tabella1[[#This Row],[test_id]],experiments_specs!A:J,3,FALSE)</f>
        <v>1</v>
      </c>
      <c r="D643" s="38">
        <f>VLOOKUP(Tabella1[[#This Row],[test_id]],experiments_specs!A:J,4,FALSE)</f>
        <v>2</v>
      </c>
      <c r="E643" s="38" t="str">
        <f>VLOOKUP(Tabella1[[#This Row],[test_id]],experiments_specs!A:J,5,FALSE)</f>
        <v>True</v>
      </c>
      <c r="F643" s="38" t="str">
        <f>VLOOKUP(Tabella1[[#This Row],[test_id]],experiments_specs!A:J,6,FALSE)</f>
        <v>False</v>
      </c>
      <c r="G643" s="38" t="str">
        <f>VLOOKUP(Tabella1[[#This Row],[test_id]],experiments_specs!A:J,7,FALSE)</f>
        <v>False</v>
      </c>
      <c r="H643" s="38" t="str">
        <f>VLOOKUP(Tabella1[[#This Row],[test_id]],experiments_specs!A:J,8,FALSE)</f>
        <v>True</v>
      </c>
      <c r="I643" s="45" t="str">
        <f>VLOOKUP(Tabella1[[#This Row],[test_id]],experiments_specs!A:J,9,FALSE)</f>
        <v>wup_similarity</v>
      </c>
      <c r="J643" s="38" t="str">
        <f>VLOOKUP(Tabella1[[#This Row],[test_id]],experiments_specs!A:J,10,FALSE)</f>
        <v>False</v>
      </c>
      <c r="K643" s="40" t="s">
        <v>19</v>
      </c>
      <c r="L643" s="36" t="s">
        <v>20</v>
      </c>
      <c r="M643" s="36" t="s">
        <v>498</v>
      </c>
      <c r="N643" s="36" t="s">
        <v>891</v>
      </c>
      <c r="O643" s="36" t="s">
        <v>985</v>
      </c>
      <c r="P643" s="36">
        <v>0.19047619047619047</v>
      </c>
      <c r="Q643" s="36" t="s">
        <v>47</v>
      </c>
      <c r="R643" s="36">
        <v>0.18731709999999999</v>
      </c>
      <c r="S643" s="36" t="s">
        <v>746</v>
      </c>
      <c r="T643" s="36">
        <v>3.55409E-2</v>
      </c>
      <c r="U643" s="37">
        <v>0.2</v>
      </c>
      <c r="V643"/>
    </row>
    <row r="644" spans="1:22" ht="204" x14ac:dyDescent="0.2">
      <c r="A644" s="36" t="s">
        <v>160</v>
      </c>
      <c r="B644" s="45" t="str">
        <f>VLOOKUP(Tabella1[[#This Row],[test_id]],experiments_specs!A:J,2,FALSE)</f>
        <v>NN,VB</v>
      </c>
      <c r="C644" s="38">
        <f>VLOOKUP(Tabella1[[#This Row],[test_id]],experiments_specs!A:J,3,FALSE)</f>
        <v>1</v>
      </c>
      <c r="D644" s="38">
        <f>VLOOKUP(Tabella1[[#This Row],[test_id]],experiments_specs!A:J,4,FALSE)</f>
        <v>2</v>
      </c>
      <c r="E644" s="38" t="str">
        <f>VLOOKUP(Tabella1[[#This Row],[test_id]],experiments_specs!A:J,5,FALSE)</f>
        <v>True</v>
      </c>
      <c r="F644" s="38" t="str">
        <f>VLOOKUP(Tabella1[[#This Row],[test_id]],experiments_specs!A:J,6,FALSE)</f>
        <v>False</v>
      </c>
      <c r="G644" s="38" t="str">
        <f>VLOOKUP(Tabella1[[#This Row],[test_id]],experiments_specs!A:J,7,FALSE)</f>
        <v>False</v>
      </c>
      <c r="H644" s="38" t="str">
        <f>VLOOKUP(Tabella1[[#This Row],[test_id]],experiments_specs!A:J,8,FALSE)</f>
        <v>True</v>
      </c>
      <c r="I644" s="45" t="str">
        <f>VLOOKUP(Tabella1[[#This Row],[test_id]],experiments_specs!A:J,9,FALSE)</f>
        <v>wup_similarity</v>
      </c>
      <c r="J644" s="38" t="str">
        <f>VLOOKUP(Tabella1[[#This Row],[test_id]],experiments_specs!A:J,10,FALSE)</f>
        <v>False</v>
      </c>
      <c r="K644" s="40" t="s">
        <v>12</v>
      </c>
      <c r="L644" s="36" t="s">
        <v>987</v>
      </c>
      <c r="M644" s="36" t="s">
        <v>989</v>
      </c>
      <c r="N644" s="36" t="s">
        <v>991</v>
      </c>
      <c r="O644" s="36" t="s">
        <v>993</v>
      </c>
      <c r="P644" s="36">
        <v>0.42857142857142855</v>
      </c>
      <c r="Q644" s="36" t="s">
        <v>391</v>
      </c>
      <c r="R644" s="36" t="s">
        <v>995</v>
      </c>
      <c r="S644" s="36" t="s">
        <v>905</v>
      </c>
      <c r="T644" s="36" t="s">
        <v>997</v>
      </c>
      <c r="U644" s="37">
        <v>0.42857142857142855</v>
      </c>
      <c r="V644"/>
    </row>
    <row r="645" spans="1:22" ht="17" x14ac:dyDescent="0.2">
      <c r="A645" s="36" t="s">
        <v>160</v>
      </c>
      <c r="B645" s="45" t="str">
        <f>VLOOKUP(Tabella1[[#This Row],[test_id]],experiments_specs!A:J,2,FALSE)</f>
        <v>NN,VB</v>
      </c>
      <c r="C645" s="38">
        <f>VLOOKUP(Tabella1[[#This Row],[test_id]],experiments_specs!A:J,3,FALSE)</f>
        <v>1</v>
      </c>
      <c r="D645" s="38">
        <f>VLOOKUP(Tabella1[[#This Row],[test_id]],experiments_specs!A:J,4,FALSE)</f>
        <v>2</v>
      </c>
      <c r="E645" s="38" t="str">
        <f>VLOOKUP(Tabella1[[#This Row],[test_id]],experiments_specs!A:J,5,FALSE)</f>
        <v>True</v>
      </c>
      <c r="F645" s="38" t="str">
        <f>VLOOKUP(Tabella1[[#This Row],[test_id]],experiments_specs!A:J,6,FALSE)</f>
        <v>False</v>
      </c>
      <c r="G645" s="38" t="str">
        <f>VLOOKUP(Tabella1[[#This Row],[test_id]],experiments_specs!A:J,7,FALSE)</f>
        <v>False</v>
      </c>
      <c r="H645" s="38" t="str">
        <f>VLOOKUP(Tabella1[[#This Row],[test_id]],experiments_specs!A:J,8,FALSE)</f>
        <v>True</v>
      </c>
      <c r="I645" s="45" t="str">
        <f>VLOOKUP(Tabella1[[#This Row],[test_id]],experiments_specs!A:J,9,FALSE)</f>
        <v>wup_similarity</v>
      </c>
      <c r="J645" s="38" t="str">
        <f>VLOOKUP(Tabella1[[#This Row],[test_id]],experiments_specs!A:J,10,FALSE)</f>
        <v>False</v>
      </c>
      <c r="K645" s="40" t="s">
        <v>13</v>
      </c>
      <c r="L645" s="36" t="s">
        <v>32</v>
      </c>
      <c r="M645" s="36">
        <v>0.17677660000000001</v>
      </c>
      <c r="N645" s="36" t="s">
        <v>473</v>
      </c>
      <c r="O645" s="36">
        <v>3.3879800000000002E-2</v>
      </c>
      <c r="P645" s="36">
        <v>0.4</v>
      </c>
      <c r="Q645" s="36" t="s">
        <v>34</v>
      </c>
      <c r="R645" s="36">
        <v>0.125</v>
      </c>
      <c r="S645" s="36" t="s">
        <v>908</v>
      </c>
      <c r="T645" s="36">
        <v>4.1635800000000001E-2</v>
      </c>
      <c r="U645" s="37" t="s">
        <v>25</v>
      </c>
      <c r="V645"/>
    </row>
    <row r="646" spans="1:22" ht="17" x14ac:dyDescent="0.2">
      <c r="A646" s="36" t="s">
        <v>160</v>
      </c>
      <c r="B646" s="45" t="str">
        <f>VLOOKUP(Tabella1[[#This Row],[test_id]],experiments_specs!A:J,2,FALSE)</f>
        <v>NN,VB</v>
      </c>
      <c r="C646" s="38">
        <f>VLOOKUP(Tabella1[[#This Row],[test_id]],experiments_specs!A:J,3,FALSE)</f>
        <v>1</v>
      </c>
      <c r="D646" s="38">
        <f>VLOOKUP(Tabella1[[#This Row],[test_id]],experiments_specs!A:J,4,FALSE)</f>
        <v>2</v>
      </c>
      <c r="E646" s="38" t="str">
        <f>VLOOKUP(Tabella1[[#This Row],[test_id]],experiments_specs!A:J,5,FALSE)</f>
        <v>True</v>
      </c>
      <c r="F646" s="38" t="str">
        <f>VLOOKUP(Tabella1[[#This Row],[test_id]],experiments_specs!A:J,6,FALSE)</f>
        <v>False</v>
      </c>
      <c r="G646" s="38" t="str">
        <f>VLOOKUP(Tabella1[[#This Row],[test_id]],experiments_specs!A:J,7,FALSE)</f>
        <v>False</v>
      </c>
      <c r="H646" s="38" t="str">
        <f>VLOOKUP(Tabella1[[#This Row],[test_id]],experiments_specs!A:J,8,FALSE)</f>
        <v>True</v>
      </c>
      <c r="I646" s="45" t="str">
        <f>VLOOKUP(Tabella1[[#This Row],[test_id]],experiments_specs!A:J,9,FALSE)</f>
        <v>wup_similarity</v>
      </c>
      <c r="J646" s="38" t="str">
        <f>VLOOKUP(Tabella1[[#This Row],[test_id]],experiments_specs!A:J,10,FALSE)</f>
        <v>False</v>
      </c>
      <c r="K646" s="40" t="s">
        <v>14</v>
      </c>
      <c r="L646" s="36" t="s">
        <v>449</v>
      </c>
      <c r="M646" s="36">
        <v>0.26537240000000001</v>
      </c>
      <c r="N646" s="36" t="s">
        <v>450</v>
      </c>
      <c r="O646" s="36">
        <v>1.6783599999999999E-2</v>
      </c>
      <c r="P646" s="36">
        <v>0.2857142857142857</v>
      </c>
      <c r="Q646" s="36" t="s">
        <v>451</v>
      </c>
      <c r="R646" s="36">
        <v>0.11867809999999999</v>
      </c>
      <c r="S646" s="36" t="s">
        <v>449</v>
      </c>
      <c r="T646" s="36">
        <v>3.1844600000000001E-2</v>
      </c>
      <c r="U646" s="37">
        <v>0.30769230769230771</v>
      </c>
      <c r="V646"/>
    </row>
    <row r="647" spans="1:22" ht="85" x14ac:dyDescent="0.2">
      <c r="A647" s="36" t="s">
        <v>160</v>
      </c>
      <c r="B647" s="45" t="str">
        <f>VLOOKUP(Tabella1[[#This Row],[test_id]],experiments_specs!A:J,2,FALSE)</f>
        <v>NN,VB</v>
      </c>
      <c r="C647" s="38">
        <f>VLOOKUP(Tabella1[[#This Row],[test_id]],experiments_specs!A:J,3,FALSE)</f>
        <v>1</v>
      </c>
      <c r="D647" s="38">
        <f>VLOOKUP(Tabella1[[#This Row],[test_id]],experiments_specs!A:J,4,FALSE)</f>
        <v>2</v>
      </c>
      <c r="E647" s="38" t="str">
        <f>VLOOKUP(Tabella1[[#This Row],[test_id]],experiments_specs!A:J,5,FALSE)</f>
        <v>True</v>
      </c>
      <c r="F647" s="38" t="str">
        <f>VLOOKUP(Tabella1[[#This Row],[test_id]],experiments_specs!A:J,6,FALSE)</f>
        <v>False</v>
      </c>
      <c r="G647" s="38" t="str">
        <f>VLOOKUP(Tabella1[[#This Row],[test_id]],experiments_specs!A:J,7,FALSE)</f>
        <v>False</v>
      </c>
      <c r="H647" s="38" t="str">
        <f>VLOOKUP(Tabella1[[#This Row],[test_id]],experiments_specs!A:J,8,FALSE)</f>
        <v>True</v>
      </c>
      <c r="I647" s="45" t="str">
        <f>VLOOKUP(Tabella1[[#This Row],[test_id]],experiments_specs!A:J,9,FALSE)</f>
        <v>wup_similarity</v>
      </c>
      <c r="J647" s="38" t="str">
        <f>VLOOKUP(Tabella1[[#This Row],[test_id]],experiments_specs!A:J,10,FALSE)</f>
        <v>False</v>
      </c>
      <c r="K647" s="40" t="s">
        <v>15</v>
      </c>
      <c r="L647" s="36" t="s">
        <v>772</v>
      </c>
      <c r="M647" s="36" t="s">
        <v>965</v>
      </c>
      <c r="N647" s="36" t="s">
        <v>776</v>
      </c>
      <c r="O647" s="36" t="s">
        <v>999</v>
      </c>
      <c r="P647" s="36">
        <v>0.16666666666666666</v>
      </c>
      <c r="Q647" s="36" t="s">
        <v>1001</v>
      </c>
      <c r="R647" s="36" t="s">
        <v>1003</v>
      </c>
      <c r="S647" s="36" t="s">
        <v>1005</v>
      </c>
      <c r="T647" s="36" t="s">
        <v>1007</v>
      </c>
      <c r="U647" s="37">
        <v>0.18181818181818182</v>
      </c>
      <c r="V647"/>
    </row>
    <row r="648" spans="1:22" ht="85" x14ac:dyDescent="0.2">
      <c r="A648" s="36" t="s">
        <v>160</v>
      </c>
      <c r="B648" s="45" t="str">
        <f>VLOOKUP(Tabella1[[#This Row],[test_id]],experiments_specs!A:J,2,FALSE)</f>
        <v>NN,VB</v>
      </c>
      <c r="C648" s="38">
        <f>VLOOKUP(Tabella1[[#This Row],[test_id]],experiments_specs!A:J,3,FALSE)</f>
        <v>1</v>
      </c>
      <c r="D648" s="38">
        <f>VLOOKUP(Tabella1[[#This Row],[test_id]],experiments_specs!A:J,4,FALSE)</f>
        <v>2</v>
      </c>
      <c r="E648" s="38" t="str">
        <f>VLOOKUP(Tabella1[[#This Row],[test_id]],experiments_specs!A:J,5,FALSE)</f>
        <v>True</v>
      </c>
      <c r="F648" s="38" t="str">
        <f>VLOOKUP(Tabella1[[#This Row],[test_id]],experiments_specs!A:J,6,FALSE)</f>
        <v>False</v>
      </c>
      <c r="G648" s="38" t="str">
        <f>VLOOKUP(Tabella1[[#This Row],[test_id]],experiments_specs!A:J,7,FALSE)</f>
        <v>False</v>
      </c>
      <c r="H648" s="38" t="str">
        <f>VLOOKUP(Tabella1[[#This Row],[test_id]],experiments_specs!A:J,8,FALSE)</f>
        <v>True</v>
      </c>
      <c r="I648" s="45" t="str">
        <f>VLOOKUP(Tabella1[[#This Row],[test_id]],experiments_specs!A:J,9,FALSE)</f>
        <v>wup_similarity</v>
      </c>
      <c r="J648" s="38" t="str">
        <f>VLOOKUP(Tabella1[[#This Row],[test_id]],experiments_specs!A:J,10,FALSE)</f>
        <v>False</v>
      </c>
      <c r="K648" s="40" t="s">
        <v>16</v>
      </c>
      <c r="L648" s="36" t="s">
        <v>1009</v>
      </c>
      <c r="M648" s="36" t="s">
        <v>1011</v>
      </c>
      <c r="N648" s="36" t="s">
        <v>1013</v>
      </c>
      <c r="O648" s="36" t="s">
        <v>1015</v>
      </c>
      <c r="P648" s="36">
        <v>0.22222222222222221</v>
      </c>
      <c r="Q648" s="36" t="s">
        <v>932</v>
      </c>
      <c r="R648" s="36" t="s">
        <v>934</v>
      </c>
      <c r="S648" s="36" t="s">
        <v>936</v>
      </c>
      <c r="T648" s="36" t="s">
        <v>1017</v>
      </c>
      <c r="U648" s="37">
        <v>0.23529411764705882</v>
      </c>
      <c r="V648"/>
    </row>
    <row r="649" spans="1:22" ht="51" x14ac:dyDescent="0.2">
      <c r="A649" s="36" t="s">
        <v>160</v>
      </c>
      <c r="B649" s="45" t="str">
        <f>VLOOKUP(Tabella1[[#This Row],[test_id]],experiments_specs!A:J,2,FALSE)</f>
        <v>NN,VB</v>
      </c>
      <c r="C649" s="38">
        <f>VLOOKUP(Tabella1[[#This Row],[test_id]],experiments_specs!A:J,3,FALSE)</f>
        <v>1</v>
      </c>
      <c r="D649" s="38">
        <f>VLOOKUP(Tabella1[[#This Row],[test_id]],experiments_specs!A:J,4,FALSE)</f>
        <v>2</v>
      </c>
      <c r="E649" s="38" t="str">
        <f>VLOOKUP(Tabella1[[#This Row],[test_id]],experiments_specs!A:J,5,FALSE)</f>
        <v>True</v>
      </c>
      <c r="F649" s="38" t="str">
        <f>VLOOKUP(Tabella1[[#This Row],[test_id]],experiments_specs!A:J,6,FALSE)</f>
        <v>False</v>
      </c>
      <c r="G649" s="38" t="str">
        <f>VLOOKUP(Tabella1[[#This Row],[test_id]],experiments_specs!A:J,7,FALSE)</f>
        <v>False</v>
      </c>
      <c r="H649" s="38" t="str">
        <f>VLOOKUP(Tabella1[[#This Row],[test_id]],experiments_specs!A:J,8,FALSE)</f>
        <v>True</v>
      </c>
      <c r="I649" s="45" t="str">
        <f>VLOOKUP(Tabella1[[#This Row],[test_id]],experiments_specs!A:J,9,FALSE)</f>
        <v>wup_similarity</v>
      </c>
      <c r="J649" s="38" t="str">
        <f>VLOOKUP(Tabella1[[#This Row],[test_id]],experiments_specs!A:J,10,FALSE)</f>
        <v>False</v>
      </c>
      <c r="K649" s="40" t="s">
        <v>17</v>
      </c>
      <c r="L649" s="36" t="s">
        <v>30</v>
      </c>
      <c r="M649" s="36">
        <v>0.18898219999999999</v>
      </c>
      <c r="N649" s="36" t="s">
        <v>1018</v>
      </c>
      <c r="O649" s="36">
        <v>2.6726099999999999E-2</v>
      </c>
      <c r="P649" s="36">
        <v>0.22222222222222221</v>
      </c>
      <c r="Q649" s="36" t="s">
        <v>1020</v>
      </c>
      <c r="R649" s="36" t="s">
        <v>1022</v>
      </c>
      <c r="S649" s="36" t="s">
        <v>1024</v>
      </c>
      <c r="T649" s="36" t="s">
        <v>1026</v>
      </c>
      <c r="U649" s="37">
        <v>0.16666666666666666</v>
      </c>
      <c r="V649"/>
    </row>
    <row r="650" spans="1:22" ht="136" x14ac:dyDescent="0.2">
      <c r="A650" s="36" t="s">
        <v>160</v>
      </c>
      <c r="B650" s="45" t="str">
        <f>VLOOKUP(Tabella1[[#This Row],[test_id]],experiments_specs!A:J,2,FALSE)</f>
        <v>NN,VB</v>
      </c>
      <c r="C650" s="38">
        <f>VLOOKUP(Tabella1[[#This Row],[test_id]],experiments_specs!A:J,3,FALSE)</f>
        <v>1</v>
      </c>
      <c r="D650" s="38">
        <f>VLOOKUP(Tabella1[[#This Row],[test_id]],experiments_specs!A:J,4,FALSE)</f>
        <v>2</v>
      </c>
      <c r="E650" s="38" t="str">
        <f>VLOOKUP(Tabella1[[#This Row],[test_id]],experiments_specs!A:J,5,FALSE)</f>
        <v>True</v>
      </c>
      <c r="F650" s="38" t="str">
        <f>VLOOKUP(Tabella1[[#This Row],[test_id]],experiments_specs!A:J,6,FALSE)</f>
        <v>False</v>
      </c>
      <c r="G650" s="38" t="str">
        <f>VLOOKUP(Tabella1[[#This Row],[test_id]],experiments_specs!A:J,7,FALSE)</f>
        <v>False</v>
      </c>
      <c r="H650" s="38" t="str">
        <f>VLOOKUP(Tabella1[[#This Row],[test_id]],experiments_specs!A:J,8,FALSE)</f>
        <v>True</v>
      </c>
      <c r="I650" s="45" t="str">
        <f>VLOOKUP(Tabella1[[#This Row],[test_id]],experiments_specs!A:J,9,FALSE)</f>
        <v>wup_similarity</v>
      </c>
      <c r="J650" s="38" t="str">
        <f>VLOOKUP(Tabella1[[#This Row],[test_id]],experiments_specs!A:J,10,FALSE)</f>
        <v>False</v>
      </c>
      <c r="K650" s="40" t="s">
        <v>18</v>
      </c>
      <c r="L650" s="36" t="s">
        <v>946</v>
      </c>
      <c r="M650" s="36" t="s">
        <v>1028</v>
      </c>
      <c r="N650" s="36" t="s">
        <v>950</v>
      </c>
      <c r="O650" s="36" t="s">
        <v>1030</v>
      </c>
      <c r="P650" s="36">
        <v>0.21052631578947367</v>
      </c>
      <c r="Q650" s="36" t="s">
        <v>46</v>
      </c>
      <c r="R650" s="36">
        <v>0.15161959999999999</v>
      </c>
      <c r="S650" s="36" t="s">
        <v>436</v>
      </c>
      <c r="T650" s="36">
        <v>3.3354599999999998E-2</v>
      </c>
      <c r="U650" s="37">
        <v>0.22222222222222221</v>
      </c>
      <c r="V650"/>
    </row>
    <row r="651" spans="1:22" ht="34" x14ac:dyDescent="0.2">
      <c r="A651" s="36" t="s">
        <v>161</v>
      </c>
      <c r="B651" s="45" t="str">
        <f>VLOOKUP(Tabella1[[#This Row],[test_id]],experiments_specs!A:J,2,FALSE)</f>
        <v>NN,VB,VBD,VBG,VBN,VBP,VBZ</v>
      </c>
      <c r="C651" s="38">
        <f>VLOOKUP(Tabella1[[#This Row],[test_id]],experiments_specs!A:J,3,FALSE)</f>
        <v>1</v>
      </c>
      <c r="D651" s="38">
        <f>VLOOKUP(Tabella1[[#This Row],[test_id]],experiments_specs!A:J,4,FALSE)</f>
        <v>2</v>
      </c>
      <c r="E651" s="38" t="str">
        <f>VLOOKUP(Tabella1[[#This Row],[test_id]],experiments_specs!A:J,5,FALSE)</f>
        <v>True</v>
      </c>
      <c r="F651" s="38" t="str">
        <f>VLOOKUP(Tabella1[[#This Row],[test_id]],experiments_specs!A:J,6,FALSE)</f>
        <v>False</v>
      </c>
      <c r="G651" s="38" t="str">
        <f>VLOOKUP(Tabella1[[#This Row],[test_id]],experiments_specs!A:J,7,FALSE)</f>
        <v>False</v>
      </c>
      <c r="H651" s="38" t="str">
        <f>VLOOKUP(Tabella1[[#This Row],[test_id]],experiments_specs!A:J,8,FALSE)</f>
        <v>True</v>
      </c>
      <c r="I651" s="45" t="str">
        <f>VLOOKUP(Tabella1[[#This Row],[test_id]],experiments_specs!A:J,9,FALSE)</f>
        <v>wup_similarity</v>
      </c>
      <c r="J651" s="38" t="str">
        <f>VLOOKUP(Tabella1[[#This Row],[test_id]],experiments_specs!A:J,10,FALSE)</f>
        <v>False</v>
      </c>
      <c r="K651" s="40" t="s">
        <v>19</v>
      </c>
      <c r="L651" s="36" t="s">
        <v>20</v>
      </c>
      <c r="M651" s="36" t="s">
        <v>1032</v>
      </c>
      <c r="N651" s="36" t="s">
        <v>891</v>
      </c>
      <c r="O651" s="36" t="s">
        <v>1034</v>
      </c>
      <c r="P651" s="36">
        <v>0.19047619047619047</v>
      </c>
      <c r="Q651" s="36" t="s">
        <v>47</v>
      </c>
      <c r="R651" s="36">
        <v>0.18569530000000001</v>
      </c>
      <c r="S651" s="36" t="s">
        <v>746</v>
      </c>
      <c r="T651" s="36">
        <v>2.81865E-2</v>
      </c>
      <c r="U651" s="37">
        <v>0.2</v>
      </c>
      <c r="V651"/>
    </row>
    <row r="652" spans="1:22" ht="204" x14ac:dyDescent="0.2">
      <c r="A652" s="36" t="s">
        <v>161</v>
      </c>
      <c r="B652" s="45" t="str">
        <f>VLOOKUP(Tabella1[[#This Row],[test_id]],experiments_specs!A:J,2,FALSE)</f>
        <v>NN,VB,VBD,VBG,VBN,VBP,VBZ</v>
      </c>
      <c r="C652" s="38">
        <f>VLOOKUP(Tabella1[[#This Row],[test_id]],experiments_specs!A:J,3,FALSE)</f>
        <v>1</v>
      </c>
      <c r="D652" s="38">
        <f>VLOOKUP(Tabella1[[#This Row],[test_id]],experiments_specs!A:J,4,FALSE)</f>
        <v>2</v>
      </c>
      <c r="E652" s="38" t="str">
        <f>VLOOKUP(Tabella1[[#This Row],[test_id]],experiments_specs!A:J,5,FALSE)</f>
        <v>True</v>
      </c>
      <c r="F652" s="38" t="str">
        <f>VLOOKUP(Tabella1[[#This Row],[test_id]],experiments_specs!A:J,6,FALSE)</f>
        <v>False</v>
      </c>
      <c r="G652" s="38" t="str">
        <f>VLOOKUP(Tabella1[[#This Row],[test_id]],experiments_specs!A:J,7,FALSE)</f>
        <v>False</v>
      </c>
      <c r="H652" s="38" t="str">
        <f>VLOOKUP(Tabella1[[#This Row],[test_id]],experiments_specs!A:J,8,FALSE)</f>
        <v>True</v>
      </c>
      <c r="I652" s="45" t="str">
        <f>VLOOKUP(Tabella1[[#This Row],[test_id]],experiments_specs!A:J,9,FALSE)</f>
        <v>wup_similarity</v>
      </c>
      <c r="J652" s="38" t="str">
        <f>VLOOKUP(Tabella1[[#This Row],[test_id]],experiments_specs!A:J,10,FALSE)</f>
        <v>False</v>
      </c>
      <c r="K652" s="40" t="s">
        <v>12</v>
      </c>
      <c r="L652" s="36" t="s">
        <v>987</v>
      </c>
      <c r="M652" s="36" t="s">
        <v>1036</v>
      </c>
      <c r="N652" s="36" t="s">
        <v>991</v>
      </c>
      <c r="O652" s="36" t="s">
        <v>1038</v>
      </c>
      <c r="P652" s="36">
        <v>0.42857142857142855</v>
      </c>
      <c r="Q652" s="36" t="s">
        <v>391</v>
      </c>
      <c r="R652" s="36" t="s">
        <v>1040</v>
      </c>
      <c r="S652" s="36" t="s">
        <v>905</v>
      </c>
      <c r="T652" s="36" t="s">
        <v>1042</v>
      </c>
      <c r="U652" s="37">
        <v>0.42857142857142855</v>
      </c>
      <c r="V652"/>
    </row>
    <row r="653" spans="1:22" ht="17" x14ac:dyDescent="0.2">
      <c r="A653" s="36" t="s">
        <v>161</v>
      </c>
      <c r="B653" s="45" t="str">
        <f>VLOOKUP(Tabella1[[#This Row],[test_id]],experiments_specs!A:J,2,FALSE)</f>
        <v>NN,VB,VBD,VBG,VBN,VBP,VBZ</v>
      </c>
      <c r="C653" s="38">
        <f>VLOOKUP(Tabella1[[#This Row],[test_id]],experiments_specs!A:J,3,FALSE)</f>
        <v>1</v>
      </c>
      <c r="D653" s="38">
        <f>VLOOKUP(Tabella1[[#This Row],[test_id]],experiments_specs!A:J,4,FALSE)</f>
        <v>2</v>
      </c>
      <c r="E653" s="38" t="str">
        <f>VLOOKUP(Tabella1[[#This Row],[test_id]],experiments_specs!A:J,5,FALSE)</f>
        <v>True</v>
      </c>
      <c r="F653" s="38" t="str">
        <f>VLOOKUP(Tabella1[[#This Row],[test_id]],experiments_specs!A:J,6,FALSE)</f>
        <v>False</v>
      </c>
      <c r="G653" s="38" t="str">
        <f>VLOOKUP(Tabella1[[#This Row],[test_id]],experiments_specs!A:J,7,FALSE)</f>
        <v>False</v>
      </c>
      <c r="H653" s="38" t="str">
        <f>VLOOKUP(Tabella1[[#This Row],[test_id]],experiments_specs!A:J,8,FALSE)</f>
        <v>True</v>
      </c>
      <c r="I653" s="45" t="str">
        <f>VLOOKUP(Tabella1[[#This Row],[test_id]],experiments_specs!A:J,9,FALSE)</f>
        <v>wup_similarity</v>
      </c>
      <c r="J653" s="38" t="str">
        <f>VLOOKUP(Tabella1[[#This Row],[test_id]],experiments_specs!A:J,10,FALSE)</f>
        <v>False</v>
      </c>
      <c r="K653" s="40" t="s">
        <v>13</v>
      </c>
      <c r="L653" s="36" t="s">
        <v>32</v>
      </c>
      <c r="M653" s="36">
        <v>0.1740776</v>
      </c>
      <c r="N653" s="36" t="s">
        <v>473</v>
      </c>
      <c r="O653" s="36">
        <v>3.6215900000000002E-2</v>
      </c>
      <c r="P653" s="36">
        <v>0.4</v>
      </c>
      <c r="Q653" s="36" t="s">
        <v>34</v>
      </c>
      <c r="R653" s="36">
        <v>0.1230914</v>
      </c>
      <c r="S653" s="36" t="s">
        <v>908</v>
      </c>
      <c r="T653" s="36">
        <v>3.8071500000000001E-2</v>
      </c>
      <c r="U653" s="37" t="s">
        <v>25</v>
      </c>
      <c r="V653"/>
    </row>
    <row r="654" spans="1:22" ht="34" x14ac:dyDescent="0.2">
      <c r="A654" s="36" t="s">
        <v>161</v>
      </c>
      <c r="B654" s="45" t="str">
        <f>VLOOKUP(Tabella1[[#This Row],[test_id]],experiments_specs!A:J,2,FALSE)</f>
        <v>NN,VB,VBD,VBG,VBN,VBP,VBZ</v>
      </c>
      <c r="C654" s="38">
        <f>VLOOKUP(Tabella1[[#This Row],[test_id]],experiments_specs!A:J,3,FALSE)</f>
        <v>1</v>
      </c>
      <c r="D654" s="38">
        <f>VLOOKUP(Tabella1[[#This Row],[test_id]],experiments_specs!A:J,4,FALSE)</f>
        <v>2</v>
      </c>
      <c r="E654" s="38" t="str">
        <f>VLOOKUP(Tabella1[[#This Row],[test_id]],experiments_specs!A:J,5,FALSE)</f>
        <v>True</v>
      </c>
      <c r="F654" s="38" t="str">
        <f>VLOOKUP(Tabella1[[#This Row],[test_id]],experiments_specs!A:J,6,FALSE)</f>
        <v>False</v>
      </c>
      <c r="G654" s="38" t="str">
        <f>VLOOKUP(Tabella1[[#This Row],[test_id]],experiments_specs!A:J,7,FALSE)</f>
        <v>False</v>
      </c>
      <c r="H654" s="38" t="str">
        <f>VLOOKUP(Tabella1[[#This Row],[test_id]],experiments_specs!A:J,8,FALSE)</f>
        <v>True</v>
      </c>
      <c r="I654" s="45" t="str">
        <f>VLOOKUP(Tabella1[[#This Row],[test_id]],experiments_specs!A:J,9,FALSE)</f>
        <v>wup_similarity</v>
      </c>
      <c r="J654" s="38" t="str">
        <f>VLOOKUP(Tabella1[[#This Row],[test_id]],experiments_specs!A:J,10,FALSE)</f>
        <v>False</v>
      </c>
      <c r="K654" s="40" t="s">
        <v>14</v>
      </c>
      <c r="L654" s="36" t="s">
        <v>1044</v>
      </c>
      <c r="M654" s="36" t="s">
        <v>1046</v>
      </c>
      <c r="N654" s="36" t="s">
        <v>1048</v>
      </c>
      <c r="O654" s="36" t="s">
        <v>1050</v>
      </c>
      <c r="P654" s="36">
        <v>0.2857142857142857</v>
      </c>
      <c r="Q654" s="36" t="s">
        <v>451</v>
      </c>
      <c r="R654" s="36">
        <v>0.1178511</v>
      </c>
      <c r="S654" s="36" t="s">
        <v>449</v>
      </c>
      <c r="T654" s="36">
        <v>2.3251999999999998E-2</v>
      </c>
      <c r="U654" s="37">
        <v>0.30769230769230771</v>
      </c>
      <c r="V654"/>
    </row>
    <row r="655" spans="1:22" ht="17" x14ac:dyDescent="0.2">
      <c r="A655" s="36" t="s">
        <v>161</v>
      </c>
      <c r="B655" s="45" t="str">
        <f>VLOOKUP(Tabella1[[#This Row],[test_id]],experiments_specs!A:J,2,FALSE)</f>
        <v>NN,VB,VBD,VBG,VBN,VBP,VBZ</v>
      </c>
      <c r="C655" s="38">
        <f>VLOOKUP(Tabella1[[#This Row],[test_id]],experiments_specs!A:J,3,FALSE)</f>
        <v>1</v>
      </c>
      <c r="D655" s="38">
        <f>VLOOKUP(Tabella1[[#This Row],[test_id]],experiments_specs!A:J,4,FALSE)</f>
        <v>2</v>
      </c>
      <c r="E655" s="38" t="str">
        <f>VLOOKUP(Tabella1[[#This Row],[test_id]],experiments_specs!A:J,5,FALSE)</f>
        <v>True</v>
      </c>
      <c r="F655" s="38" t="str">
        <f>VLOOKUP(Tabella1[[#This Row],[test_id]],experiments_specs!A:J,6,FALSE)</f>
        <v>False</v>
      </c>
      <c r="G655" s="38" t="str">
        <f>VLOOKUP(Tabella1[[#This Row],[test_id]],experiments_specs!A:J,7,FALSE)</f>
        <v>False</v>
      </c>
      <c r="H655" s="38" t="str">
        <f>VLOOKUP(Tabella1[[#This Row],[test_id]],experiments_specs!A:J,8,FALSE)</f>
        <v>True</v>
      </c>
      <c r="I655" s="45" t="str">
        <f>VLOOKUP(Tabella1[[#This Row],[test_id]],experiments_specs!A:J,9,FALSE)</f>
        <v>wup_similarity</v>
      </c>
      <c r="J655" s="38" t="str">
        <f>VLOOKUP(Tabella1[[#This Row],[test_id]],experiments_specs!A:J,10,FALSE)</f>
        <v>False</v>
      </c>
      <c r="K655" s="40" t="s">
        <v>15</v>
      </c>
      <c r="L655" s="36" t="s">
        <v>409</v>
      </c>
      <c r="M655" s="36">
        <v>0.21997059999999999</v>
      </c>
      <c r="N655" s="36" t="s">
        <v>1051</v>
      </c>
      <c r="O655" s="36">
        <v>1.6387100000000002E-2</v>
      </c>
      <c r="P655" s="36">
        <v>0.22222222222222221</v>
      </c>
      <c r="Q655" s="36" t="s">
        <v>1052</v>
      </c>
      <c r="R655" s="36">
        <v>0.1270001</v>
      </c>
      <c r="S655" s="36" t="s">
        <v>1053</v>
      </c>
      <c r="T655" s="36">
        <v>4.0640000000000003E-2</v>
      </c>
      <c r="U655" s="37">
        <v>0.18181818181818182</v>
      </c>
      <c r="V655"/>
    </row>
    <row r="656" spans="1:22" ht="85" x14ac:dyDescent="0.2">
      <c r="A656" s="36" t="s">
        <v>161</v>
      </c>
      <c r="B656" s="45" t="str">
        <f>VLOOKUP(Tabella1[[#This Row],[test_id]],experiments_specs!A:J,2,FALSE)</f>
        <v>NN,VB,VBD,VBG,VBN,VBP,VBZ</v>
      </c>
      <c r="C656" s="38">
        <f>VLOOKUP(Tabella1[[#This Row],[test_id]],experiments_specs!A:J,3,FALSE)</f>
        <v>1</v>
      </c>
      <c r="D656" s="38">
        <f>VLOOKUP(Tabella1[[#This Row],[test_id]],experiments_specs!A:J,4,FALSE)</f>
        <v>2</v>
      </c>
      <c r="E656" s="38" t="str">
        <f>VLOOKUP(Tabella1[[#This Row],[test_id]],experiments_specs!A:J,5,FALSE)</f>
        <v>True</v>
      </c>
      <c r="F656" s="38" t="str">
        <f>VLOOKUP(Tabella1[[#This Row],[test_id]],experiments_specs!A:J,6,FALSE)</f>
        <v>False</v>
      </c>
      <c r="G656" s="38" t="str">
        <f>VLOOKUP(Tabella1[[#This Row],[test_id]],experiments_specs!A:J,7,FALSE)</f>
        <v>False</v>
      </c>
      <c r="H656" s="38" t="str">
        <f>VLOOKUP(Tabella1[[#This Row],[test_id]],experiments_specs!A:J,8,FALSE)</f>
        <v>True</v>
      </c>
      <c r="I656" s="45" t="str">
        <f>VLOOKUP(Tabella1[[#This Row],[test_id]],experiments_specs!A:J,9,FALSE)</f>
        <v>wup_similarity</v>
      </c>
      <c r="J656" s="38" t="str">
        <f>VLOOKUP(Tabella1[[#This Row],[test_id]],experiments_specs!A:J,10,FALSE)</f>
        <v>False</v>
      </c>
      <c r="K656" s="40" t="s">
        <v>16</v>
      </c>
      <c r="L656" s="36" t="s">
        <v>1009</v>
      </c>
      <c r="M656" s="36" t="s">
        <v>1055</v>
      </c>
      <c r="N656" s="36" t="s">
        <v>1013</v>
      </c>
      <c r="O656" s="36" t="s">
        <v>1057</v>
      </c>
      <c r="P656" s="36">
        <v>0.22222222222222221</v>
      </c>
      <c r="Q656" s="36" t="s">
        <v>932</v>
      </c>
      <c r="R656" s="36" t="s">
        <v>1059</v>
      </c>
      <c r="S656" s="36" t="s">
        <v>936</v>
      </c>
      <c r="T656" s="36" t="s">
        <v>1061</v>
      </c>
      <c r="U656" s="37">
        <v>0.23529411764705882</v>
      </c>
      <c r="V656"/>
    </row>
    <row r="657" spans="1:22" ht="34" x14ac:dyDescent="0.2">
      <c r="A657" s="36" t="s">
        <v>161</v>
      </c>
      <c r="B657" s="45" t="str">
        <f>VLOOKUP(Tabella1[[#This Row],[test_id]],experiments_specs!A:J,2,FALSE)</f>
        <v>NN,VB,VBD,VBG,VBN,VBP,VBZ</v>
      </c>
      <c r="C657" s="38">
        <f>VLOOKUP(Tabella1[[#This Row],[test_id]],experiments_specs!A:J,3,FALSE)</f>
        <v>1</v>
      </c>
      <c r="D657" s="38">
        <f>VLOOKUP(Tabella1[[#This Row],[test_id]],experiments_specs!A:J,4,FALSE)</f>
        <v>2</v>
      </c>
      <c r="E657" s="38" t="str">
        <f>VLOOKUP(Tabella1[[#This Row],[test_id]],experiments_specs!A:J,5,FALSE)</f>
        <v>True</v>
      </c>
      <c r="F657" s="38" t="str">
        <f>VLOOKUP(Tabella1[[#This Row],[test_id]],experiments_specs!A:J,6,FALSE)</f>
        <v>False</v>
      </c>
      <c r="G657" s="38" t="str">
        <f>VLOOKUP(Tabella1[[#This Row],[test_id]],experiments_specs!A:J,7,FALSE)</f>
        <v>False</v>
      </c>
      <c r="H657" s="38" t="str">
        <f>VLOOKUP(Tabella1[[#This Row],[test_id]],experiments_specs!A:J,8,FALSE)</f>
        <v>True</v>
      </c>
      <c r="I657" s="45" t="str">
        <f>VLOOKUP(Tabella1[[#This Row],[test_id]],experiments_specs!A:J,9,FALSE)</f>
        <v>wup_similarity</v>
      </c>
      <c r="J657" s="38" t="str">
        <f>VLOOKUP(Tabella1[[#This Row],[test_id]],experiments_specs!A:J,10,FALSE)</f>
        <v>False</v>
      </c>
      <c r="K657" s="40" t="s">
        <v>17</v>
      </c>
      <c r="L657" s="36" t="s">
        <v>30</v>
      </c>
      <c r="M657" s="36">
        <v>0.18569530000000001</v>
      </c>
      <c r="N657" s="36" t="s">
        <v>1018</v>
      </c>
      <c r="O657" s="36">
        <v>2.9842299999999999E-2</v>
      </c>
      <c r="P657" s="36">
        <v>0.22222222222222221</v>
      </c>
      <c r="Q657" s="36" t="s">
        <v>1063</v>
      </c>
      <c r="R657" s="36" t="s">
        <v>1065</v>
      </c>
      <c r="S657" s="36" t="s">
        <v>1067</v>
      </c>
      <c r="T657" s="36" t="s">
        <v>1069</v>
      </c>
      <c r="U657" s="37">
        <v>0.2</v>
      </c>
      <c r="V657"/>
    </row>
    <row r="658" spans="1:22" ht="153" x14ac:dyDescent="0.2">
      <c r="A658" s="36" t="s">
        <v>161</v>
      </c>
      <c r="B658" s="45" t="str">
        <f>VLOOKUP(Tabella1[[#This Row],[test_id]],experiments_specs!A:J,2,FALSE)</f>
        <v>NN,VB,VBD,VBG,VBN,VBP,VBZ</v>
      </c>
      <c r="C658" s="38">
        <f>VLOOKUP(Tabella1[[#This Row],[test_id]],experiments_specs!A:J,3,FALSE)</f>
        <v>1</v>
      </c>
      <c r="D658" s="38">
        <f>VLOOKUP(Tabella1[[#This Row],[test_id]],experiments_specs!A:J,4,FALSE)</f>
        <v>2</v>
      </c>
      <c r="E658" s="38" t="str">
        <f>VLOOKUP(Tabella1[[#This Row],[test_id]],experiments_specs!A:J,5,FALSE)</f>
        <v>True</v>
      </c>
      <c r="F658" s="38" t="str">
        <f>VLOOKUP(Tabella1[[#This Row],[test_id]],experiments_specs!A:J,6,FALSE)</f>
        <v>False</v>
      </c>
      <c r="G658" s="38" t="str">
        <f>VLOOKUP(Tabella1[[#This Row],[test_id]],experiments_specs!A:J,7,FALSE)</f>
        <v>False</v>
      </c>
      <c r="H658" s="38" t="str">
        <f>VLOOKUP(Tabella1[[#This Row],[test_id]],experiments_specs!A:J,8,FALSE)</f>
        <v>True</v>
      </c>
      <c r="I658" s="45" t="str">
        <f>VLOOKUP(Tabella1[[#This Row],[test_id]],experiments_specs!A:J,9,FALSE)</f>
        <v>wup_similarity</v>
      </c>
      <c r="J658" s="38" t="str">
        <f>VLOOKUP(Tabella1[[#This Row],[test_id]],experiments_specs!A:J,10,FALSE)</f>
        <v>False</v>
      </c>
      <c r="K658" s="40" t="s">
        <v>18</v>
      </c>
      <c r="L658" s="36" t="s">
        <v>1071</v>
      </c>
      <c r="M658" s="36" t="s">
        <v>1073</v>
      </c>
      <c r="N658" s="36" t="s">
        <v>1075</v>
      </c>
      <c r="O658" s="36" t="s">
        <v>1077</v>
      </c>
      <c r="P658" s="36">
        <v>0.125</v>
      </c>
      <c r="Q658" s="36" t="s">
        <v>46</v>
      </c>
      <c r="R658" s="36">
        <v>0.15075559999999999</v>
      </c>
      <c r="S658" s="36" t="s">
        <v>436</v>
      </c>
      <c r="T658" s="36">
        <v>2.7134599999999998E-2</v>
      </c>
      <c r="U658" s="37">
        <v>0.22222222222222221</v>
      </c>
      <c r="V658"/>
    </row>
    <row r="659" spans="1:22" ht="34" x14ac:dyDescent="0.2">
      <c r="A659" s="36" t="s">
        <v>162</v>
      </c>
      <c r="B659" s="45" t="str">
        <f>VLOOKUP(Tabella1[[#This Row],[test_id]],experiments_specs!A:J,2,FALSE)</f>
        <v>NN,RB</v>
      </c>
      <c r="C659" s="38">
        <f>VLOOKUP(Tabella1[[#This Row],[test_id]],experiments_specs!A:J,3,FALSE)</f>
        <v>1</v>
      </c>
      <c r="D659" s="38">
        <f>VLOOKUP(Tabella1[[#This Row],[test_id]],experiments_specs!A:J,4,FALSE)</f>
        <v>2</v>
      </c>
      <c r="E659" s="38" t="str">
        <f>VLOOKUP(Tabella1[[#This Row],[test_id]],experiments_specs!A:J,5,FALSE)</f>
        <v>True</v>
      </c>
      <c r="F659" s="38" t="str">
        <f>VLOOKUP(Tabella1[[#This Row],[test_id]],experiments_specs!A:J,6,FALSE)</f>
        <v>False</v>
      </c>
      <c r="G659" s="38" t="str">
        <f>VLOOKUP(Tabella1[[#This Row],[test_id]],experiments_specs!A:J,7,FALSE)</f>
        <v>False</v>
      </c>
      <c r="H659" s="38" t="str">
        <f>VLOOKUP(Tabella1[[#This Row],[test_id]],experiments_specs!A:J,8,FALSE)</f>
        <v>True</v>
      </c>
      <c r="I659" s="45" t="str">
        <f>VLOOKUP(Tabella1[[#This Row],[test_id]],experiments_specs!A:J,9,FALSE)</f>
        <v>wup_similarity</v>
      </c>
      <c r="J659" s="38" t="str">
        <f>VLOOKUP(Tabella1[[#This Row],[test_id]],experiments_specs!A:J,10,FALSE)</f>
        <v>False</v>
      </c>
      <c r="K659" s="40" t="s">
        <v>19</v>
      </c>
      <c r="L659" s="36" t="s">
        <v>20</v>
      </c>
      <c r="M659" s="36" t="s">
        <v>1079</v>
      </c>
      <c r="N659" s="36" t="s">
        <v>891</v>
      </c>
      <c r="O659" s="36" t="s">
        <v>1081</v>
      </c>
      <c r="P659" s="36">
        <v>0.19047619047619047</v>
      </c>
      <c r="Q659" s="36" t="s">
        <v>47</v>
      </c>
      <c r="R659" s="36">
        <v>0.1841149</v>
      </c>
      <c r="S659" s="36" t="s">
        <v>746</v>
      </c>
      <c r="T659" s="36">
        <v>4.5964900000000003E-2</v>
      </c>
      <c r="U659" s="37">
        <v>0.2</v>
      </c>
      <c r="V659"/>
    </row>
    <row r="660" spans="1:22" ht="170" x14ac:dyDescent="0.2">
      <c r="A660" s="36" t="s">
        <v>162</v>
      </c>
      <c r="B660" s="45" t="str">
        <f>VLOOKUP(Tabella1[[#This Row],[test_id]],experiments_specs!A:J,2,FALSE)</f>
        <v>NN,RB</v>
      </c>
      <c r="C660" s="38">
        <f>VLOOKUP(Tabella1[[#This Row],[test_id]],experiments_specs!A:J,3,FALSE)</f>
        <v>1</v>
      </c>
      <c r="D660" s="38">
        <f>VLOOKUP(Tabella1[[#This Row],[test_id]],experiments_specs!A:J,4,FALSE)</f>
        <v>2</v>
      </c>
      <c r="E660" s="38" t="str">
        <f>VLOOKUP(Tabella1[[#This Row],[test_id]],experiments_specs!A:J,5,FALSE)</f>
        <v>True</v>
      </c>
      <c r="F660" s="38" t="str">
        <f>VLOOKUP(Tabella1[[#This Row],[test_id]],experiments_specs!A:J,6,FALSE)</f>
        <v>False</v>
      </c>
      <c r="G660" s="38" t="str">
        <f>VLOOKUP(Tabella1[[#This Row],[test_id]],experiments_specs!A:J,7,FALSE)</f>
        <v>False</v>
      </c>
      <c r="H660" s="38" t="str">
        <f>VLOOKUP(Tabella1[[#This Row],[test_id]],experiments_specs!A:J,8,FALSE)</f>
        <v>True</v>
      </c>
      <c r="I660" s="45" t="str">
        <f>VLOOKUP(Tabella1[[#This Row],[test_id]],experiments_specs!A:J,9,FALSE)</f>
        <v>wup_similarity</v>
      </c>
      <c r="J660" s="38" t="str">
        <f>VLOOKUP(Tabella1[[#This Row],[test_id]],experiments_specs!A:J,10,FALSE)</f>
        <v>False</v>
      </c>
      <c r="K660" s="40" t="s">
        <v>12</v>
      </c>
      <c r="L660" s="36" t="s">
        <v>895</v>
      </c>
      <c r="M660" s="36" t="s">
        <v>897</v>
      </c>
      <c r="N660" s="36" t="s">
        <v>899</v>
      </c>
      <c r="O660" s="36" t="s">
        <v>901</v>
      </c>
      <c r="P660" s="36">
        <v>0.42857142857142855</v>
      </c>
      <c r="Q660" s="36" t="s">
        <v>391</v>
      </c>
      <c r="R660" s="36" t="s">
        <v>903</v>
      </c>
      <c r="S660" s="36" t="s">
        <v>905</v>
      </c>
      <c r="T660" s="36" t="s">
        <v>907</v>
      </c>
      <c r="U660" s="37">
        <v>0.42857142857142855</v>
      </c>
      <c r="V660"/>
    </row>
    <row r="661" spans="1:22" ht="17" x14ac:dyDescent="0.2">
      <c r="A661" s="36" t="s">
        <v>162</v>
      </c>
      <c r="B661" s="45" t="str">
        <f>VLOOKUP(Tabella1[[#This Row],[test_id]],experiments_specs!A:J,2,FALSE)</f>
        <v>NN,RB</v>
      </c>
      <c r="C661" s="38">
        <f>VLOOKUP(Tabella1[[#This Row],[test_id]],experiments_specs!A:J,3,FALSE)</f>
        <v>1</v>
      </c>
      <c r="D661" s="38">
        <f>VLOOKUP(Tabella1[[#This Row],[test_id]],experiments_specs!A:J,4,FALSE)</f>
        <v>2</v>
      </c>
      <c r="E661" s="38" t="str">
        <f>VLOOKUP(Tabella1[[#This Row],[test_id]],experiments_specs!A:J,5,FALSE)</f>
        <v>True</v>
      </c>
      <c r="F661" s="38" t="str">
        <f>VLOOKUP(Tabella1[[#This Row],[test_id]],experiments_specs!A:J,6,FALSE)</f>
        <v>False</v>
      </c>
      <c r="G661" s="38" t="str">
        <f>VLOOKUP(Tabella1[[#This Row],[test_id]],experiments_specs!A:J,7,FALSE)</f>
        <v>False</v>
      </c>
      <c r="H661" s="38" t="str">
        <f>VLOOKUP(Tabella1[[#This Row],[test_id]],experiments_specs!A:J,8,FALSE)</f>
        <v>True</v>
      </c>
      <c r="I661" s="45" t="str">
        <f>VLOOKUP(Tabella1[[#This Row],[test_id]],experiments_specs!A:J,9,FALSE)</f>
        <v>wup_similarity</v>
      </c>
      <c r="J661" s="38" t="str">
        <f>VLOOKUP(Tabella1[[#This Row],[test_id]],experiments_specs!A:J,10,FALSE)</f>
        <v>False</v>
      </c>
      <c r="K661" s="40" t="s">
        <v>13</v>
      </c>
      <c r="L661" s="36" t="s">
        <v>35</v>
      </c>
      <c r="M661" s="36">
        <v>0.1290994</v>
      </c>
      <c r="N661" s="36" t="s">
        <v>908</v>
      </c>
      <c r="O661" s="36">
        <v>4.65847E-2</v>
      </c>
      <c r="P661" s="36" t="s">
        <v>25</v>
      </c>
      <c r="Q661" s="36" t="s">
        <v>34</v>
      </c>
      <c r="R661" s="36">
        <v>0.1290994</v>
      </c>
      <c r="S661" s="36" t="s">
        <v>908</v>
      </c>
      <c r="T661" s="36">
        <v>5.5901600000000003E-2</v>
      </c>
      <c r="U661" s="37" t="s">
        <v>25</v>
      </c>
      <c r="V661"/>
    </row>
    <row r="662" spans="1:22" ht="17" x14ac:dyDescent="0.2">
      <c r="A662" s="36" t="s">
        <v>162</v>
      </c>
      <c r="B662" s="45" t="str">
        <f>VLOOKUP(Tabella1[[#This Row],[test_id]],experiments_specs!A:J,2,FALSE)</f>
        <v>NN,RB</v>
      </c>
      <c r="C662" s="38">
        <f>VLOOKUP(Tabella1[[#This Row],[test_id]],experiments_specs!A:J,3,FALSE)</f>
        <v>1</v>
      </c>
      <c r="D662" s="38">
        <f>VLOOKUP(Tabella1[[#This Row],[test_id]],experiments_specs!A:J,4,FALSE)</f>
        <v>2</v>
      </c>
      <c r="E662" s="38" t="str">
        <f>VLOOKUP(Tabella1[[#This Row],[test_id]],experiments_specs!A:J,5,FALSE)</f>
        <v>True</v>
      </c>
      <c r="F662" s="38" t="str">
        <f>VLOOKUP(Tabella1[[#This Row],[test_id]],experiments_specs!A:J,6,FALSE)</f>
        <v>False</v>
      </c>
      <c r="G662" s="38" t="str">
        <f>VLOOKUP(Tabella1[[#This Row],[test_id]],experiments_specs!A:J,7,FALSE)</f>
        <v>False</v>
      </c>
      <c r="H662" s="38" t="str">
        <f>VLOOKUP(Tabella1[[#This Row],[test_id]],experiments_specs!A:J,8,FALSE)</f>
        <v>True</v>
      </c>
      <c r="I662" s="45" t="str">
        <f>VLOOKUP(Tabella1[[#This Row],[test_id]],experiments_specs!A:J,9,FALSE)</f>
        <v>wup_similarity</v>
      </c>
      <c r="J662" s="38" t="str">
        <f>VLOOKUP(Tabella1[[#This Row],[test_id]],experiments_specs!A:J,10,FALSE)</f>
        <v>False</v>
      </c>
      <c r="K662" s="40" t="s">
        <v>14</v>
      </c>
      <c r="L662" s="36" t="s">
        <v>449</v>
      </c>
      <c r="M662" s="36">
        <v>0.26919090000000001</v>
      </c>
      <c r="N662" s="36" t="s">
        <v>450</v>
      </c>
      <c r="O662" s="36">
        <v>1.7612200000000001E-2</v>
      </c>
      <c r="P662" s="36">
        <v>0.2857142857142857</v>
      </c>
      <c r="Q662" s="36" t="s">
        <v>451</v>
      </c>
      <c r="R662" s="36">
        <v>0.1203858</v>
      </c>
      <c r="S662" s="36" t="s">
        <v>449</v>
      </c>
      <c r="T662" s="36">
        <v>3.36488E-2</v>
      </c>
      <c r="U662" s="37">
        <v>0.30769230769230771</v>
      </c>
      <c r="V662"/>
    </row>
    <row r="663" spans="1:22" ht="51" x14ac:dyDescent="0.2">
      <c r="A663" s="36" t="s">
        <v>162</v>
      </c>
      <c r="B663" s="45" t="str">
        <f>VLOOKUP(Tabella1[[#This Row],[test_id]],experiments_specs!A:J,2,FALSE)</f>
        <v>NN,RB</v>
      </c>
      <c r="C663" s="38">
        <f>VLOOKUP(Tabella1[[#This Row],[test_id]],experiments_specs!A:J,3,FALSE)</f>
        <v>1</v>
      </c>
      <c r="D663" s="38">
        <f>VLOOKUP(Tabella1[[#This Row],[test_id]],experiments_specs!A:J,4,FALSE)</f>
        <v>2</v>
      </c>
      <c r="E663" s="38" t="str">
        <f>VLOOKUP(Tabella1[[#This Row],[test_id]],experiments_specs!A:J,5,FALSE)</f>
        <v>True</v>
      </c>
      <c r="F663" s="38" t="str">
        <f>VLOOKUP(Tabella1[[#This Row],[test_id]],experiments_specs!A:J,6,FALSE)</f>
        <v>False</v>
      </c>
      <c r="G663" s="38" t="str">
        <f>VLOOKUP(Tabella1[[#This Row],[test_id]],experiments_specs!A:J,7,FALSE)</f>
        <v>False</v>
      </c>
      <c r="H663" s="38" t="str">
        <f>VLOOKUP(Tabella1[[#This Row],[test_id]],experiments_specs!A:J,8,FALSE)</f>
        <v>True</v>
      </c>
      <c r="I663" s="45" t="str">
        <f>VLOOKUP(Tabella1[[#This Row],[test_id]],experiments_specs!A:J,9,FALSE)</f>
        <v>wup_similarity</v>
      </c>
      <c r="J663" s="38" t="str">
        <f>VLOOKUP(Tabella1[[#This Row],[test_id]],experiments_specs!A:J,10,FALSE)</f>
        <v>False</v>
      </c>
      <c r="K663" s="40" t="s">
        <v>15</v>
      </c>
      <c r="L663" s="36" t="s">
        <v>910</v>
      </c>
      <c r="M663" s="36" t="s">
        <v>912</v>
      </c>
      <c r="N663" s="36" t="s">
        <v>914</v>
      </c>
      <c r="O663" s="36" t="s">
        <v>1083</v>
      </c>
      <c r="P663" s="36">
        <v>0.16666666666666666</v>
      </c>
      <c r="Q663" s="36" t="s">
        <v>28</v>
      </c>
      <c r="R663" s="36" t="s">
        <v>918</v>
      </c>
      <c r="S663" s="36" t="s">
        <v>920</v>
      </c>
      <c r="T663" s="36" t="s">
        <v>1085</v>
      </c>
      <c r="U663" s="37">
        <v>0.18181818181818182</v>
      </c>
      <c r="V663"/>
    </row>
    <row r="664" spans="1:22" ht="119" x14ac:dyDescent="0.2">
      <c r="A664" s="36" t="s">
        <v>162</v>
      </c>
      <c r="B664" s="45" t="str">
        <f>VLOOKUP(Tabella1[[#This Row],[test_id]],experiments_specs!A:J,2,FALSE)</f>
        <v>NN,RB</v>
      </c>
      <c r="C664" s="38">
        <f>VLOOKUP(Tabella1[[#This Row],[test_id]],experiments_specs!A:J,3,FALSE)</f>
        <v>1</v>
      </c>
      <c r="D664" s="38">
        <f>VLOOKUP(Tabella1[[#This Row],[test_id]],experiments_specs!A:J,4,FALSE)</f>
        <v>2</v>
      </c>
      <c r="E664" s="38" t="str">
        <f>VLOOKUP(Tabella1[[#This Row],[test_id]],experiments_specs!A:J,5,FALSE)</f>
        <v>True</v>
      </c>
      <c r="F664" s="38" t="str">
        <f>VLOOKUP(Tabella1[[#This Row],[test_id]],experiments_specs!A:J,6,FALSE)</f>
        <v>False</v>
      </c>
      <c r="G664" s="38" t="str">
        <f>VLOOKUP(Tabella1[[#This Row],[test_id]],experiments_specs!A:J,7,FALSE)</f>
        <v>False</v>
      </c>
      <c r="H664" s="38" t="str">
        <f>VLOOKUP(Tabella1[[#This Row],[test_id]],experiments_specs!A:J,8,FALSE)</f>
        <v>True</v>
      </c>
      <c r="I664" s="45" t="str">
        <f>VLOOKUP(Tabella1[[#This Row],[test_id]],experiments_specs!A:J,9,FALSE)</f>
        <v>wup_similarity</v>
      </c>
      <c r="J664" s="38" t="str">
        <f>VLOOKUP(Tabella1[[#This Row],[test_id]],experiments_specs!A:J,10,FALSE)</f>
        <v>False</v>
      </c>
      <c r="K664" s="40" t="s">
        <v>16</v>
      </c>
      <c r="L664" s="36" t="s">
        <v>924</v>
      </c>
      <c r="M664" s="36" t="s">
        <v>1087</v>
      </c>
      <c r="N664" s="36" t="s">
        <v>928</v>
      </c>
      <c r="O664" s="36" t="s">
        <v>1089</v>
      </c>
      <c r="P664" s="36">
        <v>0.2857142857142857</v>
      </c>
      <c r="Q664" s="36" t="s">
        <v>932</v>
      </c>
      <c r="R664" s="36" t="s">
        <v>1059</v>
      </c>
      <c r="S664" s="36" t="s">
        <v>936</v>
      </c>
      <c r="T664" s="36" t="s">
        <v>1091</v>
      </c>
      <c r="U664" s="37">
        <v>0.23529411764705882</v>
      </c>
      <c r="V664"/>
    </row>
    <row r="665" spans="1:22" ht="34" x14ac:dyDescent="0.2">
      <c r="A665" s="36" t="s">
        <v>162</v>
      </c>
      <c r="B665" s="45" t="str">
        <f>VLOOKUP(Tabella1[[#This Row],[test_id]],experiments_specs!A:J,2,FALSE)</f>
        <v>NN,RB</v>
      </c>
      <c r="C665" s="38">
        <f>VLOOKUP(Tabella1[[#This Row],[test_id]],experiments_specs!A:J,3,FALSE)</f>
        <v>1</v>
      </c>
      <c r="D665" s="38">
        <f>VLOOKUP(Tabella1[[#This Row],[test_id]],experiments_specs!A:J,4,FALSE)</f>
        <v>2</v>
      </c>
      <c r="E665" s="38" t="str">
        <f>VLOOKUP(Tabella1[[#This Row],[test_id]],experiments_specs!A:J,5,FALSE)</f>
        <v>True</v>
      </c>
      <c r="F665" s="38" t="str">
        <f>VLOOKUP(Tabella1[[#This Row],[test_id]],experiments_specs!A:J,6,FALSE)</f>
        <v>False</v>
      </c>
      <c r="G665" s="38" t="str">
        <f>VLOOKUP(Tabella1[[#This Row],[test_id]],experiments_specs!A:J,7,FALSE)</f>
        <v>False</v>
      </c>
      <c r="H665" s="38" t="str">
        <f>VLOOKUP(Tabella1[[#This Row],[test_id]],experiments_specs!A:J,8,FALSE)</f>
        <v>True</v>
      </c>
      <c r="I665" s="45" t="str">
        <f>VLOOKUP(Tabella1[[#This Row],[test_id]],experiments_specs!A:J,9,FALSE)</f>
        <v>wup_similarity</v>
      </c>
      <c r="J665" s="38" t="str">
        <f>VLOOKUP(Tabella1[[#This Row],[test_id]],experiments_specs!A:J,10,FALSE)</f>
        <v>False</v>
      </c>
      <c r="K665" s="40" t="s">
        <v>17</v>
      </c>
      <c r="L665" s="36" t="s">
        <v>939</v>
      </c>
      <c r="M665" s="36">
        <v>0.13245319999999999</v>
      </c>
      <c r="N665" s="36" t="s">
        <v>940</v>
      </c>
      <c r="O665" s="36">
        <v>1.9311999999999999E-2</v>
      </c>
      <c r="P665" s="36">
        <v>0.26666666666666666</v>
      </c>
      <c r="Q665" s="36" t="s">
        <v>647</v>
      </c>
      <c r="R665" s="36" t="s">
        <v>498</v>
      </c>
      <c r="S665" s="36" t="s">
        <v>942</v>
      </c>
      <c r="T665" s="36" t="s">
        <v>1093</v>
      </c>
      <c r="U665" s="37">
        <v>0.16666666666666666</v>
      </c>
      <c r="V665"/>
    </row>
    <row r="666" spans="1:22" ht="136" x14ac:dyDescent="0.2">
      <c r="A666" s="36" t="s">
        <v>162</v>
      </c>
      <c r="B666" s="45" t="str">
        <f>VLOOKUP(Tabella1[[#This Row],[test_id]],experiments_specs!A:J,2,FALSE)</f>
        <v>NN,RB</v>
      </c>
      <c r="C666" s="38">
        <f>VLOOKUP(Tabella1[[#This Row],[test_id]],experiments_specs!A:J,3,FALSE)</f>
        <v>1</v>
      </c>
      <c r="D666" s="38">
        <f>VLOOKUP(Tabella1[[#This Row],[test_id]],experiments_specs!A:J,4,FALSE)</f>
        <v>2</v>
      </c>
      <c r="E666" s="38" t="str">
        <f>VLOOKUP(Tabella1[[#This Row],[test_id]],experiments_specs!A:J,5,FALSE)</f>
        <v>True</v>
      </c>
      <c r="F666" s="38" t="str">
        <f>VLOOKUP(Tabella1[[#This Row],[test_id]],experiments_specs!A:J,6,FALSE)</f>
        <v>False</v>
      </c>
      <c r="G666" s="38" t="str">
        <f>VLOOKUP(Tabella1[[#This Row],[test_id]],experiments_specs!A:J,7,FALSE)</f>
        <v>False</v>
      </c>
      <c r="H666" s="38" t="str">
        <f>VLOOKUP(Tabella1[[#This Row],[test_id]],experiments_specs!A:J,8,FALSE)</f>
        <v>True</v>
      </c>
      <c r="I666" s="45" t="str">
        <f>VLOOKUP(Tabella1[[#This Row],[test_id]],experiments_specs!A:J,9,FALSE)</f>
        <v>wup_similarity</v>
      </c>
      <c r="J666" s="38" t="str">
        <f>VLOOKUP(Tabella1[[#This Row],[test_id]],experiments_specs!A:J,10,FALSE)</f>
        <v>False</v>
      </c>
      <c r="K666" s="40" t="s">
        <v>18</v>
      </c>
      <c r="L666" s="36" t="s">
        <v>946</v>
      </c>
      <c r="M666" s="36" t="s">
        <v>948</v>
      </c>
      <c r="N666" s="36" t="s">
        <v>950</v>
      </c>
      <c r="O666" s="36" t="s">
        <v>1095</v>
      </c>
      <c r="P666" s="36">
        <v>0.21052631578947367</v>
      </c>
      <c r="Q666" s="36" t="s">
        <v>46</v>
      </c>
      <c r="R666" s="36">
        <v>0.1561737</v>
      </c>
      <c r="S666" s="36" t="s">
        <v>953</v>
      </c>
      <c r="T666" s="36">
        <v>3.9379699999999997E-2</v>
      </c>
      <c r="U666" s="37">
        <v>0.21052631578947367</v>
      </c>
      <c r="V666"/>
    </row>
    <row r="667" spans="1:22" ht="34" x14ac:dyDescent="0.2">
      <c r="A667" s="36" t="s">
        <v>163</v>
      </c>
      <c r="B667" s="45" t="str">
        <f>VLOOKUP(Tabella1[[#This Row],[test_id]],experiments_specs!A:J,2,FALSE)</f>
        <v>NN,JJ,VB,VBD,VBG,VBN,VBP,VBZ</v>
      </c>
      <c r="C667" s="38">
        <f>VLOOKUP(Tabella1[[#This Row],[test_id]],experiments_specs!A:J,3,FALSE)</f>
        <v>1</v>
      </c>
      <c r="D667" s="38">
        <f>VLOOKUP(Tabella1[[#This Row],[test_id]],experiments_specs!A:J,4,FALSE)</f>
        <v>2</v>
      </c>
      <c r="E667" s="38" t="str">
        <f>VLOOKUP(Tabella1[[#This Row],[test_id]],experiments_specs!A:J,5,FALSE)</f>
        <v>True</v>
      </c>
      <c r="F667" s="38" t="str">
        <f>VLOOKUP(Tabella1[[#This Row],[test_id]],experiments_specs!A:J,6,FALSE)</f>
        <v>False</v>
      </c>
      <c r="G667" s="38" t="str">
        <f>VLOOKUP(Tabella1[[#This Row],[test_id]],experiments_specs!A:J,7,FALSE)</f>
        <v>False</v>
      </c>
      <c r="H667" s="38" t="str">
        <f>VLOOKUP(Tabella1[[#This Row],[test_id]],experiments_specs!A:J,8,FALSE)</f>
        <v>True</v>
      </c>
      <c r="I667" s="45" t="str">
        <f>VLOOKUP(Tabella1[[#This Row],[test_id]],experiments_specs!A:J,9,FALSE)</f>
        <v>wup_similarity</v>
      </c>
      <c r="J667" s="38" t="str">
        <f>VLOOKUP(Tabella1[[#This Row],[test_id]],experiments_specs!A:J,10,FALSE)</f>
        <v>False</v>
      </c>
      <c r="K667" s="40" t="s">
        <v>19</v>
      </c>
      <c r="L667" s="36" t="s">
        <v>20</v>
      </c>
      <c r="M667" s="36" t="s">
        <v>1032</v>
      </c>
      <c r="N667" s="36" t="s">
        <v>891</v>
      </c>
      <c r="O667" s="36" t="s">
        <v>1097</v>
      </c>
      <c r="P667" s="36">
        <v>0.19047619047619047</v>
      </c>
      <c r="Q667" s="36" t="s">
        <v>47</v>
      </c>
      <c r="R667" s="36">
        <v>0.18569530000000001</v>
      </c>
      <c r="S667" s="36" t="s">
        <v>746</v>
      </c>
      <c r="T667" s="36">
        <v>2.5166500000000001E-2</v>
      </c>
      <c r="U667" s="37">
        <v>0.2</v>
      </c>
      <c r="V667"/>
    </row>
    <row r="668" spans="1:22" ht="204" x14ac:dyDescent="0.2">
      <c r="A668" s="36" t="s">
        <v>163</v>
      </c>
      <c r="B668" s="45" t="str">
        <f>VLOOKUP(Tabella1[[#This Row],[test_id]],experiments_specs!A:J,2,FALSE)</f>
        <v>NN,JJ,VB,VBD,VBG,VBN,VBP,VBZ</v>
      </c>
      <c r="C668" s="38">
        <f>VLOOKUP(Tabella1[[#This Row],[test_id]],experiments_specs!A:J,3,FALSE)</f>
        <v>1</v>
      </c>
      <c r="D668" s="38">
        <f>VLOOKUP(Tabella1[[#This Row],[test_id]],experiments_specs!A:J,4,FALSE)</f>
        <v>2</v>
      </c>
      <c r="E668" s="38" t="str">
        <f>VLOOKUP(Tabella1[[#This Row],[test_id]],experiments_specs!A:J,5,FALSE)</f>
        <v>True</v>
      </c>
      <c r="F668" s="38" t="str">
        <f>VLOOKUP(Tabella1[[#This Row],[test_id]],experiments_specs!A:J,6,FALSE)</f>
        <v>False</v>
      </c>
      <c r="G668" s="38" t="str">
        <f>VLOOKUP(Tabella1[[#This Row],[test_id]],experiments_specs!A:J,7,FALSE)</f>
        <v>False</v>
      </c>
      <c r="H668" s="38" t="str">
        <f>VLOOKUP(Tabella1[[#This Row],[test_id]],experiments_specs!A:J,8,FALSE)</f>
        <v>True</v>
      </c>
      <c r="I668" s="45" t="str">
        <f>VLOOKUP(Tabella1[[#This Row],[test_id]],experiments_specs!A:J,9,FALSE)</f>
        <v>wup_similarity</v>
      </c>
      <c r="J668" s="38" t="str">
        <f>VLOOKUP(Tabella1[[#This Row],[test_id]],experiments_specs!A:J,10,FALSE)</f>
        <v>False</v>
      </c>
      <c r="K668" s="40" t="s">
        <v>12</v>
      </c>
      <c r="L668" s="36" t="s">
        <v>987</v>
      </c>
      <c r="M668" s="36" t="s">
        <v>1099</v>
      </c>
      <c r="N668" s="36" t="s">
        <v>991</v>
      </c>
      <c r="O668" s="36" t="s">
        <v>1101</v>
      </c>
      <c r="P668" s="36">
        <v>0.42857142857142855</v>
      </c>
      <c r="Q668" s="36" t="s">
        <v>391</v>
      </c>
      <c r="R668" s="36" t="s">
        <v>1103</v>
      </c>
      <c r="S668" s="36" t="s">
        <v>905</v>
      </c>
      <c r="T668" s="36" t="s">
        <v>1105</v>
      </c>
      <c r="U668" s="37">
        <v>0.42857142857142855</v>
      </c>
      <c r="V668"/>
    </row>
    <row r="669" spans="1:22" ht="17" x14ac:dyDescent="0.2">
      <c r="A669" s="36" t="s">
        <v>163</v>
      </c>
      <c r="B669" s="45" t="str">
        <f>VLOOKUP(Tabella1[[#This Row],[test_id]],experiments_specs!A:J,2,FALSE)</f>
        <v>NN,JJ,VB,VBD,VBG,VBN,VBP,VBZ</v>
      </c>
      <c r="C669" s="38">
        <f>VLOOKUP(Tabella1[[#This Row],[test_id]],experiments_specs!A:J,3,FALSE)</f>
        <v>1</v>
      </c>
      <c r="D669" s="38">
        <f>VLOOKUP(Tabella1[[#This Row],[test_id]],experiments_specs!A:J,4,FALSE)</f>
        <v>2</v>
      </c>
      <c r="E669" s="38" t="str">
        <f>VLOOKUP(Tabella1[[#This Row],[test_id]],experiments_specs!A:J,5,FALSE)</f>
        <v>True</v>
      </c>
      <c r="F669" s="38" t="str">
        <f>VLOOKUP(Tabella1[[#This Row],[test_id]],experiments_specs!A:J,6,FALSE)</f>
        <v>False</v>
      </c>
      <c r="G669" s="38" t="str">
        <f>VLOOKUP(Tabella1[[#This Row],[test_id]],experiments_specs!A:J,7,FALSE)</f>
        <v>False</v>
      </c>
      <c r="H669" s="38" t="str">
        <f>VLOOKUP(Tabella1[[#This Row],[test_id]],experiments_specs!A:J,8,FALSE)</f>
        <v>True</v>
      </c>
      <c r="I669" s="45" t="str">
        <f>VLOOKUP(Tabella1[[#This Row],[test_id]],experiments_specs!A:J,9,FALSE)</f>
        <v>wup_similarity</v>
      </c>
      <c r="J669" s="38" t="str">
        <f>VLOOKUP(Tabella1[[#This Row],[test_id]],experiments_specs!A:J,10,FALSE)</f>
        <v>False</v>
      </c>
      <c r="K669" s="40" t="s">
        <v>13</v>
      </c>
      <c r="L669" s="36" t="s">
        <v>32</v>
      </c>
      <c r="M669" s="36">
        <v>0.1740776</v>
      </c>
      <c r="N669" s="36" t="s">
        <v>473</v>
      </c>
      <c r="O669" s="36">
        <v>2.7524E-2</v>
      </c>
      <c r="P669" s="36">
        <v>0.4</v>
      </c>
      <c r="Q669" s="36" t="s">
        <v>34</v>
      </c>
      <c r="R669" s="36">
        <v>0.1230914</v>
      </c>
      <c r="S669" s="36" t="s">
        <v>908</v>
      </c>
      <c r="T669" s="36">
        <v>3.8071500000000001E-2</v>
      </c>
      <c r="U669" s="37" t="s">
        <v>25</v>
      </c>
      <c r="V669"/>
    </row>
    <row r="670" spans="1:22" ht="34" x14ac:dyDescent="0.2">
      <c r="A670" s="36" t="s">
        <v>163</v>
      </c>
      <c r="B670" s="45" t="str">
        <f>VLOOKUP(Tabella1[[#This Row],[test_id]],experiments_specs!A:J,2,FALSE)</f>
        <v>NN,JJ,VB,VBD,VBG,VBN,VBP,VBZ</v>
      </c>
      <c r="C670" s="38">
        <f>VLOOKUP(Tabella1[[#This Row],[test_id]],experiments_specs!A:J,3,FALSE)</f>
        <v>1</v>
      </c>
      <c r="D670" s="38">
        <f>VLOOKUP(Tabella1[[#This Row],[test_id]],experiments_specs!A:J,4,FALSE)</f>
        <v>2</v>
      </c>
      <c r="E670" s="38" t="str">
        <f>VLOOKUP(Tabella1[[#This Row],[test_id]],experiments_specs!A:J,5,FALSE)</f>
        <v>True</v>
      </c>
      <c r="F670" s="38" t="str">
        <f>VLOOKUP(Tabella1[[#This Row],[test_id]],experiments_specs!A:J,6,FALSE)</f>
        <v>False</v>
      </c>
      <c r="G670" s="38" t="str">
        <f>VLOOKUP(Tabella1[[#This Row],[test_id]],experiments_specs!A:J,7,FALSE)</f>
        <v>False</v>
      </c>
      <c r="H670" s="38" t="str">
        <f>VLOOKUP(Tabella1[[#This Row],[test_id]],experiments_specs!A:J,8,FALSE)</f>
        <v>True</v>
      </c>
      <c r="I670" s="45" t="str">
        <f>VLOOKUP(Tabella1[[#This Row],[test_id]],experiments_specs!A:J,9,FALSE)</f>
        <v>wup_similarity</v>
      </c>
      <c r="J670" s="38" t="str">
        <f>VLOOKUP(Tabella1[[#This Row],[test_id]],experiments_specs!A:J,10,FALSE)</f>
        <v>False</v>
      </c>
      <c r="K670" s="40" t="s">
        <v>14</v>
      </c>
      <c r="L670" s="36" t="s">
        <v>1044</v>
      </c>
      <c r="M670" s="36" t="s">
        <v>1107</v>
      </c>
      <c r="N670" s="36" t="s">
        <v>1048</v>
      </c>
      <c r="O670" s="36" t="s">
        <v>1109</v>
      </c>
      <c r="P670" s="36">
        <v>0.2857142857142857</v>
      </c>
      <c r="Q670" s="36" t="s">
        <v>451</v>
      </c>
      <c r="R670" s="36">
        <v>0.11624760000000001</v>
      </c>
      <c r="S670" s="36" t="s">
        <v>449</v>
      </c>
      <c r="T670" s="36">
        <v>2.1661400000000001E-2</v>
      </c>
      <c r="U670" s="37">
        <v>0.30769230769230771</v>
      </c>
      <c r="V670"/>
    </row>
    <row r="671" spans="1:22" ht="34" x14ac:dyDescent="0.2">
      <c r="A671" s="36" t="s">
        <v>163</v>
      </c>
      <c r="B671" s="45" t="str">
        <f>VLOOKUP(Tabella1[[#This Row],[test_id]],experiments_specs!A:J,2,FALSE)</f>
        <v>NN,JJ,VB,VBD,VBG,VBN,VBP,VBZ</v>
      </c>
      <c r="C671" s="38">
        <f>VLOOKUP(Tabella1[[#This Row],[test_id]],experiments_specs!A:J,3,FALSE)</f>
        <v>1</v>
      </c>
      <c r="D671" s="38">
        <f>VLOOKUP(Tabella1[[#This Row],[test_id]],experiments_specs!A:J,4,FALSE)</f>
        <v>2</v>
      </c>
      <c r="E671" s="38" t="str">
        <f>VLOOKUP(Tabella1[[#This Row],[test_id]],experiments_specs!A:J,5,FALSE)</f>
        <v>True</v>
      </c>
      <c r="F671" s="38" t="str">
        <f>VLOOKUP(Tabella1[[#This Row],[test_id]],experiments_specs!A:J,6,FALSE)</f>
        <v>False</v>
      </c>
      <c r="G671" s="38" t="str">
        <f>VLOOKUP(Tabella1[[#This Row],[test_id]],experiments_specs!A:J,7,FALSE)</f>
        <v>False</v>
      </c>
      <c r="H671" s="38" t="str">
        <f>VLOOKUP(Tabella1[[#This Row],[test_id]],experiments_specs!A:J,8,FALSE)</f>
        <v>True</v>
      </c>
      <c r="I671" s="45" t="str">
        <f>VLOOKUP(Tabella1[[#This Row],[test_id]],experiments_specs!A:J,9,FALSE)</f>
        <v>wup_similarity</v>
      </c>
      <c r="J671" s="38" t="str">
        <f>VLOOKUP(Tabella1[[#This Row],[test_id]],experiments_specs!A:J,10,FALSE)</f>
        <v>False</v>
      </c>
      <c r="K671" s="40" t="s">
        <v>15</v>
      </c>
      <c r="L671" s="36" t="s">
        <v>772</v>
      </c>
      <c r="M671" s="36" t="s">
        <v>1111</v>
      </c>
      <c r="N671" s="36" t="s">
        <v>776</v>
      </c>
      <c r="O671" s="36" t="s">
        <v>1113</v>
      </c>
      <c r="P671" s="36">
        <v>0.16666666666666666</v>
      </c>
      <c r="Q671" s="36" t="s">
        <v>1052</v>
      </c>
      <c r="R671" s="36">
        <v>0.12598809999999999</v>
      </c>
      <c r="S671" s="36" t="s">
        <v>1114</v>
      </c>
      <c r="T671" s="36">
        <v>3.63507E-2</v>
      </c>
      <c r="U671" s="37">
        <v>0.2</v>
      </c>
      <c r="V671"/>
    </row>
    <row r="672" spans="1:22" ht="85" x14ac:dyDescent="0.2">
      <c r="A672" s="36" t="s">
        <v>163</v>
      </c>
      <c r="B672" s="45" t="str">
        <f>VLOOKUP(Tabella1[[#This Row],[test_id]],experiments_specs!A:J,2,FALSE)</f>
        <v>NN,JJ,VB,VBD,VBG,VBN,VBP,VBZ</v>
      </c>
      <c r="C672" s="38">
        <f>VLOOKUP(Tabella1[[#This Row],[test_id]],experiments_specs!A:J,3,FALSE)</f>
        <v>1</v>
      </c>
      <c r="D672" s="38">
        <f>VLOOKUP(Tabella1[[#This Row],[test_id]],experiments_specs!A:J,4,FALSE)</f>
        <v>2</v>
      </c>
      <c r="E672" s="38" t="str">
        <f>VLOOKUP(Tabella1[[#This Row],[test_id]],experiments_specs!A:J,5,FALSE)</f>
        <v>True</v>
      </c>
      <c r="F672" s="38" t="str">
        <f>VLOOKUP(Tabella1[[#This Row],[test_id]],experiments_specs!A:J,6,FALSE)</f>
        <v>False</v>
      </c>
      <c r="G672" s="38" t="str">
        <f>VLOOKUP(Tabella1[[#This Row],[test_id]],experiments_specs!A:J,7,FALSE)</f>
        <v>False</v>
      </c>
      <c r="H672" s="38" t="str">
        <f>VLOOKUP(Tabella1[[#This Row],[test_id]],experiments_specs!A:J,8,FALSE)</f>
        <v>True</v>
      </c>
      <c r="I672" s="45" t="str">
        <f>VLOOKUP(Tabella1[[#This Row],[test_id]],experiments_specs!A:J,9,FALSE)</f>
        <v>wup_similarity</v>
      </c>
      <c r="J672" s="38" t="str">
        <f>VLOOKUP(Tabella1[[#This Row],[test_id]],experiments_specs!A:J,10,FALSE)</f>
        <v>False</v>
      </c>
      <c r="K672" s="40" t="s">
        <v>16</v>
      </c>
      <c r="L672" s="36" t="s">
        <v>1009</v>
      </c>
      <c r="M672" s="36" t="s">
        <v>1055</v>
      </c>
      <c r="N672" s="36" t="s">
        <v>1013</v>
      </c>
      <c r="O672" s="36" t="s">
        <v>1116</v>
      </c>
      <c r="P672" s="36">
        <v>0.22222222222222221</v>
      </c>
      <c r="Q672" s="36" t="s">
        <v>932</v>
      </c>
      <c r="R672" s="36" t="s">
        <v>1059</v>
      </c>
      <c r="S672" s="36" t="s">
        <v>936</v>
      </c>
      <c r="T672" s="36" t="s">
        <v>1118</v>
      </c>
      <c r="U672" s="37">
        <v>0.23529411764705882</v>
      </c>
      <c r="V672"/>
    </row>
    <row r="673" spans="1:22" ht="34" x14ac:dyDescent="0.2">
      <c r="A673" s="36" t="s">
        <v>163</v>
      </c>
      <c r="B673" s="45" t="str">
        <f>VLOOKUP(Tabella1[[#This Row],[test_id]],experiments_specs!A:J,2,FALSE)</f>
        <v>NN,JJ,VB,VBD,VBG,VBN,VBP,VBZ</v>
      </c>
      <c r="C673" s="38">
        <f>VLOOKUP(Tabella1[[#This Row],[test_id]],experiments_specs!A:J,3,FALSE)</f>
        <v>1</v>
      </c>
      <c r="D673" s="38">
        <f>VLOOKUP(Tabella1[[#This Row],[test_id]],experiments_specs!A:J,4,FALSE)</f>
        <v>2</v>
      </c>
      <c r="E673" s="38" t="str">
        <f>VLOOKUP(Tabella1[[#This Row],[test_id]],experiments_specs!A:J,5,FALSE)</f>
        <v>True</v>
      </c>
      <c r="F673" s="38" t="str">
        <f>VLOOKUP(Tabella1[[#This Row],[test_id]],experiments_specs!A:J,6,FALSE)</f>
        <v>False</v>
      </c>
      <c r="G673" s="38" t="str">
        <f>VLOOKUP(Tabella1[[#This Row],[test_id]],experiments_specs!A:J,7,FALSE)</f>
        <v>False</v>
      </c>
      <c r="H673" s="38" t="str">
        <f>VLOOKUP(Tabella1[[#This Row],[test_id]],experiments_specs!A:J,8,FALSE)</f>
        <v>True</v>
      </c>
      <c r="I673" s="45" t="str">
        <f>VLOOKUP(Tabella1[[#This Row],[test_id]],experiments_specs!A:J,9,FALSE)</f>
        <v>wup_similarity</v>
      </c>
      <c r="J673" s="38" t="str">
        <f>VLOOKUP(Tabella1[[#This Row],[test_id]],experiments_specs!A:J,10,FALSE)</f>
        <v>False</v>
      </c>
      <c r="K673" s="40" t="s">
        <v>17</v>
      </c>
      <c r="L673" s="36" t="s">
        <v>30</v>
      </c>
      <c r="M673" s="36">
        <v>0.18569530000000001</v>
      </c>
      <c r="N673" s="36" t="s">
        <v>1018</v>
      </c>
      <c r="O673" s="36">
        <v>2.67972E-2</v>
      </c>
      <c r="P673" s="36">
        <v>0.22222222222222221</v>
      </c>
      <c r="Q673" s="36" t="s">
        <v>1063</v>
      </c>
      <c r="R673" s="36" t="s">
        <v>1065</v>
      </c>
      <c r="S673" s="36" t="s">
        <v>1067</v>
      </c>
      <c r="T673" s="36" t="s">
        <v>1120</v>
      </c>
      <c r="U673" s="37">
        <v>0.2</v>
      </c>
      <c r="V673"/>
    </row>
    <row r="674" spans="1:22" ht="153" x14ac:dyDescent="0.2">
      <c r="A674" s="36" t="s">
        <v>163</v>
      </c>
      <c r="B674" s="45" t="str">
        <f>VLOOKUP(Tabella1[[#This Row],[test_id]],experiments_specs!A:J,2,FALSE)</f>
        <v>NN,JJ,VB,VBD,VBG,VBN,VBP,VBZ</v>
      </c>
      <c r="C674" s="38">
        <f>VLOOKUP(Tabella1[[#This Row],[test_id]],experiments_specs!A:J,3,FALSE)</f>
        <v>1</v>
      </c>
      <c r="D674" s="38">
        <f>VLOOKUP(Tabella1[[#This Row],[test_id]],experiments_specs!A:J,4,FALSE)</f>
        <v>2</v>
      </c>
      <c r="E674" s="38" t="str">
        <f>VLOOKUP(Tabella1[[#This Row],[test_id]],experiments_specs!A:J,5,FALSE)</f>
        <v>True</v>
      </c>
      <c r="F674" s="38" t="str">
        <f>VLOOKUP(Tabella1[[#This Row],[test_id]],experiments_specs!A:J,6,FALSE)</f>
        <v>False</v>
      </c>
      <c r="G674" s="38" t="str">
        <f>VLOOKUP(Tabella1[[#This Row],[test_id]],experiments_specs!A:J,7,FALSE)</f>
        <v>False</v>
      </c>
      <c r="H674" s="38" t="str">
        <f>VLOOKUP(Tabella1[[#This Row],[test_id]],experiments_specs!A:J,8,FALSE)</f>
        <v>True</v>
      </c>
      <c r="I674" s="45" t="str">
        <f>VLOOKUP(Tabella1[[#This Row],[test_id]],experiments_specs!A:J,9,FALSE)</f>
        <v>wup_similarity</v>
      </c>
      <c r="J674" s="38" t="str">
        <f>VLOOKUP(Tabella1[[#This Row],[test_id]],experiments_specs!A:J,10,FALSE)</f>
        <v>False</v>
      </c>
      <c r="K674" s="40" t="s">
        <v>18</v>
      </c>
      <c r="L674" s="36" t="s">
        <v>1071</v>
      </c>
      <c r="M674" s="36" t="s">
        <v>1122</v>
      </c>
      <c r="N674" s="36" t="s">
        <v>1075</v>
      </c>
      <c r="O674" s="36" t="s">
        <v>1124</v>
      </c>
      <c r="P674" s="36">
        <v>0.125</v>
      </c>
      <c r="Q674" s="36" t="s">
        <v>46</v>
      </c>
      <c r="R674" s="36">
        <v>0.14990629999999999</v>
      </c>
      <c r="S674" s="36" t="s">
        <v>436</v>
      </c>
      <c r="T674" s="36">
        <v>2.5152399999999998E-2</v>
      </c>
      <c r="U674" s="37">
        <v>0.22222222222222221</v>
      </c>
      <c r="V674"/>
    </row>
    <row r="675" spans="1:22" ht="34" x14ac:dyDescent="0.2">
      <c r="A675" s="36" t="s">
        <v>164</v>
      </c>
      <c r="B675" s="45" t="str">
        <f>VLOOKUP(Tabella1[[#This Row],[test_id]],experiments_specs!A:J,2,FALSE)</f>
        <v>NN</v>
      </c>
      <c r="C675" s="38">
        <f>VLOOKUP(Tabella1[[#This Row],[test_id]],experiments_specs!A:J,3,FALSE)</f>
        <v>1</v>
      </c>
      <c r="D675" s="38">
        <f>VLOOKUP(Tabella1[[#This Row],[test_id]],experiments_specs!A:J,4,FALSE)</f>
        <v>2</v>
      </c>
      <c r="E675" s="38" t="str">
        <f>VLOOKUP(Tabella1[[#This Row],[test_id]],experiments_specs!A:J,5,FALSE)</f>
        <v>True</v>
      </c>
      <c r="F675" s="38" t="str">
        <f>VLOOKUP(Tabella1[[#This Row],[test_id]],experiments_specs!A:J,6,FALSE)</f>
        <v>False</v>
      </c>
      <c r="G675" s="38" t="str">
        <f>VLOOKUP(Tabella1[[#This Row],[test_id]],experiments_specs!A:J,7,FALSE)</f>
        <v>False</v>
      </c>
      <c r="H675" s="38" t="str">
        <f>VLOOKUP(Tabella1[[#This Row],[test_id]],experiments_specs!A:J,8,FALSE)</f>
        <v>True</v>
      </c>
      <c r="I675" s="45" t="str">
        <f>VLOOKUP(Tabella1[[#This Row],[test_id]],experiments_specs!A:J,9,FALSE)</f>
        <v>wup_similarity</v>
      </c>
      <c r="J675" s="38" t="str">
        <f>VLOOKUP(Tabella1[[#This Row],[test_id]],experiments_specs!A:J,10,FALSE)</f>
        <v>True</v>
      </c>
      <c r="K675" s="40" t="s">
        <v>19</v>
      </c>
      <c r="L675" s="36" t="s">
        <v>20</v>
      </c>
      <c r="M675" s="36" t="s">
        <v>498</v>
      </c>
      <c r="N675" s="36" t="s">
        <v>891</v>
      </c>
      <c r="O675" s="36" t="s">
        <v>893</v>
      </c>
      <c r="P675" s="36">
        <v>0.19047619047619047</v>
      </c>
      <c r="Q675" s="36" t="s">
        <v>47</v>
      </c>
      <c r="R675" s="36">
        <v>0.18731709999999999</v>
      </c>
      <c r="S675" s="36" t="s">
        <v>746</v>
      </c>
      <c r="T675" s="36">
        <v>3.3848499999999997E-2</v>
      </c>
      <c r="U675" s="37">
        <v>0.2</v>
      </c>
      <c r="V675"/>
    </row>
    <row r="676" spans="1:22" ht="170" x14ac:dyDescent="0.2">
      <c r="A676" s="36" t="s">
        <v>164</v>
      </c>
      <c r="B676" s="45" t="str">
        <f>VLOOKUP(Tabella1[[#This Row],[test_id]],experiments_specs!A:J,2,FALSE)</f>
        <v>NN</v>
      </c>
      <c r="C676" s="38">
        <f>VLOOKUP(Tabella1[[#This Row],[test_id]],experiments_specs!A:J,3,FALSE)</f>
        <v>1</v>
      </c>
      <c r="D676" s="38">
        <f>VLOOKUP(Tabella1[[#This Row],[test_id]],experiments_specs!A:J,4,FALSE)</f>
        <v>2</v>
      </c>
      <c r="E676" s="38" t="str">
        <f>VLOOKUP(Tabella1[[#This Row],[test_id]],experiments_specs!A:J,5,FALSE)</f>
        <v>True</v>
      </c>
      <c r="F676" s="38" t="str">
        <f>VLOOKUP(Tabella1[[#This Row],[test_id]],experiments_specs!A:J,6,FALSE)</f>
        <v>False</v>
      </c>
      <c r="G676" s="38" t="str">
        <f>VLOOKUP(Tabella1[[#This Row],[test_id]],experiments_specs!A:J,7,FALSE)</f>
        <v>False</v>
      </c>
      <c r="H676" s="38" t="str">
        <f>VLOOKUP(Tabella1[[#This Row],[test_id]],experiments_specs!A:J,8,FALSE)</f>
        <v>True</v>
      </c>
      <c r="I676" s="45" t="str">
        <f>VLOOKUP(Tabella1[[#This Row],[test_id]],experiments_specs!A:J,9,FALSE)</f>
        <v>wup_similarity</v>
      </c>
      <c r="J676" s="38" t="str">
        <f>VLOOKUP(Tabella1[[#This Row],[test_id]],experiments_specs!A:J,10,FALSE)</f>
        <v>True</v>
      </c>
      <c r="K676" s="40" t="s">
        <v>12</v>
      </c>
      <c r="L676" s="36" t="s">
        <v>895</v>
      </c>
      <c r="M676" s="36" t="s">
        <v>897</v>
      </c>
      <c r="N676" s="36" t="s">
        <v>899</v>
      </c>
      <c r="O676" s="36" t="s">
        <v>901</v>
      </c>
      <c r="P676" s="36">
        <v>0.42857142857142855</v>
      </c>
      <c r="Q676" s="36" t="s">
        <v>391</v>
      </c>
      <c r="R676" s="36" t="s">
        <v>903</v>
      </c>
      <c r="S676" s="36" t="s">
        <v>905</v>
      </c>
      <c r="T676" s="36" t="s">
        <v>907</v>
      </c>
      <c r="U676" s="37">
        <v>0.42857142857142855</v>
      </c>
      <c r="V676"/>
    </row>
    <row r="677" spans="1:22" ht="17" x14ac:dyDescent="0.2">
      <c r="A677" s="36" t="s">
        <v>164</v>
      </c>
      <c r="B677" s="45" t="str">
        <f>VLOOKUP(Tabella1[[#This Row],[test_id]],experiments_specs!A:J,2,FALSE)</f>
        <v>NN</v>
      </c>
      <c r="C677" s="38">
        <f>VLOOKUP(Tabella1[[#This Row],[test_id]],experiments_specs!A:J,3,FALSE)</f>
        <v>1</v>
      </c>
      <c r="D677" s="38">
        <f>VLOOKUP(Tabella1[[#This Row],[test_id]],experiments_specs!A:J,4,FALSE)</f>
        <v>2</v>
      </c>
      <c r="E677" s="38" t="str">
        <f>VLOOKUP(Tabella1[[#This Row],[test_id]],experiments_specs!A:J,5,FALSE)</f>
        <v>True</v>
      </c>
      <c r="F677" s="38" t="str">
        <f>VLOOKUP(Tabella1[[#This Row],[test_id]],experiments_specs!A:J,6,FALSE)</f>
        <v>False</v>
      </c>
      <c r="G677" s="38" t="str">
        <f>VLOOKUP(Tabella1[[#This Row],[test_id]],experiments_specs!A:J,7,FALSE)</f>
        <v>False</v>
      </c>
      <c r="H677" s="38" t="str">
        <f>VLOOKUP(Tabella1[[#This Row],[test_id]],experiments_specs!A:J,8,FALSE)</f>
        <v>True</v>
      </c>
      <c r="I677" s="45" t="str">
        <f>VLOOKUP(Tabella1[[#This Row],[test_id]],experiments_specs!A:J,9,FALSE)</f>
        <v>wup_similarity</v>
      </c>
      <c r="J677" s="38" t="str">
        <f>VLOOKUP(Tabella1[[#This Row],[test_id]],experiments_specs!A:J,10,FALSE)</f>
        <v>True</v>
      </c>
      <c r="K677" s="40" t="s">
        <v>13</v>
      </c>
      <c r="L677" s="36" t="s">
        <v>35</v>
      </c>
      <c r="M677" s="36">
        <v>0.12803680000000001</v>
      </c>
      <c r="N677" s="36" t="s">
        <v>908</v>
      </c>
      <c r="O677" s="36">
        <v>4.6201300000000001E-2</v>
      </c>
      <c r="P677" s="36" t="s">
        <v>25</v>
      </c>
      <c r="Q677" s="36" t="s">
        <v>34</v>
      </c>
      <c r="R677" s="36">
        <v>0.12803680000000001</v>
      </c>
      <c r="S677" s="36" t="s">
        <v>908</v>
      </c>
      <c r="T677" s="36">
        <v>4.6201300000000001E-2</v>
      </c>
      <c r="U677" s="37" t="s">
        <v>25</v>
      </c>
      <c r="V677"/>
    </row>
    <row r="678" spans="1:22" ht="17" x14ac:dyDescent="0.2">
      <c r="A678" s="36" t="s">
        <v>164</v>
      </c>
      <c r="B678" s="45" t="str">
        <f>VLOOKUP(Tabella1[[#This Row],[test_id]],experiments_specs!A:J,2,FALSE)</f>
        <v>NN</v>
      </c>
      <c r="C678" s="38">
        <f>VLOOKUP(Tabella1[[#This Row],[test_id]],experiments_specs!A:J,3,FALSE)</f>
        <v>1</v>
      </c>
      <c r="D678" s="38">
        <f>VLOOKUP(Tabella1[[#This Row],[test_id]],experiments_specs!A:J,4,FALSE)</f>
        <v>2</v>
      </c>
      <c r="E678" s="38" t="str">
        <f>VLOOKUP(Tabella1[[#This Row],[test_id]],experiments_specs!A:J,5,FALSE)</f>
        <v>True</v>
      </c>
      <c r="F678" s="38" t="str">
        <f>VLOOKUP(Tabella1[[#This Row],[test_id]],experiments_specs!A:J,6,FALSE)</f>
        <v>False</v>
      </c>
      <c r="G678" s="38" t="str">
        <f>VLOOKUP(Tabella1[[#This Row],[test_id]],experiments_specs!A:J,7,FALSE)</f>
        <v>False</v>
      </c>
      <c r="H678" s="38" t="str">
        <f>VLOOKUP(Tabella1[[#This Row],[test_id]],experiments_specs!A:J,8,FALSE)</f>
        <v>True</v>
      </c>
      <c r="I678" s="45" t="str">
        <f>VLOOKUP(Tabella1[[#This Row],[test_id]],experiments_specs!A:J,9,FALSE)</f>
        <v>wup_similarity</v>
      </c>
      <c r="J678" s="38" t="str">
        <f>VLOOKUP(Tabella1[[#This Row],[test_id]],experiments_specs!A:J,10,FALSE)</f>
        <v>True</v>
      </c>
      <c r="K678" s="40" t="s">
        <v>14</v>
      </c>
      <c r="L678" s="36" t="s">
        <v>449</v>
      </c>
      <c r="M678" s="36">
        <v>0.27116299999999999</v>
      </c>
      <c r="N678" s="36" t="s">
        <v>450</v>
      </c>
      <c r="O678" s="36">
        <v>1.83748E-2</v>
      </c>
      <c r="P678" s="36">
        <v>0.2857142857142857</v>
      </c>
      <c r="Q678" s="36" t="s">
        <v>451</v>
      </c>
      <c r="R678" s="36">
        <v>0.1212678</v>
      </c>
      <c r="S678" s="36" t="s">
        <v>449</v>
      </c>
      <c r="T678" s="36">
        <v>3.1288000000000003E-2</v>
      </c>
      <c r="U678" s="37">
        <v>0.30769230769230771</v>
      </c>
      <c r="V678"/>
    </row>
    <row r="679" spans="1:22" ht="51" x14ac:dyDescent="0.2">
      <c r="A679" s="36" t="s">
        <v>164</v>
      </c>
      <c r="B679" s="45" t="str">
        <f>VLOOKUP(Tabella1[[#This Row],[test_id]],experiments_specs!A:J,2,FALSE)</f>
        <v>NN</v>
      </c>
      <c r="C679" s="38">
        <f>VLOOKUP(Tabella1[[#This Row],[test_id]],experiments_specs!A:J,3,FALSE)</f>
        <v>1</v>
      </c>
      <c r="D679" s="38">
        <f>VLOOKUP(Tabella1[[#This Row],[test_id]],experiments_specs!A:J,4,FALSE)</f>
        <v>2</v>
      </c>
      <c r="E679" s="38" t="str">
        <f>VLOOKUP(Tabella1[[#This Row],[test_id]],experiments_specs!A:J,5,FALSE)</f>
        <v>True</v>
      </c>
      <c r="F679" s="38" t="str">
        <f>VLOOKUP(Tabella1[[#This Row],[test_id]],experiments_specs!A:J,6,FALSE)</f>
        <v>False</v>
      </c>
      <c r="G679" s="38" t="str">
        <f>VLOOKUP(Tabella1[[#This Row],[test_id]],experiments_specs!A:J,7,FALSE)</f>
        <v>False</v>
      </c>
      <c r="H679" s="38" t="str">
        <f>VLOOKUP(Tabella1[[#This Row],[test_id]],experiments_specs!A:J,8,FALSE)</f>
        <v>True</v>
      </c>
      <c r="I679" s="45" t="str">
        <f>VLOOKUP(Tabella1[[#This Row],[test_id]],experiments_specs!A:J,9,FALSE)</f>
        <v>wup_similarity</v>
      </c>
      <c r="J679" s="38" t="str">
        <f>VLOOKUP(Tabella1[[#This Row],[test_id]],experiments_specs!A:J,10,FALSE)</f>
        <v>True</v>
      </c>
      <c r="K679" s="40" t="s">
        <v>15</v>
      </c>
      <c r="L679" s="36" t="s">
        <v>910</v>
      </c>
      <c r="M679" s="36" t="s">
        <v>912</v>
      </c>
      <c r="N679" s="36" t="s">
        <v>914</v>
      </c>
      <c r="O679" s="36" t="s">
        <v>916</v>
      </c>
      <c r="P679" s="36">
        <v>0.16666666666666666</v>
      </c>
      <c r="Q679" s="36" t="s">
        <v>28</v>
      </c>
      <c r="R679" s="36" t="s">
        <v>918</v>
      </c>
      <c r="S679" s="36" t="s">
        <v>920</v>
      </c>
      <c r="T679" s="36" t="s">
        <v>922</v>
      </c>
      <c r="U679" s="37">
        <v>0.18181818181818182</v>
      </c>
      <c r="V679"/>
    </row>
    <row r="680" spans="1:22" ht="119" x14ac:dyDescent="0.2">
      <c r="A680" s="36" t="s">
        <v>164</v>
      </c>
      <c r="B680" s="45" t="str">
        <f>VLOOKUP(Tabella1[[#This Row],[test_id]],experiments_specs!A:J,2,FALSE)</f>
        <v>NN</v>
      </c>
      <c r="C680" s="38">
        <f>VLOOKUP(Tabella1[[#This Row],[test_id]],experiments_specs!A:J,3,FALSE)</f>
        <v>1</v>
      </c>
      <c r="D680" s="38">
        <f>VLOOKUP(Tabella1[[#This Row],[test_id]],experiments_specs!A:J,4,FALSE)</f>
        <v>2</v>
      </c>
      <c r="E680" s="38" t="str">
        <f>VLOOKUP(Tabella1[[#This Row],[test_id]],experiments_specs!A:J,5,FALSE)</f>
        <v>True</v>
      </c>
      <c r="F680" s="38" t="str">
        <f>VLOOKUP(Tabella1[[#This Row],[test_id]],experiments_specs!A:J,6,FALSE)</f>
        <v>False</v>
      </c>
      <c r="G680" s="38" t="str">
        <f>VLOOKUP(Tabella1[[#This Row],[test_id]],experiments_specs!A:J,7,FALSE)</f>
        <v>False</v>
      </c>
      <c r="H680" s="38" t="str">
        <f>VLOOKUP(Tabella1[[#This Row],[test_id]],experiments_specs!A:J,8,FALSE)</f>
        <v>True</v>
      </c>
      <c r="I680" s="45" t="str">
        <f>VLOOKUP(Tabella1[[#This Row],[test_id]],experiments_specs!A:J,9,FALSE)</f>
        <v>wup_similarity</v>
      </c>
      <c r="J680" s="38" t="str">
        <f>VLOOKUP(Tabella1[[#This Row],[test_id]],experiments_specs!A:J,10,FALSE)</f>
        <v>True</v>
      </c>
      <c r="K680" s="40" t="s">
        <v>16</v>
      </c>
      <c r="L680" s="36" t="s">
        <v>924</v>
      </c>
      <c r="M680" s="36" t="s">
        <v>926</v>
      </c>
      <c r="N680" s="36" t="s">
        <v>928</v>
      </c>
      <c r="O680" s="36" t="s">
        <v>1190</v>
      </c>
      <c r="P680" s="36">
        <v>0.2857142857142857</v>
      </c>
      <c r="Q680" s="36" t="s">
        <v>932</v>
      </c>
      <c r="R680" s="36" t="s">
        <v>934</v>
      </c>
      <c r="S680" s="36" t="s">
        <v>936</v>
      </c>
      <c r="T680" s="36" t="s">
        <v>938</v>
      </c>
      <c r="U680" s="37">
        <v>0.23529411764705882</v>
      </c>
      <c r="V680"/>
    </row>
    <row r="681" spans="1:22" ht="34" x14ac:dyDescent="0.2">
      <c r="A681" s="36" t="s">
        <v>164</v>
      </c>
      <c r="B681" s="45" t="str">
        <f>VLOOKUP(Tabella1[[#This Row],[test_id]],experiments_specs!A:J,2,FALSE)</f>
        <v>NN</v>
      </c>
      <c r="C681" s="38">
        <f>VLOOKUP(Tabella1[[#This Row],[test_id]],experiments_specs!A:J,3,FALSE)</f>
        <v>1</v>
      </c>
      <c r="D681" s="38">
        <f>VLOOKUP(Tabella1[[#This Row],[test_id]],experiments_specs!A:J,4,FALSE)</f>
        <v>2</v>
      </c>
      <c r="E681" s="38" t="str">
        <f>VLOOKUP(Tabella1[[#This Row],[test_id]],experiments_specs!A:J,5,FALSE)</f>
        <v>True</v>
      </c>
      <c r="F681" s="38" t="str">
        <f>VLOOKUP(Tabella1[[#This Row],[test_id]],experiments_specs!A:J,6,FALSE)</f>
        <v>False</v>
      </c>
      <c r="G681" s="38" t="str">
        <f>VLOOKUP(Tabella1[[#This Row],[test_id]],experiments_specs!A:J,7,FALSE)</f>
        <v>False</v>
      </c>
      <c r="H681" s="38" t="str">
        <f>VLOOKUP(Tabella1[[#This Row],[test_id]],experiments_specs!A:J,8,FALSE)</f>
        <v>True</v>
      </c>
      <c r="I681" s="45" t="str">
        <f>VLOOKUP(Tabella1[[#This Row],[test_id]],experiments_specs!A:J,9,FALSE)</f>
        <v>wup_similarity</v>
      </c>
      <c r="J681" s="38" t="str">
        <f>VLOOKUP(Tabella1[[#This Row],[test_id]],experiments_specs!A:J,10,FALSE)</f>
        <v>True</v>
      </c>
      <c r="K681" s="40" t="s">
        <v>17</v>
      </c>
      <c r="L681" s="36" t="s">
        <v>939</v>
      </c>
      <c r="M681" s="36">
        <v>0.13483990000000001</v>
      </c>
      <c r="N681" s="36" t="s">
        <v>940</v>
      </c>
      <c r="O681" s="36">
        <v>2.2936700000000001E-2</v>
      </c>
      <c r="P681" s="36">
        <v>0.26666666666666666</v>
      </c>
      <c r="Q681" s="36" t="s">
        <v>647</v>
      </c>
      <c r="R681" s="36" t="s">
        <v>467</v>
      </c>
      <c r="S681" s="36" t="s">
        <v>942</v>
      </c>
      <c r="T681" s="36" t="s">
        <v>944</v>
      </c>
      <c r="U681" s="37">
        <v>0.16666666666666666</v>
      </c>
      <c r="V681"/>
    </row>
    <row r="682" spans="1:22" ht="136" x14ac:dyDescent="0.2">
      <c r="A682" s="36" t="s">
        <v>164</v>
      </c>
      <c r="B682" s="45" t="str">
        <f>VLOOKUP(Tabella1[[#This Row],[test_id]],experiments_specs!A:J,2,FALSE)</f>
        <v>NN</v>
      </c>
      <c r="C682" s="38">
        <f>VLOOKUP(Tabella1[[#This Row],[test_id]],experiments_specs!A:J,3,FALSE)</f>
        <v>1</v>
      </c>
      <c r="D682" s="38">
        <f>VLOOKUP(Tabella1[[#This Row],[test_id]],experiments_specs!A:J,4,FALSE)</f>
        <v>2</v>
      </c>
      <c r="E682" s="38" t="str">
        <f>VLOOKUP(Tabella1[[#This Row],[test_id]],experiments_specs!A:J,5,FALSE)</f>
        <v>True</v>
      </c>
      <c r="F682" s="38" t="str">
        <f>VLOOKUP(Tabella1[[#This Row],[test_id]],experiments_specs!A:J,6,FALSE)</f>
        <v>False</v>
      </c>
      <c r="G682" s="38" t="str">
        <f>VLOOKUP(Tabella1[[#This Row],[test_id]],experiments_specs!A:J,7,FALSE)</f>
        <v>False</v>
      </c>
      <c r="H682" s="38" t="str">
        <f>VLOOKUP(Tabella1[[#This Row],[test_id]],experiments_specs!A:J,8,FALSE)</f>
        <v>True</v>
      </c>
      <c r="I682" s="45" t="str">
        <f>VLOOKUP(Tabella1[[#This Row],[test_id]],experiments_specs!A:J,9,FALSE)</f>
        <v>wup_similarity</v>
      </c>
      <c r="J682" s="38" t="str">
        <f>VLOOKUP(Tabella1[[#This Row],[test_id]],experiments_specs!A:J,10,FALSE)</f>
        <v>True</v>
      </c>
      <c r="K682" s="40" t="s">
        <v>18</v>
      </c>
      <c r="L682" s="36" t="s">
        <v>946</v>
      </c>
      <c r="M682" s="36" t="s">
        <v>948</v>
      </c>
      <c r="N682" s="36" t="s">
        <v>950</v>
      </c>
      <c r="O682" s="36" t="s">
        <v>952</v>
      </c>
      <c r="P682" s="36">
        <v>0.21052631578947367</v>
      </c>
      <c r="Q682" s="36" t="s">
        <v>46</v>
      </c>
      <c r="R682" s="36">
        <v>0.1561737</v>
      </c>
      <c r="S682" s="36" t="s">
        <v>953</v>
      </c>
      <c r="T682" s="36">
        <v>3.9379699999999997E-2</v>
      </c>
      <c r="U682" s="37">
        <v>0.21052631578947367</v>
      </c>
      <c r="V682"/>
    </row>
    <row r="683" spans="1:22" ht="34" x14ac:dyDescent="0.2">
      <c r="A683" s="36" t="s">
        <v>165</v>
      </c>
      <c r="B683" s="45" t="str">
        <f>VLOOKUP(Tabella1[[#This Row],[test_id]],experiments_specs!A:J,2,FALSE)</f>
        <v>NN,JJ</v>
      </c>
      <c r="C683" s="38">
        <f>VLOOKUP(Tabella1[[#This Row],[test_id]],experiments_specs!A:J,3,FALSE)</f>
        <v>1</v>
      </c>
      <c r="D683" s="38">
        <f>VLOOKUP(Tabella1[[#This Row],[test_id]],experiments_specs!A:J,4,FALSE)</f>
        <v>2</v>
      </c>
      <c r="E683" s="38" t="str">
        <f>VLOOKUP(Tabella1[[#This Row],[test_id]],experiments_specs!A:J,5,FALSE)</f>
        <v>True</v>
      </c>
      <c r="F683" s="38" t="str">
        <f>VLOOKUP(Tabella1[[#This Row],[test_id]],experiments_specs!A:J,6,FALSE)</f>
        <v>False</v>
      </c>
      <c r="G683" s="38" t="str">
        <f>VLOOKUP(Tabella1[[#This Row],[test_id]],experiments_specs!A:J,7,FALSE)</f>
        <v>False</v>
      </c>
      <c r="H683" s="38" t="str">
        <f>VLOOKUP(Tabella1[[#This Row],[test_id]],experiments_specs!A:J,8,FALSE)</f>
        <v>True</v>
      </c>
      <c r="I683" s="45" t="str">
        <f>VLOOKUP(Tabella1[[#This Row],[test_id]],experiments_specs!A:J,9,FALSE)</f>
        <v>wup_similarity</v>
      </c>
      <c r="J683" s="38" t="str">
        <f>VLOOKUP(Tabella1[[#This Row],[test_id]],experiments_specs!A:J,10,FALSE)</f>
        <v>True</v>
      </c>
      <c r="K683" s="40" t="s">
        <v>19</v>
      </c>
      <c r="L683" s="36" t="s">
        <v>20</v>
      </c>
      <c r="M683" s="36" t="s">
        <v>498</v>
      </c>
      <c r="N683" s="36" t="s">
        <v>891</v>
      </c>
      <c r="O683" s="36" t="s">
        <v>1126</v>
      </c>
      <c r="P683" s="36">
        <v>0.19047619047619047</v>
      </c>
      <c r="Q683" s="36" t="s">
        <v>47</v>
      </c>
      <c r="R683" s="36">
        <v>0.18731709999999999</v>
      </c>
      <c r="S683" s="36" t="s">
        <v>746</v>
      </c>
      <c r="T683" s="36">
        <v>2.5386300000000001E-2</v>
      </c>
      <c r="U683" s="37">
        <v>0.2</v>
      </c>
      <c r="V683"/>
    </row>
    <row r="684" spans="1:22" ht="170" x14ac:dyDescent="0.2">
      <c r="A684" s="36" t="s">
        <v>165</v>
      </c>
      <c r="B684" s="45" t="str">
        <f>VLOOKUP(Tabella1[[#This Row],[test_id]],experiments_specs!A:J,2,FALSE)</f>
        <v>NN,JJ</v>
      </c>
      <c r="C684" s="38">
        <f>VLOOKUP(Tabella1[[#This Row],[test_id]],experiments_specs!A:J,3,FALSE)</f>
        <v>1</v>
      </c>
      <c r="D684" s="38">
        <f>VLOOKUP(Tabella1[[#This Row],[test_id]],experiments_specs!A:J,4,FALSE)</f>
        <v>2</v>
      </c>
      <c r="E684" s="38" t="str">
        <f>VLOOKUP(Tabella1[[#This Row],[test_id]],experiments_specs!A:J,5,FALSE)</f>
        <v>True</v>
      </c>
      <c r="F684" s="38" t="str">
        <f>VLOOKUP(Tabella1[[#This Row],[test_id]],experiments_specs!A:J,6,FALSE)</f>
        <v>False</v>
      </c>
      <c r="G684" s="38" t="str">
        <f>VLOOKUP(Tabella1[[#This Row],[test_id]],experiments_specs!A:J,7,FALSE)</f>
        <v>False</v>
      </c>
      <c r="H684" s="38" t="str">
        <f>VLOOKUP(Tabella1[[#This Row],[test_id]],experiments_specs!A:J,8,FALSE)</f>
        <v>True</v>
      </c>
      <c r="I684" s="45" t="str">
        <f>VLOOKUP(Tabella1[[#This Row],[test_id]],experiments_specs!A:J,9,FALSE)</f>
        <v>wup_similarity</v>
      </c>
      <c r="J684" s="38" t="str">
        <f>VLOOKUP(Tabella1[[#This Row],[test_id]],experiments_specs!A:J,10,FALSE)</f>
        <v>True</v>
      </c>
      <c r="K684" s="40" t="s">
        <v>12</v>
      </c>
      <c r="L684" s="36" t="s">
        <v>895</v>
      </c>
      <c r="M684" s="36" t="s">
        <v>1128</v>
      </c>
      <c r="N684" s="36" t="s">
        <v>899</v>
      </c>
      <c r="O684" s="36" t="s">
        <v>1130</v>
      </c>
      <c r="P684" s="36">
        <v>0.42857142857142855</v>
      </c>
      <c r="Q684" s="36" t="s">
        <v>391</v>
      </c>
      <c r="R684" s="36" t="s">
        <v>1132</v>
      </c>
      <c r="S684" s="36" t="s">
        <v>905</v>
      </c>
      <c r="T684" s="36" t="s">
        <v>1134</v>
      </c>
      <c r="U684" s="37">
        <v>0.42857142857142855</v>
      </c>
      <c r="V684"/>
    </row>
    <row r="685" spans="1:22" ht="17" x14ac:dyDescent="0.2">
      <c r="A685" s="36" t="s">
        <v>165</v>
      </c>
      <c r="B685" s="45" t="str">
        <f>VLOOKUP(Tabella1[[#This Row],[test_id]],experiments_specs!A:J,2,FALSE)</f>
        <v>NN,JJ</v>
      </c>
      <c r="C685" s="38">
        <f>VLOOKUP(Tabella1[[#This Row],[test_id]],experiments_specs!A:J,3,FALSE)</f>
        <v>1</v>
      </c>
      <c r="D685" s="38">
        <f>VLOOKUP(Tabella1[[#This Row],[test_id]],experiments_specs!A:J,4,FALSE)</f>
        <v>2</v>
      </c>
      <c r="E685" s="38" t="str">
        <f>VLOOKUP(Tabella1[[#This Row],[test_id]],experiments_specs!A:J,5,FALSE)</f>
        <v>True</v>
      </c>
      <c r="F685" s="38" t="str">
        <f>VLOOKUP(Tabella1[[#This Row],[test_id]],experiments_specs!A:J,6,FALSE)</f>
        <v>False</v>
      </c>
      <c r="G685" s="38" t="str">
        <f>VLOOKUP(Tabella1[[#This Row],[test_id]],experiments_specs!A:J,7,FALSE)</f>
        <v>False</v>
      </c>
      <c r="H685" s="38" t="str">
        <f>VLOOKUP(Tabella1[[#This Row],[test_id]],experiments_specs!A:J,8,FALSE)</f>
        <v>True</v>
      </c>
      <c r="I685" s="45" t="str">
        <f>VLOOKUP(Tabella1[[#This Row],[test_id]],experiments_specs!A:J,9,FALSE)</f>
        <v>wup_similarity</v>
      </c>
      <c r="J685" s="38" t="str">
        <f>VLOOKUP(Tabella1[[#This Row],[test_id]],experiments_specs!A:J,10,FALSE)</f>
        <v>True</v>
      </c>
      <c r="K685" s="40" t="s">
        <v>13</v>
      </c>
      <c r="L685" s="36" t="s">
        <v>35</v>
      </c>
      <c r="M685" s="36">
        <v>0.12803680000000001</v>
      </c>
      <c r="N685" s="36" t="s">
        <v>908</v>
      </c>
      <c r="O685" s="36">
        <v>4.6201300000000001E-2</v>
      </c>
      <c r="P685" s="36" t="s">
        <v>25</v>
      </c>
      <c r="Q685" s="36" t="s">
        <v>34</v>
      </c>
      <c r="R685" s="36">
        <v>0.12803680000000001</v>
      </c>
      <c r="S685" s="36" t="s">
        <v>908</v>
      </c>
      <c r="T685" s="36">
        <v>4.6201300000000001E-2</v>
      </c>
      <c r="U685" s="37" t="s">
        <v>25</v>
      </c>
      <c r="V685"/>
    </row>
    <row r="686" spans="1:22" ht="17" x14ac:dyDescent="0.2">
      <c r="A686" s="36" t="s">
        <v>165</v>
      </c>
      <c r="B686" s="45" t="str">
        <f>VLOOKUP(Tabella1[[#This Row],[test_id]],experiments_specs!A:J,2,FALSE)</f>
        <v>NN,JJ</v>
      </c>
      <c r="C686" s="38">
        <f>VLOOKUP(Tabella1[[#This Row],[test_id]],experiments_specs!A:J,3,FALSE)</f>
        <v>1</v>
      </c>
      <c r="D686" s="38">
        <f>VLOOKUP(Tabella1[[#This Row],[test_id]],experiments_specs!A:J,4,FALSE)</f>
        <v>2</v>
      </c>
      <c r="E686" s="38" t="str">
        <f>VLOOKUP(Tabella1[[#This Row],[test_id]],experiments_specs!A:J,5,FALSE)</f>
        <v>True</v>
      </c>
      <c r="F686" s="38" t="str">
        <f>VLOOKUP(Tabella1[[#This Row],[test_id]],experiments_specs!A:J,6,FALSE)</f>
        <v>False</v>
      </c>
      <c r="G686" s="38" t="str">
        <f>VLOOKUP(Tabella1[[#This Row],[test_id]],experiments_specs!A:J,7,FALSE)</f>
        <v>False</v>
      </c>
      <c r="H686" s="38" t="str">
        <f>VLOOKUP(Tabella1[[#This Row],[test_id]],experiments_specs!A:J,8,FALSE)</f>
        <v>True</v>
      </c>
      <c r="I686" s="45" t="str">
        <f>VLOOKUP(Tabella1[[#This Row],[test_id]],experiments_specs!A:J,9,FALSE)</f>
        <v>wup_similarity</v>
      </c>
      <c r="J686" s="38" t="str">
        <f>VLOOKUP(Tabella1[[#This Row],[test_id]],experiments_specs!A:J,10,FALSE)</f>
        <v>True</v>
      </c>
      <c r="K686" s="40" t="s">
        <v>14</v>
      </c>
      <c r="L686" s="36" t="s">
        <v>449</v>
      </c>
      <c r="M686" s="36">
        <v>0.26726119999999998</v>
      </c>
      <c r="N686" s="36" t="s">
        <v>450</v>
      </c>
      <c r="O686" s="36">
        <v>1.5366400000000001E-2</v>
      </c>
      <c r="P686" s="36">
        <v>0.2857142857142857</v>
      </c>
      <c r="Q686" s="36" t="s">
        <v>451</v>
      </c>
      <c r="R686" s="36">
        <v>0.1195228</v>
      </c>
      <c r="S686" s="36" t="s">
        <v>449</v>
      </c>
      <c r="T686" s="36">
        <v>2.5863899999999999E-2</v>
      </c>
      <c r="U686" s="37">
        <v>0.30769230769230771</v>
      </c>
      <c r="V686"/>
    </row>
    <row r="687" spans="1:22" ht="34" x14ac:dyDescent="0.2">
      <c r="A687" s="36" t="s">
        <v>165</v>
      </c>
      <c r="B687" s="45" t="str">
        <f>VLOOKUP(Tabella1[[#This Row],[test_id]],experiments_specs!A:J,2,FALSE)</f>
        <v>NN,JJ</v>
      </c>
      <c r="C687" s="38">
        <f>VLOOKUP(Tabella1[[#This Row],[test_id]],experiments_specs!A:J,3,FALSE)</f>
        <v>1</v>
      </c>
      <c r="D687" s="38">
        <f>VLOOKUP(Tabella1[[#This Row],[test_id]],experiments_specs!A:J,4,FALSE)</f>
        <v>2</v>
      </c>
      <c r="E687" s="38" t="str">
        <f>VLOOKUP(Tabella1[[#This Row],[test_id]],experiments_specs!A:J,5,FALSE)</f>
        <v>True</v>
      </c>
      <c r="F687" s="38" t="str">
        <f>VLOOKUP(Tabella1[[#This Row],[test_id]],experiments_specs!A:J,6,FALSE)</f>
        <v>False</v>
      </c>
      <c r="G687" s="38" t="str">
        <f>VLOOKUP(Tabella1[[#This Row],[test_id]],experiments_specs!A:J,7,FALSE)</f>
        <v>False</v>
      </c>
      <c r="H687" s="38" t="str">
        <f>VLOOKUP(Tabella1[[#This Row],[test_id]],experiments_specs!A:J,8,FALSE)</f>
        <v>True</v>
      </c>
      <c r="I687" s="45" t="str">
        <f>VLOOKUP(Tabella1[[#This Row],[test_id]],experiments_specs!A:J,9,FALSE)</f>
        <v>wup_similarity</v>
      </c>
      <c r="J687" s="38" t="str">
        <f>VLOOKUP(Tabella1[[#This Row],[test_id]],experiments_specs!A:J,10,FALSE)</f>
        <v>True</v>
      </c>
      <c r="K687" s="40" t="s">
        <v>15</v>
      </c>
      <c r="L687" s="36" t="s">
        <v>772</v>
      </c>
      <c r="M687" s="36" t="s">
        <v>1136</v>
      </c>
      <c r="N687" s="36" t="s">
        <v>776</v>
      </c>
      <c r="O687" s="36" t="s">
        <v>1138</v>
      </c>
      <c r="P687" s="36">
        <v>0.16666666666666666</v>
      </c>
      <c r="Q687" s="36" t="s">
        <v>15</v>
      </c>
      <c r="R687" s="36">
        <v>9.2057399999999998E-2</v>
      </c>
      <c r="S687" s="36" t="s">
        <v>474</v>
      </c>
      <c r="T687" s="36">
        <v>4.95957E-2</v>
      </c>
      <c r="U687" s="37">
        <v>0.90909090909090906</v>
      </c>
      <c r="V687"/>
    </row>
    <row r="688" spans="1:22" ht="119" x14ac:dyDescent="0.2">
      <c r="A688" s="36" t="s">
        <v>165</v>
      </c>
      <c r="B688" s="45" t="str">
        <f>VLOOKUP(Tabella1[[#This Row],[test_id]],experiments_specs!A:J,2,FALSE)</f>
        <v>NN,JJ</v>
      </c>
      <c r="C688" s="38">
        <f>VLOOKUP(Tabella1[[#This Row],[test_id]],experiments_specs!A:J,3,FALSE)</f>
        <v>1</v>
      </c>
      <c r="D688" s="38">
        <f>VLOOKUP(Tabella1[[#This Row],[test_id]],experiments_specs!A:J,4,FALSE)</f>
        <v>2</v>
      </c>
      <c r="E688" s="38" t="str">
        <f>VLOOKUP(Tabella1[[#This Row],[test_id]],experiments_specs!A:J,5,FALSE)</f>
        <v>True</v>
      </c>
      <c r="F688" s="38" t="str">
        <f>VLOOKUP(Tabella1[[#This Row],[test_id]],experiments_specs!A:J,6,FALSE)</f>
        <v>False</v>
      </c>
      <c r="G688" s="38" t="str">
        <f>VLOOKUP(Tabella1[[#This Row],[test_id]],experiments_specs!A:J,7,FALSE)</f>
        <v>False</v>
      </c>
      <c r="H688" s="38" t="str">
        <f>VLOOKUP(Tabella1[[#This Row],[test_id]],experiments_specs!A:J,8,FALSE)</f>
        <v>True</v>
      </c>
      <c r="I688" s="45" t="str">
        <f>VLOOKUP(Tabella1[[#This Row],[test_id]],experiments_specs!A:J,9,FALSE)</f>
        <v>wup_similarity</v>
      </c>
      <c r="J688" s="38" t="str">
        <f>VLOOKUP(Tabella1[[#This Row],[test_id]],experiments_specs!A:J,10,FALSE)</f>
        <v>True</v>
      </c>
      <c r="K688" s="40" t="s">
        <v>16</v>
      </c>
      <c r="L688" s="36" t="s">
        <v>924</v>
      </c>
      <c r="M688" s="36" t="s">
        <v>926</v>
      </c>
      <c r="N688" s="36" t="s">
        <v>928</v>
      </c>
      <c r="O688" s="36" t="s">
        <v>930</v>
      </c>
      <c r="P688" s="36">
        <v>0.2857142857142857</v>
      </c>
      <c r="Q688" s="36" t="s">
        <v>932</v>
      </c>
      <c r="R688" s="36" t="s">
        <v>934</v>
      </c>
      <c r="S688" s="36" t="s">
        <v>936</v>
      </c>
      <c r="T688" s="36" t="s">
        <v>977</v>
      </c>
      <c r="U688" s="37">
        <v>0.23529411764705882</v>
      </c>
      <c r="V688"/>
    </row>
    <row r="689" spans="1:22" ht="34" x14ac:dyDescent="0.2">
      <c r="A689" s="36" t="s">
        <v>165</v>
      </c>
      <c r="B689" s="45" t="str">
        <f>VLOOKUP(Tabella1[[#This Row],[test_id]],experiments_specs!A:J,2,FALSE)</f>
        <v>NN,JJ</v>
      </c>
      <c r="C689" s="38">
        <f>VLOOKUP(Tabella1[[#This Row],[test_id]],experiments_specs!A:J,3,FALSE)</f>
        <v>1</v>
      </c>
      <c r="D689" s="38">
        <f>VLOOKUP(Tabella1[[#This Row],[test_id]],experiments_specs!A:J,4,FALSE)</f>
        <v>2</v>
      </c>
      <c r="E689" s="38" t="str">
        <f>VLOOKUP(Tabella1[[#This Row],[test_id]],experiments_specs!A:J,5,FALSE)</f>
        <v>True</v>
      </c>
      <c r="F689" s="38" t="str">
        <f>VLOOKUP(Tabella1[[#This Row],[test_id]],experiments_specs!A:J,6,FALSE)</f>
        <v>False</v>
      </c>
      <c r="G689" s="38" t="str">
        <f>VLOOKUP(Tabella1[[#This Row],[test_id]],experiments_specs!A:J,7,FALSE)</f>
        <v>False</v>
      </c>
      <c r="H689" s="38" t="str">
        <f>VLOOKUP(Tabella1[[#This Row],[test_id]],experiments_specs!A:J,8,FALSE)</f>
        <v>True</v>
      </c>
      <c r="I689" s="45" t="str">
        <f>VLOOKUP(Tabella1[[#This Row],[test_id]],experiments_specs!A:J,9,FALSE)</f>
        <v>wup_similarity</v>
      </c>
      <c r="J689" s="38" t="str">
        <f>VLOOKUP(Tabella1[[#This Row],[test_id]],experiments_specs!A:J,10,FALSE)</f>
        <v>True</v>
      </c>
      <c r="K689" s="40" t="s">
        <v>17</v>
      </c>
      <c r="L689" s="36" t="s">
        <v>939</v>
      </c>
      <c r="M689" s="36">
        <v>0.13483990000000001</v>
      </c>
      <c r="N689" s="36" t="s">
        <v>940</v>
      </c>
      <c r="O689" s="36">
        <v>2.0388199999999999E-2</v>
      </c>
      <c r="P689" s="36">
        <v>0.26666666666666666</v>
      </c>
      <c r="Q689" s="36" t="s">
        <v>647</v>
      </c>
      <c r="R689" s="36" t="s">
        <v>467</v>
      </c>
      <c r="S689" s="36" t="s">
        <v>942</v>
      </c>
      <c r="T689" s="36" t="s">
        <v>1140</v>
      </c>
      <c r="U689" s="37">
        <v>0.16666666666666666</v>
      </c>
      <c r="V689"/>
    </row>
    <row r="690" spans="1:22" ht="136" x14ac:dyDescent="0.2">
      <c r="A690" s="36" t="s">
        <v>165</v>
      </c>
      <c r="B690" s="45" t="str">
        <f>VLOOKUP(Tabella1[[#This Row],[test_id]],experiments_specs!A:J,2,FALSE)</f>
        <v>NN,JJ</v>
      </c>
      <c r="C690" s="38">
        <f>VLOOKUP(Tabella1[[#This Row],[test_id]],experiments_specs!A:J,3,FALSE)</f>
        <v>1</v>
      </c>
      <c r="D690" s="38">
        <f>VLOOKUP(Tabella1[[#This Row],[test_id]],experiments_specs!A:J,4,FALSE)</f>
        <v>2</v>
      </c>
      <c r="E690" s="38" t="str">
        <f>VLOOKUP(Tabella1[[#This Row],[test_id]],experiments_specs!A:J,5,FALSE)</f>
        <v>True</v>
      </c>
      <c r="F690" s="38" t="str">
        <f>VLOOKUP(Tabella1[[#This Row],[test_id]],experiments_specs!A:J,6,FALSE)</f>
        <v>False</v>
      </c>
      <c r="G690" s="38" t="str">
        <f>VLOOKUP(Tabella1[[#This Row],[test_id]],experiments_specs!A:J,7,FALSE)</f>
        <v>False</v>
      </c>
      <c r="H690" s="38" t="str">
        <f>VLOOKUP(Tabella1[[#This Row],[test_id]],experiments_specs!A:J,8,FALSE)</f>
        <v>True</v>
      </c>
      <c r="I690" s="45" t="str">
        <f>VLOOKUP(Tabella1[[#This Row],[test_id]],experiments_specs!A:J,9,FALSE)</f>
        <v>wup_similarity</v>
      </c>
      <c r="J690" s="38" t="str">
        <f>VLOOKUP(Tabella1[[#This Row],[test_id]],experiments_specs!A:J,10,FALSE)</f>
        <v>True</v>
      </c>
      <c r="K690" s="40" t="s">
        <v>18</v>
      </c>
      <c r="L690" s="36" t="s">
        <v>946</v>
      </c>
      <c r="M690" s="36" t="s">
        <v>1142</v>
      </c>
      <c r="N690" s="36" t="s">
        <v>950</v>
      </c>
      <c r="O690" s="36" t="s">
        <v>1144</v>
      </c>
      <c r="P690" s="36">
        <v>0.21052631578947367</v>
      </c>
      <c r="Q690" s="36" t="s">
        <v>46</v>
      </c>
      <c r="R690" s="36">
        <v>0.15523010000000001</v>
      </c>
      <c r="S690" s="36" t="s">
        <v>953</v>
      </c>
      <c r="T690" s="36">
        <v>3.5968100000000003E-2</v>
      </c>
      <c r="U690" s="37">
        <v>0.21052631578947367</v>
      </c>
      <c r="V690"/>
    </row>
    <row r="691" spans="1:22" ht="34" x14ac:dyDescent="0.2">
      <c r="A691" s="36" t="s">
        <v>166</v>
      </c>
      <c r="B691" s="45" t="str">
        <f>VLOOKUP(Tabella1[[#This Row],[test_id]],experiments_specs!A:J,2,FALSE)</f>
        <v>NN,VB</v>
      </c>
      <c r="C691" s="38">
        <f>VLOOKUP(Tabella1[[#This Row],[test_id]],experiments_specs!A:J,3,FALSE)</f>
        <v>1</v>
      </c>
      <c r="D691" s="38">
        <f>VLOOKUP(Tabella1[[#This Row],[test_id]],experiments_specs!A:J,4,FALSE)</f>
        <v>2</v>
      </c>
      <c r="E691" s="38" t="str">
        <f>VLOOKUP(Tabella1[[#This Row],[test_id]],experiments_specs!A:J,5,FALSE)</f>
        <v>True</v>
      </c>
      <c r="F691" s="38" t="str">
        <f>VLOOKUP(Tabella1[[#This Row],[test_id]],experiments_specs!A:J,6,FALSE)</f>
        <v>False</v>
      </c>
      <c r="G691" s="38" t="str">
        <f>VLOOKUP(Tabella1[[#This Row],[test_id]],experiments_specs!A:J,7,FALSE)</f>
        <v>False</v>
      </c>
      <c r="H691" s="38" t="str">
        <f>VLOOKUP(Tabella1[[#This Row],[test_id]],experiments_specs!A:J,8,FALSE)</f>
        <v>True</v>
      </c>
      <c r="I691" s="45" t="str">
        <f>VLOOKUP(Tabella1[[#This Row],[test_id]],experiments_specs!A:J,9,FALSE)</f>
        <v>wup_similarity</v>
      </c>
      <c r="J691" s="38" t="str">
        <f>VLOOKUP(Tabella1[[#This Row],[test_id]],experiments_specs!A:J,10,FALSE)</f>
        <v>True</v>
      </c>
      <c r="K691" s="40" t="s">
        <v>19</v>
      </c>
      <c r="L691" s="36" t="s">
        <v>20</v>
      </c>
      <c r="M691" s="36" t="s">
        <v>498</v>
      </c>
      <c r="N691" s="36" t="s">
        <v>891</v>
      </c>
      <c r="O691" s="36" t="s">
        <v>985</v>
      </c>
      <c r="P691" s="36">
        <v>0.19047619047619047</v>
      </c>
      <c r="Q691" s="36" t="s">
        <v>47</v>
      </c>
      <c r="R691" s="36">
        <v>0.18731709999999999</v>
      </c>
      <c r="S691" s="36" t="s">
        <v>746</v>
      </c>
      <c r="T691" s="36">
        <v>3.2309900000000003E-2</v>
      </c>
      <c r="U691" s="37">
        <v>0.2</v>
      </c>
      <c r="V691"/>
    </row>
    <row r="692" spans="1:22" ht="204" x14ac:dyDescent="0.2">
      <c r="A692" s="36" t="s">
        <v>166</v>
      </c>
      <c r="B692" s="45" t="str">
        <f>VLOOKUP(Tabella1[[#This Row],[test_id]],experiments_specs!A:J,2,FALSE)</f>
        <v>NN,VB</v>
      </c>
      <c r="C692" s="38">
        <f>VLOOKUP(Tabella1[[#This Row],[test_id]],experiments_specs!A:J,3,FALSE)</f>
        <v>1</v>
      </c>
      <c r="D692" s="38">
        <f>VLOOKUP(Tabella1[[#This Row],[test_id]],experiments_specs!A:J,4,FALSE)</f>
        <v>2</v>
      </c>
      <c r="E692" s="38" t="str">
        <f>VLOOKUP(Tabella1[[#This Row],[test_id]],experiments_specs!A:J,5,FALSE)</f>
        <v>True</v>
      </c>
      <c r="F692" s="38" t="str">
        <f>VLOOKUP(Tabella1[[#This Row],[test_id]],experiments_specs!A:J,6,FALSE)</f>
        <v>False</v>
      </c>
      <c r="G692" s="38" t="str">
        <f>VLOOKUP(Tabella1[[#This Row],[test_id]],experiments_specs!A:J,7,FALSE)</f>
        <v>False</v>
      </c>
      <c r="H692" s="38" t="str">
        <f>VLOOKUP(Tabella1[[#This Row],[test_id]],experiments_specs!A:J,8,FALSE)</f>
        <v>True</v>
      </c>
      <c r="I692" s="45" t="str">
        <f>VLOOKUP(Tabella1[[#This Row],[test_id]],experiments_specs!A:J,9,FALSE)</f>
        <v>wup_similarity</v>
      </c>
      <c r="J692" s="38" t="str">
        <f>VLOOKUP(Tabella1[[#This Row],[test_id]],experiments_specs!A:J,10,FALSE)</f>
        <v>True</v>
      </c>
      <c r="K692" s="40" t="s">
        <v>12</v>
      </c>
      <c r="L692" s="36" t="s">
        <v>987</v>
      </c>
      <c r="M692" s="36" t="s">
        <v>989</v>
      </c>
      <c r="N692" s="36" t="s">
        <v>991</v>
      </c>
      <c r="O692" s="36" t="s">
        <v>1146</v>
      </c>
      <c r="P692" s="36">
        <v>0.42857142857142855</v>
      </c>
      <c r="Q692" s="36" t="s">
        <v>391</v>
      </c>
      <c r="R692" s="36" t="s">
        <v>995</v>
      </c>
      <c r="S692" s="36" t="s">
        <v>905</v>
      </c>
      <c r="T692" s="36" t="s">
        <v>1148</v>
      </c>
      <c r="U692" s="37">
        <v>0.42857142857142855</v>
      </c>
      <c r="V692"/>
    </row>
    <row r="693" spans="1:22" ht="17" x14ac:dyDescent="0.2">
      <c r="A693" s="36" t="s">
        <v>166</v>
      </c>
      <c r="B693" s="45" t="str">
        <f>VLOOKUP(Tabella1[[#This Row],[test_id]],experiments_specs!A:J,2,FALSE)</f>
        <v>NN,VB</v>
      </c>
      <c r="C693" s="38">
        <f>VLOOKUP(Tabella1[[#This Row],[test_id]],experiments_specs!A:J,3,FALSE)</f>
        <v>1</v>
      </c>
      <c r="D693" s="38">
        <f>VLOOKUP(Tabella1[[#This Row],[test_id]],experiments_specs!A:J,4,FALSE)</f>
        <v>2</v>
      </c>
      <c r="E693" s="38" t="str">
        <f>VLOOKUP(Tabella1[[#This Row],[test_id]],experiments_specs!A:J,5,FALSE)</f>
        <v>True</v>
      </c>
      <c r="F693" s="38" t="str">
        <f>VLOOKUP(Tabella1[[#This Row],[test_id]],experiments_specs!A:J,6,FALSE)</f>
        <v>False</v>
      </c>
      <c r="G693" s="38" t="str">
        <f>VLOOKUP(Tabella1[[#This Row],[test_id]],experiments_specs!A:J,7,FALSE)</f>
        <v>False</v>
      </c>
      <c r="H693" s="38" t="str">
        <f>VLOOKUP(Tabella1[[#This Row],[test_id]],experiments_specs!A:J,8,FALSE)</f>
        <v>True</v>
      </c>
      <c r="I693" s="45" t="str">
        <f>VLOOKUP(Tabella1[[#This Row],[test_id]],experiments_specs!A:J,9,FALSE)</f>
        <v>wup_similarity</v>
      </c>
      <c r="J693" s="38" t="str">
        <f>VLOOKUP(Tabella1[[#This Row],[test_id]],experiments_specs!A:J,10,FALSE)</f>
        <v>True</v>
      </c>
      <c r="K693" s="40" t="s">
        <v>13</v>
      </c>
      <c r="L693" s="36" t="s">
        <v>35</v>
      </c>
      <c r="M693" s="36">
        <v>0.12803680000000001</v>
      </c>
      <c r="N693" s="36" t="s">
        <v>908</v>
      </c>
      <c r="O693" s="36">
        <v>3.8235499999999999E-2</v>
      </c>
      <c r="P693" s="36" t="s">
        <v>25</v>
      </c>
      <c r="Q693" s="36" t="s">
        <v>34</v>
      </c>
      <c r="R693" s="36">
        <v>0.12803680000000001</v>
      </c>
      <c r="S693" s="36" t="s">
        <v>908</v>
      </c>
      <c r="T693" s="36">
        <v>3.8235499999999999E-2</v>
      </c>
      <c r="U693" s="37" t="s">
        <v>25</v>
      </c>
      <c r="V693"/>
    </row>
    <row r="694" spans="1:22" ht="17" x14ac:dyDescent="0.2">
      <c r="A694" s="36" t="s">
        <v>166</v>
      </c>
      <c r="B694" s="45" t="str">
        <f>VLOOKUP(Tabella1[[#This Row],[test_id]],experiments_specs!A:J,2,FALSE)</f>
        <v>NN,VB</v>
      </c>
      <c r="C694" s="38">
        <f>VLOOKUP(Tabella1[[#This Row],[test_id]],experiments_specs!A:J,3,FALSE)</f>
        <v>1</v>
      </c>
      <c r="D694" s="38">
        <f>VLOOKUP(Tabella1[[#This Row],[test_id]],experiments_specs!A:J,4,FALSE)</f>
        <v>2</v>
      </c>
      <c r="E694" s="38" t="str">
        <f>VLOOKUP(Tabella1[[#This Row],[test_id]],experiments_specs!A:J,5,FALSE)</f>
        <v>True</v>
      </c>
      <c r="F694" s="38" t="str">
        <f>VLOOKUP(Tabella1[[#This Row],[test_id]],experiments_specs!A:J,6,FALSE)</f>
        <v>False</v>
      </c>
      <c r="G694" s="38" t="str">
        <f>VLOOKUP(Tabella1[[#This Row],[test_id]],experiments_specs!A:J,7,FALSE)</f>
        <v>False</v>
      </c>
      <c r="H694" s="38" t="str">
        <f>VLOOKUP(Tabella1[[#This Row],[test_id]],experiments_specs!A:J,8,FALSE)</f>
        <v>True</v>
      </c>
      <c r="I694" s="45" t="str">
        <f>VLOOKUP(Tabella1[[#This Row],[test_id]],experiments_specs!A:J,9,FALSE)</f>
        <v>wup_similarity</v>
      </c>
      <c r="J694" s="38" t="str">
        <f>VLOOKUP(Tabella1[[#This Row],[test_id]],experiments_specs!A:J,10,FALSE)</f>
        <v>True</v>
      </c>
      <c r="K694" s="40" t="s">
        <v>14</v>
      </c>
      <c r="L694" s="36" t="s">
        <v>449</v>
      </c>
      <c r="M694" s="36">
        <v>0.26919090000000001</v>
      </c>
      <c r="N694" s="36" t="s">
        <v>450</v>
      </c>
      <c r="O694" s="36">
        <v>1.7025100000000001E-2</v>
      </c>
      <c r="P694" s="36">
        <v>0.2857142857142857</v>
      </c>
      <c r="Q694" s="36" t="s">
        <v>451</v>
      </c>
      <c r="R694" s="36">
        <v>0.1203858</v>
      </c>
      <c r="S694" s="36" t="s">
        <v>449</v>
      </c>
      <c r="T694" s="36">
        <v>2.8841800000000001E-2</v>
      </c>
      <c r="U694" s="37">
        <v>0.30769230769230771</v>
      </c>
      <c r="V694"/>
    </row>
    <row r="695" spans="1:22" ht="51" x14ac:dyDescent="0.2">
      <c r="A695" s="36" t="s">
        <v>166</v>
      </c>
      <c r="B695" s="45" t="str">
        <f>VLOOKUP(Tabella1[[#This Row],[test_id]],experiments_specs!A:J,2,FALSE)</f>
        <v>NN,VB</v>
      </c>
      <c r="C695" s="38">
        <f>VLOOKUP(Tabella1[[#This Row],[test_id]],experiments_specs!A:J,3,FALSE)</f>
        <v>1</v>
      </c>
      <c r="D695" s="38">
        <f>VLOOKUP(Tabella1[[#This Row],[test_id]],experiments_specs!A:J,4,FALSE)</f>
        <v>2</v>
      </c>
      <c r="E695" s="38" t="str">
        <f>VLOOKUP(Tabella1[[#This Row],[test_id]],experiments_specs!A:J,5,FALSE)</f>
        <v>True</v>
      </c>
      <c r="F695" s="38" t="str">
        <f>VLOOKUP(Tabella1[[#This Row],[test_id]],experiments_specs!A:J,6,FALSE)</f>
        <v>False</v>
      </c>
      <c r="G695" s="38" t="str">
        <f>VLOOKUP(Tabella1[[#This Row],[test_id]],experiments_specs!A:J,7,FALSE)</f>
        <v>False</v>
      </c>
      <c r="H695" s="38" t="str">
        <f>VLOOKUP(Tabella1[[#This Row],[test_id]],experiments_specs!A:J,8,FALSE)</f>
        <v>True</v>
      </c>
      <c r="I695" s="45" t="str">
        <f>VLOOKUP(Tabella1[[#This Row],[test_id]],experiments_specs!A:J,9,FALSE)</f>
        <v>wup_similarity</v>
      </c>
      <c r="J695" s="38" t="str">
        <f>VLOOKUP(Tabella1[[#This Row],[test_id]],experiments_specs!A:J,10,FALSE)</f>
        <v>True</v>
      </c>
      <c r="K695" s="40" t="s">
        <v>15</v>
      </c>
      <c r="L695" s="36" t="s">
        <v>910</v>
      </c>
      <c r="M695" s="36" t="s">
        <v>1150</v>
      </c>
      <c r="N695" s="36" t="s">
        <v>914</v>
      </c>
      <c r="O695" s="36" t="s">
        <v>1152</v>
      </c>
      <c r="P695" s="36">
        <v>0.16666666666666666</v>
      </c>
      <c r="Q695" s="36" t="s">
        <v>28</v>
      </c>
      <c r="R695" s="36" t="s">
        <v>1154</v>
      </c>
      <c r="S695" s="36" t="s">
        <v>920</v>
      </c>
      <c r="T695" s="36" t="s">
        <v>1156</v>
      </c>
      <c r="U695" s="37">
        <v>0.18181818181818182</v>
      </c>
      <c r="V695"/>
    </row>
    <row r="696" spans="1:22" ht="85" x14ac:dyDescent="0.2">
      <c r="A696" s="36" t="s">
        <v>166</v>
      </c>
      <c r="B696" s="45" t="str">
        <f>VLOOKUP(Tabella1[[#This Row],[test_id]],experiments_specs!A:J,2,FALSE)</f>
        <v>NN,VB</v>
      </c>
      <c r="C696" s="38">
        <f>VLOOKUP(Tabella1[[#This Row],[test_id]],experiments_specs!A:J,3,FALSE)</f>
        <v>1</v>
      </c>
      <c r="D696" s="38">
        <f>VLOOKUP(Tabella1[[#This Row],[test_id]],experiments_specs!A:J,4,FALSE)</f>
        <v>2</v>
      </c>
      <c r="E696" s="38" t="str">
        <f>VLOOKUP(Tabella1[[#This Row],[test_id]],experiments_specs!A:J,5,FALSE)</f>
        <v>True</v>
      </c>
      <c r="F696" s="38" t="str">
        <f>VLOOKUP(Tabella1[[#This Row],[test_id]],experiments_specs!A:J,6,FALSE)</f>
        <v>False</v>
      </c>
      <c r="G696" s="38" t="str">
        <f>VLOOKUP(Tabella1[[#This Row],[test_id]],experiments_specs!A:J,7,FALSE)</f>
        <v>False</v>
      </c>
      <c r="H696" s="38" t="str">
        <f>VLOOKUP(Tabella1[[#This Row],[test_id]],experiments_specs!A:J,8,FALSE)</f>
        <v>True</v>
      </c>
      <c r="I696" s="45" t="str">
        <f>VLOOKUP(Tabella1[[#This Row],[test_id]],experiments_specs!A:J,9,FALSE)</f>
        <v>wup_similarity</v>
      </c>
      <c r="J696" s="38" t="str">
        <f>VLOOKUP(Tabella1[[#This Row],[test_id]],experiments_specs!A:J,10,FALSE)</f>
        <v>True</v>
      </c>
      <c r="K696" s="40" t="s">
        <v>16</v>
      </c>
      <c r="L696" s="36" t="s">
        <v>1009</v>
      </c>
      <c r="M696" s="36" t="s">
        <v>1011</v>
      </c>
      <c r="N696" s="36" t="s">
        <v>1013</v>
      </c>
      <c r="O696" s="36" t="s">
        <v>1158</v>
      </c>
      <c r="P696" s="36">
        <v>0.22222222222222221</v>
      </c>
      <c r="Q696" s="36" t="s">
        <v>932</v>
      </c>
      <c r="R696" s="36" t="s">
        <v>934</v>
      </c>
      <c r="S696" s="36" t="s">
        <v>936</v>
      </c>
      <c r="T696" s="36" t="s">
        <v>1160</v>
      </c>
      <c r="U696" s="37">
        <v>0.23529411764705882</v>
      </c>
      <c r="V696"/>
    </row>
    <row r="697" spans="1:22" ht="34" x14ac:dyDescent="0.2">
      <c r="A697" s="36" t="s">
        <v>166</v>
      </c>
      <c r="B697" s="45" t="str">
        <f>VLOOKUP(Tabella1[[#This Row],[test_id]],experiments_specs!A:J,2,FALSE)</f>
        <v>NN,VB</v>
      </c>
      <c r="C697" s="38">
        <f>VLOOKUP(Tabella1[[#This Row],[test_id]],experiments_specs!A:J,3,FALSE)</f>
        <v>1</v>
      </c>
      <c r="D697" s="38">
        <f>VLOOKUP(Tabella1[[#This Row],[test_id]],experiments_specs!A:J,4,FALSE)</f>
        <v>2</v>
      </c>
      <c r="E697" s="38" t="str">
        <f>VLOOKUP(Tabella1[[#This Row],[test_id]],experiments_specs!A:J,5,FALSE)</f>
        <v>True</v>
      </c>
      <c r="F697" s="38" t="str">
        <f>VLOOKUP(Tabella1[[#This Row],[test_id]],experiments_specs!A:J,6,FALSE)</f>
        <v>False</v>
      </c>
      <c r="G697" s="38" t="str">
        <f>VLOOKUP(Tabella1[[#This Row],[test_id]],experiments_specs!A:J,7,FALSE)</f>
        <v>False</v>
      </c>
      <c r="H697" s="38" t="str">
        <f>VLOOKUP(Tabella1[[#This Row],[test_id]],experiments_specs!A:J,8,FALSE)</f>
        <v>True</v>
      </c>
      <c r="I697" s="45" t="str">
        <f>VLOOKUP(Tabella1[[#This Row],[test_id]],experiments_specs!A:J,9,FALSE)</f>
        <v>wup_similarity</v>
      </c>
      <c r="J697" s="38" t="str">
        <f>VLOOKUP(Tabella1[[#This Row],[test_id]],experiments_specs!A:J,10,FALSE)</f>
        <v>True</v>
      </c>
      <c r="K697" s="40" t="s">
        <v>17</v>
      </c>
      <c r="L697" s="36" t="s">
        <v>939</v>
      </c>
      <c r="M697" s="36">
        <v>0.13483990000000001</v>
      </c>
      <c r="N697" s="36" t="s">
        <v>940</v>
      </c>
      <c r="O697" s="36">
        <v>1.8982099999999998E-2</v>
      </c>
      <c r="P697" s="36">
        <v>0.26666666666666666</v>
      </c>
      <c r="Q697" s="36" t="s">
        <v>647</v>
      </c>
      <c r="R697" s="36" t="s">
        <v>467</v>
      </c>
      <c r="S697" s="36" t="s">
        <v>942</v>
      </c>
      <c r="T697" s="36" t="s">
        <v>1162</v>
      </c>
      <c r="U697" s="37">
        <v>0.16666666666666666</v>
      </c>
      <c r="V697"/>
    </row>
    <row r="698" spans="1:22" ht="136" x14ac:dyDescent="0.2">
      <c r="A698" s="36" t="s">
        <v>166</v>
      </c>
      <c r="B698" s="45" t="str">
        <f>VLOOKUP(Tabella1[[#This Row],[test_id]],experiments_specs!A:J,2,FALSE)</f>
        <v>NN,VB</v>
      </c>
      <c r="C698" s="38">
        <f>VLOOKUP(Tabella1[[#This Row],[test_id]],experiments_specs!A:J,3,FALSE)</f>
        <v>1</v>
      </c>
      <c r="D698" s="38">
        <f>VLOOKUP(Tabella1[[#This Row],[test_id]],experiments_specs!A:J,4,FALSE)</f>
        <v>2</v>
      </c>
      <c r="E698" s="38" t="str">
        <f>VLOOKUP(Tabella1[[#This Row],[test_id]],experiments_specs!A:J,5,FALSE)</f>
        <v>True</v>
      </c>
      <c r="F698" s="38" t="str">
        <f>VLOOKUP(Tabella1[[#This Row],[test_id]],experiments_specs!A:J,6,FALSE)</f>
        <v>False</v>
      </c>
      <c r="G698" s="38" t="str">
        <f>VLOOKUP(Tabella1[[#This Row],[test_id]],experiments_specs!A:J,7,FALSE)</f>
        <v>False</v>
      </c>
      <c r="H698" s="38" t="str">
        <f>VLOOKUP(Tabella1[[#This Row],[test_id]],experiments_specs!A:J,8,FALSE)</f>
        <v>True</v>
      </c>
      <c r="I698" s="45" t="str">
        <f>VLOOKUP(Tabella1[[#This Row],[test_id]],experiments_specs!A:J,9,FALSE)</f>
        <v>wup_similarity</v>
      </c>
      <c r="J698" s="38" t="str">
        <f>VLOOKUP(Tabella1[[#This Row],[test_id]],experiments_specs!A:J,10,FALSE)</f>
        <v>True</v>
      </c>
      <c r="K698" s="40" t="s">
        <v>18</v>
      </c>
      <c r="L698" s="36" t="s">
        <v>946</v>
      </c>
      <c r="M698" s="36" t="s">
        <v>981</v>
      </c>
      <c r="N698" s="36" t="s">
        <v>950</v>
      </c>
      <c r="O698" s="36" t="s">
        <v>1164</v>
      </c>
      <c r="P698" s="36">
        <v>0.21052631578947367</v>
      </c>
      <c r="Q698" s="36" t="s">
        <v>46</v>
      </c>
      <c r="R698" s="36">
        <v>0.15249850000000001</v>
      </c>
      <c r="S698" s="36" t="s">
        <v>436</v>
      </c>
      <c r="T698" s="36">
        <v>3.4310399999999998E-2</v>
      </c>
      <c r="U698" s="37">
        <v>0.22222222222222221</v>
      </c>
      <c r="V698"/>
    </row>
    <row r="699" spans="1:22" ht="34" x14ac:dyDescent="0.2">
      <c r="A699" s="36" t="s">
        <v>167</v>
      </c>
      <c r="B699" s="45" t="str">
        <f>VLOOKUP(Tabella1[[#This Row],[test_id]],experiments_specs!A:J,2,FALSE)</f>
        <v>NN,VB,VBD,VBG,VBN,VBP,VBZ</v>
      </c>
      <c r="C699" s="38">
        <f>VLOOKUP(Tabella1[[#This Row],[test_id]],experiments_specs!A:J,3,FALSE)</f>
        <v>1</v>
      </c>
      <c r="D699" s="38">
        <f>VLOOKUP(Tabella1[[#This Row],[test_id]],experiments_specs!A:J,4,FALSE)</f>
        <v>2</v>
      </c>
      <c r="E699" s="38" t="str">
        <f>VLOOKUP(Tabella1[[#This Row],[test_id]],experiments_specs!A:J,5,FALSE)</f>
        <v>True</v>
      </c>
      <c r="F699" s="38" t="str">
        <f>VLOOKUP(Tabella1[[#This Row],[test_id]],experiments_specs!A:J,6,FALSE)</f>
        <v>False</v>
      </c>
      <c r="G699" s="38" t="str">
        <f>VLOOKUP(Tabella1[[#This Row],[test_id]],experiments_specs!A:J,7,FALSE)</f>
        <v>False</v>
      </c>
      <c r="H699" s="38" t="str">
        <f>VLOOKUP(Tabella1[[#This Row],[test_id]],experiments_specs!A:J,8,FALSE)</f>
        <v>True</v>
      </c>
      <c r="I699" s="45" t="str">
        <f>VLOOKUP(Tabella1[[#This Row],[test_id]],experiments_specs!A:J,9,FALSE)</f>
        <v>wup_similarity</v>
      </c>
      <c r="J699" s="38" t="str">
        <f>VLOOKUP(Tabella1[[#This Row],[test_id]],experiments_specs!A:J,10,FALSE)</f>
        <v>True</v>
      </c>
      <c r="K699" s="40" t="s">
        <v>19</v>
      </c>
      <c r="L699" s="36" t="s">
        <v>20</v>
      </c>
      <c r="M699" s="36" t="s">
        <v>498</v>
      </c>
      <c r="N699" s="36" t="s">
        <v>891</v>
      </c>
      <c r="O699" s="36" t="s">
        <v>985</v>
      </c>
      <c r="P699" s="36">
        <v>0.19047619047619047</v>
      </c>
      <c r="Q699" s="36" t="s">
        <v>47</v>
      </c>
      <c r="R699" s="36">
        <v>0.18731709999999999</v>
      </c>
      <c r="S699" s="36" t="s">
        <v>746</v>
      </c>
      <c r="T699" s="36">
        <v>3.2309900000000003E-2</v>
      </c>
      <c r="U699" s="37">
        <v>0.2</v>
      </c>
      <c r="V699"/>
    </row>
    <row r="700" spans="1:22" ht="204" x14ac:dyDescent="0.2">
      <c r="A700" s="36" t="s">
        <v>167</v>
      </c>
      <c r="B700" s="45" t="str">
        <f>VLOOKUP(Tabella1[[#This Row],[test_id]],experiments_specs!A:J,2,FALSE)</f>
        <v>NN,VB,VBD,VBG,VBN,VBP,VBZ</v>
      </c>
      <c r="C700" s="38">
        <f>VLOOKUP(Tabella1[[#This Row],[test_id]],experiments_specs!A:J,3,FALSE)</f>
        <v>1</v>
      </c>
      <c r="D700" s="38">
        <f>VLOOKUP(Tabella1[[#This Row],[test_id]],experiments_specs!A:J,4,FALSE)</f>
        <v>2</v>
      </c>
      <c r="E700" s="38" t="str">
        <f>VLOOKUP(Tabella1[[#This Row],[test_id]],experiments_specs!A:J,5,FALSE)</f>
        <v>True</v>
      </c>
      <c r="F700" s="38" t="str">
        <f>VLOOKUP(Tabella1[[#This Row],[test_id]],experiments_specs!A:J,6,FALSE)</f>
        <v>False</v>
      </c>
      <c r="G700" s="38" t="str">
        <f>VLOOKUP(Tabella1[[#This Row],[test_id]],experiments_specs!A:J,7,FALSE)</f>
        <v>False</v>
      </c>
      <c r="H700" s="38" t="str">
        <f>VLOOKUP(Tabella1[[#This Row],[test_id]],experiments_specs!A:J,8,FALSE)</f>
        <v>True</v>
      </c>
      <c r="I700" s="45" t="str">
        <f>VLOOKUP(Tabella1[[#This Row],[test_id]],experiments_specs!A:J,9,FALSE)</f>
        <v>wup_similarity</v>
      </c>
      <c r="J700" s="38" t="str">
        <f>VLOOKUP(Tabella1[[#This Row],[test_id]],experiments_specs!A:J,10,FALSE)</f>
        <v>True</v>
      </c>
      <c r="K700" s="40" t="s">
        <v>12</v>
      </c>
      <c r="L700" s="36" t="s">
        <v>987</v>
      </c>
      <c r="M700" s="36" t="s">
        <v>1166</v>
      </c>
      <c r="N700" s="36" t="s">
        <v>991</v>
      </c>
      <c r="O700" s="36" t="s">
        <v>1168</v>
      </c>
      <c r="P700" s="36">
        <v>0.42857142857142855</v>
      </c>
      <c r="Q700" s="36" t="s">
        <v>391</v>
      </c>
      <c r="R700" s="36" t="s">
        <v>961</v>
      </c>
      <c r="S700" s="36" t="s">
        <v>905</v>
      </c>
      <c r="T700" s="36" t="s">
        <v>1170</v>
      </c>
      <c r="U700" s="37">
        <v>0.42857142857142855</v>
      </c>
      <c r="V700"/>
    </row>
    <row r="701" spans="1:22" ht="17" x14ac:dyDescent="0.2">
      <c r="A701" s="36" t="s">
        <v>167</v>
      </c>
      <c r="B701" s="45" t="str">
        <f>VLOOKUP(Tabella1[[#This Row],[test_id]],experiments_specs!A:J,2,FALSE)</f>
        <v>NN,VB,VBD,VBG,VBN,VBP,VBZ</v>
      </c>
      <c r="C701" s="38">
        <f>VLOOKUP(Tabella1[[#This Row],[test_id]],experiments_specs!A:J,3,FALSE)</f>
        <v>1</v>
      </c>
      <c r="D701" s="38">
        <f>VLOOKUP(Tabella1[[#This Row],[test_id]],experiments_specs!A:J,4,FALSE)</f>
        <v>2</v>
      </c>
      <c r="E701" s="38" t="str">
        <f>VLOOKUP(Tabella1[[#This Row],[test_id]],experiments_specs!A:J,5,FALSE)</f>
        <v>True</v>
      </c>
      <c r="F701" s="38" t="str">
        <f>VLOOKUP(Tabella1[[#This Row],[test_id]],experiments_specs!A:J,6,FALSE)</f>
        <v>False</v>
      </c>
      <c r="G701" s="38" t="str">
        <f>VLOOKUP(Tabella1[[#This Row],[test_id]],experiments_specs!A:J,7,FALSE)</f>
        <v>False</v>
      </c>
      <c r="H701" s="38" t="str">
        <f>VLOOKUP(Tabella1[[#This Row],[test_id]],experiments_specs!A:J,8,FALSE)</f>
        <v>True</v>
      </c>
      <c r="I701" s="45" t="str">
        <f>VLOOKUP(Tabella1[[#This Row],[test_id]],experiments_specs!A:J,9,FALSE)</f>
        <v>wup_similarity</v>
      </c>
      <c r="J701" s="38" t="str">
        <f>VLOOKUP(Tabella1[[#This Row],[test_id]],experiments_specs!A:J,10,FALSE)</f>
        <v>True</v>
      </c>
      <c r="K701" s="40" t="s">
        <v>13</v>
      </c>
      <c r="L701" s="36" t="s">
        <v>35</v>
      </c>
      <c r="M701" s="36">
        <v>0.12803680000000001</v>
      </c>
      <c r="N701" s="36" t="s">
        <v>908</v>
      </c>
      <c r="O701" s="36">
        <v>3.6961000000000001E-2</v>
      </c>
      <c r="P701" s="36" t="s">
        <v>25</v>
      </c>
      <c r="Q701" s="36" t="s">
        <v>34</v>
      </c>
      <c r="R701" s="36">
        <v>0.12803680000000001</v>
      </c>
      <c r="S701" s="36" t="s">
        <v>908</v>
      </c>
      <c r="T701" s="36">
        <v>3.6961000000000001E-2</v>
      </c>
      <c r="U701" s="37" t="s">
        <v>25</v>
      </c>
      <c r="V701"/>
    </row>
    <row r="702" spans="1:22" ht="17" x14ac:dyDescent="0.2">
      <c r="A702" s="36" t="s">
        <v>167</v>
      </c>
      <c r="B702" s="45" t="str">
        <f>VLOOKUP(Tabella1[[#This Row],[test_id]],experiments_specs!A:J,2,FALSE)</f>
        <v>NN,VB,VBD,VBG,VBN,VBP,VBZ</v>
      </c>
      <c r="C702" s="38">
        <f>VLOOKUP(Tabella1[[#This Row],[test_id]],experiments_specs!A:J,3,FALSE)</f>
        <v>1</v>
      </c>
      <c r="D702" s="38">
        <f>VLOOKUP(Tabella1[[#This Row],[test_id]],experiments_specs!A:J,4,FALSE)</f>
        <v>2</v>
      </c>
      <c r="E702" s="38" t="str">
        <f>VLOOKUP(Tabella1[[#This Row],[test_id]],experiments_specs!A:J,5,FALSE)</f>
        <v>True</v>
      </c>
      <c r="F702" s="38" t="str">
        <f>VLOOKUP(Tabella1[[#This Row],[test_id]],experiments_specs!A:J,6,FALSE)</f>
        <v>False</v>
      </c>
      <c r="G702" s="38" t="str">
        <f>VLOOKUP(Tabella1[[#This Row],[test_id]],experiments_specs!A:J,7,FALSE)</f>
        <v>False</v>
      </c>
      <c r="H702" s="38" t="str">
        <f>VLOOKUP(Tabella1[[#This Row],[test_id]],experiments_specs!A:J,8,FALSE)</f>
        <v>True</v>
      </c>
      <c r="I702" s="45" t="str">
        <f>VLOOKUP(Tabella1[[#This Row],[test_id]],experiments_specs!A:J,9,FALSE)</f>
        <v>wup_similarity</v>
      </c>
      <c r="J702" s="38" t="str">
        <f>VLOOKUP(Tabella1[[#This Row],[test_id]],experiments_specs!A:J,10,FALSE)</f>
        <v>True</v>
      </c>
      <c r="K702" s="40" t="s">
        <v>14</v>
      </c>
      <c r="L702" s="36" t="s">
        <v>449</v>
      </c>
      <c r="M702" s="36">
        <v>0.26726119999999998</v>
      </c>
      <c r="N702" s="36" t="s">
        <v>450</v>
      </c>
      <c r="O702" s="36">
        <v>1.49144E-2</v>
      </c>
      <c r="P702" s="36">
        <v>0.2857142857142857</v>
      </c>
      <c r="Q702" s="36" t="s">
        <v>451</v>
      </c>
      <c r="R702" s="36">
        <v>0.1195228</v>
      </c>
      <c r="S702" s="36" t="s">
        <v>449</v>
      </c>
      <c r="T702" s="36">
        <v>2.50557E-2</v>
      </c>
      <c r="U702" s="37">
        <v>0.30769230769230771</v>
      </c>
      <c r="V702"/>
    </row>
    <row r="703" spans="1:22" ht="51" x14ac:dyDescent="0.2">
      <c r="A703" s="36" t="s">
        <v>167</v>
      </c>
      <c r="B703" s="45" t="str">
        <f>VLOOKUP(Tabella1[[#This Row],[test_id]],experiments_specs!A:J,2,FALSE)</f>
        <v>NN,VB,VBD,VBG,VBN,VBP,VBZ</v>
      </c>
      <c r="C703" s="38">
        <f>VLOOKUP(Tabella1[[#This Row],[test_id]],experiments_specs!A:J,3,FALSE)</f>
        <v>1</v>
      </c>
      <c r="D703" s="38">
        <f>VLOOKUP(Tabella1[[#This Row],[test_id]],experiments_specs!A:J,4,FALSE)</f>
        <v>2</v>
      </c>
      <c r="E703" s="38" t="str">
        <f>VLOOKUP(Tabella1[[#This Row],[test_id]],experiments_specs!A:J,5,FALSE)</f>
        <v>True</v>
      </c>
      <c r="F703" s="38" t="str">
        <f>VLOOKUP(Tabella1[[#This Row],[test_id]],experiments_specs!A:J,6,FALSE)</f>
        <v>False</v>
      </c>
      <c r="G703" s="38" t="str">
        <f>VLOOKUP(Tabella1[[#This Row],[test_id]],experiments_specs!A:J,7,FALSE)</f>
        <v>False</v>
      </c>
      <c r="H703" s="38" t="str">
        <f>VLOOKUP(Tabella1[[#This Row],[test_id]],experiments_specs!A:J,8,FALSE)</f>
        <v>True</v>
      </c>
      <c r="I703" s="45" t="str">
        <f>VLOOKUP(Tabella1[[#This Row],[test_id]],experiments_specs!A:J,9,FALSE)</f>
        <v>wup_similarity</v>
      </c>
      <c r="J703" s="38" t="str">
        <f>VLOOKUP(Tabella1[[#This Row],[test_id]],experiments_specs!A:J,10,FALSE)</f>
        <v>True</v>
      </c>
      <c r="K703" s="40" t="s">
        <v>15</v>
      </c>
      <c r="L703" s="36" t="s">
        <v>910</v>
      </c>
      <c r="M703" s="36" t="s">
        <v>1150</v>
      </c>
      <c r="N703" s="36" t="s">
        <v>914</v>
      </c>
      <c r="O703" s="36" t="s">
        <v>1172</v>
      </c>
      <c r="P703" s="36">
        <v>0.16666666666666666</v>
      </c>
      <c r="Q703" s="36" t="s">
        <v>28</v>
      </c>
      <c r="R703" s="36" t="s">
        <v>1154</v>
      </c>
      <c r="S703" s="36" t="s">
        <v>920</v>
      </c>
      <c r="T703" s="36" t="s">
        <v>1174</v>
      </c>
      <c r="U703" s="37">
        <v>0.18181818181818182</v>
      </c>
      <c r="V703"/>
    </row>
    <row r="704" spans="1:22" ht="85" x14ac:dyDescent="0.2">
      <c r="A704" s="36" t="s">
        <v>167</v>
      </c>
      <c r="B704" s="45" t="str">
        <f>VLOOKUP(Tabella1[[#This Row],[test_id]],experiments_specs!A:J,2,FALSE)</f>
        <v>NN,VB,VBD,VBG,VBN,VBP,VBZ</v>
      </c>
      <c r="C704" s="38">
        <f>VLOOKUP(Tabella1[[#This Row],[test_id]],experiments_specs!A:J,3,FALSE)</f>
        <v>1</v>
      </c>
      <c r="D704" s="38">
        <f>VLOOKUP(Tabella1[[#This Row],[test_id]],experiments_specs!A:J,4,FALSE)</f>
        <v>2</v>
      </c>
      <c r="E704" s="38" t="str">
        <f>VLOOKUP(Tabella1[[#This Row],[test_id]],experiments_specs!A:J,5,FALSE)</f>
        <v>True</v>
      </c>
      <c r="F704" s="38" t="str">
        <f>VLOOKUP(Tabella1[[#This Row],[test_id]],experiments_specs!A:J,6,FALSE)</f>
        <v>False</v>
      </c>
      <c r="G704" s="38" t="str">
        <f>VLOOKUP(Tabella1[[#This Row],[test_id]],experiments_specs!A:J,7,FALSE)</f>
        <v>False</v>
      </c>
      <c r="H704" s="38" t="str">
        <f>VLOOKUP(Tabella1[[#This Row],[test_id]],experiments_specs!A:J,8,FALSE)</f>
        <v>True</v>
      </c>
      <c r="I704" s="45" t="str">
        <f>VLOOKUP(Tabella1[[#This Row],[test_id]],experiments_specs!A:J,9,FALSE)</f>
        <v>wup_similarity</v>
      </c>
      <c r="J704" s="38" t="str">
        <f>VLOOKUP(Tabella1[[#This Row],[test_id]],experiments_specs!A:J,10,FALSE)</f>
        <v>True</v>
      </c>
      <c r="K704" s="40" t="s">
        <v>16</v>
      </c>
      <c r="L704" s="36" t="s">
        <v>1009</v>
      </c>
      <c r="M704" s="36" t="s">
        <v>1011</v>
      </c>
      <c r="N704" s="36" t="s">
        <v>1013</v>
      </c>
      <c r="O704" s="36" t="s">
        <v>1176</v>
      </c>
      <c r="P704" s="36">
        <v>0.22222222222222221</v>
      </c>
      <c r="Q704" s="36" t="s">
        <v>932</v>
      </c>
      <c r="R704" s="36" t="s">
        <v>934</v>
      </c>
      <c r="S704" s="36" t="s">
        <v>936</v>
      </c>
      <c r="T704" s="36" t="s">
        <v>1178</v>
      </c>
      <c r="U704" s="37">
        <v>0.23529411764705882</v>
      </c>
      <c r="V704"/>
    </row>
    <row r="705" spans="1:22" ht="34" x14ac:dyDescent="0.2">
      <c r="A705" s="36" t="s">
        <v>167</v>
      </c>
      <c r="B705" s="45" t="str">
        <f>VLOOKUP(Tabella1[[#This Row],[test_id]],experiments_specs!A:J,2,FALSE)</f>
        <v>NN,VB,VBD,VBG,VBN,VBP,VBZ</v>
      </c>
      <c r="C705" s="38">
        <f>VLOOKUP(Tabella1[[#This Row],[test_id]],experiments_specs!A:J,3,FALSE)</f>
        <v>1</v>
      </c>
      <c r="D705" s="38">
        <f>VLOOKUP(Tabella1[[#This Row],[test_id]],experiments_specs!A:J,4,FALSE)</f>
        <v>2</v>
      </c>
      <c r="E705" s="38" t="str">
        <f>VLOOKUP(Tabella1[[#This Row],[test_id]],experiments_specs!A:J,5,FALSE)</f>
        <v>True</v>
      </c>
      <c r="F705" s="38" t="str">
        <f>VLOOKUP(Tabella1[[#This Row],[test_id]],experiments_specs!A:J,6,FALSE)</f>
        <v>False</v>
      </c>
      <c r="G705" s="38" t="str">
        <f>VLOOKUP(Tabella1[[#This Row],[test_id]],experiments_specs!A:J,7,FALSE)</f>
        <v>False</v>
      </c>
      <c r="H705" s="38" t="str">
        <f>VLOOKUP(Tabella1[[#This Row],[test_id]],experiments_specs!A:J,8,FALSE)</f>
        <v>True</v>
      </c>
      <c r="I705" s="45" t="str">
        <f>VLOOKUP(Tabella1[[#This Row],[test_id]],experiments_specs!A:J,9,FALSE)</f>
        <v>wup_similarity</v>
      </c>
      <c r="J705" s="38" t="str">
        <f>VLOOKUP(Tabella1[[#This Row],[test_id]],experiments_specs!A:J,10,FALSE)</f>
        <v>True</v>
      </c>
      <c r="K705" s="40" t="s">
        <v>17</v>
      </c>
      <c r="L705" s="36" t="s">
        <v>939</v>
      </c>
      <c r="M705" s="36">
        <v>0.13483990000000001</v>
      </c>
      <c r="N705" s="36" t="s">
        <v>940</v>
      </c>
      <c r="O705" s="36">
        <v>1.8349299999999999E-2</v>
      </c>
      <c r="P705" s="36">
        <v>0.26666666666666666</v>
      </c>
      <c r="Q705" s="36" t="s">
        <v>647</v>
      </c>
      <c r="R705" s="36" t="s">
        <v>467</v>
      </c>
      <c r="S705" s="36" t="s">
        <v>942</v>
      </c>
      <c r="T705" s="36" t="s">
        <v>1180</v>
      </c>
      <c r="U705" s="37">
        <v>0.16666666666666666</v>
      </c>
      <c r="V705"/>
    </row>
    <row r="706" spans="1:22" ht="409.6" x14ac:dyDescent="0.2">
      <c r="A706" s="36" t="s">
        <v>167</v>
      </c>
      <c r="B706" s="45" t="str">
        <f>VLOOKUP(Tabella1[[#This Row],[test_id]],experiments_specs!A:J,2,FALSE)</f>
        <v>NN,VB,VBD,VBG,VBN,VBP,VBZ</v>
      </c>
      <c r="C706" s="38">
        <f>VLOOKUP(Tabella1[[#This Row],[test_id]],experiments_specs!A:J,3,FALSE)</f>
        <v>1</v>
      </c>
      <c r="D706" s="38">
        <f>VLOOKUP(Tabella1[[#This Row],[test_id]],experiments_specs!A:J,4,FALSE)</f>
        <v>2</v>
      </c>
      <c r="E706" s="38" t="str">
        <f>VLOOKUP(Tabella1[[#This Row],[test_id]],experiments_specs!A:J,5,FALSE)</f>
        <v>True</v>
      </c>
      <c r="F706" s="38" t="str">
        <f>VLOOKUP(Tabella1[[#This Row],[test_id]],experiments_specs!A:J,6,FALSE)</f>
        <v>False</v>
      </c>
      <c r="G706" s="38" t="str">
        <f>VLOOKUP(Tabella1[[#This Row],[test_id]],experiments_specs!A:J,7,FALSE)</f>
        <v>False</v>
      </c>
      <c r="H706" s="38" t="str">
        <f>VLOOKUP(Tabella1[[#This Row],[test_id]],experiments_specs!A:J,8,FALSE)</f>
        <v>True</v>
      </c>
      <c r="I706" s="45" t="str">
        <f>VLOOKUP(Tabella1[[#This Row],[test_id]],experiments_specs!A:J,9,FALSE)</f>
        <v>wup_similarity</v>
      </c>
      <c r="J706" s="38" t="str">
        <f>VLOOKUP(Tabella1[[#This Row],[test_id]],experiments_specs!A:J,10,FALSE)</f>
        <v>True</v>
      </c>
      <c r="K706" s="40" t="s">
        <v>18</v>
      </c>
      <c r="L706" s="36" t="s">
        <v>1182</v>
      </c>
      <c r="M706" s="36" t="s">
        <v>1184</v>
      </c>
      <c r="N706" s="36" t="s">
        <v>1186</v>
      </c>
      <c r="O706" s="36" t="s">
        <v>1188</v>
      </c>
      <c r="P706" s="36">
        <v>0.21052631578947367</v>
      </c>
      <c r="Q706" s="36" t="s">
        <v>46</v>
      </c>
      <c r="R706" s="36">
        <v>0.14990629999999999</v>
      </c>
      <c r="S706" s="36" t="s">
        <v>436</v>
      </c>
      <c r="T706" s="36">
        <v>3.1574400000000002E-2</v>
      </c>
      <c r="U706" s="37">
        <v>0.22222222222222221</v>
      </c>
      <c r="V706"/>
    </row>
    <row r="707" spans="1:22" ht="34" x14ac:dyDescent="0.2">
      <c r="A707" s="36" t="s">
        <v>168</v>
      </c>
      <c r="B707" s="45" t="str">
        <f>VLOOKUP(Tabella1[[#This Row],[test_id]],experiments_specs!A:J,2,FALSE)</f>
        <v>NN,RB</v>
      </c>
      <c r="C707" s="38">
        <f>VLOOKUP(Tabella1[[#This Row],[test_id]],experiments_specs!A:J,3,FALSE)</f>
        <v>1</v>
      </c>
      <c r="D707" s="38">
        <f>VLOOKUP(Tabella1[[#This Row],[test_id]],experiments_specs!A:J,4,FALSE)</f>
        <v>2</v>
      </c>
      <c r="E707" s="38" t="str">
        <f>VLOOKUP(Tabella1[[#This Row],[test_id]],experiments_specs!A:J,5,FALSE)</f>
        <v>True</v>
      </c>
      <c r="F707" s="38" t="str">
        <f>VLOOKUP(Tabella1[[#This Row],[test_id]],experiments_specs!A:J,6,FALSE)</f>
        <v>False</v>
      </c>
      <c r="G707" s="38" t="str">
        <f>VLOOKUP(Tabella1[[#This Row],[test_id]],experiments_specs!A:J,7,FALSE)</f>
        <v>False</v>
      </c>
      <c r="H707" s="38" t="str">
        <f>VLOOKUP(Tabella1[[#This Row],[test_id]],experiments_specs!A:J,8,FALSE)</f>
        <v>True</v>
      </c>
      <c r="I707" s="45" t="str">
        <f>VLOOKUP(Tabella1[[#This Row],[test_id]],experiments_specs!A:J,9,FALSE)</f>
        <v>wup_similarity</v>
      </c>
      <c r="J707" s="38" t="str">
        <f>VLOOKUP(Tabella1[[#This Row],[test_id]],experiments_specs!A:J,10,FALSE)</f>
        <v>True</v>
      </c>
      <c r="K707" s="40" t="s">
        <v>19</v>
      </c>
      <c r="L707" s="36" t="s">
        <v>20</v>
      </c>
      <c r="M707" s="36" t="s">
        <v>498</v>
      </c>
      <c r="N707" s="36" t="s">
        <v>891</v>
      </c>
      <c r="O707" s="36" t="s">
        <v>893</v>
      </c>
      <c r="P707" s="36">
        <v>0.19047619047619047</v>
      </c>
      <c r="Q707" s="36" t="s">
        <v>47</v>
      </c>
      <c r="R707" s="36">
        <v>0.18731709999999999</v>
      </c>
      <c r="S707" s="36" t="s">
        <v>746</v>
      </c>
      <c r="T707" s="36">
        <v>3.3848499999999997E-2</v>
      </c>
      <c r="U707" s="37">
        <v>0.2</v>
      </c>
      <c r="V707"/>
    </row>
    <row r="708" spans="1:22" ht="170" x14ac:dyDescent="0.2">
      <c r="A708" s="36" t="s">
        <v>168</v>
      </c>
      <c r="B708" s="45" t="str">
        <f>VLOOKUP(Tabella1[[#This Row],[test_id]],experiments_specs!A:J,2,FALSE)</f>
        <v>NN,RB</v>
      </c>
      <c r="C708" s="38">
        <f>VLOOKUP(Tabella1[[#This Row],[test_id]],experiments_specs!A:J,3,FALSE)</f>
        <v>1</v>
      </c>
      <c r="D708" s="38">
        <f>VLOOKUP(Tabella1[[#This Row],[test_id]],experiments_specs!A:J,4,FALSE)</f>
        <v>2</v>
      </c>
      <c r="E708" s="38" t="str">
        <f>VLOOKUP(Tabella1[[#This Row],[test_id]],experiments_specs!A:J,5,FALSE)</f>
        <v>True</v>
      </c>
      <c r="F708" s="38" t="str">
        <f>VLOOKUP(Tabella1[[#This Row],[test_id]],experiments_specs!A:J,6,FALSE)</f>
        <v>False</v>
      </c>
      <c r="G708" s="38" t="str">
        <f>VLOOKUP(Tabella1[[#This Row],[test_id]],experiments_specs!A:J,7,FALSE)</f>
        <v>False</v>
      </c>
      <c r="H708" s="38" t="str">
        <f>VLOOKUP(Tabella1[[#This Row],[test_id]],experiments_specs!A:J,8,FALSE)</f>
        <v>True</v>
      </c>
      <c r="I708" s="45" t="str">
        <f>VLOOKUP(Tabella1[[#This Row],[test_id]],experiments_specs!A:J,9,FALSE)</f>
        <v>wup_similarity</v>
      </c>
      <c r="J708" s="38" t="str">
        <f>VLOOKUP(Tabella1[[#This Row],[test_id]],experiments_specs!A:J,10,FALSE)</f>
        <v>True</v>
      </c>
      <c r="K708" s="40" t="s">
        <v>12</v>
      </c>
      <c r="L708" s="36" t="s">
        <v>895</v>
      </c>
      <c r="M708" s="36" t="s">
        <v>897</v>
      </c>
      <c r="N708" s="36" t="s">
        <v>899</v>
      </c>
      <c r="O708" s="36" t="s">
        <v>901</v>
      </c>
      <c r="P708" s="36">
        <v>0.42857142857142855</v>
      </c>
      <c r="Q708" s="36" t="s">
        <v>391</v>
      </c>
      <c r="R708" s="36" t="s">
        <v>903</v>
      </c>
      <c r="S708" s="36" t="s">
        <v>905</v>
      </c>
      <c r="T708" s="36" t="s">
        <v>907</v>
      </c>
      <c r="U708" s="37">
        <v>0.42857142857142855</v>
      </c>
      <c r="V708"/>
    </row>
    <row r="709" spans="1:22" ht="17" x14ac:dyDescent="0.2">
      <c r="A709" s="36" t="s">
        <v>168</v>
      </c>
      <c r="B709" s="45" t="str">
        <f>VLOOKUP(Tabella1[[#This Row],[test_id]],experiments_specs!A:J,2,FALSE)</f>
        <v>NN,RB</v>
      </c>
      <c r="C709" s="38">
        <f>VLOOKUP(Tabella1[[#This Row],[test_id]],experiments_specs!A:J,3,FALSE)</f>
        <v>1</v>
      </c>
      <c r="D709" s="38">
        <f>VLOOKUP(Tabella1[[#This Row],[test_id]],experiments_specs!A:J,4,FALSE)</f>
        <v>2</v>
      </c>
      <c r="E709" s="38" t="str">
        <f>VLOOKUP(Tabella1[[#This Row],[test_id]],experiments_specs!A:J,5,FALSE)</f>
        <v>True</v>
      </c>
      <c r="F709" s="38" t="str">
        <f>VLOOKUP(Tabella1[[#This Row],[test_id]],experiments_specs!A:J,6,FALSE)</f>
        <v>False</v>
      </c>
      <c r="G709" s="38" t="str">
        <f>VLOOKUP(Tabella1[[#This Row],[test_id]],experiments_specs!A:J,7,FALSE)</f>
        <v>False</v>
      </c>
      <c r="H709" s="38" t="str">
        <f>VLOOKUP(Tabella1[[#This Row],[test_id]],experiments_specs!A:J,8,FALSE)</f>
        <v>True</v>
      </c>
      <c r="I709" s="45" t="str">
        <f>VLOOKUP(Tabella1[[#This Row],[test_id]],experiments_specs!A:J,9,FALSE)</f>
        <v>wup_similarity</v>
      </c>
      <c r="J709" s="38" t="str">
        <f>VLOOKUP(Tabella1[[#This Row],[test_id]],experiments_specs!A:J,10,FALSE)</f>
        <v>True</v>
      </c>
      <c r="K709" s="40" t="s">
        <v>13</v>
      </c>
      <c r="L709" s="36" t="s">
        <v>35</v>
      </c>
      <c r="M709" s="36">
        <v>0.12803680000000001</v>
      </c>
      <c r="N709" s="36" t="s">
        <v>908</v>
      </c>
      <c r="O709" s="36">
        <v>4.6201300000000001E-2</v>
      </c>
      <c r="P709" s="36" t="s">
        <v>25</v>
      </c>
      <c r="Q709" s="36" t="s">
        <v>34</v>
      </c>
      <c r="R709" s="36">
        <v>0.12803680000000001</v>
      </c>
      <c r="S709" s="36" t="s">
        <v>908</v>
      </c>
      <c r="T709" s="36">
        <v>4.6201300000000001E-2</v>
      </c>
      <c r="U709" s="37" t="s">
        <v>25</v>
      </c>
      <c r="V709"/>
    </row>
    <row r="710" spans="1:22" ht="17" x14ac:dyDescent="0.2">
      <c r="A710" s="36" t="s">
        <v>168</v>
      </c>
      <c r="B710" s="45" t="str">
        <f>VLOOKUP(Tabella1[[#This Row],[test_id]],experiments_specs!A:J,2,FALSE)</f>
        <v>NN,RB</v>
      </c>
      <c r="C710" s="38">
        <f>VLOOKUP(Tabella1[[#This Row],[test_id]],experiments_specs!A:J,3,FALSE)</f>
        <v>1</v>
      </c>
      <c r="D710" s="38">
        <f>VLOOKUP(Tabella1[[#This Row],[test_id]],experiments_specs!A:J,4,FALSE)</f>
        <v>2</v>
      </c>
      <c r="E710" s="38" t="str">
        <f>VLOOKUP(Tabella1[[#This Row],[test_id]],experiments_specs!A:J,5,FALSE)</f>
        <v>True</v>
      </c>
      <c r="F710" s="38" t="str">
        <f>VLOOKUP(Tabella1[[#This Row],[test_id]],experiments_specs!A:J,6,FALSE)</f>
        <v>False</v>
      </c>
      <c r="G710" s="38" t="str">
        <f>VLOOKUP(Tabella1[[#This Row],[test_id]],experiments_specs!A:J,7,FALSE)</f>
        <v>False</v>
      </c>
      <c r="H710" s="38" t="str">
        <f>VLOOKUP(Tabella1[[#This Row],[test_id]],experiments_specs!A:J,8,FALSE)</f>
        <v>True</v>
      </c>
      <c r="I710" s="45" t="str">
        <f>VLOOKUP(Tabella1[[#This Row],[test_id]],experiments_specs!A:J,9,FALSE)</f>
        <v>wup_similarity</v>
      </c>
      <c r="J710" s="38" t="str">
        <f>VLOOKUP(Tabella1[[#This Row],[test_id]],experiments_specs!A:J,10,FALSE)</f>
        <v>True</v>
      </c>
      <c r="K710" s="40" t="s">
        <v>14</v>
      </c>
      <c r="L710" s="36" t="s">
        <v>449</v>
      </c>
      <c r="M710" s="36">
        <v>0.27116299999999999</v>
      </c>
      <c r="N710" s="36" t="s">
        <v>450</v>
      </c>
      <c r="O710" s="36">
        <v>1.83748E-2</v>
      </c>
      <c r="P710" s="36">
        <v>0.2857142857142857</v>
      </c>
      <c r="Q710" s="36" t="s">
        <v>451</v>
      </c>
      <c r="R710" s="36">
        <v>0.1212678</v>
      </c>
      <c r="S710" s="36" t="s">
        <v>449</v>
      </c>
      <c r="T710" s="36">
        <v>3.1288000000000003E-2</v>
      </c>
      <c r="U710" s="37">
        <v>0.30769230769230771</v>
      </c>
      <c r="V710"/>
    </row>
    <row r="711" spans="1:22" ht="51" x14ac:dyDescent="0.2">
      <c r="A711" s="36" t="s">
        <v>168</v>
      </c>
      <c r="B711" s="45" t="str">
        <f>VLOOKUP(Tabella1[[#This Row],[test_id]],experiments_specs!A:J,2,FALSE)</f>
        <v>NN,RB</v>
      </c>
      <c r="C711" s="38">
        <f>VLOOKUP(Tabella1[[#This Row],[test_id]],experiments_specs!A:J,3,FALSE)</f>
        <v>1</v>
      </c>
      <c r="D711" s="38">
        <f>VLOOKUP(Tabella1[[#This Row],[test_id]],experiments_specs!A:J,4,FALSE)</f>
        <v>2</v>
      </c>
      <c r="E711" s="38" t="str">
        <f>VLOOKUP(Tabella1[[#This Row],[test_id]],experiments_specs!A:J,5,FALSE)</f>
        <v>True</v>
      </c>
      <c r="F711" s="38" t="str">
        <f>VLOOKUP(Tabella1[[#This Row],[test_id]],experiments_specs!A:J,6,FALSE)</f>
        <v>False</v>
      </c>
      <c r="G711" s="38" t="str">
        <f>VLOOKUP(Tabella1[[#This Row],[test_id]],experiments_specs!A:J,7,FALSE)</f>
        <v>False</v>
      </c>
      <c r="H711" s="38" t="str">
        <f>VLOOKUP(Tabella1[[#This Row],[test_id]],experiments_specs!A:J,8,FALSE)</f>
        <v>True</v>
      </c>
      <c r="I711" s="45" t="str">
        <f>VLOOKUP(Tabella1[[#This Row],[test_id]],experiments_specs!A:J,9,FALSE)</f>
        <v>wup_similarity</v>
      </c>
      <c r="J711" s="38" t="str">
        <f>VLOOKUP(Tabella1[[#This Row],[test_id]],experiments_specs!A:J,10,FALSE)</f>
        <v>True</v>
      </c>
      <c r="K711" s="40" t="s">
        <v>15</v>
      </c>
      <c r="L711" s="36" t="s">
        <v>910</v>
      </c>
      <c r="M711" s="36" t="s">
        <v>912</v>
      </c>
      <c r="N711" s="36" t="s">
        <v>914</v>
      </c>
      <c r="O711" s="36" t="s">
        <v>916</v>
      </c>
      <c r="P711" s="36">
        <v>0.16666666666666666</v>
      </c>
      <c r="Q711" s="36" t="s">
        <v>28</v>
      </c>
      <c r="R711" s="36" t="s">
        <v>918</v>
      </c>
      <c r="S711" s="36" t="s">
        <v>920</v>
      </c>
      <c r="T711" s="36" t="s">
        <v>922</v>
      </c>
      <c r="U711" s="37">
        <v>0.18181818181818182</v>
      </c>
      <c r="V711"/>
    </row>
    <row r="712" spans="1:22" ht="119" x14ac:dyDescent="0.2">
      <c r="A712" s="36" t="s">
        <v>168</v>
      </c>
      <c r="B712" s="45" t="str">
        <f>VLOOKUP(Tabella1[[#This Row],[test_id]],experiments_specs!A:J,2,FALSE)</f>
        <v>NN,RB</v>
      </c>
      <c r="C712" s="38">
        <f>VLOOKUP(Tabella1[[#This Row],[test_id]],experiments_specs!A:J,3,FALSE)</f>
        <v>1</v>
      </c>
      <c r="D712" s="38">
        <f>VLOOKUP(Tabella1[[#This Row],[test_id]],experiments_specs!A:J,4,FALSE)</f>
        <v>2</v>
      </c>
      <c r="E712" s="38" t="str">
        <f>VLOOKUP(Tabella1[[#This Row],[test_id]],experiments_specs!A:J,5,FALSE)</f>
        <v>True</v>
      </c>
      <c r="F712" s="38" t="str">
        <f>VLOOKUP(Tabella1[[#This Row],[test_id]],experiments_specs!A:J,6,FALSE)</f>
        <v>False</v>
      </c>
      <c r="G712" s="38" t="str">
        <f>VLOOKUP(Tabella1[[#This Row],[test_id]],experiments_specs!A:J,7,FALSE)</f>
        <v>False</v>
      </c>
      <c r="H712" s="38" t="str">
        <f>VLOOKUP(Tabella1[[#This Row],[test_id]],experiments_specs!A:J,8,FALSE)</f>
        <v>True</v>
      </c>
      <c r="I712" s="45" t="str">
        <f>VLOOKUP(Tabella1[[#This Row],[test_id]],experiments_specs!A:J,9,FALSE)</f>
        <v>wup_similarity</v>
      </c>
      <c r="J712" s="38" t="str">
        <f>VLOOKUP(Tabella1[[#This Row],[test_id]],experiments_specs!A:J,10,FALSE)</f>
        <v>True</v>
      </c>
      <c r="K712" s="40" t="s">
        <v>16</v>
      </c>
      <c r="L712" s="36" t="s">
        <v>924</v>
      </c>
      <c r="M712" s="36" t="s">
        <v>926</v>
      </c>
      <c r="N712" s="36" t="s">
        <v>928</v>
      </c>
      <c r="O712" s="36" t="s">
        <v>1190</v>
      </c>
      <c r="P712" s="36">
        <v>0.2857142857142857</v>
      </c>
      <c r="Q712" s="36" t="s">
        <v>932</v>
      </c>
      <c r="R712" s="36" t="s">
        <v>934</v>
      </c>
      <c r="S712" s="36" t="s">
        <v>936</v>
      </c>
      <c r="T712" s="36" t="s">
        <v>938</v>
      </c>
      <c r="U712" s="37">
        <v>0.23529411764705882</v>
      </c>
      <c r="V712"/>
    </row>
    <row r="713" spans="1:22" ht="34" x14ac:dyDescent="0.2">
      <c r="A713" s="36" t="s">
        <v>168</v>
      </c>
      <c r="B713" s="45" t="str">
        <f>VLOOKUP(Tabella1[[#This Row],[test_id]],experiments_specs!A:J,2,FALSE)</f>
        <v>NN,RB</v>
      </c>
      <c r="C713" s="38">
        <f>VLOOKUP(Tabella1[[#This Row],[test_id]],experiments_specs!A:J,3,FALSE)</f>
        <v>1</v>
      </c>
      <c r="D713" s="38">
        <f>VLOOKUP(Tabella1[[#This Row],[test_id]],experiments_specs!A:J,4,FALSE)</f>
        <v>2</v>
      </c>
      <c r="E713" s="38" t="str">
        <f>VLOOKUP(Tabella1[[#This Row],[test_id]],experiments_specs!A:J,5,FALSE)</f>
        <v>True</v>
      </c>
      <c r="F713" s="38" t="str">
        <f>VLOOKUP(Tabella1[[#This Row],[test_id]],experiments_specs!A:J,6,FALSE)</f>
        <v>False</v>
      </c>
      <c r="G713" s="38" t="str">
        <f>VLOOKUP(Tabella1[[#This Row],[test_id]],experiments_specs!A:J,7,FALSE)</f>
        <v>False</v>
      </c>
      <c r="H713" s="38" t="str">
        <f>VLOOKUP(Tabella1[[#This Row],[test_id]],experiments_specs!A:J,8,FALSE)</f>
        <v>True</v>
      </c>
      <c r="I713" s="45" t="str">
        <f>VLOOKUP(Tabella1[[#This Row],[test_id]],experiments_specs!A:J,9,FALSE)</f>
        <v>wup_similarity</v>
      </c>
      <c r="J713" s="38" t="str">
        <f>VLOOKUP(Tabella1[[#This Row],[test_id]],experiments_specs!A:J,10,FALSE)</f>
        <v>True</v>
      </c>
      <c r="K713" s="40" t="s">
        <v>17</v>
      </c>
      <c r="L713" s="36" t="s">
        <v>939</v>
      </c>
      <c r="M713" s="36">
        <v>0.13483990000000001</v>
      </c>
      <c r="N713" s="36" t="s">
        <v>940</v>
      </c>
      <c r="O713" s="36">
        <v>2.2936700000000001E-2</v>
      </c>
      <c r="P713" s="36">
        <v>0.26666666666666666</v>
      </c>
      <c r="Q713" s="36" t="s">
        <v>647</v>
      </c>
      <c r="R713" s="36" t="s">
        <v>467</v>
      </c>
      <c r="S713" s="36" t="s">
        <v>942</v>
      </c>
      <c r="T713" s="36" t="s">
        <v>944</v>
      </c>
      <c r="U713" s="37">
        <v>0.16666666666666666</v>
      </c>
      <c r="V713"/>
    </row>
    <row r="714" spans="1:22" ht="136" x14ac:dyDescent="0.2">
      <c r="A714" s="36" t="s">
        <v>168</v>
      </c>
      <c r="B714" s="45" t="str">
        <f>VLOOKUP(Tabella1[[#This Row],[test_id]],experiments_specs!A:J,2,FALSE)</f>
        <v>NN,RB</v>
      </c>
      <c r="C714" s="38">
        <f>VLOOKUP(Tabella1[[#This Row],[test_id]],experiments_specs!A:J,3,FALSE)</f>
        <v>1</v>
      </c>
      <c r="D714" s="38">
        <f>VLOOKUP(Tabella1[[#This Row],[test_id]],experiments_specs!A:J,4,FALSE)</f>
        <v>2</v>
      </c>
      <c r="E714" s="38" t="str">
        <f>VLOOKUP(Tabella1[[#This Row],[test_id]],experiments_specs!A:J,5,FALSE)</f>
        <v>True</v>
      </c>
      <c r="F714" s="38" t="str">
        <f>VLOOKUP(Tabella1[[#This Row],[test_id]],experiments_specs!A:J,6,FALSE)</f>
        <v>False</v>
      </c>
      <c r="G714" s="38" t="str">
        <f>VLOOKUP(Tabella1[[#This Row],[test_id]],experiments_specs!A:J,7,FALSE)</f>
        <v>False</v>
      </c>
      <c r="H714" s="38" t="str">
        <f>VLOOKUP(Tabella1[[#This Row],[test_id]],experiments_specs!A:J,8,FALSE)</f>
        <v>True</v>
      </c>
      <c r="I714" s="45" t="str">
        <f>VLOOKUP(Tabella1[[#This Row],[test_id]],experiments_specs!A:J,9,FALSE)</f>
        <v>wup_similarity</v>
      </c>
      <c r="J714" s="38" t="str">
        <f>VLOOKUP(Tabella1[[#This Row],[test_id]],experiments_specs!A:J,10,FALSE)</f>
        <v>True</v>
      </c>
      <c r="K714" s="40" t="s">
        <v>18</v>
      </c>
      <c r="L714" s="36" t="s">
        <v>946</v>
      </c>
      <c r="M714" s="36" t="s">
        <v>948</v>
      </c>
      <c r="N714" s="36" t="s">
        <v>950</v>
      </c>
      <c r="O714" s="36" t="s">
        <v>952</v>
      </c>
      <c r="P714" s="36">
        <v>0.21052631578947367</v>
      </c>
      <c r="Q714" s="36" t="s">
        <v>46</v>
      </c>
      <c r="R714" s="36">
        <v>0.1561737</v>
      </c>
      <c r="S714" s="36" t="s">
        <v>953</v>
      </c>
      <c r="T714" s="36">
        <v>3.9379699999999997E-2</v>
      </c>
      <c r="U714" s="37">
        <v>0.21052631578947367</v>
      </c>
      <c r="V714"/>
    </row>
    <row r="715" spans="1:22" ht="34" x14ac:dyDescent="0.2">
      <c r="A715" s="36" t="s">
        <v>169</v>
      </c>
      <c r="B715" s="45" t="str">
        <f>VLOOKUP(Tabella1[[#This Row],[test_id]],experiments_specs!A:J,2,FALSE)</f>
        <v>NN,JJ,VB,VBD,VBG,VBN,VBP,VBZ</v>
      </c>
      <c r="C715" s="38">
        <f>VLOOKUP(Tabella1[[#This Row],[test_id]],experiments_specs!A:J,3,FALSE)</f>
        <v>1</v>
      </c>
      <c r="D715" s="38">
        <f>VLOOKUP(Tabella1[[#This Row],[test_id]],experiments_specs!A:J,4,FALSE)</f>
        <v>2</v>
      </c>
      <c r="E715" s="38" t="str">
        <f>VLOOKUP(Tabella1[[#This Row],[test_id]],experiments_specs!A:J,5,FALSE)</f>
        <v>True</v>
      </c>
      <c r="F715" s="38" t="str">
        <f>VLOOKUP(Tabella1[[#This Row],[test_id]],experiments_specs!A:J,6,FALSE)</f>
        <v>False</v>
      </c>
      <c r="G715" s="38" t="str">
        <f>VLOOKUP(Tabella1[[#This Row],[test_id]],experiments_specs!A:J,7,FALSE)</f>
        <v>False</v>
      </c>
      <c r="H715" s="38" t="str">
        <f>VLOOKUP(Tabella1[[#This Row],[test_id]],experiments_specs!A:J,8,FALSE)</f>
        <v>True</v>
      </c>
      <c r="I715" s="45" t="str">
        <f>VLOOKUP(Tabella1[[#This Row],[test_id]],experiments_specs!A:J,9,FALSE)</f>
        <v>wup_similarity</v>
      </c>
      <c r="J715" s="38" t="str">
        <f>VLOOKUP(Tabella1[[#This Row],[test_id]],experiments_specs!A:J,10,FALSE)</f>
        <v>True</v>
      </c>
      <c r="K715" s="40" t="s">
        <v>19</v>
      </c>
      <c r="L715" s="36" t="s">
        <v>20</v>
      </c>
      <c r="M715" s="36" t="s">
        <v>498</v>
      </c>
      <c r="N715" s="36" t="s">
        <v>891</v>
      </c>
      <c r="O715" s="36" t="s">
        <v>1192</v>
      </c>
      <c r="P715" s="36">
        <v>0.19047619047619047</v>
      </c>
      <c r="Q715" s="36" t="s">
        <v>47</v>
      </c>
      <c r="R715" s="36">
        <v>0.18731709999999999</v>
      </c>
      <c r="S715" s="36" t="s">
        <v>746</v>
      </c>
      <c r="T715" s="36">
        <v>2.4510899999999999E-2</v>
      </c>
      <c r="U715" s="37">
        <v>0.2</v>
      </c>
      <c r="V715"/>
    </row>
    <row r="716" spans="1:22" ht="204" x14ac:dyDescent="0.2">
      <c r="A716" s="36" t="s">
        <v>169</v>
      </c>
      <c r="B716" s="45" t="str">
        <f>VLOOKUP(Tabella1[[#This Row],[test_id]],experiments_specs!A:J,2,FALSE)</f>
        <v>NN,JJ,VB,VBD,VBG,VBN,VBP,VBZ</v>
      </c>
      <c r="C716" s="38">
        <f>VLOOKUP(Tabella1[[#This Row],[test_id]],experiments_specs!A:J,3,FALSE)</f>
        <v>1</v>
      </c>
      <c r="D716" s="38">
        <f>VLOOKUP(Tabella1[[#This Row],[test_id]],experiments_specs!A:J,4,FALSE)</f>
        <v>2</v>
      </c>
      <c r="E716" s="38" t="str">
        <f>VLOOKUP(Tabella1[[#This Row],[test_id]],experiments_specs!A:J,5,FALSE)</f>
        <v>True</v>
      </c>
      <c r="F716" s="38" t="str">
        <f>VLOOKUP(Tabella1[[#This Row],[test_id]],experiments_specs!A:J,6,FALSE)</f>
        <v>False</v>
      </c>
      <c r="G716" s="38" t="str">
        <f>VLOOKUP(Tabella1[[#This Row],[test_id]],experiments_specs!A:J,7,FALSE)</f>
        <v>False</v>
      </c>
      <c r="H716" s="38" t="str">
        <f>VLOOKUP(Tabella1[[#This Row],[test_id]],experiments_specs!A:J,8,FALSE)</f>
        <v>True</v>
      </c>
      <c r="I716" s="45" t="str">
        <f>VLOOKUP(Tabella1[[#This Row],[test_id]],experiments_specs!A:J,9,FALSE)</f>
        <v>wup_similarity</v>
      </c>
      <c r="J716" s="38" t="str">
        <f>VLOOKUP(Tabella1[[#This Row],[test_id]],experiments_specs!A:J,10,FALSE)</f>
        <v>True</v>
      </c>
      <c r="K716" s="40" t="s">
        <v>12</v>
      </c>
      <c r="L716" s="36" t="s">
        <v>987</v>
      </c>
      <c r="M716" s="36" t="s">
        <v>1166</v>
      </c>
      <c r="N716" s="36" t="s">
        <v>991</v>
      </c>
      <c r="O716" s="36" t="s">
        <v>1194</v>
      </c>
      <c r="P716" s="36">
        <v>0.42857142857142855</v>
      </c>
      <c r="Q716" s="36" t="s">
        <v>391</v>
      </c>
      <c r="R716" s="36" t="s">
        <v>961</v>
      </c>
      <c r="S716" s="36" t="s">
        <v>905</v>
      </c>
      <c r="T716" s="36" t="s">
        <v>1196</v>
      </c>
      <c r="U716" s="37">
        <v>0.42857142857142855</v>
      </c>
      <c r="V716"/>
    </row>
    <row r="717" spans="1:22" ht="17" x14ac:dyDescent="0.2">
      <c r="A717" s="36" t="s">
        <v>169</v>
      </c>
      <c r="B717" s="45" t="str">
        <f>VLOOKUP(Tabella1[[#This Row],[test_id]],experiments_specs!A:J,2,FALSE)</f>
        <v>NN,JJ,VB,VBD,VBG,VBN,VBP,VBZ</v>
      </c>
      <c r="C717" s="38">
        <f>VLOOKUP(Tabella1[[#This Row],[test_id]],experiments_specs!A:J,3,FALSE)</f>
        <v>1</v>
      </c>
      <c r="D717" s="38">
        <f>VLOOKUP(Tabella1[[#This Row],[test_id]],experiments_specs!A:J,4,FALSE)</f>
        <v>2</v>
      </c>
      <c r="E717" s="38" t="str">
        <f>VLOOKUP(Tabella1[[#This Row],[test_id]],experiments_specs!A:J,5,FALSE)</f>
        <v>True</v>
      </c>
      <c r="F717" s="38" t="str">
        <f>VLOOKUP(Tabella1[[#This Row],[test_id]],experiments_specs!A:J,6,FALSE)</f>
        <v>False</v>
      </c>
      <c r="G717" s="38" t="str">
        <f>VLOOKUP(Tabella1[[#This Row],[test_id]],experiments_specs!A:J,7,FALSE)</f>
        <v>False</v>
      </c>
      <c r="H717" s="38" t="str">
        <f>VLOOKUP(Tabella1[[#This Row],[test_id]],experiments_specs!A:J,8,FALSE)</f>
        <v>True</v>
      </c>
      <c r="I717" s="45" t="str">
        <f>VLOOKUP(Tabella1[[#This Row],[test_id]],experiments_specs!A:J,9,FALSE)</f>
        <v>wup_similarity</v>
      </c>
      <c r="J717" s="38" t="str">
        <f>VLOOKUP(Tabella1[[#This Row],[test_id]],experiments_specs!A:J,10,FALSE)</f>
        <v>True</v>
      </c>
      <c r="K717" s="40" t="s">
        <v>13</v>
      </c>
      <c r="L717" s="36" t="s">
        <v>35</v>
      </c>
      <c r="M717" s="36">
        <v>0.12803680000000001</v>
      </c>
      <c r="N717" s="36" t="s">
        <v>908</v>
      </c>
      <c r="O717" s="36">
        <v>3.6961000000000001E-2</v>
      </c>
      <c r="P717" s="36" t="s">
        <v>25</v>
      </c>
      <c r="Q717" s="36" t="s">
        <v>34</v>
      </c>
      <c r="R717" s="36">
        <v>0.12803680000000001</v>
      </c>
      <c r="S717" s="36" t="s">
        <v>908</v>
      </c>
      <c r="T717" s="36">
        <v>3.6961000000000001E-2</v>
      </c>
      <c r="U717" s="37" t="s">
        <v>25</v>
      </c>
      <c r="V717"/>
    </row>
    <row r="718" spans="1:22" ht="17" x14ac:dyDescent="0.2">
      <c r="A718" s="36" t="s">
        <v>169</v>
      </c>
      <c r="B718" s="45" t="str">
        <f>VLOOKUP(Tabella1[[#This Row],[test_id]],experiments_specs!A:J,2,FALSE)</f>
        <v>NN,JJ,VB,VBD,VBG,VBN,VBP,VBZ</v>
      </c>
      <c r="C718" s="38">
        <f>VLOOKUP(Tabella1[[#This Row],[test_id]],experiments_specs!A:J,3,FALSE)</f>
        <v>1</v>
      </c>
      <c r="D718" s="38">
        <f>VLOOKUP(Tabella1[[#This Row],[test_id]],experiments_specs!A:J,4,FALSE)</f>
        <v>2</v>
      </c>
      <c r="E718" s="38" t="str">
        <f>VLOOKUP(Tabella1[[#This Row],[test_id]],experiments_specs!A:J,5,FALSE)</f>
        <v>True</v>
      </c>
      <c r="F718" s="38" t="str">
        <f>VLOOKUP(Tabella1[[#This Row],[test_id]],experiments_specs!A:J,6,FALSE)</f>
        <v>False</v>
      </c>
      <c r="G718" s="38" t="str">
        <f>VLOOKUP(Tabella1[[#This Row],[test_id]],experiments_specs!A:J,7,FALSE)</f>
        <v>False</v>
      </c>
      <c r="H718" s="38" t="str">
        <f>VLOOKUP(Tabella1[[#This Row],[test_id]],experiments_specs!A:J,8,FALSE)</f>
        <v>True</v>
      </c>
      <c r="I718" s="45" t="str">
        <f>VLOOKUP(Tabella1[[#This Row],[test_id]],experiments_specs!A:J,9,FALSE)</f>
        <v>wup_similarity</v>
      </c>
      <c r="J718" s="38" t="str">
        <f>VLOOKUP(Tabella1[[#This Row],[test_id]],experiments_specs!A:J,10,FALSE)</f>
        <v>True</v>
      </c>
      <c r="K718" s="40" t="s">
        <v>14</v>
      </c>
      <c r="L718" s="36" t="s">
        <v>449</v>
      </c>
      <c r="M718" s="36">
        <v>0.26726119999999998</v>
      </c>
      <c r="N718" s="36" t="s">
        <v>450</v>
      </c>
      <c r="O718" s="36">
        <v>1.30023E-2</v>
      </c>
      <c r="P718" s="36">
        <v>0.2857142857142857</v>
      </c>
      <c r="Q718" s="36" t="s">
        <v>451</v>
      </c>
      <c r="R718" s="36">
        <v>0.1195228</v>
      </c>
      <c r="S718" s="36" t="s">
        <v>449</v>
      </c>
      <c r="T718" s="36">
        <v>2.1669799999999999E-2</v>
      </c>
      <c r="U718" s="37">
        <v>0.30769230769230771</v>
      </c>
      <c r="V718"/>
    </row>
    <row r="719" spans="1:22" ht="34" x14ac:dyDescent="0.2">
      <c r="A719" s="36" t="s">
        <v>169</v>
      </c>
      <c r="B719" s="45" t="str">
        <f>VLOOKUP(Tabella1[[#This Row],[test_id]],experiments_specs!A:J,2,FALSE)</f>
        <v>NN,JJ,VB,VBD,VBG,VBN,VBP,VBZ</v>
      </c>
      <c r="C719" s="38">
        <f>VLOOKUP(Tabella1[[#This Row],[test_id]],experiments_specs!A:J,3,FALSE)</f>
        <v>1</v>
      </c>
      <c r="D719" s="38">
        <f>VLOOKUP(Tabella1[[#This Row],[test_id]],experiments_specs!A:J,4,FALSE)</f>
        <v>2</v>
      </c>
      <c r="E719" s="38" t="str">
        <f>VLOOKUP(Tabella1[[#This Row],[test_id]],experiments_specs!A:J,5,FALSE)</f>
        <v>True</v>
      </c>
      <c r="F719" s="38" t="str">
        <f>VLOOKUP(Tabella1[[#This Row],[test_id]],experiments_specs!A:J,6,FALSE)</f>
        <v>False</v>
      </c>
      <c r="G719" s="38" t="str">
        <f>VLOOKUP(Tabella1[[#This Row],[test_id]],experiments_specs!A:J,7,FALSE)</f>
        <v>False</v>
      </c>
      <c r="H719" s="38" t="str">
        <f>VLOOKUP(Tabella1[[#This Row],[test_id]],experiments_specs!A:J,8,FALSE)</f>
        <v>True</v>
      </c>
      <c r="I719" s="45" t="str">
        <f>VLOOKUP(Tabella1[[#This Row],[test_id]],experiments_specs!A:J,9,FALSE)</f>
        <v>wup_similarity</v>
      </c>
      <c r="J719" s="38" t="str">
        <f>VLOOKUP(Tabella1[[#This Row],[test_id]],experiments_specs!A:J,10,FALSE)</f>
        <v>True</v>
      </c>
      <c r="K719" s="40" t="s">
        <v>15</v>
      </c>
      <c r="L719" s="36" t="s">
        <v>772</v>
      </c>
      <c r="M719" s="36" t="s">
        <v>965</v>
      </c>
      <c r="N719" s="36" t="s">
        <v>776</v>
      </c>
      <c r="O719" s="36" t="s">
        <v>1198</v>
      </c>
      <c r="P719" s="36">
        <v>0.16666666666666666</v>
      </c>
      <c r="Q719" s="36" t="s">
        <v>969</v>
      </c>
      <c r="R719" s="36" t="s">
        <v>1200</v>
      </c>
      <c r="S719" s="36" t="s">
        <v>1202</v>
      </c>
      <c r="T719" s="36" t="s">
        <v>1204</v>
      </c>
      <c r="U719" s="37">
        <v>0.90909090909090906</v>
      </c>
      <c r="V719"/>
    </row>
    <row r="720" spans="1:22" ht="85" x14ac:dyDescent="0.2">
      <c r="A720" s="36" t="s">
        <v>169</v>
      </c>
      <c r="B720" s="45" t="str">
        <f>VLOOKUP(Tabella1[[#This Row],[test_id]],experiments_specs!A:J,2,FALSE)</f>
        <v>NN,JJ,VB,VBD,VBG,VBN,VBP,VBZ</v>
      </c>
      <c r="C720" s="38">
        <f>VLOOKUP(Tabella1[[#This Row],[test_id]],experiments_specs!A:J,3,FALSE)</f>
        <v>1</v>
      </c>
      <c r="D720" s="38">
        <f>VLOOKUP(Tabella1[[#This Row],[test_id]],experiments_specs!A:J,4,FALSE)</f>
        <v>2</v>
      </c>
      <c r="E720" s="38" t="str">
        <f>VLOOKUP(Tabella1[[#This Row],[test_id]],experiments_specs!A:J,5,FALSE)</f>
        <v>True</v>
      </c>
      <c r="F720" s="38" t="str">
        <f>VLOOKUP(Tabella1[[#This Row],[test_id]],experiments_specs!A:J,6,FALSE)</f>
        <v>False</v>
      </c>
      <c r="G720" s="38" t="str">
        <f>VLOOKUP(Tabella1[[#This Row],[test_id]],experiments_specs!A:J,7,FALSE)</f>
        <v>False</v>
      </c>
      <c r="H720" s="38" t="str">
        <f>VLOOKUP(Tabella1[[#This Row],[test_id]],experiments_specs!A:J,8,FALSE)</f>
        <v>True</v>
      </c>
      <c r="I720" s="45" t="str">
        <f>VLOOKUP(Tabella1[[#This Row],[test_id]],experiments_specs!A:J,9,FALSE)</f>
        <v>wup_similarity</v>
      </c>
      <c r="J720" s="38" t="str">
        <f>VLOOKUP(Tabella1[[#This Row],[test_id]],experiments_specs!A:J,10,FALSE)</f>
        <v>True</v>
      </c>
      <c r="K720" s="40" t="s">
        <v>16</v>
      </c>
      <c r="L720" s="36" t="s">
        <v>1009</v>
      </c>
      <c r="M720" s="36" t="s">
        <v>1011</v>
      </c>
      <c r="N720" s="36" t="s">
        <v>1013</v>
      </c>
      <c r="O720" s="36" t="s">
        <v>1206</v>
      </c>
      <c r="P720" s="36">
        <v>0.22222222222222221</v>
      </c>
      <c r="Q720" s="36" t="s">
        <v>932</v>
      </c>
      <c r="R720" s="36" t="s">
        <v>934</v>
      </c>
      <c r="S720" s="36" t="s">
        <v>936</v>
      </c>
      <c r="T720" s="36" t="s">
        <v>1208</v>
      </c>
      <c r="U720" s="37">
        <v>0.23529411764705882</v>
      </c>
      <c r="V720"/>
    </row>
    <row r="721" spans="1:22" ht="34" x14ac:dyDescent="0.2">
      <c r="A721" s="36" t="s">
        <v>169</v>
      </c>
      <c r="B721" s="45" t="str">
        <f>VLOOKUP(Tabella1[[#This Row],[test_id]],experiments_specs!A:J,2,FALSE)</f>
        <v>NN,JJ,VB,VBD,VBG,VBN,VBP,VBZ</v>
      </c>
      <c r="C721" s="38">
        <f>VLOOKUP(Tabella1[[#This Row],[test_id]],experiments_specs!A:J,3,FALSE)</f>
        <v>1</v>
      </c>
      <c r="D721" s="38">
        <f>VLOOKUP(Tabella1[[#This Row],[test_id]],experiments_specs!A:J,4,FALSE)</f>
        <v>2</v>
      </c>
      <c r="E721" s="38" t="str">
        <f>VLOOKUP(Tabella1[[#This Row],[test_id]],experiments_specs!A:J,5,FALSE)</f>
        <v>True</v>
      </c>
      <c r="F721" s="38" t="str">
        <f>VLOOKUP(Tabella1[[#This Row],[test_id]],experiments_specs!A:J,6,FALSE)</f>
        <v>False</v>
      </c>
      <c r="G721" s="38" t="str">
        <f>VLOOKUP(Tabella1[[#This Row],[test_id]],experiments_specs!A:J,7,FALSE)</f>
        <v>False</v>
      </c>
      <c r="H721" s="38" t="str">
        <f>VLOOKUP(Tabella1[[#This Row],[test_id]],experiments_specs!A:J,8,FALSE)</f>
        <v>True</v>
      </c>
      <c r="I721" s="45" t="str">
        <f>VLOOKUP(Tabella1[[#This Row],[test_id]],experiments_specs!A:J,9,FALSE)</f>
        <v>wup_similarity</v>
      </c>
      <c r="J721" s="38" t="str">
        <f>VLOOKUP(Tabella1[[#This Row],[test_id]],experiments_specs!A:J,10,FALSE)</f>
        <v>True</v>
      </c>
      <c r="K721" s="40" t="s">
        <v>17</v>
      </c>
      <c r="L721" s="36" t="s">
        <v>939</v>
      </c>
      <c r="M721" s="36">
        <v>0.13483990000000001</v>
      </c>
      <c r="N721" s="36" t="s">
        <v>940</v>
      </c>
      <c r="O721" s="36">
        <v>1.66812E-2</v>
      </c>
      <c r="P721" s="36">
        <v>0.26666666666666666</v>
      </c>
      <c r="Q721" s="36" t="s">
        <v>647</v>
      </c>
      <c r="R721" s="36" t="s">
        <v>467</v>
      </c>
      <c r="S721" s="36" t="s">
        <v>942</v>
      </c>
      <c r="T721" s="36" t="s">
        <v>1210</v>
      </c>
      <c r="U721" s="37">
        <v>0.16666666666666666</v>
      </c>
      <c r="V721"/>
    </row>
    <row r="722" spans="1:22" ht="409.6" x14ac:dyDescent="0.2">
      <c r="A722" s="36" t="s">
        <v>169</v>
      </c>
      <c r="B722" s="45" t="str">
        <f>VLOOKUP(Tabella1[[#This Row],[test_id]],experiments_specs!A:J,2,FALSE)</f>
        <v>NN,JJ,VB,VBD,VBG,VBN,VBP,VBZ</v>
      </c>
      <c r="C722" s="38">
        <f>VLOOKUP(Tabella1[[#This Row],[test_id]],experiments_specs!A:J,3,FALSE)</f>
        <v>1</v>
      </c>
      <c r="D722" s="38">
        <f>VLOOKUP(Tabella1[[#This Row],[test_id]],experiments_specs!A:J,4,FALSE)</f>
        <v>2</v>
      </c>
      <c r="E722" s="38" t="str">
        <f>VLOOKUP(Tabella1[[#This Row],[test_id]],experiments_specs!A:J,5,FALSE)</f>
        <v>True</v>
      </c>
      <c r="F722" s="38" t="str">
        <f>VLOOKUP(Tabella1[[#This Row],[test_id]],experiments_specs!A:J,6,FALSE)</f>
        <v>False</v>
      </c>
      <c r="G722" s="38" t="str">
        <f>VLOOKUP(Tabella1[[#This Row],[test_id]],experiments_specs!A:J,7,FALSE)</f>
        <v>False</v>
      </c>
      <c r="H722" s="38" t="str">
        <f>VLOOKUP(Tabella1[[#This Row],[test_id]],experiments_specs!A:J,8,FALSE)</f>
        <v>True</v>
      </c>
      <c r="I722" s="45" t="str">
        <f>VLOOKUP(Tabella1[[#This Row],[test_id]],experiments_specs!A:J,9,FALSE)</f>
        <v>wup_similarity</v>
      </c>
      <c r="J722" s="38" t="str">
        <f>VLOOKUP(Tabella1[[#This Row],[test_id]],experiments_specs!A:J,10,FALSE)</f>
        <v>True</v>
      </c>
      <c r="K722" s="40" t="s">
        <v>18</v>
      </c>
      <c r="L722" s="36" t="s">
        <v>1182</v>
      </c>
      <c r="M722" s="36" t="s">
        <v>1184</v>
      </c>
      <c r="N722" s="36" t="s">
        <v>1186</v>
      </c>
      <c r="O722" s="36" t="s">
        <v>1212</v>
      </c>
      <c r="P722" s="36">
        <v>0.21052631578947367</v>
      </c>
      <c r="Q722" s="36" t="s">
        <v>46</v>
      </c>
      <c r="R722" s="36">
        <v>0.14990629999999999</v>
      </c>
      <c r="S722" s="36" t="s">
        <v>436</v>
      </c>
      <c r="T722" s="36">
        <v>2.9679899999999999E-2</v>
      </c>
      <c r="U722" s="37">
        <v>0.22222222222222221</v>
      </c>
      <c r="V7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5649B-52C6-5A49-A1F4-AE9CD23A3CE1}">
  <sheetPr codeName="Foglio9"/>
  <dimension ref="B1:AA92"/>
  <sheetViews>
    <sheetView workbookViewId="0">
      <selection activeCell="R81" sqref="R81"/>
    </sheetView>
  </sheetViews>
  <sheetFormatPr baseColWidth="10" defaultRowHeight="16" x14ac:dyDescent="0.2"/>
  <cols>
    <col min="2" max="2" width="8.33203125" customWidth="1"/>
    <col min="3" max="3" width="12" customWidth="1"/>
    <col min="4" max="10" width="8.33203125" customWidth="1"/>
    <col min="11" max="16" width="12.1640625" bestFit="1" customWidth="1"/>
  </cols>
  <sheetData>
    <row r="1" spans="2:27" x14ac:dyDescent="0.2">
      <c r="B1" s="44" t="s">
        <v>1469</v>
      </c>
      <c r="C1" s="44"/>
      <c r="D1" s="44"/>
      <c r="E1" s="44"/>
      <c r="F1" s="44"/>
      <c r="G1" s="44"/>
      <c r="H1" s="44"/>
      <c r="I1" s="44"/>
      <c r="J1" s="44"/>
      <c r="K1" s="44"/>
      <c r="L1" s="44"/>
      <c r="M1" s="44"/>
      <c r="N1" s="44"/>
      <c r="O1" s="44"/>
      <c r="P1" s="44"/>
      <c r="R1" s="44" t="s">
        <v>1471</v>
      </c>
      <c r="S1" s="44"/>
      <c r="T1" s="44"/>
      <c r="U1" s="44"/>
      <c r="V1" s="44"/>
      <c r="W1" s="44"/>
      <c r="X1" s="44"/>
      <c r="Y1" s="44"/>
      <c r="Z1" s="44"/>
      <c r="AA1" s="44"/>
    </row>
    <row r="2" spans="2:27" ht="17" x14ac:dyDescent="0.2">
      <c r="B2" s="1" t="s">
        <v>0</v>
      </c>
      <c r="C2" s="28" t="s">
        <v>1</v>
      </c>
      <c r="D2" s="28" t="s">
        <v>174</v>
      </c>
      <c r="E2" s="28" t="s">
        <v>175</v>
      </c>
      <c r="F2" s="28" t="s">
        <v>176</v>
      </c>
      <c r="G2" s="28" t="s">
        <v>171</v>
      </c>
      <c r="H2" s="28" t="s">
        <v>172</v>
      </c>
      <c r="I2" s="28" t="s">
        <v>173</v>
      </c>
      <c r="J2" s="28" t="s">
        <v>177</v>
      </c>
      <c r="K2" t="s">
        <v>190</v>
      </c>
      <c r="L2" t="s">
        <v>191</v>
      </c>
      <c r="M2" t="s">
        <v>192</v>
      </c>
      <c r="N2" t="s">
        <v>1428</v>
      </c>
      <c r="O2" t="s">
        <v>1426</v>
      </c>
      <c r="P2" t="s">
        <v>1427</v>
      </c>
      <c r="R2" s="1" t="s">
        <v>0</v>
      </c>
      <c r="S2" s="28" t="s">
        <v>1</v>
      </c>
      <c r="T2" s="28" t="s">
        <v>1470</v>
      </c>
      <c r="U2" s="28" t="s">
        <v>176</v>
      </c>
      <c r="V2" s="28" t="s">
        <v>171</v>
      </c>
      <c r="W2" s="28" t="s">
        <v>172</v>
      </c>
      <c r="X2" s="28" t="s">
        <v>173</v>
      </c>
      <c r="Y2" s="28" t="s">
        <v>177</v>
      </c>
      <c r="Z2" s="28" t="s">
        <v>178</v>
      </c>
      <c r="AA2" s="28" t="s">
        <v>1472</v>
      </c>
    </row>
    <row r="3" spans="2:27" x14ac:dyDescent="0.2">
      <c r="B3" t="s">
        <v>10</v>
      </c>
      <c r="C3" t="str">
        <f>VLOOKUP($B3,experiments_specs!$A:$J,2,FALSE)</f>
        <v>NN</v>
      </c>
      <c r="D3">
        <f>VLOOKUP($B3,experiments_specs!$A:$J,3,FALSE)</f>
        <v>1</v>
      </c>
      <c r="E3">
        <f>VLOOKUP($B3,experiments_specs!$A:$J,4,FALSE)</f>
        <v>2</v>
      </c>
      <c r="F3" t="str">
        <f>VLOOKUP($B3,experiments_specs!$A:$J,5,FALSE)</f>
        <v>False</v>
      </c>
      <c r="G3" t="str">
        <f>VLOOKUP($B3,experiments_specs!$A:$J,6,FALSE)</f>
        <v>True</v>
      </c>
      <c r="H3" t="str">
        <f>VLOOKUP($B3,experiments_specs!$A:$J,7,FALSE)</f>
        <v>False</v>
      </c>
      <c r="I3" t="str">
        <f>VLOOKUP($B3,experiments_specs!$A:$J,8,FALSE)</f>
        <v>False</v>
      </c>
      <c r="J3" t="str">
        <f>VLOOKUP($B3,experiments_specs!$A:$J,10,FALSE)</f>
        <v>False</v>
      </c>
      <c r="K3" s="27">
        <f>SUMIF(Dataset_static!$A:$A,scores_results!$B3,Dataset_static!M:M)</f>
        <v>0.9783288</v>
      </c>
      <c r="L3" s="27">
        <f>SUMIF(Dataset_static!$A:$A,scores_results!$B3,Dataset_static!O:O)</f>
        <v>3.8820300000000002E-2</v>
      </c>
      <c r="M3" s="27">
        <f>SUMIF(Dataset_static!$A:$A,scores_results!$B3,Dataset_static!R:R)</f>
        <v>0.20954999999999999</v>
      </c>
      <c r="N3" s="27">
        <f>SUMIF(Dataset_static!$A:$A,scores_results!$B3,Dataset_static!T:T)</f>
        <v>4.0101499999999998E-2</v>
      </c>
      <c r="O3" s="27">
        <f>SUMIF(Dataset_static!$A:$A,scores_results!$B3,Dataset_static!P:P)</f>
        <v>1.8279866332497912</v>
      </c>
      <c r="P3" s="27">
        <f>SUMIF(Dataset_static!$A:$A,scores_results!$B3,Dataset_static!U:U)</f>
        <v>2.0078206880838456</v>
      </c>
      <c r="R3" t="s">
        <v>1215</v>
      </c>
      <c r="S3" t="str">
        <f>VLOOKUP($R3,experiments_specs!$A:$J,2,FALSE)</f>
        <v>NN,JJ</v>
      </c>
      <c r="T3">
        <f>VLOOKUP($R3,experiments_specs!$A:$J,4,FALSE)</f>
        <v>2</v>
      </c>
      <c r="U3" t="str">
        <f>VLOOKUP($R3,experiments_specs!$A:$J,5,FALSE)</f>
        <v>False</v>
      </c>
      <c r="V3" t="str">
        <f>VLOOKUP($R3,experiments_specs!$A:$J,6,FALSE)</f>
        <v>True</v>
      </c>
      <c r="W3" t="str">
        <f>VLOOKUP($R3,experiments_specs!$A:$J,7,FALSE)</f>
        <v>False</v>
      </c>
      <c r="X3" t="str">
        <f>VLOOKUP($R3,experiments_specs!$A:$J,8,FALSE)</f>
        <v>False</v>
      </c>
      <c r="Y3" t="str">
        <f>VLOOKUP($R3,experiments_specs!$A:$J,10,FALSE)</f>
        <v>False</v>
      </c>
      <c r="Z3" s="27">
        <f>SUMIF(Dataset_dynamic!$A:$A,scores_results!$R3,Dataset_dynamic!N:N)</f>
        <v>3.1667107287825826E-2</v>
      </c>
      <c r="AA3" s="27">
        <f>SUMIF(Dataset_dynamic!$A:$A,scores_results!$R3,Dataset_dynamic!O:O)</f>
        <v>2.0265512265512267</v>
      </c>
    </row>
    <row r="4" spans="2:27" x14ac:dyDescent="0.2">
      <c r="B4" t="s">
        <v>60</v>
      </c>
      <c r="C4" t="str">
        <f>VLOOKUP($B4,experiments_specs!$A:$J,2,FALSE)</f>
        <v>NN,JJ</v>
      </c>
      <c r="D4">
        <f>VLOOKUP($B4,experiments_specs!$A:$J,3,FALSE)</f>
        <v>1</v>
      </c>
      <c r="E4">
        <f>VLOOKUP($B4,experiments_specs!$A:$J,4,FALSE)</f>
        <v>2</v>
      </c>
      <c r="F4" t="str">
        <f>VLOOKUP($B4,experiments_specs!$A:$J,5,FALSE)</f>
        <v>False</v>
      </c>
      <c r="G4" t="str">
        <f>VLOOKUP($B4,experiments_specs!$A:$J,6,FALSE)</f>
        <v>True</v>
      </c>
      <c r="H4" t="str">
        <f>VLOOKUP($B4,experiments_specs!$A:$J,7,FALSE)</f>
        <v>False</v>
      </c>
      <c r="I4" t="str">
        <f>VLOOKUP($B4,experiments_specs!$A:$J,8,FALSE)</f>
        <v>False</v>
      </c>
      <c r="J4" t="str">
        <f>VLOOKUP($B4,experiments_specs!$A:$J,10,FALSE)</f>
        <v>False</v>
      </c>
      <c r="K4" s="27">
        <f>SUMIF(Dataset_static!$A:$A,scores_results!$B4,Dataset_static!M:M)</f>
        <v>1.1195932</v>
      </c>
      <c r="L4" s="27">
        <f>SUMIF(Dataset_static!$A:$A,scores_results!$B4,Dataset_static!O:O)</f>
        <v>3.1011999999999998E-2</v>
      </c>
      <c r="M4" s="27">
        <f>SUMIF(Dataset_static!$A:$A,scores_results!$B4,Dataset_static!R:R)</f>
        <v>0.20954999999999999</v>
      </c>
      <c r="N4" s="27">
        <f>SUMIF(Dataset_static!$A:$A,scores_results!$B4,Dataset_static!T:T)</f>
        <v>3.8043399999999991E-2</v>
      </c>
      <c r="O4" s="27">
        <f>SUMIF(Dataset_static!A:A,scores_results!B4,Dataset_static!P:P)</f>
        <v>1.8114234862518612</v>
      </c>
      <c r="P4" s="27">
        <f>SUMIF(Dataset_static!$A:$A,scores_results!$B4,Dataset_static!U:U)</f>
        <v>2.0302296516692797</v>
      </c>
      <c r="R4" t="str">
        <f>"test_"&amp;RIGHT(R3,2)+1</f>
        <v>test_92</v>
      </c>
      <c r="S4" t="str">
        <f>VLOOKUP($R4,experiments_specs!$A:$J,2,FALSE)</f>
        <v>NN,JJ</v>
      </c>
      <c r="T4">
        <f>VLOOKUP($R4,experiments_specs!$A:$J,4,FALSE)</f>
        <v>3</v>
      </c>
      <c r="U4" t="str">
        <f>VLOOKUP($R4,experiments_specs!$A:$J,5,FALSE)</f>
        <v>False</v>
      </c>
      <c r="V4" t="str">
        <f>VLOOKUP($R4,experiments_specs!$A:$J,6,FALSE)</f>
        <v>True</v>
      </c>
      <c r="W4" t="str">
        <f>VLOOKUP($R4,experiments_specs!$A:$J,7,FALSE)</f>
        <v>False</v>
      </c>
      <c r="X4" t="str">
        <f>VLOOKUP($R4,experiments_specs!$A:$J,8,FALSE)</f>
        <v>False</v>
      </c>
      <c r="Y4" t="str">
        <f>VLOOKUP($R4,experiments_specs!$A:$J,10,FALSE)</f>
        <v>False</v>
      </c>
      <c r="Z4" s="27">
        <f>SUMIF(Dataset_dynamic!$A:$A,scores_results!$R4,Dataset_dynamic!N:N)</f>
        <v>3.1666799999999995E-2</v>
      </c>
      <c r="AA4" s="27">
        <f>SUMIF(Dataset_dynamic!$A:$A,scores_results!$R4,Dataset_dynamic!O:O)</f>
        <v>2.0265510999999998</v>
      </c>
    </row>
    <row r="5" spans="2:27" x14ac:dyDescent="0.2">
      <c r="B5" t="s">
        <v>62</v>
      </c>
      <c r="C5" t="str">
        <f>VLOOKUP($B5,experiments_specs!$A:$J,2,FALSE)</f>
        <v>NN,VB</v>
      </c>
      <c r="D5">
        <f>VLOOKUP($B5,experiments_specs!$A:$J,3,FALSE)</f>
        <v>1</v>
      </c>
      <c r="E5">
        <f>VLOOKUP($B5,experiments_specs!$A:$J,4,FALSE)</f>
        <v>2</v>
      </c>
      <c r="F5" t="str">
        <f>VLOOKUP($B5,experiments_specs!$A:$J,5,FALSE)</f>
        <v>False</v>
      </c>
      <c r="G5" t="str">
        <f>VLOOKUP($B5,experiments_specs!$A:$J,6,FALSE)</f>
        <v>True</v>
      </c>
      <c r="H5" t="str">
        <f>VLOOKUP($B5,experiments_specs!$A:$J,7,FALSE)</f>
        <v>False</v>
      </c>
      <c r="I5" t="str">
        <f>VLOOKUP($B5,experiments_specs!$A:$J,8,FALSE)</f>
        <v>False</v>
      </c>
      <c r="J5" t="str">
        <f>VLOOKUP($B5,experiments_specs!$A:$J,10,FALSE)</f>
        <v>False</v>
      </c>
      <c r="K5" s="27">
        <f>SUMIF(Dataset_static!$A:$A,scores_results!$B5,Dataset_static!M:M)</f>
        <v>0.82215510000000003</v>
      </c>
      <c r="L5" s="27">
        <f>SUMIF(Dataset_static!$A:$A,scores_results!$B5,Dataset_static!O:O)</f>
        <v>2.9042700000000001E-2</v>
      </c>
      <c r="M5" s="27">
        <f>SUMIF(Dataset_static!$A:$A,scores_results!$B5,Dataset_static!R:R)</f>
        <v>0</v>
      </c>
      <c r="N5" s="27">
        <f>SUMIF(Dataset_static!$A:$A,scores_results!$B5,Dataset_static!T:T)</f>
        <v>4.4259300000000001E-2</v>
      </c>
      <c r="O5" s="27">
        <f>SUMIF(Dataset_static!A:A,scores_results!B5,Dataset_static!P:P)</f>
        <v>1.8613199665831244</v>
      </c>
      <c r="P5" s="27">
        <f>SUMIF(Dataset_static!$A:$A,scores_results!$B5,Dataset_static!U:U)</f>
        <v>1.4485994397759103</v>
      </c>
      <c r="R5" t="str">
        <f t="shared" ref="R5:R16" si="0">"test_"&amp;RIGHT(R4,2)+1</f>
        <v>test_93</v>
      </c>
      <c r="S5" t="str">
        <f>VLOOKUP($R5,experiments_specs!$A:$J,2,FALSE)</f>
        <v>NN,VB,VBD,VBG,VBN,VBP,VBZ</v>
      </c>
      <c r="T5">
        <f>VLOOKUP($R5,experiments_specs!$A:$J,4,FALSE)</f>
        <v>2</v>
      </c>
      <c r="U5" t="str">
        <f>VLOOKUP($R5,experiments_specs!$A:$J,5,FALSE)</f>
        <v>False</v>
      </c>
      <c r="V5" t="str">
        <f>VLOOKUP($R5,experiments_specs!$A:$J,6,FALSE)</f>
        <v>True</v>
      </c>
      <c r="W5" t="str">
        <f>VLOOKUP($R5,experiments_specs!$A:$J,7,FALSE)</f>
        <v>False</v>
      </c>
      <c r="X5" t="str">
        <f>VLOOKUP($R5,experiments_specs!$A:$J,8,FALSE)</f>
        <v>False</v>
      </c>
      <c r="Y5" t="str">
        <f>VLOOKUP($R5,experiments_specs!$A:$J,10,FALSE)</f>
        <v>False</v>
      </c>
      <c r="Z5" s="27">
        <f>SUMIF(Dataset_dynamic!$A:$A,scores_results!$R5,Dataset_dynamic!N:N)</f>
        <v>2.7497999999999995E-2</v>
      </c>
      <c r="AA5" s="27">
        <f>SUMIF(Dataset_dynamic!$A:$A,scores_results!$R5,Dataset_dynamic!O:O)</f>
        <v>1.0544685</v>
      </c>
    </row>
    <row r="6" spans="2:27" x14ac:dyDescent="0.2">
      <c r="B6" t="s">
        <v>64</v>
      </c>
      <c r="C6" t="str">
        <f>VLOOKUP($B6,experiments_specs!$A:$J,2,FALSE)</f>
        <v>NN,VB,VBD,VBG,VBN,VBP,VBZ</v>
      </c>
      <c r="D6">
        <f>VLOOKUP($B6,experiments_specs!$A:$J,3,FALSE)</f>
        <v>1</v>
      </c>
      <c r="E6">
        <f>VLOOKUP($B6,experiments_specs!$A:$J,4,FALSE)</f>
        <v>2</v>
      </c>
      <c r="F6" t="str">
        <f>VLOOKUP($B6,experiments_specs!$A:$J,5,FALSE)</f>
        <v>False</v>
      </c>
      <c r="G6" t="str">
        <f>VLOOKUP($B6,experiments_specs!$A:$J,6,FALSE)</f>
        <v>True</v>
      </c>
      <c r="H6" t="str">
        <f>VLOOKUP($B6,experiments_specs!$A:$J,7,FALSE)</f>
        <v>False</v>
      </c>
      <c r="I6" t="str">
        <f>VLOOKUP($B6,experiments_specs!$A:$J,8,FALSE)</f>
        <v>False</v>
      </c>
      <c r="J6" t="str">
        <f>VLOOKUP($B6,experiments_specs!$A:$J,10,FALSE)</f>
        <v>False</v>
      </c>
      <c r="K6" s="27">
        <f>SUMIF(Dataset_static!$A:$A,scores_results!$B6,Dataset_static!M:M)</f>
        <v>0.77164309999999992</v>
      </c>
      <c r="L6" s="27">
        <f>SUMIF(Dataset_static!$A:$A,scores_results!$B6,Dataset_static!O:O)</f>
        <v>2.4606599999999999E-2</v>
      </c>
      <c r="M6" s="27">
        <f>SUMIF(Dataset_static!$A:$A,scores_results!$B6,Dataset_static!R:R)</f>
        <v>0.23474479999999998</v>
      </c>
      <c r="N6" s="27">
        <f>SUMIF(Dataset_static!$A:$A,scores_results!$B6,Dataset_static!T:T)</f>
        <v>4.89647E-2</v>
      </c>
      <c r="O6" s="27">
        <f>SUMIF(Dataset_static!A:A,scores_results!B6,Dataset_static!P:P)</f>
        <v>1.646637426900585</v>
      </c>
      <c r="P6" s="27">
        <f>SUMIF(Dataset_static!$A:$A,scores_results!$B6,Dataset_static!U:U)</f>
        <v>1.9501867413632121</v>
      </c>
      <c r="R6" t="str">
        <f t="shared" si="0"/>
        <v>test_94</v>
      </c>
      <c r="S6" t="str">
        <f>VLOOKUP($R6,experiments_specs!$A:$J,2,FALSE)</f>
        <v>NN,VB,VBD,VBG,VBN,VBP,VBZ</v>
      </c>
      <c r="T6">
        <f>VLOOKUP($R6,experiments_specs!$A:$J,4,FALSE)</f>
        <v>3</v>
      </c>
      <c r="U6" t="str">
        <f>VLOOKUP($R6,experiments_specs!$A:$J,5,FALSE)</f>
        <v>False</v>
      </c>
      <c r="V6" t="str">
        <f>VLOOKUP($R6,experiments_specs!$A:$J,6,FALSE)</f>
        <v>True</v>
      </c>
      <c r="W6" t="str">
        <f>VLOOKUP($R6,experiments_specs!$A:$J,7,FALSE)</f>
        <v>False</v>
      </c>
      <c r="X6" t="str">
        <f>VLOOKUP($R6,experiments_specs!$A:$J,8,FALSE)</f>
        <v>False</v>
      </c>
      <c r="Y6" t="str">
        <f>VLOOKUP($R6,experiments_specs!$A:$J,10,FALSE)</f>
        <v>False</v>
      </c>
      <c r="Z6" s="27">
        <f>SUMIF(Dataset_dynamic!$A:$A,scores_results!$R6,Dataset_dynamic!N:N)</f>
        <v>2.7497999999999995E-2</v>
      </c>
      <c r="AA6" s="27">
        <f>SUMIF(Dataset_dynamic!$A:$A,scores_results!$R6,Dataset_dynamic!O:O)</f>
        <v>1.0544685</v>
      </c>
    </row>
    <row r="7" spans="2:27" x14ac:dyDescent="0.2">
      <c r="B7" t="s">
        <v>66</v>
      </c>
      <c r="C7" t="str">
        <f>VLOOKUP($B7,experiments_specs!$A:$J,2,FALSE)</f>
        <v>NN,RB</v>
      </c>
      <c r="D7">
        <f>VLOOKUP($B7,experiments_specs!$A:$J,3,FALSE)</f>
        <v>1</v>
      </c>
      <c r="E7">
        <f>VLOOKUP($B7,experiments_specs!$A:$J,4,FALSE)</f>
        <v>2</v>
      </c>
      <c r="F7" t="str">
        <f>VLOOKUP($B7,experiments_specs!$A:$J,5,FALSE)</f>
        <v>False</v>
      </c>
      <c r="G7" t="str">
        <f>VLOOKUP($B7,experiments_specs!$A:$J,6,FALSE)</f>
        <v>True</v>
      </c>
      <c r="H7" t="str">
        <f>VLOOKUP($B7,experiments_specs!$A:$J,7,FALSE)</f>
        <v>False</v>
      </c>
      <c r="I7" t="str">
        <f>VLOOKUP($B7,experiments_specs!$A:$J,8,FALSE)</f>
        <v>False</v>
      </c>
      <c r="J7" t="str">
        <f>VLOOKUP($B7,experiments_specs!$A:$J,10,FALSE)</f>
        <v>False</v>
      </c>
      <c r="K7" s="27">
        <f>SUMIF(Dataset_static!$A:$A,scores_results!$B7,Dataset_static!M:M)</f>
        <v>0.9783288</v>
      </c>
      <c r="L7" s="27">
        <f>SUMIF(Dataset_static!$A:$A,scores_results!$B7,Dataset_static!O:O)</f>
        <v>3.8070900000000005E-2</v>
      </c>
      <c r="M7" s="27">
        <f>SUMIF(Dataset_static!$A:$A,scores_results!$B7,Dataset_static!R:R)</f>
        <v>0.20954999999999999</v>
      </c>
      <c r="N7" s="27">
        <f>SUMIF(Dataset_static!$A:$A,scores_results!$B7,Dataset_static!T:T)</f>
        <v>4.0092799999999998E-2</v>
      </c>
      <c r="O7" s="27">
        <f>SUMIF(Dataset_static!A:A,scores_results!B7,Dataset_static!P:P)</f>
        <v>1.8279866332497912</v>
      </c>
      <c r="P7" s="27">
        <f>SUMIF(Dataset_static!$A:$A,scores_results!$B7,Dataset_static!U:U)</f>
        <v>2.0078206880838456</v>
      </c>
      <c r="R7" t="str">
        <f t="shared" si="0"/>
        <v>test_95</v>
      </c>
      <c r="S7" t="str">
        <f>VLOOKUP($R7,experiments_specs!$A:$J,2,FALSE)</f>
        <v>NN,JJ,VB,VBD,VBG,VBN,VBP,VBZ</v>
      </c>
      <c r="T7">
        <f>VLOOKUP($R7,experiments_specs!$A:$J,4,FALSE)</f>
        <v>2</v>
      </c>
      <c r="U7" t="str">
        <f>VLOOKUP($R7,experiments_specs!$A:$J,5,FALSE)</f>
        <v>False</v>
      </c>
      <c r="V7" t="str">
        <f>VLOOKUP($R7,experiments_specs!$A:$J,6,FALSE)</f>
        <v>True</v>
      </c>
      <c r="W7" t="str">
        <f>VLOOKUP($R7,experiments_specs!$A:$J,7,FALSE)</f>
        <v>False</v>
      </c>
      <c r="X7" t="str">
        <f>VLOOKUP($R7,experiments_specs!$A:$J,8,FALSE)</f>
        <v>False</v>
      </c>
      <c r="Y7" t="str">
        <f>VLOOKUP($R7,experiments_specs!$A:$J,10,FALSE)</f>
        <v>False</v>
      </c>
      <c r="Z7" s="27">
        <f>SUMIF(Dataset_dynamic!$A:$A,scores_results!$R7,Dataset_dynamic!N:N)</f>
        <v>2.32827E-2</v>
      </c>
      <c r="AA7" s="27">
        <f>SUMIF(Dataset_dynamic!$A:$A,scores_results!$R7,Dataset_dynamic!O:O)</f>
        <v>0.68055549999999998</v>
      </c>
    </row>
    <row r="8" spans="2:27" x14ac:dyDescent="0.2">
      <c r="B8" t="s">
        <v>68</v>
      </c>
      <c r="C8" t="str">
        <f>VLOOKUP($B8,experiments_specs!$A:$J,2,FALSE)</f>
        <v>NN,JJ,VB,VBD,VBG,VBN,VBP,VBZ</v>
      </c>
      <c r="D8">
        <f>VLOOKUP($B8,experiments_specs!$A:$J,3,FALSE)</f>
        <v>1</v>
      </c>
      <c r="E8">
        <f>VLOOKUP($B8,experiments_specs!$A:$J,4,FALSE)</f>
        <v>2</v>
      </c>
      <c r="F8" t="str">
        <f>VLOOKUP($B8,experiments_specs!$A:$J,5,FALSE)</f>
        <v>False</v>
      </c>
      <c r="G8" t="str">
        <f>VLOOKUP($B8,experiments_specs!$A:$J,6,FALSE)</f>
        <v>True</v>
      </c>
      <c r="H8" t="str">
        <f>VLOOKUP($B8,experiments_specs!$A:$J,7,FALSE)</f>
        <v>False</v>
      </c>
      <c r="I8" t="str">
        <f>VLOOKUP($B8,experiments_specs!$A:$J,8,FALSE)</f>
        <v>False</v>
      </c>
      <c r="J8" t="str">
        <f>VLOOKUP($B8,experiments_specs!$A:$J,10,FALSE)</f>
        <v>False</v>
      </c>
      <c r="K8" s="27">
        <f>SUMIF(Dataset_static!$A:$A,scores_results!$B8,Dataset_static!M:M)</f>
        <v>0.91290749999999998</v>
      </c>
      <c r="L8" s="27">
        <f>SUMIF(Dataset_static!$A:$A,scores_results!$B8,Dataset_static!O:O)</f>
        <v>2.3004500000000001E-2</v>
      </c>
      <c r="M8" s="27">
        <f>SUMIF(Dataset_static!$A:$A,scores_results!$B8,Dataset_static!R:R)</f>
        <v>0.23474479999999998</v>
      </c>
      <c r="N8" s="27">
        <f>SUMIF(Dataset_static!$A:$A,scores_results!$B8,Dataset_static!T:T)</f>
        <v>4.97627E-2</v>
      </c>
      <c r="O8" s="27">
        <f>SUMIF(Dataset_static!A:A,scores_results!B8,Dataset_static!P:P)</f>
        <v>1.6300742799026551</v>
      </c>
      <c r="P8" s="27">
        <f>SUMIF(Dataset_static!$A:$A,scores_results!$B8,Dataset_static!U:U)</f>
        <v>1.9725957049486462</v>
      </c>
      <c r="R8" t="str">
        <f t="shared" si="0"/>
        <v>test_96</v>
      </c>
      <c r="S8" t="str">
        <f>VLOOKUP($R8,experiments_specs!$A:$J,2,FALSE)</f>
        <v>NN,JJ,VB,VBD,VBG,VBN,VBP,VBZ</v>
      </c>
      <c r="T8">
        <f>VLOOKUP($R8,experiments_specs!$A:$J,4,FALSE)</f>
        <v>3</v>
      </c>
      <c r="U8" t="str">
        <f>VLOOKUP($R8,experiments_specs!$A:$J,5,FALSE)</f>
        <v>False</v>
      </c>
      <c r="V8" t="str">
        <f>VLOOKUP($R8,experiments_specs!$A:$J,6,FALSE)</f>
        <v>True</v>
      </c>
      <c r="W8" t="str">
        <f>VLOOKUP($R8,experiments_specs!$A:$J,7,FALSE)</f>
        <v>False</v>
      </c>
      <c r="X8" t="str">
        <f>VLOOKUP($R8,experiments_specs!$A:$J,8,FALSE)</f>
        <v>False</v>
      </c>
      <c r="Y8" t="str">
        <f>VLOOKUP($R8,experiments_specs!$A:$J,10,FALSE)</f>
        <v>False</v>
      </c>
      <c r="Z8" s="27">
        <f>SUMIF(Dataset_dynamic!$A:$A,scores_results!$R8,Dataset_dynamic!N:N)</f>
        <v>2.32827E-2</v>
      </c>
      <c r="AA8" s="27">
        <f>SUMIF(Dataset_dynamic!$A:$A,scores_results!$R8,Dataset_dynamic!O:O)</f>
        <v>0.68055549999999998</v>
      </c>
    </row>
    <row r="9" spans="2:27" x14ac:dyDescent="0.2">
      <c r="B9" t="s">
        <v>70</v>
      </c>
      <c r="C9" t="str">
        <f>VLOOKUP($B9,experiments_specs!$A:$J,2,FALSE)</f>
        <v>NN</v>
      </c>
      <c r="D9">
        <f>VLOOKUP($B9,experiments_specs!$A:$J,3,FALSE)</f>
        <v>1</v>
      </c>
      <c r="E9">
        <f>VLOOKUP($B9,experiments_specs!$A:$J,4,FALSE)</f>
        <v>2</v>
      </c>
      <c r="F9" t="str">
        <f>VLOOKUP($B9,experiments_specs!$A:$J,5,FALSE)</f>
        <v>True</v>
      </c>
      <c r="G9" t="str">
        <f>VLOOKUP($B9,experiments_specs!$A:$J,6,FALSE)</f>
        <v>True</v>
      </c>
      <c r="H9" t="str">
        <f>VLOOKUP($B9,experiments_specs!$A:$J,7,FALSE)</f>
        <v>False</v>
      </c>
      <c r="I9" t="str">
        <f>VLOOKUP($B9,experiments_specs!$A:$J,8,FALSE)</f>
        <v>False</v>
      </c>
      <c r="J9" t="str">
        <f>VLOOKUP($B9,experiments_specs!$A:$J,10,FALSE)</f>
        <v>False</v>
      </c>
      <c r="K9" s="27">
        <f>SUMIF(Dataset_static!$A:$A,scores_results!$B9,Dataset_static!M:M)</f>
        <v>0.51369599999999993</v>
      </c>
      <c r="L9" s="27">
        <f>SUMIF(Dataset_static!$A:$A,scores_results!$B9,Dataset_static!O:O)</f>
        <v>0.1579488</v>
      </c>
      <c r="M9" s="27">
        <f>SUMIF(Dataset_static!$A:$A,scores_results!$B9,Dataset_static!R:R)</f>
        <v>9.6798300000000004E-2</v>
      </c>
      <c r="N9" s="27">
        <f>SUMIF(Dataset_static!$A:$A,scores_results!$B9,Dataset_static!T:T)</f>
        <v>0.15971740000000001</v>
      </c>
      <c r="O9" s="27">
        <f>SUMIF(Dataset_static!A:A,scores_results!B9,Dataset_static!P:P)</f>
        <v>2.2594884647516222</v>
      </c>
      <c r="P9" s="27">
        <f>SUMIF(Dataset_static!$A:$A,scores_results!$B9,Dataset_static!U:U)</f>
        <v>1.8841637894269474</v>
      </c>
      <c r="R9" t="str">
        <f t="shared" si="0"/>
        <v>test_97</v>
      </c>
      <c r="S9" t="str">
        <f>VLOOKUP($R9,experiments_specs!$A:$J,2,FALSE)</f>
        <v>NN,JJ</v>
      </c>
      <c r="T9">
        <f>VLOOKUP($R9,experiments_specs!$A:$J,4,FALSE)</f>
        <v>2</v>
      </c>
      <c r="U9" t="str">
        <f>VLOOKUP($R9,experiments_specs!$A:$J,5,FALSE)</f>
        <v>True</v>
      </c>
      <c r="V9" t="str">
        <f>VLOOKUP($R9,experiments_specs!$A:$J,6,FALSE)</f>
        <v>True</v>
      </c>
      <c r="W9" t="str">
        <f>VLOOKUP($R9,experiments_specs!$A:$J,7,FALSE)</f>
        <v>False</v>
      </c>
      <c r="X9" t="str">
        <f>VLOOKUP($R9,experiments_specs!$A:$J,8,FALSE)</f>
        <v>False</v>
      </c>
      <c r="Y9" t="str">
        <f>VLOOKUP($R9,experiments_specs!$A:$J,10,FALSE)</f>
        <v>False</v>
      </c>
      <c r="Z9" s="27">
        <f>SUMIF(Dataset_dynamic!$A:$A,scores_results!$R9,Dataset_dynamic!N:N)</f>
        <v>0.18502680000000002</v>
      </c>
      <c r="AA9" s="27">
        <f>SUMIF(Dataset_dynamic!$A:$A,scores_results!$R9,Dataset_dynamic!O:O)</f>
        <v>1.9481885999999999</v>
      </c>
    </row>
    <row r="10" spans="2:27" x14ac:dyDescent="0.2">
      <c r="B10" t="s">
        <v>71</v>
      </c>
      <c r="C10" t="str">
        <f>VLOOKUP($B10,experiments_specs!$A:$J,2,FALSE)</f>
        <v>NN,JJ</v>
      </c>
      <c r="D10">
        <f>VLOOKUP($B10,experiments_specs!$A:$J,3,FALSE)</f>
        <v>1</v>
      </c>
      <c r="E10">
        <f>VLOOKUP($B10,experiments_specs!$A:$J,4,FALSE)</f>
        <v>2</v>
      </c>
      <c r="F10" t="str">
        <f>VLOOKUP($B10,experiments_specs!$A:$J,5,FALSE)</f>
        <v>True</v>
      </c>
      <c r="G10" t="str">
        <f>VLOOKUP($B10,experiments_specs!$A:$J,6,FALSE)</f>
        <v>True</v>
      </c>
      <c r="H10" t="str">
        <f>VLOOKUP($B10,experiments_specs!$A:$J,7,FALSE)</f>
        <v>False</v>
      </c>
      <c r="I10" t="str">
        <f>VLOOKUP($B10,experiments_specs!$A:$J,8,FALSE)</f>
        <v>False</v>
      </c>
      <c r="J10" t="str">
        <f>VLOOKUP($B10,experiments_specs!$A:$J,10,FALSE)</f>
        <v>False</v>
      </c>
      <c r="K10" s="27">
        <f>SUMIF(Dataset_static!$A:$A,scores_results!$B10,Dataset_static!M:M)</f>
        <v>0.6549604</v>
      </c>
      <c r="L10" s="27">
        <f>SUMIF(Dataset_static!$A:$A,scores_results!$B10,Dataset_static!O:O)</f>
        <v>0.13768749999999999</v>
      </c>
      <c r="M10" s="27">
        <f>SUMIF(Dataset_static!$A:$A,scores_results!$B10,Dataset_static!R:R)</f>
        <v>0.41356870000000001</v>
      </c>
      <c r="N10" s="27">
        <f>SUMIF(Dataset_static!$A:$A,scores_results!$B10,Dataset_static!T:T)</f>
        <v>0.20612480000000002</v>
      </c>
      <c r="O10" s="27">
        <f>SUMIF(Dataset_static!A:A,scores_results!B10,Dataset_static!P:P)</f>
        <v>2.2429253177536932</v>
      </c>
      <c r="P10" s="27">
        <f>SUMIF(Dataset_static!$A:$A,scores_results!$B10,Dataset_static!U:U)</f>
        <v>2.585349560177935</v>
      </c>
      <c r="R10" t="str">
        <f t="shared" si="0"/>
        <v>test_98</v>
      </c>
      <c r="S10" t="str">
        <f>VLOOKUP($R10,experiments_specs!$A:$J,2,FALSE)</f>
        <v>NN,JJ</v>
      </c>
      <c r="T10">
        <f>VLOOKUP($R10,experiments_specs!$A:$J,4,FALSE)</f>
        <v>3</v>
      </c>
      <c r="U10" t="str">
        <f>VLOOKUP($R10,experiments_specs!$A:$J,5,FALSE)</f>
        <v>True</v>
      </c>
      <c r="V10" t="str">
        <f>VLOOKUP($R10,experiments_specs!$A:$J,6,FALSE)</f>
        <v>True</v>
      </c>
      <c r="W10" t="str">
        <f>VLOOKUP($R10,experiments_specs!$A:$J,7,FALSE)</f>
        <v>False</v>
      </c>
      <c r="X10" t="str">
        <f>VLOOKUP($R10,experiments_specs!$A:$J,8,FALSE)</f>
        <v>False</v>
      </c>
      <c r="Y10" t="str">
        <f>VLOOKUP($R10,experiments_specs!$A:$J,10,FALSE)</f>
        <v>False</v>
      </c>
      <c r="Z10" s="27">
        <f>SUMIF(Dataset_dynamic!$A:$A,scores_results!$R10,Dataset_dynamic!N:N)</f>
        <v>0.18502680000000002</v>
      </c>
      <c r="AA10" s="27">
        <f>SUMIF(Dataset_dynamic!$A:$A,scores_results!$R10,Dataset_dynamic!O:O)</f>
        <v>1.9481885999999999</v>
      </c>
    </row>
    <row r="11" spans="2:27" x14ac:dyDescent="0.2">
      <c r="B11" t="s">
        <v>72</v>
      </c>
      <c r="C11" t="str">
        <f>VLOOKUP($B11,experiments_specs!$A:$J,2,FALSE)</f>
        <v>NN,VB</v>
      </c>
      <c r="D11">
        <f>VLOOKUP($B11,experiments_specs!$A:$J,3,FALSE)</f>
        <v>1</v>
      </c>
      <c r="E11">
        <f>VLOOKUP($B11,experiments_specs!$A:$J,4,FALSE)</f>
        <v>2</v>
      </c>
      <c r="F11" t="str">
        <f>VLOOKUP($B11,experiments_specs!$A:$J,5,FALSE)</f>
        <v>True</v>
      </c>
      <c r="G11" t="str">
        <f>VLOOKUP($B11,experiments_specs!$A:$J,6,FALSE)</f>
        <v>True</v>
      </c>
      <c r="H11" t="str">
        <f>VLOOKUP($B11,experiments_specs!$A:$J,7,FALSE)</f>
        <v>False</v>
      </c>
      <c r="I11" t="str">
        <f>VLOOKUP($B11,experiments_specs!$A:$J,8,FALSE)</f>
        <v>False</v>
      </c>
      <c r="J11" t="str">
        <f>VLOOKUP($B11,experiments_specs!$A:$J,10,FALSE)</f>
        <v>False</v>
      </c>
      <c r="K11" s="27">
        <f>SUMIF(Dataset_static!$A:$A,scores_results!$B11,Dataset_static!M:M)</f>
        <v>0.61656479999999991</v>
      </c>
      <c r="L11" s="27">
        <f>SUMIF(Dataset_static!$A:$A,scores_results!$B11,Dataset_static!O:O)</f>
        <v>0.1508505</v>
      </c>
      <c r="M11" s="27">
        <f>SUMIF(Dataset_static!$A:$A,scores_results!$B11,Dataset_static!R:R)</f>
        <v>9.6798300000000004E-2</v>
      </c>
      <c r="N11" s="27">
        <f>SUMIF(Dataset_static!$A:$A,scores_results!$B11,Dataset_static!T:T)</f>
        <v>0.1266951</v>
      </c>
      <c r="O11" s="27">
        <f>SUMIF(Dataset_static!A:A,scores_results!B11,Dataset_static!P:P)</f>
        <v>2.1740183792815371</v>
      </c>
      <c r="P11" s="27">
        <f>SUMIF(Dataset_static!$A:$A,scores_results!$B11,Dataset_static!U:U)</f>
        <v>1.8841637894269474</v>
      </c>
      <c r="R11" t="str">
        <f t="shared" si="0"/>
        <v>test_99</v>
      </c>
      <c r="S11" t="str">
        <f>VLOOKUP($R11,experiments_specs!$A:$J,2,FALSE)</f>
        <v>NN,VB,VBD,VBG,VBN,VBP,VBZ</v>
      </c>
      <c r="T11">
        <f>VLOOKUP($R11,experiments_specs!$A:$J,4,FALSE)</f>
        <v>2</v>
      </c>
      <c r="U11" t="str">
        <f>VLOOKUP($R11,experiments_specs!$A:$J,5,FALSE)</f>
        <v>True</v>
      </c>
      <c r="V11" t="str">
        <f>VLOOKUP($R11,experiments_specs!$A:$J,6,FALSE)</f>
        <v>True</v>
      </c>
      <c r="W11" t="str">
        <f>VLOOKUP($R11,experiments_specs!$A:$J,7,FALSE)</f>
        <v>False</v>
      </c>
      <c r="X11" t="str">
        <f>VLOOKUP($R11,experiments_specs!$A:$J,8,FALSE)</f>
        <v>False</v>
      </c>
      <c r="Y11" t="str">
        <f>VLOOKUP($R11,experiments_specs!$A:$J,10,FALSE)</f>
        <v>False</v>
      </c>
      <c r="Z11" s="27">
        <f>SUMIF(Dataset_dynamic!$A:$A,scores_results!$R11,Dataset_dynamic!N:N)</f>
        <v>0.16971230000000001</v>
      </c>
      <c r="AA11" s="27">
        <f>SUMIF(Dataset_dynamic!$A:$A,scores_results!$R11,Dataset_dynamic!O:O)</f>
        <v>1.3796773000000002</v>
      </c>
    </row>
    <row r="12" spans="2:27" x14ac:dyDescent="0.2">
      <c r="B12" t="s">
        <v>73</v>
      </c>
      <c r="C12" t="str">
        <f>VLOOKUP($B12,experiments_specs!$A:$J,2,FALSE)</f>
        <v>NN,VB,VBD,VBG,VBN,VBP,VBZ</v>
      </c>
      <c r="D12">
        <f>VLOOKUP($B12,experiments_specs!$A:$J,3,FALSE)</f>
        <v>1</v>
      </c>
      <c r="E12">
        <f>VLOOKUP($B12,experiments_specs!$A:$J,4,FALSE)</f>
        <v>2</v>
      </c>
      <c r="F12" t="str">
        <f>VLOOKUP($B12,experiments_specs!$A:$J,5,FALSE)</f>
        <v>True</v>
      </c>
      <c r="G12" t="str">
        <f>VLOOKUP($B12,experiments_specs!$A:$J,6,FALSE)</f>
        <v>True</v>
      </c>
      <c r="H12" t="str">
        <f>VLOOKUP($B12,experiments_specs!$A:$J,7,FALSE)</f>
        <v>False</v>
      </c>
      <c r="I12" t="str">
        <f>VLOOKUP($B12,experiments_specs!$A:$J,8,FALSE)</f>
        <v>False</v>
      </c>
      <c r="J12" t="str">
        <f>VLOOKUP($B12,experiments_specs!$A:$J,10,FALSE)</f>
        <v>False</v>
      </c>
      <c r="K12" s="27">
        <f>SUMIF(Dataset_static!$A:$A,scores_results!$B12,Dataset_static!M:M)</f>
        <v>0.61656479999999991</v>
      </c>
      <c r="L12" s="27">
        <f>SUMIF(Dataset_static!$A:$A,scores_results!$B12,Dataset_static!O:O)</f>
        <v>0.13379170000000001</v>
      </c>
      <c r="M12" s="27">
        <f>SUMIF(Dataset_static!$A:$A,scores_results!$B12,Dataset_static!R:R)</f>
        <v>0.19966709999999999</v>
      </c>
      <c r="N12" s="27">
        <f>SUMIF(Dataset_static!$A:$A,scores_results!$B12,Dataset_static!T:T)</f>
        <v>0.14447470000000001</v>
      </c>
      <c r="O12" s="27">
        <f>SUMIF(Dataset_static!A:A,scores_results!B12,Dataset_static!P:P)</f>
        <v>2.1740183792815371</v>
      </c>
      <c r="P12" s="27">
        <f>SUMIF(Dataset_static!$A:$A,scores_results!$B12,Dataset_static!U:U)</f>
        <v>1.798693703956862</v>
      </c>
      <c r="R12" t="str">
        <f t="shared" si="0"/>
        <v>test_100</v>
      </c>
      <c r="S12" t="str">
        <f>VLOOKUP($R12,experiments_specs!$A:$J,2,FALSE)</f>
        <v>NN,VB,VBD,VBG,VBN,VBP,VBZ</v>
      </c>
      <c r="T12">
        <f>VLOOKUP($R12,experiments_specs!$A:$J,4,FALSE)</f>
        <v>3</v>
      </c>
      <c r="U12" t="str">
        <f>VLOOKUP($R12,experiments_specs!$A:$J,5,FALSE)</f>
        <v>True</v>
      </c>
      <c r="V12" t="str">
        <f>VLOOKUP($R12,experiments_specs!$A:$J,6,FALSE)</f>
        <v>True</v>
      </c>
      <c r="W12" t="str">
        <f>VLOOKUP($R12,experiments_specs!$A:$J,7,FALSE)</f>
        <v>False</v>
      </c>
      <c r="X12" t="str">
        <f>VLOOKUP($R12,experiments_specs!$A:$J,8,FALSE)</f>
        <v>False</v>
      </c>
      <c r="Y12" t="str">
        <f>VLOOKUP($R12,experiments_specs!$A:$J,10,FALSE)</f>
        <v>False</v>
      </c>
      <c r="Z12" s="27">
        <f>SUMIF(Dataset_dynamic!$A:$A,scores_results!$R12,Dataset_dynamic!N:N)</f>
        <v>0.16971230000000001</v>
      </c>
      <c r="AA12" s="27">
        <f>SUMIF(Dataset_dynamic!$A:$A,scores_results!$R12,Dataset_dynamic!O:O)</f>
        <v>1.3796773000000002</v>
      </c>
    </row>
    <row r="13" spans="2:27" x14ac:dyDescent="0.2">
      <c r="B13" t="s">
        <v>74</v>
      </c>
      <c r="C13" t="str">
        <f>VLOOKUP($B13,experiments_specs!$A:$J,2,FALSE)</f>
        <v>NN,RB</v>
      </c>
      <c r="D13">
        <f>VLOOKUP($B13,experiments_specs!$A:$J,3,FALSE)</f>
        <v>1</v>
      </c>
      <c r="E13">
        <f>VLOOKUP($B13,experiments_specs!$A:$J,4,FALSE)</f>
        <v>2</v>
      </c>
      <c r="F13" t="str">
        <f>VLOOKUP($B13,experiments_specs!$A:$J,5,FALSE)</f>
        <v>True</v>
      </c>
      <c r="G13" t="str">
        <f>VLOOKUP($B13,experiments_specs!$A:$J,6,FALSE)</f>
        <v>True</v>
      </c>
      <c r="H13" t="str">
        <f>VLOOKUP($B13,experiments_specs!$A:$J,7,FALSE)</f>
        <v>False</v>
      </c>
      <c r="I13" t="str">
        <f>VLOOKUP($B13,experiments_specs!$A:$J,8,FALSE)</f>
        <v>False</v>
      </c>
      <c r="J13" t="str">
        <f>VLOOKUP($B13,experiments_specs!$A:$J,10,FALSE)</f>
        <v>False</v>
      </c>
      <c r="K13" s="27">
        <f>SUMIF(Dataset_static!$A:$A,scores_results!$B13,Dataset_static!M:M)</f>
        <v>0.51369599999999993</v>
      </c>
      <c r="L13" s="27">
        <f>SUMIF(Dataset_static!$A:$A,scores_results!$B13,Dataset_static!O:O)</f>
        <v>0.1516004</v>
      </c>
      <c r="M13" s="27">
        <f>SUMIF(Dataset_static!$A:$A,scores_results!$B13,Dataset_static!R:R)</f>
        <v>9.6798300000000004E-2</v>
      </c>
      <c r="N13" s="27">
        <f>SUMIF(Dataset_static!$A:$A,scores_results!$B13,Dataset_static!T:T)</f>
        <v>0.15971740000000001</v>
      </c>
      <c r="O13" s="27">
        <f>SUMIF(Dataset_static!A:A,scores_results!B13,Dataset_static!P:P)</f>
        <v>2.2594884647516222</v>
      </c>
      <c r="P13" s="27">
        <f>SUMIF(Dataset_static!$A:$A,scores_results!$B13,Dataset_static!U:U)</f>
        <v>1.8841637894269474</v>
      </c>
      <c r="R13" t="str">
        <f>"test_"&amp;RIGHT(R12,3)+1</f>
        <v>test_101</v>
      </c>
      <c r="S13" t="str">
        <f>VLOOKUP($R13,experiments_specs!$A:$J,2,FALSE)</f>
        <v>NN,JJ,VB,VBD,VBG,VBN,VBP,VBZ</v>
      </c>
      <c r="T13">
        <f>VLOOKUP($R13,experiments_specs!$A:$J,4,FALSE)</f>
        <v>2</v>
      </c>
      <c r="U13" t="str">
        <f>VLOOKUP($R13,experiments_specs!$A:$J,5,FALSE)</f>
        <v>True</v>
      </c>
      <c r="V13" t="str">
        <f>VLOOKUP($R13,experiments_specs!$A:$J,6,FALSE)</f>
        <v>True</v>
      </c>
      <c r="W13" t="str">
        <f>VLOOKUP($R13,experiments_specs!$A:$J,7,FALSE)</f>
        <v>False</v>
      </c>
      <c r="X13" t="str">
        <f>VLOOKUP($R13,experiments_specs!$A:$J,8,FALSE)</f>
        <v>False</v>
      </c>
      <c r="Y13" t="str">
        <f>VLOOKUP($R13,experiments_specs!$A:$J,10,FALSE)</f>
        <v>False</v>
      </c>
      <c r="Z13" s="27">
        <f>SUMIF(Dataset_dynamic!$A:$A,scores_results!$R13,Dataset_dynamic!N:N)</f>
        <v>0.1519479</v>
      </c>
      <c r="AA13" s="27">
        <f>SUMIF(Dataset_dynamic!$A:$A,scores_results!$R13,Dataset_dynamic!O:O)</f>
        <v>1.9481885999999999</v>
      </c>
    </row>
    <row r="14" spans="2:27" x14ac:dyDescent="0.2">
      <c r="B14" t="s">
        <v>75</v>
      </c>
      <c r="C14" t="str">
        <f>VLOOKUP($B14,experiments_specs!$A:$J,2,FALSE)</f>
        <v>NN,JJ,VB,VBD,VBG,VBN,VBP,VBZ</v>
      </c>
      <c r="D14">
        <f>VLOOKUP($B14,experiments_specs!$A:$J,3,FALSE)</f>
        <v>1</v>
      </c>
      <c r="E14">
        <f>VLOOKUP($B14,experiments_specs!$A:$J,4,FALSE)</f>
        <v>2</v>
      </c>
      <c r="F14" t="str">
        <f>VLOOKUP($B14,experiments_specs!$A:$J,5,FALSE)</f>
        <v>True</v>
      </c>
      <c r="G14" t="str">
        <f>VLOOKUP($B14,experiments_specs!$A:$J,6,FALSE)</f>
        <v>True</v>
      </c>
      <c r="H14" t="str">
        <f>VLOOKUP($B14,experiments_specs!$A:$J,7,FALSE)</f>
        <v>False</v>
      </c>
      <c r="I14" t="str">
        <f>VLOOKUP($B14,experiments_specs!$A:$J,8,FALSE)</f>
        <v>False</v>
      </c>
      <c r="J14" t="str">
        <f>VLOOKUP($B14,experiments_specs!$A:$J,10,FALSE)</f>
        <v>False</v>
      </c>
      <c r="K14" s="27">
        <f>SUMIF(Dataset_static!$A:$A,scores_results!$B14,Dataset_static!M:M)</f>
        <v>0.75782919999999998</v>
      </c>
      <c r="L14" s="27">
        <f>SUMIF(Dataset_static!$A:$A,scores_results!$B14,Dataset_static!O:O)</f>
        <v>0.13368700000000003</v>
      </c>
      <c r="M14" s="27">
        <f>SUMIF(Dataset_static!$A:$A,scores_results!$B14,Dataset_static!R:R)</f>
        <v>0.51643749999999999</v>
      </c>
      <c r="N14" s="27">
        <f>SUMIF(Dataset_static!$A:$A,scores_results!$B14,Dataset_static!T:T)</f>
        <v>0.17860089999999998</v>
      </c>
      <c r="O14" s="27">
        <f>SUMIF(Dataset_static!A:A,scores_results!B14,Dataset_static!P:P)</f>
        <v>2.157455232283608</v>
      </c>
      <c r="P14" s="27">
        <f>SUMIF(Dataset_static!$A:$A,scores_results!$B14,Dataset_static!U:U)</f>
        <v>2.4998794747078499</v>
      </c>
      <c r="R14" t="str">
        <f t="shared" ref="R14:R77" si="1">"test_"&amp;RIGHT(R13,3)+1</f>
        <v>test_102</v>
      </c>
      <c r="S14" t="str">
        <f>VLOOKUP($R14,experiments_specs!$A:$J,2,FALSE)</f>
        <v>NN,JJ,VB,VBD,VBG,VBN,VBP,VBZ</v>
      </c>
      <c r="T14">
        <f>VLOOKUP($R14,experiments_specs!$A:$J,4,FALSE)</f>
        <v>3</v>
      </c>
      <c r="U14" t="str">
        <f>VLOOKUP($R14,experiments_specs!$A:$J,5,FALSE)</f>
        <v>True</v>
      </c>
      <c r="V14" t="str">
        <f>VLOOKUP($R14,experiments_specs!$A:$J,6,FALSE)</f>
        <v>True</v>
      </c>
      <c r="W14" t="str">
        <f>VLOOKUP($R14,experiments_specs!$A:$J,7,FALSE)</f>
        <v>False</v>
      </c>
      <c r="X14" t="str">
        <f>VLOOKUP($R14,experiments_specs!$A:$J,8,FALSE)</f>
        <v>False</v>
      </c>
      <c r="Y14" t="str">
        <f>VLOOKUP($R14,experiments_specs!$A:$J,10,FALSE)</f>
        <v>False</v>
      </c>
      <c r="Z14" s="27">
        <f>SUMIF(Dataset_dynamic!$A:$A,scores_results!$R14,Dataset_dynamic!N:N)</f>
        <v>0.1519479</v>
      </c>
      <c r="AA14" s="27">
        <f>SUMIF(Dataset_dynamic!$A:$A,scores_results!$R14,Dataset_dynamic!O:O)</f>
        <v>1.9481885999999999</v>
      </c>
    </row>
    <row r="15" spans="2:27" x14ac:dyDescent="0.2">
      <c r="B15" t="s">
        <v>76</v>
      </c>
      <c r="C15" t="str">
        <f>VLOOKUP($B15,experiments_specs!$A:$J,2,FALSE)</f>
        <v>NN</v>
      </c>
      <c r="D15">
        <f>VLOOKUP($B15,experiments_specs!$A:$J,3,FALSE)</f>
        <v>1</v>
      </c>
      <c r="E15">
        <f>VLOOKUP($B15,experiments_specs!$A:$J,4,FALSE)</f>
        <v>2</v>
      </c>
      <c r="F15" t="str">
        <f>VLOOKUP($B15,experiments_specs!$A:$J,5,FALSE)</f>
        <v>True</v>
      </c>
      <c r="G15" t="str">
        <f>VLOOKUP($B15,experiments_specs!$A:$J,6,FALSE)</f>
        <v>True</v>
      </c>
      <c r="H15" t="str">
        <f>VLOOKUP($B15,experiments_specs!$A:$J,7,FALSE)</f>
        <v>False</v>
      </c>
      <c r="I15" t="str">
        <f>VLOOKUP($B15,experiments_specs!$A:$J,8,FALSE)</f>
        <v>False</v>
      </c>
      <c r="J15" t="str">
        <f>VLOOKUP($B15,experiments_specs!$A:$J,10,FALSE)</f>
        <v>True</v>
      </c>
      <c r="K15" s="27">
        <f>SUMIF(Dataset_static!$A:$A,scores_results!$B15,Dataset_static!M:M)</f>
        <v>0.47051129999999997</v>
      </c>
      <c r="L15" s="27">
        <f>SUMIF(Dataset_static!$A:$A,scores_results!$B15,Dataset_static!O:O)</f>
        <v>0.1462793</v>
      </c>
      <c r="M15" s="27">
        <f>SUMIF(Dataset_static!$A:$A,scores_results!$B15,Dataset_static!R:R)</f>
        <v>9.6798300000000004E-2</v>
      </c>
      <c r="N15" s="27">
        <f>SUMIF(Dataset_static!$A:$A,scores_results!$B15,Dataset_static!T:T)</f>
        <v>0.15122550000000001</v>
      </c>
      <c r="O15" s="27">
        <f>SUMIF(Dataset_static!A:A,scores_results!B15,Dataset_static!P:P)</f>
        <v>1.8594884647516228</v>
      </c>
      <c r="P15" s="27">
        <f>SUMIF(Dataset_static!$A:$A,scores_results!$B15,Dataset_static!U:U)</f>
        <v>1.8841637894269474</v>
      </c>
      <c r="R15" t="str">
        <f t="shared" si="1"/>
        <v>test_103</v>
      </c>
      <c r="S15" t="str">
        <f>VLOOKUP($R15,experiments_specs!$A:$J,2,FALSE)</f>
        <v>NN,JJ</v>
      </c>
      <c r="T15">
        <f>VLOOKUP($R15,experiments_specs!$A:$J,4,FALSE)</f>
        <v>2</v>
      </c>
      <c r="U15" t="str">
        <f>VLOOKUP($R15,experiments_specs!$A:$J,5,FALSE)</f>
        <v>False</v>
      </c>
      <c r="V15" t="str">
        <f>VLOOKUP($R15,experiments_specs!$A:$J,6,FALSE)</f>
        <v>True</v>
      </c>
      <c r="W15" t="str">
        <f>VLOOKUP($R15,experiments_specs!$A:$J,7,FALSE)</f>
        <v>False</v>
      </c>
      <c r="X15" t="str">
        <f>VLOOKUP($R15,experiments_specs!$A:$J,8,FALSE)</f>
        <v>False</v>
      </c>
      <c r="Y15" t="str">
        <f>VLOOKUP($R15,experiments_specs!$A:$J,10,FALSE)</f>
        <v>True</v>
      </c>
      <c r="Z15" s="27">
        <f>SUMIF(Dataset_dynamic!$A:$A,scores_results!$R15,Dataset_dynamic!N:N)</f>
        <v>3.1666799999999995E-2</v>
      </c>
      <c r="AA15" s="27">
        <f>SUMIF(Dataset_dynamic!$A:$A,scores_results!$R15,Dataset_dynamic!O:O)</f>
        <v>2.0265510999999998</v>
      </c>
    </row>
    <row r="16" spans="2:27" x14ac:dyDescent="0.2">
      <c r="B16" t="s">
        <v>77</v>
      </c>
      <c r="C16" t="str">
        <f>VLOOKUP($B16,experiments_specs!$A:$J,2,FALSE)</f>
        <v>NN,JJ</v>
      </c>
      <c r="D16">
        <f>VLOOKUP($B16,experiments_specs!$A:$J,3,FALSE)</f>
        <v>1</v>
      </c>
      <c r="E16">
        <f>VLOOKUP($B16,experiments_specs!$A:$J,4,FALSE)</f>
        <v>2</v>
      </c>
      <c r="F16" t="str">
        <f>VLOOKUP($B16,experiments_specs!$A:$J,5,FALSE)</f>
        <v>True</v>
      </c>
      <c r="G16" t="str">
        <f>VLOOKUP($B16,experiments_specs!$A:$J,6,FALSE)</f>
        <v>True</v>
      </c>
      <c r="H16" t="str">
        <f>VLOOKUP($B16,experiments_specs!$A:$J,7,FALSE)</f>
        <v>False</v>
      </c>
      <c r="I16" t="str">
        <f>VLOOKUP($B16,experiments_specs!$A:$J,8,FALSE)</f>
        <v>False</v>
      </c>
      <c r="J16" t="str">
        <f>VLOOKUP($B16,experiments_specs!$A:$J,10,FALSE)</f>
        <v>True</v>
      </c>
      <c r="K16" s="27">
        <f>SUMIF(Dataset_static!$A:$A,scores_results!$B16,Dataset_static!M:M)</f>
        <v>0.61177570000000014</v>
      </c>
      <c r="L16" s="27">
        <f>SUMIF(Dataset_static!$A:$A,scores_results!$B16,Dataset_static!O:O)</f>
        <v>0.16218050000000001</v>
      </c>
      <c r="M16" s="27">
        <f>SUMIF(Dataset_static!$A:$A,scores_results!$B16,Dataset_static!R:R)</f>
        <v>0.41356870000000001</v>
      </c>
      <c r="N16" s="27">
        <f>SUMIF(Dataset_static!$A:$A,scores_results!$B16,Dataset_static!T:T)</f>
        <v>0.18468190000000001</v>
      </c>
      <c r="O16" s="27">
        <f>SUMIF(Dataset_static!A:A,scores_results!B16,Dataset_static!P:P)</f>
        <v>1.8429253177536928</v>
      </c>
      <c r="P16" s="27">
        <f>SUMIF(Dataset_static!$A:$A,scores_results!$B16,Dataset_static!U:U)</f>
        <v>2.585349560177935</v>
      </c>
      <c r="R16" t="str">
        <f t="shared" si="1"/>
        <v>test_104</v>
      </c>
      <c r="S16" t="str">
        <f>VLOOKUP($R16,experiments_specs!$A:$J,2,FALSE)</f>
        <v>NN,JJ</v>
      </c>
      <c r="T16">
        <f>VLOOKUP($R16,experiments_specs!$A:$J,4,FALSE)</f>
        <v>3</v>
      </c>
      <c r="U16" t="str">
        <f>VLOOKUP($R16,experiments_specs!$A:$J,5,FALSE)</f>
        <v>True</v>
      </c>
      <c r="V16" t="str">
        <f>VLOOKUP($R16,experiments_specs!$A:$J,6,FALSE)</f>
        <v>True</v>
      </c>
      <c r="W16" t="str">
        <f>VLOOKUP($R16,experiments_specs!$A:$J,7,FALSE)</f>
        <v>False</v>
      </c>
      <c r="X16" t="str">
        <f>VLOOKUP($R16,experiments_specs!$A:$J,8,FALSE)</f>
        <v>False</v>
      </c>
      <c r="Y16" t="str">
        <f>VLOOKUP($R16,experiments_specs!$A:$J,10,FALSE)</f>
        <v>True</v>
      </c>
      <c r="Z16" s="27">
        <f>SUMIF(Dataset_dynamic!$A:$A,scores_results!$R16,Dataset_dynamic!N:N)</f>
        <v>0.21477979999999999</v>
      </c>
      <c r="AA16" s="27">
        <f>SUMIF(Dataset_dynamic!$A:$A,scores_results!$R16,Dataset_dynamic!O:O)</f>
        <v>1.5481886</v>
      </c>
    </row>
    <row r="17" spans="2:27" x14ac:dyDescent="0.2">
      <c r="B17" t="s">
        <v>78</v>
      </c>
      <c r="C17" t="str">
        <f>VLOOKUP($B17,experiments_specs!$A:$J,2,FALSE)</f>
        <v>NN,VB</v>
      </c>
      <c r="D17">
        <f>VLOOKUP($B17,experiments_specs!$A:$J,3,FALSE)</f>
        <v>1</v>
      </c>
      <c r="E17">
        <f>VLOOKUP($B17,experiments_specs!$A:$J,4,FALSE)</f>
        <v>2</v>
      </c>
      <c r="F17" t="str">
        <f>VLOOKUP($B17,experiments_specs!$A:$J,5,FALSE)</f>
        <v>True</v>
      </c>
      <c r="G17" t="str">
        <f>VLOOKUP($B17,experiments_specs!$A:$J,6,FALSE)</f>
        <v>True</v>
      </c>
      <c r="H17" t="str">
        <f>VLOOKUP($B17,experiments_specs!$A:$J,7,FALSE)</f>
        <v>False</v>
      </c>
      <c r="I17" t="str">
        <f>VLOOKUP($B17,experiments_specs!$A:$J,8,FALSE)</f>
        <v>False</v>
      </c>
      <c r="J17" t="str">
        <f>VLOOKUP($B17,experiments_specs!$A:$J,10,FALSE)</f>
        <v>True</v>
      </c>
      <c r="K17" s="27">
        <f>SUMIF(Dataset_static!$A:$A,scores_results!$B17,Dataset_static!M:M)</f>
        <v>0.47051129999999997</v>
      </c>
      <c r="L17" s="27">
        <f>SUMIF(Dataset_static!$A:$A,scores_results!$B17,Dataset_static!O:O)</f>
        <v>0.12895470000000001</v>
      </c>
      <c r="M17" s="27">
        <f>SUMIF(Dataset_static!$A:$A,scores_results!$B17,Dataset_static!R:R)</f>
        <v>9.6798300000000004E-2</v>
      </c>
      <c r="N17" s="27">
        <f>SUMIF(Dataset_static!$A:$A,scores_results!$B17,Dataset_static!T:T)</f>
        <v>0.1041262</v>
      </c>
      <c r="O17" s="27">
        <f>SUMIF(Dataset_static!A:A,scores_results!B17,Dataset_static!P:P)</f>
        <v>1.8594884647516228</v>
      </c>
      <c r="P17" s="27">
        <f>SUMIF(Dataset_static!$A:$A,scores_results!$B17,Dataset_static!U:U)</f>
        <v>1.8841637894269474</v>
      </c>
      <c r="R17" t="str">
        <f t="shared" si="1"/>
        <v>test_105</v>
      </c>
      <c r="S17" t="str">
        <f>VLOOKUP($R17,experiments_specs!$A:$J,2,FALSE)</f>
        <v>NN,VB,VBD,VBG,VBN,VBP,VBZ</v>
      </c>
      <c r="T17">
        <f>VLOOKUP($R17,experiments_specs!$A:$J,4,FALSE)</f>
        <v>2</v>
      </c>
      <c r="U17" t="str">
        <f>VLOOKUP($R17,experiments_specs!$A:$J,5,FALSE)</f>
        <v>True</v>
      </c>
      <c r="V17" t="str">
        <f>VLOOKUP($R17,experiments_specs!$A:$J,6,FALSE)</f>
        <v>True</v>
      </c>
      <c r="W17" t="str">
        <f>VLOOKUP($R17,experiments_specs!$A:$J,7,FALSE)</f>
        <v>False</v>
      </c>
      <c r="X17" t="str">
        <f>VLOOKUP($R17,experiments_specs!$A:$J,8,FALSE)</f>
        <v>False</v>
      </c>
      <c r="Y17" t="str">
        <f>VLOOKUP($R17,experiments_specs!$A:$J,10,FALSE)</f>
        <v>True</v>
      </c>
      <c r="Z17" s="27">
        <f>SUMIF(Dataset_dynamic!$A:$A,scores_results!$R17,Dataset_dynamic!N:N)</f>
        <v>0.19147980000000001</v>
      </c>
      <c r="AA17" s="27">
        <f>SUMIF(Dataset_dynamic!$A:$A,scores_results!$R17,Dataset_dynamic!O:O)</f>
        <v>0.97967730000000008</v>
      </c>
    </row>
    <row r="18" spans="2:27" x14ac:dyDescent="0.2">
      <c r="B18" t="s">
        <v>79</v>
      </c>
      <c r="C18" t="str">
        <f>VLOOKUP($B18,experiments_specs!$A:$J,2,FALSE)</f>
        <v>NN,VB,VBD,VBG,VBN,VBP,VBZ</v>
      </c>
      <c r="D18">
        <f>VLOOKUP($B18,experiments_specs!$A:$J,3,FALSE)</f>
        <v>1</v>
      </c>
      <c r="E18">
        <f>VLOOKUP($B18,experiments_specs!$A:$J,4,FALSE)</f>
        <v>2</v>
      </c>
      <c r="F18" t="str">
        <f>VLOOKUP($B18,experiments_specs!$A:$J,5,FALSE)</f>
        <v>True</v>
      </c>
      <c r="G18" t="str">
        <f>VLOOKUP($B18,experiments_specs!$A:$J,6,FALSE)</f>
        <v>True</v>
      </c>
      <c r="H18" t="str">
        <f>VLOOKUP($B18,experiments_specs!$A:$J,7,FALSE)</f>
        <v>False</v>
      </c>
      <c r="I18" t="str">
        <f>VLOOKUP($B18,experiments_specs!$A:$J,8,FALSE)</f>
        <v>False</v>
      </c>
      <c r="J18" t="str">
        <f>VLOOKUP($B18,experiments_specs!$A:$J,10,FALSE)</f>
        <v>True</v>
      </c>
      <c r="K18" s="27">
        <f>SUMIF(Dataset_static!$A:$A,scores_results!$B18,Dataset_static!M:M)</f>
        <v>0.47051129999999997</v>
      </c>
      <c r="L18" s="27">
        <f>SUMIF(Dataset_static!$A:$A,scores_results!$B18,Dataset_static!O:O)</f>
        <v>0.1245633</v>
      </c>
      <c r="M18" s="27">
        <f>SUMIF(Dataset_static!$A:$A,scores_results!$B18,Dataset_static!R:R)</f>
        <v>9.6798300000000004E-2</v>
      </c>
      <c r="N18" s="27">
        <f>SUMIF(Dataset_static!$A:$A,scores_results!$B18,Dataset_static!T:T)</f>
        <v>0.1028748</v>
      </c>
      <c r="O18" s="27">
        <f>SUMIF(Dataset_static!A:A,scores_results!B18,Dataset_static!P:P)</f>
        <v>1.8594884647516228</v>
      </c>
      <c r="P18" s="27">
        <f>SUMIF(Dataset_static!$A:$A,scores_results!$B18,Dataset_static!U:U)</f>
        <v>1.8841637894269474</v>
      </c>
      <c r="R18" t="str">
        <f t="shared" si="1"/>
        <v>test_106</v>
      </c>
      <c r="S18" t="str">
        <f>VLOOKUP($R18,experiments_specs!$A:$J,2,FALSE)</f>
        <v>NN,VB,VBD,VBG,VBN,VBP,VBZ</v>
      </c>
      <c r="T18">
        <f>VLOOKUP($R18,experiments_specs!$A:$J,4,FALSE)</f>
        <v>3</v>
      </c>
      <c r="U18" t="str">
        <f>VLOOKUP($R18,experiments_specs!$A:$J,5,FALSE)</f>
        <v>True</v>
      </c>
      <c r="V18" t="str">
        <f>VLOOKUP($R18,experiments_specs!$A:$J,6,FALSE)</f>
        <v>True</v>
      </c>
      <c r="W18" t="str">
        <f>VLOOKUP($R18,experiments_specs!$A:$J,7,FALSE)</f>
        <v>False</v>
      </c>
      <c r="X18" t="str">
        <f>VLOOKUP($R18,experiments_specs!$A:$J,8,FALSE)</f>
        <v>False</v>
      </c>
      <c r="Y18" t="str">
        <f>VLOOKUP($R18,experiments_specs!$A:$J,10,FALSE)</f>
        <v>True</v>
      </c>
      <c r="Z18" s="27">
        <f>SUMIF(Dataset_dynamic!$A:$A,scores_results!$R18,Dataset_dynamic!N:N)</f>
        <v>0.19147980000000001</v>
      </c>
      <c r="AA18" s="27">
        <f>SUMIF(Dataset_dynamic!$A:$A,scores_results!$R18,Dataset_dynamic!O:O)</f>
        <v>0.97967730000000008</v>
      </c>
    </row>
    <row r="19" spans="2:27" x14ac:dyDescent="0.2">
      <c r="B19" t="s">
        <v>80</v>
      </c>
      <c r="C19" t="str">
        <f>VLOOKUP($B19,experiments_specs!$A:$J,2,FALSE)</f>
        <v>NN,RB</v>
      </c>
      <c r="D19">
        <f>VLOOKUP($B19,experiments_specs!$A:$J,3,FALSE)</f>
        <v>1</v>
      </c>
      <c r="E19">
        <f>VLOOKUP($B19,experiments_specs!$A:$J,4,FALSE)</f>
        <v>2</v>
      </c>
      <c r="F19" t="str">
        <f>VLOOKUP($B19,experiments_specs!$A:$J,5,FALSE)</f>
        <v>True</v>
      </c>
      <c r="G19" t="str">
        <f>VLOOKUP($B19,experiments_specs!$A:$J,6,FALSE)</f>
        <v>True</v>
      </c>
      <c r="H19" t="str">
        <f>VLOOKUP($B19,experiments_specs!$A:$J,7,FALSE)</f>
        <v>False</v>
      </c>
      <c r="I19" t="str">
        <f>VLOOKUP($B19,experiments_specs!$A:$J,8,FALSE)</f>
        <v>False</v>
      </c>
      <c r="J19" t="str">
        <f>VLOOKUP($B19,experiments_specs!$A:$J,10,FALSE)</f>
        <v>True</v>
      </c>
      <c r="K19" s="27">
        <f>SUMIF(Dataset_static!$A:$A,scores_results!$B19,Dataset_static!M:M)</f>
        <v>0.47051129999999997</v>
      </c>
      <c r="L19" s="27">
        <f>SUMIF(Dataset_static!$A:$A,scores_results!$B19,Dataset_static!O:O)</f>
        <v>0.1462793</v>
      </c>
      <c r="M19" s="27">
        <f>SUMIF(Dataset_static!$A:$A,scores_results!$B19,Dataset_static!R:R)</f>
        <v>9.6798300000000004E-2</v>
      </c>
      <c r="N19" s="27">
        <f>SUMIF(Dataset_static!$A:$A,scores_results!$B19,Dataset_static!T:T)</f>
        <v>0.15122550000000001</v>
      </c>
      <c r="O19" s="27">
        <f>SUMIF(Dataset_static!A:A,scores_results!B19,Dataset_static!P:P)</f>
        <v>1.8594884647516228</v>
      </c>
      <c r="P19" s="27">
        <f>SUMIF(Dataset_static!$A:$A,scores_results!$B19,Dataset_static!U:U)</f>
        <v>1.8841637894269474</v>
      </c>
      <c r="R19" t="str">
        <f t="shared" si="1"/>
        <v>test_107</v>
      </c>
      <c r="S19" t="str">
        <f>VLOOKUP($R19,experiments_specs!$A:$J,2,FALSE)</f>
        <v>NN,JJ,VB,VBD,VBG,VBN,VBP,VBZ</v>
      </c>
      <c r="T19">
        <f>VLOOKUP($R19,experiments_specs!$A:$J,4,FALSE)</f>
        <v>2</v>
      </c>
      <c r="U19" t="str">
        <f>VLOOKUP($R19,experiments_specs!$A:$J,5,FALSE)</f>
        <v>True</v>
      </c>
      <c r="V19" t="str">
        <f>VLOOKUP($R19,experiments_specs!$A:$J,6,FALSE)</f>
        <v>True</v>
      </c>
      <c r="W19" t="str">
        <f>VLOOKUP($R19,experiments_specs!$A:$J,7,FALSE)</f>
        <v>False</v>
      </c>
      <c r="X19" t="str">
        <f>VLOOKUP($R19,experiments_specs!$A:$J,8,FALSE)</f>
        <v>False</v>
      </c>
      <c r="Y19" t="str">
        <f>VLOOKUP($R19,experiments_specs!$A:$J,10,FALSE)</f>
        <v>True</v>
      </c>
      <c r="Z19" s="27">
        <f>SUMIF(Dataset_dynamic!$A:$A,scores_results!$R19,Dataset_dynamic!N:N)</f>
        <v>0.18995390000000004</v>
      </c>
      <c r="AA19" s="27">
        <f>SUMIF(Dataset_dynamic!$A:$A,scores_results!$R19,Dataset_dynamic!O:O)</f>
        <v>1.5481886</v>
      </c>
    </row>
    <row r="20" spans="2:27" x14ac:dyDescent="0.2">
      <c r="B20" t="s">
        <v>81</v>
      </c>
      <c r="C20" t="str">
        <f>VLOOKUP($B20,experiments_specs!$A:$J,2,FALSE)</f>
        <v>NN,JJ,VB,VBD,VBG,VBN,VBP,VBZ</v>
      </c>
      <c r="D20">
        <f>VLOOKUP($B20,experiments_specs!$A:$J,3,FALSE)</f>
        <v>1</v>
      </c>
      <c r="E20">
        <f>VLOOKUP($B20,experiments_specs!$A:$J,4,FALSE)</f>
        <v>2</v>
      </c>
      <c r="F20" t="str">
        <f>VLOOKUP($B20,experiments_specs!$A:$J,5,FALSE)</f>
        <v>True</v>
      </c>
      <c r="G20" t="str">
        <f>VLOOKUP($B20,experiments_specs!$A:$J,6,FALSE)</f>
        <v>True</v>
      </c>
      <c r="H20" t="str">
        <f>VLOOKUP($B20,experiments_specs!$A:$J,7,FALSE)</f>
        <v>False</v>
      </c>
      <c r="I20" t="str">
        <f>VLOOKUP($B20,experiments_specs!$A:$J,8,FALSE)</f>
        <v>False</v>
      </c>
      <c r="J20" t="str">
        <f>VLOOKUP($B20,experiments_specs!$A:$J,10,FALSE)</f>
        <v>True</v>
      </c>
      <c r="K20" s="27">
        <f>SUMIF(Dataset_static!$A:$A,scores_results!$B20,Dataset_static!M:M)</f>
        <v>0.61177570000000014</v>
      </c>
      <c r="L20" s="27">
        <f>SUMIF(Dataset_static!$A:$A,scores_results!$B20,Dataset_static!O:O)</f>
        <v>0.14627110000000001</v>
      </c>
      <c r="M20" s="27">
        <f>SUMIF(Dataset_static!$A:$A,scores_results!$B20,Dataset_static!R:R)</f>
        <v>0.41356870000000001</v>
      </c>
      <c r="N20" s="27">
        <f>SUMIF(Dataset_static!$A:$A,scores_results!$B20,Dataset_static!T:T)</f>
        <v>0.1439927</v>
      </c>
      <c r="O20" s="27">
        <f>SUMIF(Dataset_static!A:A,scores_results!B20,Dataset_static!P:P)</f>
        <v>1.8429253177536928</v>
      </c>
      <c r="P20" s="27">
        <f>SUMIF(Dataset_static!$A:$A,scores_results!$B20,Dataset_static!U:U)</f>
        <v>2.585349560177935</v>
      </c>
      <c r="R20" t="str">
        <f t="shared" si="1"/>
        <v>test_108</v>
      </c>
      <c r="S20" t="str">
        <f>VLOOKUP($R20,experiments_specs!$A:$J,2,FALSE)</f>
        <v>NN,JJ,VB,VBD,VBG,VBN,VBP,VBZ</v>
      </c>
      <c r="T20">
        <f>VLOOKUP($R20,experiments_specs!$A:$J,4,FALSE)</f>
        <v>3</v>
      </c>
      <c r="U20" t="str">
        <f>VLOOKUP($R20,experiments_specs!$A:$J,5,FALSE)</f>
        <v>True</v>
      </c>
      <c r="V20" t="str">
        <f>VLOOKUP($R20,experiments_specs!$A:$J,6,FALSE)</f>
        <v>True</v>
      </c>
      <c r="W20" t="str">
        <f>VLOOKUP($R20,experiments_specs!$A:$J,7,FALSE)</f>
        <v>False</v>
      </c>
      <c r="X20" t="str">
        <f>VLOOKUP($R20,experiments_specs!$A:$J,8,FALSE)</f>
        <v>False</v>
      </c>
      <c r="Y20" t="str">
        <f>VLOOKUP($R20,experiments_specs!$A:$J,10,FALSE)</f>
        <v>True</v>
      </c>
      <c r="Z20" s="27">
        <f>SUMIF(Dataset_dynamic!$A:$A,scores_results!$R20,Dataset_dynamic!N:N)</f>
        <v>0.18995390000000004</v>
      </c>
      <c r="AA20" s="27">
        <f>SUMIF(Dataset_dynamic!$A:$A,scores_results!$R20,Dataset_dynamic!O:O)</f>
        <v>1.5481886</v>
      </c>
    </row>
    <row r="21" spans="2:27" x14ac:dyDescent="0.2">
      <c r="B21" t="s">
        <v>82</v>
      </c>
      <c r="C21" t="str">
        <f>VLOOKUP($B21,experiments_specs!$A:$J,2,FALSE)</f>
        <v>NN</v>
      </c>
      <c r="D21">
        <f>VLOOKUP($B21,experiments_specs!$A:$J,3,FALSE)</f>
        <v>1</v>
      </c>
      <c r="E21">
        <f>VLOOKUP($B21,experiments_specs!$A:$J,4,FALSE)</f>
        <v>2</v>
      </c>
      <c r="F21" t="str">
        <f>VLOOKUP($B21,experiments_specs!$A:$J,5,FALSE)</f>
        <v>False</v>
      </c>
      <c r="G21" t="str">
        <f>VLOOKUP($B21,experiments_specs!$A:$J,6,FALSE)</f>
        <v>True</v>
      </c>
      <c r="H21" t="str">
        <f>VLOOKUP($B21,experiments_specs!$A:$J,7,FALSE)</f>
        <v>True</v>
      </c>
      <c r="I21" t="str">
        <f>VLOOKUP($B21,experiments_specs!$A:$J,8,FALSE)</f>
        <v>False</v>
      </c>
      <c r="J21" t="str">
        <f>VLOOKUP($B21,experiments_specs!$A:$J,10,FALSE)</f>
        <v>False</v>
      </c>
      <c r="K21" s="27">
        <f>SUMIF(Dataset_static!$A:$A,scores_results!$B21,Dataset_static!M:M)</f>
        <v>1.0987267000000001</v>
      </c>
      <c r="L21" s="27">
        <f>SUMIF(Dataset_static!$A:$A,scores_results!$B21,Dataset_static!O:O)</f>
        <v>3.03655E-2</v>
      </c>
      <c r="M21" s="27">
        <f>SUMIF(Dataset_static!$A:$A,scores_results!$B21,Dataset_static!R:R)</f>
        <v>0.29175479999999998</v>
      </c>
      <c r="N21" s="27">
        <f>SUMIF(Dataset_static!$A:$A,scores_results!$B21,Dataset_static!T:T)</f>
        <v>4.9664199999999999E-2</v>
      </c>
      <c r="O21" s="27">
        <f>SUMIF(Dataset_static!A:A,scores_results!B21,Dataset_static!P:P)</f>
        <v>1.8279866332497912</v>
      </c>
      <c r="P21" s="27">
        <f>SUMIF(Dataset_static!$A:$A,scores_results!$B21,Dataset_static!U:U)</f>
        <v>1.864963545226703</v>
      </c>
      <c r="R21" t="str">
        <f t="shared" si="1"/>
        <v>test_109</v>
      </c>
      <c r="S21" t="str">
        <f>VLOOKUP($R21,experiments_specs!$A:$J,2,FALSE)</f>
        <v>NN,JJ</v>
      </c>
      <c r="T21">
        <f>VLOOKUP($R21,experiments_specs!$A:$J,4,FALSE)</f>
        <v>2</v>
      </c>
      <c r="U21" t="str">
        <f>VLOOKUP($R21,experiments_specs!$A:$J,5,FALSE)</f>
        <v>False</v>
      </c>
      <c r="V21" t="str">
        <f>VLOOKUP($R21,experiments_specs!$A:$J,6,FALSE)</f>
        <v>True</v>
      </c>
      <c r="W21" t="str">
        <f>VLOOKUP($R21,experiments_specs!$A:$J,7,FALSE)</f>
        <v>True</v>
      </c>
      <c r="X21" t="str">
        <f>VLOOKUP($R21,experiments_specs!$A:$J,8,FALSE)</f>
        <v>False</v>
      </c>
      <c r="Y21" t="str">
        <f>VLOOKUP($R21,experiments_specs!$A:$J,10,FALSE)</f>
        <v>False</v>
      </c>
      <c r="Z21" s="27">
        <f>SUMIF(Dataset_dynamic!$A:$A,scores_results!$R21,Dataset_dynamic!N:N)</f>
        <v>2.9610199999999996E-2</v>
      </c>
      <c r="AA21" s="27">
        <f>SUMIF(Dataset_dynamic!$A:$A,scores_results!$R21,Dataset_dynamic!O:O)</f>
        <v>1.8479796999999998</v>
      </c>
    </row>
    <row r="22" spans="2:27" x14ac:dyDescent="0.2">
      <c r="B22" t="s">
        <v>83</v>
      </c>
      <c r="C22" t="str">
        <f>VLOOKUP($B22,experiments_specs!$A:$J,2,FALSE)</f>
        <v>NN,JJ</v>
      </c>
      <c r="D22">
        <f>VLOOKUP($B22,experiments_specs!$A:$J,3,FALSE)</f>
        <v>1</v>
      </c>
      <c r="E22">
        <f>VLOOKUP($B22,experiments_specs!$A:$J,4,FALSE)</f>
        <v>2</v>
      </c>
      <c r="F22" t="str">
        <f>VLOOKUP($B22,experiments_specs!$A:$J,5,FALSE)</f>
        <v>False</v>
      </c>
      <c r="G22" t="str">
        <f>VLOOKUP($B22,experiments_specs!$A:$J,6,FALSE)</f>
        <v>True</v>
      </c>
      <c r="H22" t="str">
        <f>VLOOKUP($B22,experiments_specs!$A:$J,7,FALSE)</f>
        <v>True</v>
      </c>
      <c r="I22" t="str">
        <f>VLOOKUP($B22,experiments_specs!$A:$J,8,FALSE)</f>
        <v>False</v>
      </c>
      <c r="J22" t="str">
        <f>VLOOKUP($B22,experiments_specs!$A:$J,10,FALSE)</f>
        <v>False</v>
      </c>
      <c r="K22" s="27">
        <f>SUMIF(Dataset_static!$A:$A,scores_results!$B22,Dataset_static!M:M)</f>
        <v>1.1209186000000002</v>
      </c>
      <c r="L22" s="27">
        <f>SUMIF(Dataset_static!$A:$A,scores_results!$B22,Dataset_static!O:O)</f>
        <v>2.4652199999999999E-2</v>
      </c>
      <c r="M22" s="27">
        <f>SUMIF(Dataset_static!$A:$A,scores_results!$B22,Dataset_static!R:R)</f>
        <v>0.24667140000000001</v>
      </c>
      <c r="N22" s="27">
        <f>SUMIF(Dataset_static!$A:$A,scores_results!$B22,Dataset_static!T:T)</f>
        <v>4.8390799999999998E-2</v>
      </c>
      <c r="O22" s="27">
        <f>SUMIF(Dataset_static!A:A,scores_results!B22,Dataset_static!P:P)</f>
        <v>1.8114234862518612</v>
      </c>
      <c r="P22" s="27">
        <f>SUMIF(Dataset_static!$A:$A,scores_results!$B22,Dataset_static!U:U)</f>
        <v>1.8873725088121371</v>
      </c>
      <c r="R22" t="str">
        <f t="shared" si="1"/>
        <v>test_110</v>
      </c>
      <c r="S22" t="str">
        <f>VLOOKUP($R22,experiments_specs!$A:$J,2,FALSE)</f>
        <v>NN,JJ</v>
      </c>
      <c r="T22">
        <f>VLOOKUP($R22,experiments_specs!$A:$J,4,FALSE)</f>
        <v>3</v>
      </c>
      <c r="U22" t="str">
        <f>VLOOKUP($R22,experiments_specs!$A:$J,5,FALSE)</f>
        <v>False</v>
      </c>
      <c r="V22" t="str">
        <f>VLOOKUP($R22,experiments_specs!$A:$J,6,FALSE)</f>
        <v>True</v>
      </c>
      <c r="W22" t="str">
        <f>VLOOKUP($R22,experiments_specs!$A:$J,7,FALSE)</f>
        <v>True</v>
      </c>
      <c r="X22" t="str">
        <f>VLOOKUP($R22,experiments_specs!$A:$J,8,FALSE)</f>
        <v>False</v>
      </c>
      <c r="Y22" t="str">
        <f>VLOOKUP($R22,experiments_specs!$A:$J,10,FALSE)</f>
        <v>False</v>
      </c>
      <c r="Z22" s="27">
        <f>SUMIF(Dataset_dynamic!$A:$A,scores_results!$R22,Dataset_dynamic!N:N)</f>
        <v>2.9610199999999996E-2</v>
      </c>
      <c r="AA22" s="27">
        <f>SUMIF(Dataset_dynamic!$A:$A,scores_results!$R22,Dataset_dynamic!O:O)</f>
        <v>1.8479796999999998</v>
      </c>
    </row>
    <row r="23" spans="2:27" x14ac:dyDescent="0.2">
      <c r="B23" t="s">
        <v>84</v>
      </c>
      <c r="C23" t="str">
        <f>VLOOKUP($B23,experiments_specs!$A:$J,2,FALSE)</f>
        <v>NN,VB</v>
      </c>
      <c r="D23">
        <f>VLOOKUP($B23,experiments_specs!$A:$J,3,FALSE)</f>
        <v>1</v>
      </c>
      <c r="E23">
        <f>VLOOKUP($B23,experiments_specs!$A:$J,4,FALSE)</f>
        <v>2</v>
      </c>
      <c r="F23" t="str">
        <f>VLOOKUP($B23,experiments_specs!$A:$J,5,FALSE)</f>
        <v>False</v>
      </c>
      <c r="G23" t="str">
        <f>VLOOKUP($B23,experiments_specs!$A:$J,6,FALSE)</f>
        <v>True</v>
      </c>
      <c r="H23" t="str">
        <f>VLOOKUP($B23,experiments_specs!$A:$J,7,FALSE)</f>
        <v>True</v>
      </c>
      <c r="I23" t="str">
        <f>VLOOKUP($B23,experiments_specs!$A:$J,8,FALSE)</f>
        <v>False</v>
      </c>
      <c r="J23" t="str">
        <f>VLOOKUP($B23,experiments_specs!$A:$J,10,FALSE)</f>
        <v>False</v>
      </c>
      <c r="K23" s="27">
        <f>SUMIF(Dataset_static!$A:$A,scores_results!$B23,Dataset_static!M:M)</f>
        <v>1.2178248999999999</v>
      </c>
      <c r="L23" s="27">
        <f>SUMIF(Dataset_static!$A:$A,scores_results!$B23,Dataset_static!O:O)</f>
        <v>2.97164E-2</v>
      </c>
      <c r="M23" s="27">
        <f>SUMIF(Dataset_static!$A:$A,scores_results!$B23,Dataset_static!R:R)</f>
        <v>0.16852600000000001</v>
      </c>
      <c r="N23" s="27">
        <f>SUMIF(Dataset_static!$A:$A,scores_results!$B23,Dataset_static!T:T)</f>
        <v>4.5389600000000002E-2</v>
      </c>
      <c r="O23" s="27">
        <f>SUMIF(Dataset_static!A:A,scores_results!B23,Dataset_static!P:P)</f>
        <v>1.5244152046783626</v>
      </c>
      <c r="P23" s="27">
        <f>SUMIF(Dataset_static!$A:$A,scores_results!$B23,Dataset_static!U:U)</f>
        <v>1.496218487394958</v>
      </c>
      <c r="R23" t="str">
        <f t="shared" si="1"/>
        <v>test_111</v>
      </c>
      <c r="S23" t="str">
        <f>VLOOKUP($R23,experiments_specs!$A:$J,2,FALSE)</f>
        <v>NN,VB,VBD,VBG,VBN,VBP,VBZ</v>
      </c>
      <c r="T23">
        <f>VLOOKUP($R23,experiments_specs!$A:$J,4,FALSE)</f>
        <v>2</v>
      </c>
      <c r="U23" t="str">
        <f>VLOOKUP($R23,experiments_specs!$A:$J,5,FALSE)</f>
        <v>False</v>
      </c>
      <c r="V23" t="str">
        <f>VLOOKUP($R23,experiments_specs!$A:$J,6,FALSE)</f>
        <v>True</v>
      </c>
      <c r="W23" t="str">
        <f>VLOOKUP($R23,experiments_specs!$A:$J,7,FALSE)</f>
        <v>True</v>
      </c>
      <c r="X23" t="str">
        <f>VLOOKUP($R23,experiments_specs!$A:$J,8,FALSE)</f>
        <v>False</v>
      </c>
      <c r="Y23" t="str">
        <f>VLOOKUP($R23,experiments_specs!$A:$J,10,FALSE)</f>
        <v>False</v>
      </c>
      <c r="Z23" s="27">
        <f>SUMIF(Dataset_dynamic!$A:$A,scores_results!$R23,Dataset_dynamic!N:N)</f>
        <v>2.52795E-2</v>
      </c>
      <c r="AA23" s="27">
        <f>SUMIF(Dataset_dynamic!$A:$A,scores_results!$R23,Dataset_dynamic!O:O)</f>
        <v>1.9016907000000001</v>
      </c>
    </row>
    <row r="24" spans="2:27" x14ac:dyDescent="0.2">
      <c r="B24" t="s">
        <v>85</v>
      </c>
      <c r="C24" t="str">
        <f>VLOOKUP($B24,experiments_specs!$A:$J,2,FALSE)</f>
        <v>NN,VB,VBD,VBG,VBN,VBP,VBZ</v>
      </c>
      <c r="D24">
        <f>VLOOKUP($B24,experiments_specs!$A:$J,3,FALSE)</f>
        <v>1</v>
      </c>
      <c r="E24">
        <f>VLOOKUP($B24,experiments_specs!$A:$J,4,FALSE)</f>
        <v>2</v>
      </c>
      <c r="F24" t="str">
        <f>VLOOKUP($B24,experiments_specs!$A:$J,5,FALSE)</f>
        <v>False</v>
      </c>
      <c r="G24" t="str">
        <f>VLOOKUP($B24,experiments_specs!$A:$J,6,FALSE)</f>
        <v>True</v>
      </c>
      <c r="H24" t="str">
        <f>VLOOKUP($B24,experiments_specs!$A:$J,7,FALSE)</f>
        <v>True</v>
      </c>
      <c r="I24" t="str">
        <f>VLOOKUP($B24,experiments_specs!$A:$J,8,FALSE)</f>
        <v>False</v>
      </c>
      <c r="J24" t="str">
        <f>VLOOKUP($B24,experiments_specs!$A:$J,10,FALSE)</f>
        <v>False</v>
      </c>
      <c r="K24" s="27">
        <f>SUMIF(Dataset_static!$A:$A,scores_results!$B24,Dataset_static!M:M)</f>
        <v>0.96573379999999998</v>
      </c>
      <c r="L24" s="27">
        <f>SUMIF(Dataset_static!$A:$A,scores_results!$B24,Dataset_static!O:O)</f>
        <v>2.4608499999999998E-2</v>
      </c>
      <c r="M24" s="27">
        <f>SUMIF(Dataset_static!$A:$A,scores_results!$B24,Dataset_static!R:R)</f>
        <v>0.24036840000000001</v>
      </c>
      <c r="N24" s="27">
        <f>SUMIF(Dataset_static!$A:$A,scores_results!$B24,Dataset_static!T:T)</f>
        <v>5.3562900000000004E-2</v>
      </c>
      <c r="O24" s="27">
        <f>SUMIF(Dataset_static!A:A,scores_results!B24,Dataset_static!P:P)</f>
        <v>2.128780284043442</v>
      </c>
      <c r="P24" s="27">
        <f>SUMIF(Dataset_static!$A:$A,scores_results!$B24,Dataset_static!U:U)</f>
        <v>1.5463064713064714</v>
      </c>
      <c r="R24" t="str">
        <f t="shared" si="1"/>
        <v>test_112</v>
      </c>
      <c r="S24" t="str">
        <f>VLOOKUP($R24,experiments_specs!$A:$J,2,FALSE)</f>
        <v>NN,VB,VBD,VBG,VBN,VBP,VBZ</v>
      </c>
      <c r="T24">
        <f>VLOOKUP($R24,experiments_specs!$A:$J,4,FALSE)</f>
        <v>3</v>
      </c>
      <c r="U24" t="str">
        <f>VLOOKUP($R24,experiments_specs!$A:$J,5,FALSE)</f>
        <v>False</v>
      </c>
      <c r="V24" t="str">
        <f>VLOOKUP($R24,experiments_specs!$A:$J,6,FALSE)</f>
        <v>True</v>
      </c>
      <c r="W24" t="str">
        <f>VLOOKUP($R24,experiments_specs!$A:$J,7,FALSE)</f>
        <v>True</v>
      </c>
      <c r="X24" t="str">
        <f>VLOOKUP($R24,experiments_specs!$A:$J,8,FALSE)</f>
        <v>False</v>
      </c>
      <c r="Y24" t="str">
        <f>VLOOKUP($R24,experiments_specs!$A:$J,10,FALSE)</f>
        <v>False</v>
      </c>
      <c r="Z24" s="27">
        <f>SUMIF(Dataset_dynamic!$A:$A,scores_results!$R24,Dataset_dynamic!N:N)</f>
        <v>2.52795E-2</v>
      </c>
      <c r="AA24" s="27">
        <f>SUMIF(Dataset_dynamic!$A:$A,scores_results!$R24,Dataset_dynamic!O:O)</f>
        <v>1.9016907000000001</v>
      </c>
    </row>
    <row r="25" spans="2:27" x14ac:dyDescent="0.2">
      <c r="B25" t="s">
        <v>86</v>
      </c>
      <c r="C25" t="str">
        <f>VLOOKUP($B25,experiments_specs!$A:$J,2,FALSE)</f>
        <v>NN,RB</v>
      </c>
      <c r="D25">
        <f>VLOOKUP($B25,experiments_specs!$A:$J,3,FALSE)</f>
        <v>1</v>
      </c>
      <c r="E25">
        <f>VLOOKUP($B25,experiments_specs!$A:$J,4,FALSE)</f>
        <v>2</v>
      </c>
      <c r="F25" t="str">
        <f>VLOOKUP($B25,experiments_specs!$A:$J,5,FALSE)</f>
        <v>False</v>
      </c>
      <c r="G25" t="str">
        <f>VLOOKUP($B25,experiments_specs!$A:$J,6,FALSE)</f>
        <v>True</v>
      </c>
      <c r="H25" t="str">
        <f>VLOOKUP($B25,experiments_specs!$A:$J,7,FALSE)</f>
        <v>True</v>
      </c>
      <c r="I25" t="str">
        <f>VLOOKUP($B25,experiments_specs!$A:$J,8,FALSE)</f>
        <v>False</v>
      </c>
      <c r="J25" t="str">
        <f>VLOOKUP($B25,experiments_specs!$A:$J,10,FALSE)</f>
        <v>False</v>
      </c>
      <c r="K25" s="27">
        <f>SUMIF(Dataset_static!$A:$A,scores_results!$B25,Dataset_static!M:M)</f>
        <v>1.0987267000000001</v>
      </c>
      <c r="L25" s="27">
        <f>SUMIF(Dataset_static!$A:$A,scores_results!$B25,Dataset_static!O:O)</f>
        <v>2.9553900000000001E-2</v>
      </c>
      <c r="M25" s="27">
        <f>SUMIF(Dataset_static!$A:$A,scores_results!$B25,Dataset_static!R:R)</f>
        <v>0.29175479999999998</v>
      </c>
      <c r="N25" s="27">
        <f>SUMIF(Dataset_static!$A:$A,scores_results!$B25,Dataset_static!T:T)</f>
        <v>4.9023900000000002E-2</v>
      </c>
      <c r="O25" s="27">
        <f>SUMIF(Dataset_static!A:A,scores_results!B25,Dataset_static!P:P)</f>
        <v>1.8279866332497912</v>
      </c>
      <c r="P25" s="27">
        <f>SUMIF(Dataset_static!$A:$A,scores_results!$B25,Dataset_static!U:U)</f>
        <v>1.864963545226703</v>
      </c>
      <c r="R25" t="str">
        <f t="shared" si="1"/>
        <v>test_113</v>
      </c>
      <c r="S25" t="str">
        <f>VLOOKUP($R25,experiments_specs!$A:$J,2,FALSE)</f>
        <v>NN,JJ,VB,VBD,VBG,VBN,VBP,VBZ</v>
      </c>
      <c r="T25">
        <f>VLOOKUP($R25,experiments_specs!$A:$J,4,FALSE)</f>
        <v>2</v>
      </c>
      <c r="U25" t="str">
        <f>VLOOKUP($R25,experiments_specs!$A:$J,5,FALSE)</f>
        <v>False</v>
      </c>
      <c r="V25" t="str">
        <f>VLOOKUP($R25,experiments_specs!$A:$J,6,FALSE)</f>
        <v>True</v>
      </c>
      <c r="W25" t="str">
        <f>VLOOKUP($R25,experiments_specs!$A:$J,7,FALSE)</f>
        <v>True</v>
      </c>
      <c r="X25" t="str">
        <f>VLOOKUP($R25,experiments_specs!$A:$J,8,FALSE)</f>
        <v>False</v>
      </c>
      <c r="Y25" t="str">
        <f>VLOOKUP($R25,experiments_specs!$A:$J,10,FALSE)</f>
        <v>False</v>
      </c>
      <c r="Z25" s="27">
        <f>SUMIF(Dataset_dynamic!$A:$A,scores_results!$R25,Dataset_dynamic!N:N)</f>
        <v>2.16422E-2</v>
      </c>
      <c r="AA25" s="27">
        <f>SUMIF(Dataset_dynamic!$A:$A,scores_results!$R25,Dataset_dynamic!O:O)</f>
        <v>2.4368685999999999</v>
      </c>
    </row>
    <row r="26" spans="2:27" x14ac:dyDescent="0.2">
      <c r="B26" t="s">
        <v>87</v>
      </c>
      <c r="C26" t="str">
        <f>VLOOKUP($B26,experiments_specs!$A:$J,2,FALSE)</f>
        <v>NN,JJ,VB,VBD,VBG,VBN,VBP,VBZ</v>
      </c>
      <c r="D26">
        <f>VLOOKUP($B26,experiments_specs!$A:$J,3,FALSE)</f>
        <v>1</v>
      </c>
      <c r="E26">
        <f>VLOOKUP($B26,experiments_specs!$A:$J,4,FALSE)</f>
        <v>2</v>
      </c>
      <c r="F26" t="str">
        <f>VLOOKUP($B26,experiments_specs!$A:$J,5,FALSE)</f>
        <v>False</v>
      </c>
      <c r="G26" t="str">
        <f>VLOOKUP($B26,experiments_specs!$A:$J,6,FALSE)</f>
        <v>True</v>
      </c>
      <c r="H26" t="str">
        <f>VLOOKUP($B26,experiments_specs!$A:$J,7,FALSE)</f>
        <v>True</v>
      </c>
      <c r="I26" t="str">
        <f>VLOOKUP($B26,experiments_specs!$A:$J,8,FALSE)</f>
        <v>False</v>
      </c>
      <c r="J26" t="str">
        <f>VLOOKUP($B26,experiments_specs!$A:$J,10,FALSE)</f>
        <v>False</v>
      </c>
      <c r="K26" s="27">
        <f>SUMIF(Dataset_static!$A:$A,scores_results!$B26,Dataset_static!M:M)</f>
        <v>0.98792570000000013</v>
      </c>
      <c r="L26" s="27">
        <f>SUMIF(Dataset_static!$A:$A,scores_results!$B26,Dataset_static!O:O)</f>
        <v>2.1216700000000002E-2</v>
      </c>
      <c r="M26" s="27">
        <f>SUMIF(Dataset_static!$A:$A,scores_results!$B26,Dataset_static!R:R)</f>
        <v>0.1584496</v>
      </c>
      <c r="N26" s="27">
        <f>SUMIF(Dataset_static!$A:$A,scores_results!$B26,Dataset_static!T:T)</f>
        <v>5.3740799999999998E-2</v>
      </c>
      <c r="O26" s="27">
        <f>SUMIF(Dataset_static!A:A,scores_results!B26,Dataset_static!P:P)</f>
        <v>2.1122171370455121</v>
      </c>
      <c r="P26" s="27">
        <f>SUMIF(Dataset_static!$A:$A,scores_results!$B26,Dataset_static!U:U)</f>
        <v>1.5613624937154349</v>
      </c>
      <c r="R26" t="str">
        <f t="shared" si="1"/>
        <v>test_114</v>
      </c>
      <c r="S26" t="str">
        <f>VLOOKUP($R26,experiments_specs!$A:$J,2,FALSE)</f>
        <v>NN,JJ,VB,VBD,VBG,VBN,VBP,VBZ</v>
      </c>
      <c r="T26">
        <f>VLOOKUP($R26,experiments_specs!$A:$J,4,FALSE)</f>
        <v>3</v>
      </c>
      <c r="U26" t="str">
        <f>VLOOKUP($R26,experiments_specs!$A:$J,5,FALSE)</f>
        <v>False</v>
      </c>
      <c r="V26" t="str">
        <f>VLOOKUP($R26,experiments_specs!$A:$J,6,FALSE)</f>
        <v>True</v>
      </c>
      <c r="W26" t="str">
        <f>VLOOKUP($R26,experiments_specs!$A:$J,7,FALSE)</f>
        <v>True</v>
      </c>
      <c r="X26" t="str">
        <f>VLOOKUP($R26,experiments_specs!$A:$J,8,FALSE)</f>
        <v>False</v>
      </c>
      <c r="Y26" t="str">
        <f>VLOOKUP($R26,experiments_specs!$A:$J,10,FALSE)</f>
        <v>False</v>
      </c>
      <c r="Z26" s="27">
        <f>SUMIF(Dataset_dynamic!$A:$A,scores_results!$R26,Dataset_dynamic!N:N)</f>
        <v>2.16422E-2</v>
      </c>
      <c r="AA26" s="27">
        <f>SUMIF(Dataset_dynamic!$A:$A,scores_results!$R26,Dataset_dynamic!O:O)</f>
        <v>2.4368685999999999</v>
      </c>
    </row>
    <row r="27" spans="2:27" x14ac:dyDescent="0.2">
      <c r="B27" t="s">
        <v>88</v>
      </c>
      <c r="C27" t="str">
        <f>VLOOKUP($B27,experiments_specs!$A:$J,2,FALSE)</f>
        <v>NN</v>
      </c>
      <c r="D27">
        <f>VLOOKUP($B27,experiments_specs!$A:$J,3,FALSE)</f>
        <v>1</v>
      </c>
      <c r="E27">
        <f>VLOOKUP($B27,experiments_specs!$A:$J,4,FALSE)</f>
        <v>2</v>
      </c>
      <c r="F27" t="str">
        <f>VLOOKUP($B27,experiments_specs!$A:$J,5,FALSE)</f>
        <v>True</v>
      </c>
      <c r="G27" t="str">
        <f>VLOOKUP($B27,experiments_specs!$A:$J,6,FALSE)</f>
        <v>True</v>
      </c>
      <c r="H27" t="str">
        <f>VLOOKUP($B27,experiments_specs!$A:$J,7,FALSE)</f>
        <v>True</v>
      </c>
      <c r="I27" t="str">
        <f>VLOOKUP($B27,experiments_specs!$A:$J,8,FALSE)</f>
        <v>False</v>
      </c>
      <c r="J27" t="str">
        <f>VLOOKUP($B27,experiments_specs!$A:$J,10,FALSE)</f>
        <v>False</v>
      </c>
      <c r="K27" s="27">
        <f>SUMIF(Dataset_static!$A:$A,scores_results!$B27,Dataset_static!M:M)</f>
        <v>0.61272769999999999</v>
      </c>
      <c r="L27" s="27">
        <f>SUMIF(Dataset_static!$A:$A,scores_results!$B27,Dataset_static!O:O)</f>
        <v>0.14842179999999999</v>
      </c>
      <c r="M27" s="27">
        <f>SUMIF(Dataset_static!$A:$A,scores_results!$B27,Dataset_static!R:R)</f>
        <v>8.3172400000000007E-2</v>
      </c>
      <c r="N27" s="27">
        <f>SUMIF(Dataset_static!$A:$A,scores_results!$B27,Dataset_static!T:T)</f>
        <v>0.14026539999999998</v>
      </c>
      <c r="O27" s="27">
        <f>SUMIF(Dataset_static!A:A,scores_results!B27,Dataset_static!P:P)</f>
        <v>2.2594884647516222</v>
      </c>
      <c r="P27" s="27">
        <f>SUMIF(Dataset_static!$A:$A,scores_results!$B27,Dataset_static!U:U)</f>
        <v>1.9076070128701708</v>
      </c>
      <c r="R27" t="str">
        <f t="shared" si="1"/>
        <v>test_115</v>
      </c>
      <c r="S27" t="str">
        <f>VLOOKUP($R27,experiments_specs!$A:$J,2,FALSE)</f>
        <v>NN,JJ</v>
      </c>
      <c r="T27">
        <f>VLOOKUP($R27,experiments_specs!$A:$J,4,FALSE)</f>
        <v>2</v>
      </c>
      <c r="U27" t="str">
        <f>VLOOKUP($R27,experiments_specs!$A:$J,5,FALSE)</f>
        <v>True</v>
      </c>
      <c r="V27" t="str">
        <f>VLOOKUP($R27,experiments_specs!$A:$J,6,FALSE)</f>
        <v>True</v>
      </c>
      <c r="W27" t="str">
        <f>VLOOKUP($R27,experiments_specs!$A:$J,7,FALSE)</f>
        <v>True</v>
      </c>
      <c r="X27" t="str">
        <f>VLOOKUP($R27,experiments_specs!$A:$J,8,FALSE)</f>
        <v>False</v>
      </c>
      <c r="Y27" t="str">
        <f>VLOOKUP($R27,experiments_specs!$A:$J,10,FALSE)</f>
        <v>False</v>
      </c>
      <c r="Z27" s="27">
        <f>SUMIF(Dataset_dynamic!$A:$A,scores_results!$R27,Dataset_dynamic!N:N)</f>
        <v>0.16732279999999999</v>
      </c>
      <c r="AA27" s="27">
        <f>SUMIF(Dataset_dynamic!$A:$A,scores_results!$R27,Dataset_dynamic!O:O)</f>
        <v>1.9481885999999999</v>
      </c>
    </row>
    <row r="28" spans="2:27" x14ac:dyDescent="0.2">
      <c r="B28" t="s">
        <v>89</v>
      </c>
      <c r="C28" t="str">
        <f>VLOOKUP($B28,experiments_specs!$A:$J,2,FALSE)</f>
        <v>NN,JJ</v>
      </c>
      <c r="D28">
        <f>VLOOKUP($B28,experiments_specs!$A:$J,3,FALSE)</f>
        <v>1</v>
      </c>
      <c r="E28">
        <f>VLOOKUP($B28,experiments_specs!$A:$J,4,FALSE)</f>
        <v>2</v>
      </c>
      <c r="F28" t="str">
        <f>VLOOKUP($B28,experiments_specs!$A:$J,5,FALSE)</f>
        <v>True</v>
      </c>
      <c r="G28" t="str">
        <f>VLOOKUP($B28,experiments_specs!$A:$J,6,FALSE)</f>
        <v>True</v>
      </c>
      <c r="H28" t="str">
        <f>VLOOKUP($B28,experiments_specs!$A:$J,7,FALSE)</f>
        <v>True</v>
      </c>
      <c r="I28" t="str">
        <f>VLOOKUP($B28,experiments_specs!$A:$J,8,FALSE)</f>
        <v>False</v>
      </c>
      <c r="J28" t="str">
        <f>VLOOKUP($B28,experiments_specs!$A:$J,10,FALSE)</f>
        <v>False</v>
      </c>
      <c r="K28" s="27">
        <f>SUMIF(Dataset_static!$A:$A,scores_results!$B28,Dataset_static!M:M)</f>
        <v>0.63491959999999992</v>
      </c>
      <c r="L28" s="27">
        <f>SUMIF(Dataset_static!$A:$A,scores_results!$B28,Dataset_static!O:O)</f>
        <v>0.1186277</v>
      </c>
      <c r="M28" s="27">
        <f>SUMIF(Dataset_static!$A:$A,scores_results!$B28,Dataset_static!R:R)</f>
        <v>0.19225799999999998</v>
      </c>
      <c r="N28" s="27">
        <f>SUMIF(Dataset_static!$A:$A,scores_results!$B28,Dataset_static!T:T)</f>
        <v>0.14480889999999999</v>
      </c>
      <c r="O28" s="27">
        <f>SUMIF(Dataset_static!A:A,scores_results!B28,Dataset_static!P:P)</f>
        <v>2.2429253177536932</v>
      </c>
      <c r="P28" s="27">
        <f>SUMIF(Dataset_static!$A:$A,scores_results!$B28,Dataset_static!U:U)</f>
        <v>1.8910438658722413</v>
      </c>
      <c r="R28" t="str">
        <f t="shared" si="1"/>
        <v>test_116</v>
      </c>
      <c r="S28" t="str">
        <f>VLOOKUP($R28,experiments_specs!$A:$J,2,FALSE)</f>
        <v>NN,JJ</v>
      </c>
      <c r="T28">
        <f>VLOOKUP($R28,experiments_specs!$A:$J,4,FALSE)</f>
        <v>3</v>
      </c>
      <c r="U28" t="str">
        <f>VLOOKUP($R28,experiments_specs!$A:$J,5,FALSE)</f>
        <v>True</v>
      </c>
      <c r="V28" t="str">
        <f>VLOOKUP($R28,experiments_specs!$A:$J,6,FALSE)</f>
        <v>True</v>
      </c>
      <c r="W28" t="str">
        <f>VLOOKUP($R28,experiments_specs!$A:$J,7,FALSE)</f>
        <v>True</v>
      </c>
      <c r="X28" t="str">
        <f>VLOOKUP($R28,experiments_specs!$A:$J,8,FALSE)</f>
        <v>False</v>
      </c>
      <c r="Y28" t="str">
        <f>VLOOKUP($R28,experiments_specs!$A:$J,10,FALSE)</f>
        <v>False</v>
      </c>
      <c r="Z28" s="27">
        <f>SUMIF(Dataset_dynamic!$A:$A,scores_results!$R28,Dataset_dynamic!N:N)</f>
        <v>0.16732279999999999</v>
      </c>
      <c r="AA28" s="27">
        <f>SUMIF(Dataset_dynamic!$A:$A,scores_results!$R28,Dataset_dynamic!O:O)</f>
        <v>1.9481885999999999</v>
      </c>
    </row>
    <row r="29" spans="2:27" x14ac:dyDescent="0.2">
      <c r="B29" t="s">
        <v>90</v>
      </c>
      <c r="C29" t="str">
        <f>VLOOKUP($B29,experiments_specs!$A:$J,2,FALSE)</f>
        <v>NN,VB</v>
      </c>
      <c r="D29">
        <f>VLOOKUP($B29,experiments_specs!$A:$J,3,FALSE)</f>
        <v>1</v>
      </c>
      <c r="E29">
        <f>VLOOKUP($B29,experiments_specs!$A:$J,4,FALSE)</f>
        <v>2</v>
      </c>
      <c r="F29" t="str">
        <f>VLOOKUP($B29,experiments_specs!$A:$J,5,FALSE)</f>
        <v>True</v>
      </c>
      <c r="G29" t="str">
        <f>VLOOKUP($B29,experiments_specs!$A:$J,6,FALSE)</f>
        <v>True</v>
      </c>
      <c r="H29" t="str">
        <f>VLOOKUP($B29,experiments_specs!$A:$J,7,FALSE)</f>
        <v>True</v>
      </c>
      <c r="I29" t="str">
        <f>VLOOKUP($B29,experiments_specs!$A:$J,8,FALSE)</f>
        <v>False</v>
      </c>
      <c r="J29" t="str">
        <f>VLOOKUP($B29,experiments_specs!$A:$J,10,FALSE)</f>
        <v>False</v>
      </c>
      <c r="K29" s="27">
        <f>SUMIF(Dataset_static!$A:$A,scores_results!$B29,Dataset_static!M:M)</f>
        <v>0.73617029999999994</v>
      </c>
      <c r="L29" s="27">
        <f>SUMIF(Dataset_static!$A:$A,scores_results!$B29,Dataset_static!O:O)</f>
        <v>0.13876140000000001</v>
      </c>
      <c r="M29" s="27">
        <f>SUMIF(Dataset_static!$A:$A,scores_results!$B29,Dataset_static!R:R)</f>
        <v>8.3172400000000007E-2</v>
      </c>
      <c r="N29" s="27">
        <f>SUMIF(Dataset_static!$A:$A,scores_results!$B29,Dataset_static!T:T)</f>
        <v>0.118939</v>
      </c>
      <c r="O29" s="27">
        <f>SUMIF(Dataset_static!A:A,scores_results!B29,Dataset_static!P:P)</f>
        <v>2.1740183792815371</v>
      </c>
      <c r="P29" s="27">
        <f>SUMIF(Dataset_static!$A:$A,scores_results!$B29,Dataset_static!U:U)</f>
        <v>1.9076070128701708</v>
      </c>
      <c r="R29" t="str">
        <f t="shared" si="1"/>
        <v>test_117</v>
      </c>
      <c r="S29" t="str">
        <f>VLOOKUP($R29,experiments_specs!$A:$J,2,FALSE)</f>
        <v>NN,VB,VBD,VBG,VBN,VBP,VBZ</v>
      </c>
      <c r="T29">
        <f>VLOOKUP($R29,experiments_specs!$A:$J,4,FALSE)</f>
        <v>2</v>
      </c>
      <c r="U29" t="str">
        <f>VLOOKUP($R29,experiments_specs!$A:$J,5,FALSE)</f>
        <v>True</v>
      </c>
      <c r="V29" t="str">
        <f>VLOOKUP($R29,experiments_specs!$A:$J,6,FALSE)</f>
        <v>True</v>
      </c>
      <c r="W29" t="str">
        <f>VLOOKUP($R29,experiments_specs!$A:$J,7,FALSE)</f>
        <v>True</v>
      </c>
      <c r="X29" t="str">
        <f>VLOOKUP($R29,experiments_specs!$A:$J,8,FALSE)</f>
        <v>False</v>
      </c>
      <c r="Y29" t="str">
        <f>VLOOKUP($R29,experiments_specs!$A:$J,10,FALSE)</f>
        <v>False</v>
      </c>
      <c r="Z29" s="27">
        <f>SUMIF(Dataset_dynamic!$A:$A,scores_results!$R29,Dataset_dynamic!N:N)</f>
        <v>0.1428304</v>
      </c>
      <c r="AA29" s="27">
        <f>SUMIF(Dataset_dynamic!$A:$A,scores_results!$R29,Dataset_dynamic!O:O)</f>
        <v>1.6352329000000001</v>
      </c>
    </row>
    <row r="30" spans="2:27" x14ac:dyDescent="0.2">
      <c r="B30" t="s">
        <v>91</v>
      </c>
      <c r="C30" t="str">
        <f>VLOOKUP($B30,experiments_specs!$A:$J,2,FALSE)</f>
        <v>NN,VB,VBD,VBG,VBN,VBP,VBZ</v>
      </c>
      <c r="D30">
        <f>VLOOKUP($B30,experiments_specs!$A:$J,3,FALSE)</f>
        <v>1</v>
      </c>
      <c r="E30">
        <f>VLOOKUP($B30,experiments_specs!$A:$J,4,FALSE)</f>
        <v>2</v>
      </c>
      <c r="F30" t="str">
        <f>VLOOKUP($B30,experiments_specs!$A:$J,5,FALSE)</f>
        <v>True</v>
      </c>
      <c r="G30" t="str">
        <f>VLOOKUP($B30,experiments_specs!$A:$J,6,FALSE)</f>
        <v>True</v>
      </c>
      <c r="H30" t="str">
        <f>VLOOKUP($B30,experiments_specs!$A:$J,7,FALSE)</f>
        <v>True</v>
      </c>
      <c r="I30" t="str">
        <f>VLOOKUP($B30,experiments_specs!$A:$J,8,FALSE)</f>
        <v>False</v>
      </c>
      <c r="J30" t="str">
        <f>VLOOKUP($B30,experiments_specs!$A:$J,10,FALSE)</f>
        <v>False</v>
      </c>
      <c r="K30" s="27">
        <f>SUMIF(Dataset_static!$A:$A,scores_results!$B30,Dataset_static!M:M)</f>
        <v>0.59487979999999996</v>
      </c>
      <c r="L30" s="27">
        <f>SUMIF(Dataset_static!$A:$A,scores_results!$B30,Dataset_static!O:O)</f>
        <v>0.1199399</v>
      </c>
      <c r="M30" s="27">
        <f>SUMIF(Dataset_static!$A:$A,scores_results!$B30,Dataset_static!R:R)</f>
        <v>0.20661499999999999</v>
      </c>
      <c r="N30" s="27">
        <f>SUMIF(Dataset_static!$A:$A,scores_results!$B30,Dataset_static!T:T)</f>
        <v>0.12724560000000001</v>
      </c>
      <c r="O30" s="27">
        <f>SUMIF(Dataset_static!A:A,scores_results!B30,Dataset_static!P:P)</f>
        <v>2.2295739348370924</v>
      </c>
      <c r="P30" s="27">
        <f>SUMIF(Dataset_static!$A:$A,scores_results!$B30,Dataset_static!U:U)</f>
        <v>1.799914705177863</v>
      </c>
      <c r="R30" t="str">
        <f t="shared" si="1"/>
        <v>test_118</v>
      </c>
      <c r="S30" t="str">
        <f>VLOOKUP($R30,experiments_specs!$A:$J,2,FALSE)</f>
        <v>NN,VB,VBD,VBG,VBN,VBP,VBZ</v>
      </c>
      <c r="T30">
        <f>VLOOKUP($R30,experiments_specs!$A:$J,4,FALSE)</f>
        <v>3</v>
      </c>
      <c r="U30" t="str">
        <f>VLOOKUP($R30,experiments_specs!$A:$J,5,FALSE)</f>
        <v>True</v>
      </c>
      <c r="V30" t="str">
        <f>VLOOKUP($R30,experiments_specs!$A:$J,6,FALSE)</f>
        <v>True</v>
      </c>
      <c r="W30" t="str">
        <f>VLOOKUP($R30,experiments_specs!$A:$J,7,FALSE)</f>
        <v>True</v>
      </c>
      <c r="X30" t="str">
        <f>VLOOKUP($R30,experiments_specs!$A:$J,8,FALSE)</f>
        <v>False</v>
      </c>
      <c r="Y30" t="str">
        <f>VLOOKUP($R30,experiments_specs!$A:$J,10,FALSE)</f>
        <v>False</v>
      </c>
      <c r="Z30" s="27">
        <f>SUMIF(Dataset_dynamic!$A:$A,scores_results!$R30,Dataset_dynamic!N:N)</f>
        <v>0.1428304</v>
      </c>
      <c r="AA30" s="27">
        <f>SUMIF(Dataset_dynamic!$A:$A,scores_results!$R30,Dataset_dynamic!O:O)</f>
        <v>1.6352329000000001</v>
      </c>
    </row>
    <row r="31" spans="2:27" x14ac:dyDescent="0.2">
      <c r="B31" t="s">
        <v>92</v>
      </c>
      <c r="C31" t="str">
        <f>VLOOKUP($B31,experiments_specs!$A:$J,2,FALSE)</f>
        <v>NN,RB</v>
      </c>
      <c r="D31">
        <f>VLOOKUP($B31,experiments_specs!$A:$J,3,FALSE)</f>
        <v>1</v>
      </c>
      <c r="E31">
        <f>VLOOKUP($B31,experiments_specs!$A:$J,4,FALSE)</f>
        <v>2</v>
      </c>
      <c r="F31" t="str">
        <f>VLOOKUP($B31,experiments_specs!$A:$J,5,FALSE)</f>
        <v>True</v>
      </c>
      <c r="G31" t="str">
        <f>VLOOKUP($B31,experiments_specs!$A:$J,6,FALSE)</f>
        <v>True</v>
      </c>
      <c r="H31" t="str">
        <f>VLOOKUP($B31,experiments_specs!$A:$J,7,FALSE)</f>
        <v>True</v>
      </c>
      <c r="I31" t="str">
        <f>VLOOKUP($B31,experiments_specs!$A:$J,8,FALSE)</f>
        <v>False</v>
      </c>
      <c r="J31" t="str">
        <f>VLOOKUP($B31,experiments_specs!$A:$J,10,FALSE)</f>
        <v>False</v>
      </c>
      <c r="K31" s="27">
        <f>SUMIF(Dataset_static!$A:$A,scores_results!$B31,Dataset_static!M:M)</f>
        <v>0.61272769999999999</v>
      </c>
      <c r="L31" s="27">
        <f>SUMIF(Dataset_static!$A:$A,scores_results!$B31,Dataset_static!O:O)</f>
        <v>0.1402987</v>
      </c>
      <c r="M31" s="27">
        <f>SUMIF(Dataset_static!$A:$A,scores_results!$B31,Dataset_static!R:R)</f>
        <v>8.3172400000000007E-2</v>
      </c>
      <c r="N31" s="27">
        <f>SUMIF(Dataset_static!$A:$A,scores_results!$B31,Dataset_static!T:T)</f>
        <v>0.13725979999999999</v>
      </c>
      <c r="O31" s="27">
        <f>SUMIF(Dataset_static!A:A,scores_results!B31,Dataset_static!P:P)</f>
        <v>2.2594884647516222</v>
      </c>
      <c r="P31" s="27">
        <f>SUMIF(Dataset_static!$A:$A,scores_results!$B31,Dataset_static!U:U)</f>
        <v>1.9076070128701708</v>
      </c>
      <c r="R31" t="str">
        <f t="shared" si="1"/>
        <v>test_119</v>
      </c>
      <c r="S31" t="str">
        <f>VLOOKUP($R31,experiments_specs!$A:$J,2,FALSE)</f>
        <v>NN,JJ,VB,VBD,VBG,VBN,VBP,VBZ</v>
      </c>
      <c r="T31">
        <f>VLOOKUP($R31,experiments_specs!$A:$J,4,FALSE)</f>
        <v>2</v>
      </c>
      <c r="U31" t="str">
        <f>VLOOKUP($R31,experiments_specs!$A:$J,5,FALSE)</f>
        <v>True</v>
      </c>
      <c r="V31" t="str">
        <f>VLOOKUP($R31,experiments_specs!$A:$J,6,FALSE)</f>
        <v>True</v>
      </c>
      <c r="W31" t="str">
        <f>VLOOKUP($R31,experiments_specs!$A:$J,7,FALSE)</f>
        <v>True</v>
      </c>
      <c r="X31" t="str">
        <f>VLOOKUP($R31,experiments_specs!$A:$J,8,FALSE)</f>
        <v>False</v>
      </c>
      <c r="Y31" t="str">
        <f>VLOOKUP($R31,experiments_specs!$A:$J,10,FALSE)</f>
        <v>False</v>
      </c>
      <c r="Z31" s="27">
        <f>SUMIF(Dataset_dynamic!$A:$A,scores_results!$R31,Dataset_dynamic!N:N)</f>
        <v>0.12950900000000001</v>
      </c>
      <c r="AA31" s="27">
        <f>SUMIF(Dataset_dynamic!$A:$A,scores_results!$R31,Dataset_dynamic!O:O)</f>
        <v>2.1481886000000001</v>
      </c>
    </row>
    <row r="32" spans="2:27" x14ac:dyDescent="0.2">
      <c r="B32" t="s">
        <v>93</v>
      </c>
      <c r="C32" t="str">
        <f>VLOOKUP($B32,experiments_specs!$A:$J,2,FALSE)</f>
        <v>NN,JJ,VB,VBD,VBG,VBN,VBP,VBZ</v>
      </c>
      <c r="D32">
        <f>VLOOKUP($B32,experiments_specs!$A:$J,3,FALSE)</f>
        <v>1</v>
      </c>
      <c r="E32">
        <f>VLOOKUP($B32,experiments_specs!$A:$J,4,FALSE)</f>
        <v>2</v>
      </c>
      <c r="F32" t="str">
        <f>VLOOKUP($B32,experiments_specs!$A:$J,5,FALSE)</f>
        <v>True</v>
      </c>
      <c r="G32" t="str">
        <f>VLOOKUP($B32,experiments_specs!$A:$J,6,FALSE)</f>
        <v>True</v>
      </c>
      <c r="H32" t="str">
        <f>VLOOKUP($B32,experiments_specs!$A:$J,7,FALSE)</f>
        <v>True</v>
      </c>
      <c r="I32" t="str">
        <f>VLOOKUP($B32,experiments_specs!$A:$J,8,FALSE)</f>
        <v>False</v>
      </c>
      <c r="J32" t="str">
        <f>VLOOKUP($B32,experiments_specs!$A:$J,10,FALSE)</f>
        <v>False</v>
      </c>
      <c r="K32" s="27">
        <f>SUMIF(Dataset_static!$A:$A,scores_results!$B32,Dataset_static!M:M)</f>
        <v>0.75836219999999988</v>
      </c>
      <c r="L32" s="27">
        <f>SUMIF(Dataset_static!$A:$A,scores_results!$B32,Dataset_static!O:O)</f>
        <v>0.10864489999999999</v>
      </c>
      <c r="M32" s="27">
        <f>SUMIF(Dataset_static!$A:$A,scores_results!$B32,Dataset_static!R:R)</f>
        <v>0.3157006</v>
      </c>
      <c r="N32" s="27">
        <f>SUMIF(Dataset_static!$A:$A,scores_results!$B32,Dataset_static!T:T)</f>
        <v>0.13582420000000001</v>
      </c>
      <c r="O32" s="27">
        <f>SUMIF(Dataset_static!A:A,scores_results!B32,Dataset_static!P:P)</f>
        <v>2.157455232283608</v>
      </c>
      <c r="P32" s="27">
        <f>SUMIF(Dataset_static!$A:$A,scores_results!$B32,Dataset_static!U:U)</f>
        <v>1.7833515581799335</v>
      </c>
      <c r="R32" t="str">
        <f t="shared" si="1"/>
        <v>test_120</v>
      </c>
      <c r="S32" t="str">
        <f>VLOOKUP($R32,experiments_specs!$A:$J,2,FALSE)</f>
        <v>NN,JJ,VB,VBD,VBG,VBN,VBP,VBZ</v>
      </c>
      <c r="T32">
        <f>VLOOKUP($R32,experiments_specs!$A:$J,4,FALSE)</f>
        <v>3</v>
      </c>
      <c r="U32" t="str">
        <f>VLOOKUP($R32,experiments_specs!$A:$J,5,FALSE)</f>
        <v>True</v>
      </c>
      <c r="V32" t="str">
        <f>VLOOKUP($R32,experiments_specs!$A:$J,6,FALSE)</f>
        <v>True</v>
      </c>
      <c r="W32" t="str">
        <f>VLOOKUP($R32,experiments_specs!$A:$J,7,FALSE)</f>
        <v>True</v>
      </c>
      <c r="X32" t="str">
        <f>VLOOKUP($R32,experiments_specs!$A:$J,8,FALSE)</f>
        <v>False</v>
      </c>
      <c r="Y32" t="str">
        <f>VLOOKUP($R32,experiments_specs!$A:$J,10,FALSE)</f>
        <v>False</v>
      </c>
      <c r="Z32" s="27">
        <f>SUMIF(Dataset_dynamic!$A:$A,scores_results!$R32,Dataset_dynamic!N:N)</f>
        <v>0.12950900000000001</v>
      </c>
      <c r="AA32" s="27">
        <f>SUMIF(Dataset_dynamic!$A:$A,scores_results!$R32,Dataset_dynamic!O:O)</f>
        <v>2.1481886000000001</v>
      </c>
    </row>
    <row r="33" spans="2:27" x14ac:dyDescent="0.2">
      <c r="B33" t="s">
        <v>94</v>
      </c>
      <c r="C33" t="str">
        <f>VLOOKUP($B33,experiments_specs!$A:$J,2,FALSE)</f>
        <v>NN</v>
      </c>
      <c r="D33">
        <f>VLOOKUP($B33,experiments_specs!$A:$J,3,FALSE)</f>
        <v>1</v>
      </c>
      <c r="E33">
        <f>VLOOKUP($B33,experiments_specs!$A:$J,4,FALSE)</f>
        <v>2</v>
      </c>
      <c r="F33" t="str">
        <f>VLOOKUP($B33,experiments_specs!$A:$J,5,FALSE)</f>
        <v>True</v>
      </c>
      <c r="G33" t="str">
        <f>VLOOKUP($B33,experiments_specs!$A:$J,6,FALSE)</f>
        <v>True</v>
      </c>
      <c r="H33" t="str">
        <f>VLOOKUP($B33,experiments_specs!$A:$J,7,FALSE)</f>
        <v>True</v>
      </c>
      <c r="I33" t="str">
        <f>VLOOKUP($B33,experiments_specs!$A:$J,8,FALSE)</f>
        <v>False</v>
      </c>
      <c r="J33" t="str">
        <f>VLOOKUP($B33,experiments_specs!$A:$J,10,FALSE)</f>
        <v>True</v>
      </c>
      <c r="K33" s="27">
        <f>SUMIF(Dataset_static!$A:$A,scores_results!$B33,Dataset_static!M:M)</f>
        <v>0.61272769999999999</v>
      </c>
      <c r="L33" s="27">
        <f>SUMIF(Dataset_static!$A:$A,scores_results!$B33,Dataset_static!O:O)</f>
        <v>0.14523749999999999</v>
      </c>
      <c r="M33" s="27">
        <f>SUMIF(Dataset_static!$A:$A,scores_results!$B33,Dataset_static!R:R)</f>
        <v>8.3172400000000007E-2</v>
      </c>
      <c r="N33" s="27">
        <f>SUMIF(Dataset_static!$A:$A,scores_results!$B33,Dataset_static!T:T)</f>
        <v>0.13290079999999999</v>
      </c>
      <c r="O33" s="27">
        <f>SUMIF(Dataset_static!A:A,scores_results!B33,Dataset_static!P:P)</f>
        <v>1.8594884647516228</v>
      </c>
      <c r="P33" s="27">
        <f>SUMIF(Dataset_static!$A:$A,scores_results!$B33,Dataset_static!U:U)</f>
        <v>1.9076070128701708</v>
      </c>
      <c r="R33" t="str">
        <f t="shared" si="1"/>
        <v>test_121</v>
      </c>
      <c r="S33" t="str">
        <f>VLOOKUP($R33,experiments_specs!$A:$J,2,FALSE)</f>
        <v>NN,JJ</v>
      </c>
      <c r="T33">
        <f>VLOOKUP($R33,experiments_specs!$A:$J,4,FALSE)</f>
        <v>2</v>
      </c>
      <c r="U33" t="str">
        <f>VLOOKUP($R33,experiments_specs!$A:$J,5,FALSE)</f>
        <v>False</v>
      </c>
      <c r="V33" t="str">
        <f>VLOOKUP($R33,experiments_specs!$A:$J,6,FALSE)</f>
        <v>True</v>
      </c>
      <c r="W33" t="str">
        <f>VLOOKUP($R33,experiments_specs!$A:$J,7,FALSE)</f>
        <v>True</v>
      </c>
      <c r="X33" t="str">
        <f>VLOOKUP($R33,experiments_specs!$A:$J,8,FALSE)</f>
        <v>False</v>
      </c>
      <c r="Y33" t="str">
        <f>VLOOKUP($R33,experiments_specs!$A:$J,10,FALSE)</f>
        <v>True</v>
      </c>
      <c r="Z33" s="27">
        <f>SUMIF(Dataset_dynamic!$A:$A,scores_results!$R33,Dataset_dynamic!N:N)</f>
        <v>2.9610199999999996E-2</v>
      </c>
      <c r="AA33" s="27">
        <f>SUMIF(Dataset_dynamic!$A:$A,scores_results!$R33,Dataset_dynamic!O:O)</f>
        <v>1.8479796999999998</v>
      </c>
    </row>
    <row r="34" spans="2:27" x14ac:dyDescent="0.2">
      <c r="B34" t="s">
        <v>95</v>
      </c>
      <c r="C34" t="str">
        <f>VLOOKUP($B34,experiments_specs!$A:$J,2,FALSE)</f>
        <v>NN,JJ</v>
      </c>
      <c r="D34">
        <f>VLOOKUP($B34,experiments_specs!$A:$J,3,FALSE)</f>
        <v>1</v>
      </c>
      <c r="E34">
        <f>VLOOKUP($B34,experiments_specs!$A:$J,4,FALSE)</f>
        <v>2</v>
      </c>
      <c r="F34" t="str">
        <f>VLOOKUP($B34,experiments_specs!$A:$J,5,FALSE)</f>
        <v>True</v>
      </c>
      <c r="G34" t="str">
        <f>VLOOKUP($B34,experiments_specs!$A:$J,6,FALSE)</f>
        <v>True</v>
      </c>
      <c r="H34" t="str">
        <f>VLOOKUP($B34,experiments_specs!$A:$J,7,FALSE)</f>
        <v>True</v>
      </c>
      <c r="I34" t="str">
        <f>VLOOKUP($B34,experiments_specs!$A:$J,8,FALSE)</f>
        <v>False</v>
      </c>
      <c r="J34" t="str">
        <f>VLOOKUP($B34,experiments_specs!$A:$J,10,FALSE)</f>
        <v>True</v>
      </c>
      <c r="K34" s="27">
        <f>SUMIF(Dataset_static!$A:$A,scores_results!$B34,Dataset_static!M:M)</f>
        <v>0.63491959999999992</v>
      </c>
      <c r="L34" s="27">
        <f>SUMIF(Dataset_static!$A:$A,scores_results!$B34,Dataset_static!O:O)</f>
        <v>0.14390370000000002</v>
      </c>
      <c r="M34" s="27">
        <f>SUMIF(Dataset_static!$A:$A,scores_results!$B34,Dataset_static!R:R)</f>
        <v>0.19225799999999998</v>
      </c>
      <c r="N34" s="27">
        <f>SUMIF(Dataset_static!$A:$A,scores_results!$B34,Dataset_static!T:T)</f>
        <v>0.13234480000000001</v>
      </c>
      <c r="O34" s="27">
        <f>SUMIF(Dataset_static!A:A,scores_results!B34,Dataset_static!P:P)</f>
        <v>1.8429253177536928</v>
      </c>
      <c r="P34" s="27">
        <f>SUMIF(Dataset_static!$A:$A,scores_results!$B34,Dataset_static!U:U)</f>
        <v>1.8910438658722413</v>
      </c>
      <c r="R34" t="str">
        <f t="shared" si="1"/>
        <v>test_122</v>
      </c>
      <c r="S34" t="str">
        <f>VLOOKUP($R34,experiments_specs!$A:$J,2,FALSE)</f>
        <v>NN,JJ</v>
      </c>
      <c r="T34">
        <f>VLOOKUP($R34,experiments_specs!$A:$J,4,FALSE)</f>
        <v>3</v>
      </c>
      <c r="U34" t="str">
        <f>VLOOKUP($R34,experiments_specs!$A:$J,5,FALSE)</f>
        <v>True</v>
      </c>
      <c r="V34" t="str">
        <f>VLOOKUP($R34,experiments_specs!$A:$J,6,FALSE)</f>
        <v>True</v>
      </c>
      <c r="W34" t="str">
        <f>VLOOKUP($R34,experiments_specs!$A:$J,7,FALSE)</f>
        <v>True</v>
      </c>
      <c r="X34" t="str">
        <f>VLOOKUP($R34,experiments_specs!$A:$J,8,FALSE)</f>
        <v>False</v>
      </c>
      <c r="Y34" t="str">
        <f>VLOOKUP($R34,experiments_specs!$A:$J,10,FALSE)</f>
        <v>True</v>
      </c>
      <c r="Z34" s="27">
        <f>SUMIF(Dataset_dynamic!$A:$A,scores_results!$R34,Dataset_dynamic!N:N)</f>
        <v>0.19811720000000002</v>
      </c>
      <c r="AA34" s="27">
        <f>SUMIF(Dataset_dynamic!$A:$A,scores_results!$R34,Dataset_dynamic!O:O)</f>
        <v>1.5481886</v>
      </c>
    </row>
    <row r="35" spans="2:27" x14ac:dyDescent="0.2">
      <c r="B35" t="s">
        <v>96</v>
      </c>
      <c r="C35" t="str">
        <f>VLOOKUP($B35,experiments_specs!$A:$J,2,FALSE)</f>
        <v>NN,VB</v>
      </c>
      <c r="D35">
        <f>VLOOKUP($B35,experiments_specs!$A:$J,3,FALSE)</f>
        <v>1</v>
      </c>
      <c r="E35">
        <f>VLOOKUP($B35,experiments_specs!$A:$J,4,FALSE)</f>
        <v>2</v>
      </c>
      <c r="F35" t="str">
        <f>VLOOKUP($B35,experiments_specs!$A:$J,5,FALSE)</f>
        <v>True</v>
      </c>
      <c r="G35" t="str">
        <f>VLOOKUP($B35,experiments_specs!$A:$J,6,FALSE)</f>
        <v>True</v>
      </c>
      <c r="H35" t="str">
        <f>VLOOKUP($B35,experiments_specs!$A:$J,7,FALSE)</f>
        <v>True</v>
      </c>
      <c r="I35" t="str">
        <f>VLOOKUP($B35,experiments_specs!$A:$J,8,FALSE)</f>
        <v>False</v>
      </c>
      <c r="J35" t="str">
        <f>VLOOKUP($B35,experiments_specs!$A:$J,10,FALSE)</f>
        <v>True</v>
      </c>
      <c r="K35" s="27">
        <f>SUMIF(Dataset_static!$A:$A,scores_results!$B35,Dataset_static!M:M)</f>
        <v>0.61272769999999999</v>
      </c>
      <c r="L35" s="27">
        <f>SUMIF(Dataset_static!$A:$A,scores_results!$B35,Dataset_static!O:O)</f>
        <v>0.13184299999999999</v>
      </c>
      <c r="M35" s="27">
        <f>SUMIF(Dataset_static!$A:$A,scores_results!$B35,Dataset_static!R:R)</f>
        <v>8.3172400000000007E-2</v>
      </c>
      <c r="N35" s="27">
        <f>SUMIF(Dataset_static!$A:$A,scores_results!$B35,Dataset_static!T:T)</f>
        <v>0.1244141</v>
      </c>
      <c r="O35" s="27">
        <f>SUMIF(Dataset_static!A:A,scores_results!B35,Dataset_static!P:P)</f>
        <v>1.8594884647516228</v>
      </c>
      <c r="P35" s="27">
        <f>SUMIF(Dataset_static!$A:$A,scores_results!$B35,Dataset_static!U:U)</f>
        <v>1.9076070128701708</v>
      </c>
      <c r="R35" t="str">
        <f t="shared" si="1"/>
        <v>test_123</v>
      </c>
      <c r="S35" t="str">
        <f>VLOOKUP($R35,experiments_specs!$A:$J,2,FALSE)</f>
        <v>NN,VB,VBD,VBG,VBN,VBP,VBZ</v>
      </c>
      <c r="T35">
        <f>VLOOKUP($R35,experiments_specs!$A:$J,4,FALSE)</f>
        <v>2</v>
      </c>
      <c r="U35" t="str">
        <f>VLOOKUP($R35,experiments_specs!$A:$J,5,FALSE)</f>
        <v>True</v>
      </c>
      <c r="V35" t="str">
        <f>VLOOKUP($R35,experiments_specs!$A:$J,6,FALSE)</f>
        <v>True</v>
      </c>
      <c r="W35" t="str">
        <f>VLOOKUP($R35,experiments_specs!$A:$J,7,FALSE)</f>
        <v>True</v>
      </c>
      <c r="X35" t="str">
        <f>VLOOKUP($R35,experiments_specs!$A:$J,8,FALSE)</f>
        <v>False</v>
      </c>
      <c r="Y35" t="str">
        <f>VLOOKUP($R35,experiments_specs!$A:$J,10,FALSE)</f>
        <v>True</v>
      </c>
      <c r="Z35" s="27">
        <f>SUMIF(Dataset_dynamic!$A:$A,scores_results!$R35,Dataset_dynamic!N:N)</f>
        <v>0.1747629</v>
      </c>
      <c r="AA35" s="27">
        <f>SUMIF(Dataset_dynamic!$A:$A,scores_results!$R35,Dataset_dynamic!O:O)</f>
        <v>0.97967730000000008</v>
      </c>
    </row>
    <row r="36" spans="2:27" x14ac:dyDescent="0.2">
      <c r="B36" t="s">
        <v>97</v>
      </c>
      <c r="C36" t="str">
        <f>VLOOKUP($B36,experiments_specs!$A:$J,2,FALSE)</f>
        <v>NN,VB,VBD,VBG,VBN,VBP,VBZ</v>
      </c>
      <c r="D36">
        <f>VLOOKUP($B36,experiments_specs!$A:$J,3,FALSE)</f>
        <v>1</v>
      </c>
      <c r="E36">
        <f>VLOOKUP($B36,experiments_specs!$A:$J,4,FALSE)</f>
        <v>2</v>
      </c>
      <c r="F36" t="str">
        <f>VLOOKUP($B36,experiments_specs!$A:$J,5,FALSE)</f>
        <v>True</v>
      </c>
      <c r="G36" t="str">
        <f>VLOOKUP($B36,experiments_specs!$A:$J,6,FALSE)</f>
        <v>True</v>
      </c>
      <c r="H36" t="str">
        <f>VLOOKUP($B36,experiments_specs!$A:$J,7,FALSE)</f>
        <v>True</v>
      </c>
      <c r="I36" t="str">
        <f>VLOOKUP($B36,experiments_specs!$A:$J,8,FALSE)</f>
        <v>False</v>
      </c>
      <c r="J36" t="str">
        <f>VLOOKUP($B36,experiments_specs!$A:$J,10,FALSE)</f>
        <v>True</v>
      </c>
      <c r="K36" s="27">
        <f>SUMIF(Dataset_static!$A:$A,scores_results!$B36,Dataset_static!M:M)</f>
        <v>0.61272769999999999</v>
      </c>
      <c r="L36" s="27">
        <f>SUMIF(Dataset_static!$A:$A,scores_results!$B36,Dataset_static!O:O)</f>
        <v>0.1288502</v>
      </c>
      <c r="M36" s="27">
        <f>SUMIF(Dataset_static!$A:$A,scores_results!$B36,Dataset_static!R:R)</f>
        <v>8.3172400000000007E-2</v>
      </c>
      <c r="N36" s="27">
        <f>SUMIF(Dataset_static!$A:$A,scores_results!$B36,Dataset_static!T:T)</f>
        <v>0.121654</v>
      </c>
      <c r="O36" s="27">
        <f>SUMIF(Dataset_static!A:A,scores_results!B36,Dataset_static!P:P)</f>
        <v>1.8594884647516228</v>
      </c>
      <c r="P36" s="27">
        <f>SUMIF(Dataset_static!$A:$A,scores_results!$B36,Dataset_static!U:U)</f>
        <v>1.9076070128701708</v>
      </c>
      <c r="R36" t="str">
        <f t="shared" si="1"/>
        <v>test_124</v>
      </c>
      <c r="S36" t="str">
        <f>VLOOKUP($R36,experiments_specs!$A:$J,2,FALSE)</f>
        <v>NN,VB,VBD,VBG,VBN,VBP,VBZ</v>
      </c>
      <c r="T36">
        <f>VLOOKUP($R36,experiments_specs!$A:$J,4,FALSE)</f>
        <v>3</v>
      </c>
      <c r="U36" t="str">
        <f>VLOOKUP($R36,experiments_specs!$A:$J,5,FALSE)</f>
        <v>True</v>
      </c>
      <c r="V36" t="str">
        <f>VLOOKUP($R36,experiments_specs!$A:$J,6,FALSE)</f>
        <v>True</v>
      </c>
      <c r="W36" t="str">
        <f>VLOOKUP($R36,experiments_specs!$A:$J,7,FALSE)</f>
        <v>True</v>
      </c>
      <c r="X36" t="str">
        <f>VLOOKUP($R36,experiments_specs!$A:$J,8,FALSE)</f>
        <v>False</v>
      </c>
      <c r="Y36" t="str">
        <f>VLOOKUP($R36,experiments_specs!$A:$J,10,FALSE)</f>
        <v>True</v>
      </c>
      <c r="Z36" s="27">
        <f>SUMIF(Dataset_dynamic!$A:$A,scores_results!$R36,Dataset_dynamic!N:N)</f>
        <v>0.1747629</v>
      </c>
      <c r="AA36" s="27">
        <f>SUMIF(Dataset_dynamic!$A:$A,scores_results!$R36,Dataset_dynamic!O:O)</f>
        <v>0.97967730000000008</v>
      </c>
    </row>
    <row r="37" spans="2:27" x14ac:dyDescent="0.2">
      <c r="B37" t="s">
        <v>98</v>
      </c>
      <c r="C37" t="str">
        <f>VLOOKUP($B37,experiments_specs!$A:$J,2,FALSE)</f>
        <v>NN,RB</v>
      </c>
      <c r="D37">
        <f>VLOOKUP($B37,experiments_specs!$A:$J,3,FALSE)</f>
        <v>1</v>
      </c>
      <c r="E37">
        <f>VLOOKUP($B37,experiments_specs!$A:$J,4,FALSE)</f>
        <v>2</v>
      </c>
      <c r="F37" t="str">
        <f>VLOOKUP($B37,experiments_specs!$A:$J,5,FALSE)</f>
        <v>True</v>
      </c>
      <c r="G37" t="str">
        <f>VLOOKUP($B37,experiments_specs!$A:$J,6,FALSE)</f>
        <v>True</v>
      </c>
      <c r="H37" t="str">
        <f>VLOOKUP($B37,experiments_specs!$A:$J,7,FALSE)</f>
        <v>True</v>
      </c>
      <c r="I37" t="str">
        <f>VLOOKUP($B37,experiments_specs!$A:$J,8,FALSE)</f>
        <v>False</v>
      </c>
      <c r="J37" t="str">
        <f>VLOOKUP($B37,experiments_specs!$A:$J,10,FALSE)</f>
        <v>True</v>
      </c>
      <c r="K37" s="27">
        <f>SUMIF(Dataset_static!$A:$A,scores_results!$B37,Dataset_static!M:M)</f>
        <v>0.61272769999999999</v>
      </c>
      <c r="L37" s="27">
        <f>SUMIF(Dataset_static!$A:$A,scores_results!$B37,Dataset_static!O:O)</f>
        <v>0.14523749999999999</v>
      </c>
      <c r="M37" s="27">
        <f>SUMIF(Dataset_static!$A:$A,scores_results!$B37,Dataset_static!R:R)</f>
        <v>8.3172400000000007E-2</v>
      </c>
      <c r="N37" s="27">
        <f>SUMIF(Dataset_static!$A:$A,scores_results!$B37,Dataset_static!T:T)</f>
        <v>0.13290079999999999</v>
      </c>
      <c r="O37" s="27">
        <f>SUMIF(Dataset_static!A:A,scores_results!B37,Dataset_static!P:P)</f>
        <v>1.8594884647516228</v>
      </c>
      <c r="P37" s="27">
        <f>SUMIF(Dataset_static!$A:$A,scores_results!$B37,Dataset_static!U:U)</f>
        <v>1.9076070128701708</v>
      </c>
      <c r="R37" t="str">
        <f t="shared" si="1"/>
        <v>test_125</v>
      </c>
      <c r="S37" t="str">
        <f>VLOOKUP($R37,experiments_specs!$A:$J,2,FALSE)</f>
        <v>NN,JJ,VB,VBD,VBG,VBN,VBP,VBZ</v>
      </c>
      <c r="T37">
        <f>VLOOKUP($R37,experiments_specs!$A:$J,4,FALSE)</f>
        <v>2</v>
      </c>
      <c r="U37" t="str">
        <f>VLOOKUP($R37,experiments_specs!$A:$J,5,FALSE)</f>
        <v>True</v>
      </c>
      <c r="V37" t="str">
        <f>VLOOKUP($R37,experiments_specs!$A:$J,6,FALSE)</f>
        <v>True</v>
      </c>
      <c r="W37" t="str">
        <f>VLOOKUP($R37,experiments_specs!$A:$J,7,FALSE)</f>
        <v>True</v>
      </c>
      <c r="X37" t="str">
        <f>VLOOKUP($R37,experiments_specs!$A:$J,8,FALSE)</f>
        <v>False</v>
      </c>
      <c r="Y37" t="str">
        <f>VLOOKUP($R37,experiments_specs!$A:$J,10,FALSE)</f>
        <v>True</v>
      </c>
      <c r="Z37" s="27">
        <f>SUMIF(Dataset_dynamic!$A:$A,scores_results!$R37,Dataset_dynamic!N:N)</f>
        <v>0.17742550000000001</v>
      </c>
      <c r="AA37" s="27">
        <f>SUMIF(Dataset_dynamic!$A:$A,scores_results!$R37,Dataset_dynamic!O:O)</f>
        <v>1.5481886</v>
      </c>
    </row>
    <row r="38" spans="2:27" x14ac:dyDescent="0.2">
      <c r="B38" t="s">
        <v>99</v>
      </c>
      <c r="C38" t="str">
        <f>VLOOKUP($B38,experiments_specs!$A:$J,2,FALSE)</f>
        <v>NN,JJ,VB,VBD,VBG,VBN,VBP,VBZ</v>
      </c>
      <c r="D38">
        <f>VLOOKUP($B38,experiments_specs!$A:$J,3,FALSE)</f>
        <v>1</v>
      </c>
      <c r="E38">
        <f>VLOOKUP($B38,experiments_specs!$A:$J,4,FALSE)</f>
        <v>2</v>
      </c>
      <c r="F38" t="str">
        <f>VLOOKUP($B38,experiments_specs!$A:$J,5,FALSE)</f>
        <v>True</v>
      </c>
      <c r="G38" t="str">
        <f>VLOOKUP($B38,experiments_specs!$A:$J,6,FALSE)</f>
        <v>True</v>
      </c>
      <c r="H38" t="str">
        <f>VLOOKUP($B38,experiments_specs!$A:$J,7,FALSE)</f>
        <v>True</v>
      </c>
      <c r="I38" t="str">
        <f>VLOOKUP($B38,experiments_specs!$A:$J,8,FALSE)</f>
        <v>False</v>
      </c>
      <c r="J38" t="str">
        <f>VLOOKUP($B38,experiments_specs!$A:$J,10,FALSE)</f>
        <v>True</v>
      </c>
      <c r="K38" s="27">
        <f>SUMIF(Dataset_static!$A:$A,scores_results!$B38,Dataset_static!M:M)</f>
        <v>0.63491959999999992</v>
      </c>
      <c r="L38" s="27">
        <f>SUMIF(Dataset_static!$A:$A,scores_results!$B38,Dataset_static!O:O)</f>
        <v>0.13240589999999999</v>
      </c>
      <c r="M38" s="27">
        <f>SUMIF(Dataset_static!$A:$A,scores_results!$B38,Dataset_static!R:R)</f>
        <v>0.36934240000000002</v>
      </c>
      <c r="N38" s="27">
        <f>SUMIF(Dataset_static!$A:$A,scores_results!$B38,Dataset_static!T:T)</f>
        <v>0.13310940000000002</v>
      </c>
      <c r="O38" s="27">
        <f>SUMIF(Dataset_static!A:A,scores_results!B38,Dataset_static!P:P)</f>
        <v>1.8429253177536928</v>
      </c>
      <c r="P38" s="27">
        <f>SUMIF(Dataset_static!$A:$A,scores_results!$B38,Dataset_static!U:U)</f>
        <v>2.6183165931449679</v>
      </c>
      <c r="R38" t="str">
        <f t="shared" si="1"/>
        <v>test_126</v>
      </c>
      <c r="S38" t="str">
        <f>VLOOKUP($R38,experiments_specs!$A:$J,2,FALSE)</f>
        <v>NN,JJ,VB,VBD,VBG,VBN,VBP,VBZ</v>
      </c>
      <c r="T38">
        <f>VLOOKUP($R38,experiments_specs!$A:$J,4,FALSE)</f>
        <v>3</v>
      </c>
      <c r="U38" t="str">
        <f>VLOOKUP($R38,experiments_specs!$A:$J,5,FALSE)</f>
        <v>True</v>
      </c>
      <c r="V38" t="str">
        <f>VLOOKUP($R38,experiments_specs!$A:$J,6,FALSE)</f>
        <v>True</v>
      </c>
      <c r="W38" t="str">
        <f>VLOOKUP($R38,experiments_specs!$A:$J,7,FALSE)</f>
        <v>True</v>
      </c>
      <c r="X38" t="str">
        <f>VLOOKUP($R38,experiments_specs!$A:$J,8,FALSE)</f>
        <v>False</v>
      </c>
      <c r="Y38" t="str">
        <f>VLOOKUP($R38,experiments_specs!$A:$J,10,FALSE)</f>
        <v>True</v>
      </c>
      <c r="Z38" s="27">
        <f>SUMIF(Dataset_dynamic!$A:$A,scores_results!$R38,Dataset_dynamic!N:N)</f>
        <v>0.17742550000000001</v>
      </c>
      <c r="AA38" s="27">
        <f>SUMIF(Dataset_dynamic!$A:$A,scores_results!$R38,Dataset_dynamic!O:O)</f>
        <v>1.5481886</v>
      </c>
    </row>
    <row r="39" spans="2:27" x14ac:dyDescent="0.2">
      <c r="B39" t="s">
        <v>100</v>
      </c>
      <c r="C39" t="str">
        <f>VLOOKUP($B39,experiments_specs!$A:$J,2,FALSE)</f>
        <v>NN</v>
      </c>
      <c r="D39">
        <f>VLOOKUP($B39,experiments_specs!$A:$J,3,FALSE)</f>
        <v>1</v>
      </c>
      <c r="E39">
        <f>VLOOKUP($B39,experiments_specs!$A:$J,4,FALSE)</f>
        <v>2</v>
      </c>
      <c r="F39" t="str">
        <f>VLOOKUP($B39,experiments_specs!$A:$J,5,FALSE)</f>
        <v>False</v>
      </c>
      <c r="G39" t="str">
        <f>VLOOKUP($B39,experiments_specs!$A:$J,6,FALSE)</f>
        <v>True</v>
      </c>
      <c r="H39" t="str">
        <f>VLOOKUP($B39,experiments_specs!$A:$J,7,FALSE)</f>
        <v>True</v>
      </c>
      <c r="I39" t="str">
        <f>VLOOKUP($B39,experiments_specs!$A:$J,8,FALSE)</f>
        <v>True</v>
      </c>
      <c r="J39" t="str">
        <f>VLOOKUP($B39,experiments_specs!$A:$J,10,FALSE)</f>
        <v>False</v>
      </c>
      <c r="K39" s="27">
        <f>SUMIF(Dataset_static!$A:$A,scores_results!$B39,Dataset_static!M:M)</f>
        <v>1.2420703</v>
      </c>
      <c r="L39" s="27">
        <f>SUMIF(Dataset_static!$A:$A,scores_results!$B39,Dataset_static!O:O)</f>
        <v>4.71098E-2</v>
      </c>
      <c r="M39" s="27">
        <f>SUMIF(Dataset_static!$A:$A,scores_results!$B39,Dataset_static!R:R)</f>
        <v>0.86490040000000001</v>
      </c>
      <c r="N39" s="27">
        <f>SUMIF(Dataset_static!$A:$A,scores_results!$B39,Dataset_static!T:T)</f>
        <v>7.3105900000000001E-2</v>
      </c>
      <c r="O39" s="27">
        <f>SUMIF(Dataset_static!A:A,scores_results!B39,Dataset_static!P:P)</f>
        <v>1.6672723475355054</v>
      </c>
      <c r="P39" s="27">
        <f>SUMIF(Dataset_static!$A:$A,scores_results!$B39,Dataset_static!U:U)</f>
        <v>1.6154761904761905</v>
      </c>
      <c r="R39" t="str">
        <f t="shared" si="1"/>
        <v>test_127</v>
      </c>
      <c r="S39" t="str">
        <f>VLOOKUP($R39,experiments_specs!$A:$J,2,FALSE)</f>
        <v>NN,JJ</v>
      </c>
      <c r="T39">
        <f>VLOOKUP($R39,experiments_specs!$A:$J,4,FALSE)</f>
        <v>2</v>
      </c>
      <c r="U39" t="str">
        <f>VLOOKUP($R39,experiments_specs!$A:$J,5,FALSE)</f>
        <v>False</v>
      </c>
      <c r="V39" t="str">
        <f>VLOOKUP($R39,experiments_specs!$A:$J,6,FALSE)</f>
        <v>True</v>
      </c>
      <c r="W39" t="str">
        <f>VLOOKUP($R39,experiments_specs!$A:$J,7,FALSE)</f>
        <v>True</v>
      </c>
      <c r="X39" t="str">
        <f>VLOOKUP($R39,experiments_specs!$A:$J,8,FALSE)</f>
        <v>True</v>
      </c>
      <c r="Y39" t="str">
        <f>VLOOKUP($R39,experiments_specs!$A:$J,10,FALSE)</f>
        <v>False</v>
      </c>
      <c r="Z39" s="27">
        <f>SUMIF(Dataset_dynamic!$A:$A,scores_results!$R39,Dataset_dynamic!N:N)</f>
        <v>3.44912E-2</v>
      </c>
      <c r="AA39" s="27">
        <f>SUMIF(Dataset_dynamic!$A:$A,scores_results!$R39,Dataset_dynamic!O:O)</f>
        <v>0.96666660000000004</v>
      </c>
    </row>
    <row r="40" spans="2:27" x14ac:dyDescent="0.2">
      <c r="B40" t="s">
        <v>101</v>
      </c>
      <c r="C40" t="str">
        <f>VLOOKUP($B40,experiments_specs!$A:$J,2,FALSE)</f>
        <v>NN,JJ</v>
      </c>
      <c r="D40">
        <f>VLOOKUP($B40,experiments_specs!$A:$J,3,FALSE)</f>
        <v>1</v>
      </c>
      <c r="E40">
        <f>VLOOKUP($B40,experiments_specs!$A:$J,4,FALSE)</f>
        <v>2</v>
      </c>
      <c r="F40" t="str">
        <f>VLOOKUP($B40,experiments_specs!$A:$J,5,FALSE)</f>
        <v>False</v>
      </c>
      <c r="G40" t="str">
        <f>VLOOKUP($B40,experiments_specs!$A:$J,6,FALSE)</f>
        <v>True</v>
      </c>
      <c r="H40" t="str">
        <f>VLOOKUP($B40,experiments_specs!$A:$J,7,FALSE)</f>
        <v>True</v>
      </c>
      <c r="I40" t="str">
        <f>VLOOKUP($B40,experiments_specs!$A:$J,8,FALSE)</f>
        <v>True</v>
      </c>
      <c r="J40" t="str">
        <f>VLOOKUP($B40,experiments_specs!$A:$J,10,FALSE)</f>
        <v>False</v>
      </c>
      <c r="K40" s="27">
        <f>SUMIF(Dataset_static!$A:$A,scores_results!$B40,Dataset_static!M:M)</f>
        <v>1.2240121000000002</v>
      </c>
      <c r="L40" s="27">
        <f>SUMIF(Dataset_static!$A:$A,scores_results!$B40,Dataset_static!O:O)</f>
        <v>3.4518500000000001E-2</v>
      </c>
      <c r="M40" s="27">
        <f>SUMIF(Dataset_static!$A:$A,scores_results!$B40,Dataset_static!R:R)</f>
        <v>0.7840834000000001</v>
      </c>
      <c r="N40" s="27">
        <f>SUMIF(Dataset_static!$A:$A,scores_results!$B40,Dataset_static!T:T)</f>
        <v>7.1425299999999997E-2</v>
      </c>
      <c r="O40" s="27">
        <f>SUMIF(Dataset_static!A:A,scores_results!B40,Dataset_static!P:P)</f>
        <v>1.6507092005375756</v>
      </c>
      <c r="P40" s="27">
        <f>SUMIF(Dataset_static!$A:$A,scores_results!$B40,Dataset_static!U:U)</f>
        <v>1.5406629318394023</v>
      </c>
      <c r="R40" t="str">
        <f t="shared" si="1"/>
        <v>test_128</v>
      </c>
      <c r="S40" t="str">
        <f>VLOOKUP($R40,experiments_specs!$A:$J,2,FALSE)</f>
        <v>NN,JJ</v>
      </c>
      <c r="T40">
        <f>VLOOKUP($R40,experiments_specs!$A:$J,4,FALSE)</f>
        <v>3</v>
      </c>
      <c r="U40" t="str">
        <f>VLOOKUP($R40,experiments_specs!$A:$J,5,FALSE)</f>
        <v>False</v>
      </c>
      <c r="V40" t="str">
        <f>VLOOKUP($R40,experiments_specs!$A:$J,6,FALSE)</f>
        <v>True</v>
      </c>
      <c r="W40" t="str">
        <f>VLOOKUP($R40,experiments_specs!$A:$J,7,FALSE)</f>
        <v>True</v>
      </c>
      <c r="X40" t="str">
        <f>VLOOKUP($R40,experiments_specs!$A:$J,8,FALSE)</f>
        <v>True</v>
      </c>
      <c r="Y40" t="str">
        <f>VLOOKUP($R40,experiments_specs!$A:$J,10,FALSE)</f>
        <v>False</v>
      </c>
      <c r="Z40" s="27">
        <f>SUMIF(Dataset_dynamic!$A:$A,scores_results!$R40,Dataset_dynamic!N:N)</f>
        <v>3.44912E-2</v>
      </c>
      <c r="AA40" s="27">
        <f>SUMIF(Dataset_dynamic!$A:$A,scores_results!$R40,Dataset_dynamic!O:O)</f>
        <v>0.96666660000000004</v>
      </c>
    </row>
    <row r="41" spans="2:27" x14ac:dyDescent="0.2">
      <c r="B41" t="s">
        <v>102</v>
      </c>
      <c r="C41" t="str">
        <f>VLOOKUP($B41,experiments_specs!$A:$J,2,FALSE)</f>
        <v>NN,VB</v>
      </c>
      <c r="D41">
        <f>VLOOKUP($B41,experiments_specs!$A:$J,3,FALSE)</f>
        <v>1</v>
      </c>
      <c r="E41">
        <f>VLOOKUP($B41,experiments_specs!$A:$J,4,FALSE)</f>
        <v>2</v>
      </c>
      <c r="F41" t="str">
        <f>VLOOKUP($B41,experiments_specs!$A:$J,5,FALSE)</f>
        <v>False</v>
      </c>
      <c r="G41" t="str">
        <f>VLOOKUP($B41,experiments_specs!$A:$J,6,FALSE)</f>
        <v>True</v>
      </c>
      <c r="H41" t="str">
        <f>VLOOKUP($B41,experiments_specs!$A:$J,7,FALSE)</f>
        <v>True</v>
      </c>
      <c r="I41" t="str">
        <f>VLOOKUP($B41,experiments_specs!$A:$J,8,FALSE)</f>
        <v>True</v>
      </c>
      <c r="J41" t="str">
        <f>VLOOKUP($B41,experiments_specs!$A:$J,10,FALSE)</f>
        <v>False</v>
      </c>
      <c r="K41" s="27">
        <f>SUMIF(Dataset_static!$A:$A,scores_results!$B41,Dataset_static!M:M)</f>
        <v>1.3386098000000002</v>
      </c>
      <c r="L41" s="27">
        <f>SUMIF(Dataset_static!$A:$A,scores_results!$B41,Dataset_static!O:O)</f>
        <v>3.4519799999999996E-2</v>
      </c>
      <c r="M41" s="27">
        <f>SUMIF(Dataset_static!$A:$A,scores_results!$B41,Dataset_static!R:R)</f>
        <v>0.65926830000000003</v>
      </c>
      <c r="N41" s="27">
        <f>SUMIF(Dataset_static!$A:$A,scores_results!$B41,Dataset_static!T:T)</f>
        <v>6.140219999999999E-2</v>
      </c>
      <c r="O41" s="27">
        <f>SUMIF(Dataset_static!A:A,scores_results!B41,Dataset_static!P:P)</f>
        <v>1.5065580618212195</v>
      </c>
      <c r="P41" s="27">
        <f>SUMIF(Dataset_static!$A:$A,scores_results!$B41,Dataset_static!U:U)</f>
        <v>0.9679217840982548</v>
      </c>
      <c r="R41" t="str">
        <f t="shared" si="1"/>
        <v>test_129</v>
      </c>
      <c r="S41" t="str">
        <f>VLOOKUP($R41,experiments_specs!$A:$J,2,FALSE)</f>
        <v>NN,VB,VBD,VBG,VBN,VBP,VBZ</v>
      </c>
      <c r="T41">
        <f>VLOOKUP($R41,experiments_specs!$A:$J,4,FALSE)</f>
        <v>2</v>
      </c>
      <c r="U41" t="str">
        <f>VLOOKUP($R41,experiments_specs!$A:$J,5,FALSE)</f>
        <v>False</v>
      </c>
      <c r="V41" t="str">
        <f>VLOOKUP($R41,experiments_specs!$A:$J,6,FALSE)</f>
        <v>True</v>
      </c>
      <c r="W41" t="str">
        <f>VLOOKUP($R41,experiments_specs!$A:$J,7,FALSE)</f>
        <v>True</v>
      </c>
      <c r="X41" t="str">
        <f>VLOOKUP($R41,experiments_specs!$A:$J,8,FALSE)</f>
        <v>True</v>
      </c>
      <c r="Y41" t="str">
        <f>VLOOKUP($R41,experiments_specs!$A:$J,10,FALSE)</f>
        <v>False</v>
      </c>
      <c r="Z41" s="27">
        <f>SUMIF(Dataset_dynamic!$A:$A,scores_results!$R41,Dataset_dynamic!N:N)</f>
        <v>2.8844500000000002E-2</v>
      </c>
      <c r="AA41" s="27">
        <f>SUMIF(Dataset_dynamic!$A:$A,scores_results!$R41,Dataset_dynamic!O:O)</f>
        <v>1.1878017999999999</v>
      </c>
    </row>
    <row r="42" spans="2:27" x14ac:dyDescent="0.2">
      <c r="B42" t="s">
        <v>103</v>
      </c>
      <c r="C42" t="str">
        <f>VLOOKUP($B42,experiments_specs!$A:$J,2,FALSE)</f>
        <v>NN,VB,VBD,VBG,VBN,VBP,VBZ</v>
      </c>
      <c r="D42">
        <f>VLOOKUP($B42,experiments_specs!$A:$J,3,FALSE)</f>
        <v>1</v>
      </c>
      <c r="E42">
        <f>VLOOKUP($B42,experiments_specs!$A:$J,4,FALSE)</f>
        <v>2</v>
      </c>
      <c r="F42" t="str">
        <f>VLOOKUP($B42,experiments_specs!$A:$J,5,FALSE)</f>
        <v>False</v>
      </c>
      <c r="G42" t="str">
        <f>VLOOKUP($B42,experiments_specs!$A:$J,6,FALSE)</f>
        <v>True</v>
      </c>
      <c r="H42" t="str">
        <f>VLOOKUP($B42,experiments_specs!$A:$J,7,FALSE)</f>
        <v>True</v>
      </c>
      <c r="I42" t="str">
        <f>VLOOKUP($B42,experiments_specs!$A:$J,8,FALSE)</f>
        <v>True</v>
      </c>
      <c r="J42" t="str">
        <f>VLOOKUP($B42,experiments_specs!$A:$J,10,FALSE)</f>
        <v>False</v>
      </c>
      <c r="K42" s="27">
        <f>SUMIF(Dataset_static!$A:$A,scores_results!$B42,Dataset_static!M:M)</f>
        <v>1.3220698</v>
      </c>
      <c r="L42" s="27">
        <f>SUMIF(Dataset_static!$A:$A,scores_results!$B42,Dataset_static!O:O)</f>
        <v>2.8722900000000003E-2</v>
      </c>
      <c r="M42" s="27">
        <f>SUMIF(Dataset_static!$A:$A,scores_results!$B42,Dataset_static!R:R)</f>
        <v>0.82244689999999998</v>
      </c>
      <c r="N42" s="27">
        <f>SUMIF(Dataset_static!$A:$A,scores_results!$B42,Dataset_static!T:T)</f>
        <v>6.8408200000000002E-2</v>
      </c>
      <c r="O42" s="27">
        <f>SUMIF(Dataset_static!A:A,scores_results!B42,Dataset_static!P:P)</f>
        <v>1.539891395154553</v>
      </c>
      <c r="P42" s="27">
        <f>SUMIF(Dataset_static!$A:$A,scores_results!$B42,Dataset_static!U:U)</f>
        <v>1.3696311858076564</v>
      </c>
      <c r="R42" t="str">
        <f t="shared" si="1"/>
        <v>test_130</v>
      </c>
      <c r="S42" t="str">
        <f>VLOOKUP($R42,experiments_specs!$A:$J,2,FALSE)</f>
        <v>NN,VB,VBD,VBG,VBN,VBP,VBZ</v>
      </c>
      <c r="T42">
        <f>VLOOKUP($R42,experiments_specs!$A:$J,4,FALSE)</f>
        <v>3</v>
      </c>
      <c r="U42" t="str">
        <f>VLOOKUP($R42,experiments_specs!$A:$J,5,FALSE)</f>
        <v>False</v>
      </c>
      <c r="V42" t="str">
        <f>VLOOKUP($R42,experiments_specs!$A:$J,6,FALSE)</f>
        <v>True</v>
      </c>
      <c r="W42" t="str">
        <f>VLOOKUP($R42,experiments_specs!$A:$J,7,FALSE)</f>
        <v>True</v>
      </c>
      <c r="X42" t="str">
        <f>VLOOKUP($R42,experiments_specs!$A:$J,8,FALSE)</f>
        <v>True</v>
      </c>
      <c r="Y42" t="str">
        <f>VLOOKUP($R42,experiments_specs!$A:$J,10,FALSE)</f>
        <v>False</v>
      </c>
      <c r="Z42" s="27">
        <f>SUMIF(Dataset_dynamic!$A:$A,scores_results!$R42,Dataset_dynamic!N:N)</f>
        <v>2.8844500000000002E-2</v>
      </c>
      <c r="AA42" s="27">
        <f>SUMIF(Dataset_dynamic!$A:$A,scores_results!$R42,Dataset_dynamic!O:O)</f>
        <v>1.1878017999999999</v>
      </c>
    </row>
    <row r="43" spans="2:27" x14ac:dyDescent="0.2">
      <c r="B43" t="s">
        <v>104</v>
      </c>
      <c r="C43" t="str">
        <f>VLOOKUP($B43,experiments_specs!$A:$J,2,FALSE)</f>
        <v>NN,RB</v>
      </c>
      <c r="D43">
        <f>VLOOKUP($B43,experiments_specs!$A:$J,3,FALSE)</f>
        <v>1</v>
      </c>
      <c r="E43">
        <f>VLOOKUP($B43,experiments_specs!$A:$J,4,FALSE)</f>
        <v>2</v>
      </c>
      <c r="F43" t="str">
        <f>VLOOKUP($B43,experiments_specs!$A:$J,5,FALSE)</f>
        <v>False</v>
      </c>
      <c r="G43" t="str">
        <f>VLOOKUP($B43,experiments_specs!$A:$J,6,FALSE)</f>
        <v>True</v>
      </c>
      <c r="H43" t="str">
        <f>VLOOKUP($B43,experiments_specs!$A:$J,7,FALSE)</f>
        <v>True</v>
      </c>
      <c r="I43" t="str">
        <f>VLOOKUP($B43,experiments_specs!$A:$J,8,FALSE)</f>
        <v>True</v>
      </c>
      <c r="J43" t="str">
        <f>VLOOKUP($B43,experiments_specs!$A:$J,10,FALSE)</f>
        <v>False</v>
      </c>
      <c r="K43" s="27">
        <f>SUMIF(Dataset_static!$A:$A,scores_results!$B43,Dataset_static!M:M)</f>
        <v>1.2393134000000001</v>
      </c>
      <c r="L43" s="27">
        <f>SUMIF(Dataset_static!$A:$A,scores_results!$B43,Dataset_static!O:O)</f>
        <v>4.6167700000000006E-2</v>
      </c>
      <c r="M43" s="27">
        <f>SUMIF(Dataset_static!$A:$A,scores_results!$B43,Dataset_static!R:R)</f>
        <v>0.86311110000000002</v>
      </c>
      <c r="N43" s="27">
        <f>SUMIF(Dataset_static!$A:$A,scores_results!$B43,Dataset_static!T:T)</f>
        <v>7.2290800000000002E-2</v>
      </c>
      <c r="O43" s="27">
        <f>SUMIF(Dataset_static!A:A,scores_results!B43,Dataset_static!P:P)</f>
        <v>1.6672723475355054</v>
      </c>
      <c r="P43" s="27">
        <f>SUMIF(Dataset_static!$A:$A,scores_results!$B43,Dataset_static!U:U)</f>
        <v>1.6154761904761905</v>
      </c>
      <c r="R43" t="str">
        <f t="shared" si="1"/>
        <v>test_131</v>
      </c>
      <c r="S43" t="str">
        <f>VLOOKUP($R43,experiments_specs!$A:$J,2,FALSE)</f>
        <v>NN,JJ,VB,VBD,VBG,VBN,VBP,VBZ</v>
      </c>
      <c r="T43">
        <f>VLOOKUP($R43,experiments_specs!$A:$J,4,FALSE)</f>
        <v>2</v>
      </c>
      <c r="U43" t="str">
        <f>VLOOKUP($R43,experiments_specs!$A:$J,5,FALSE)</f>
        <v>False</v>
      </c>
      <c r="V43" t="str">
        <f>VLOOKUP($R43,experiments_specs!$A:$J,6,FALSE)</f>
        <v>True</v>
      </c>
      <c r="W43" t="str">
        <f>VLOOKUP($R43,experiments_specs!$A:$J,7,FALSE)</f>
        <v>True</v>
      </c>
      <c r="X43" t="str">
        <f>VLOOKUP($R43,experiments_specs!$A:$J,8,FALSE)</f>
        <v>True</v>
      </c>
      <c r="Y43" t="str">
        <f>VLOOKUP($R43,experiments_specs!$A:$J,10,FALSE)</f>
        <v>False</v>
      </c>
      <c r="Z43" s="27">
        <f>SUMIF(Dataset_dynamic!$A:$A,scores_results!$R43,Dataset_dynamic!N:N)</f>
        <v>2.4362999999999996E-2</v>
      </c>
      <c r="AA43" s="27">
        <f>SUMIF(Dataset_dynamic!$A:$A,scores_results!$R43,Dataset_dynamic!O:O)</f>
        <v>1.0138888000000001</v>
      </c>
    </row>
    <row r="44" spans="2:27" x14ac:dyDescent="0.2">
      <c r="B44" t="s">
        <v>105</v>
      </c>
      <c r="C44" t="str">
        <f>VLOOKUP($B44,experiments_specs!$A:$J,2,FALSE)</f>
        <v>NN,JJ,VB,VBD,VBG,VBN,VBP,VBZ</v>
      </c>
      <c r="D44">
        <f>VLOOKUP($B44,experiments_specs!$A:$J,3,FALSE)</f>
        <v>1</v>
      </c>
      <c r="E44">
        <f>VLOOKUP($B44,experiments_specs!$A:$J,4,FALSE)</f>
        <v>2</v>
      </c>
      <c r="F44" t="str">
        <f>VLOOKUP($B44,experiments_specs!$A:$J,5,FALSE)</f>
        <v>False</v>
      </c>
      <c r="G44" t="str">
        <f>VLOOKUP($B44,experiments_specs!$A:$J,6,FALSE)</f>
        <v>True</v>
      </c>
      <c r="H44" t="str">
        <f>VLOOKUP($B44,experiments_specs!$A:$J,7,FALSE)</f>
        <v>True</v>
      </c>
      <c r="I44" t="str">
        <f>VLOOKUP($B44,experiments_specs!$A:$J,8,FALSE)</f>
        <v>True</v>
      </c>
      <c r="J44" t="str">
        <f>VLOOKUP($B44,experiments_specs!$A:$J,10,FALSE)</f>
        <v>False</v>
      </c>
      <c r="K44" s="27">
        <f>SUMIF(Dataset_static!$A:$A,scores_results!$B44,Dataset_static!M:M)</f>
        <v>1.3157583000000002</v>
      </c>
      <c r="L44" s="27">
        <f>SUMIF(Dataset_static!$A:$A,scores_results!$B44,Dataset_static!O:O)</f>
        <v>2.4362999999999996E-2</v>
      </c>
      <c r="M44" s="27">
        <f>SUMIF(Dataset_static!$A:$A,scores_results!$B44,Dataset_static!R:R)</f>
        <v>0.74710169999999998</v>
      </c>
      <c r="N44" s="27">
        <f>SUMIF(Dataset_static!$A:$A,scores_results!$B44,Dataset_static!T:T)</f>
        <v>6.9000699999999998E-2</v>
      </c>
      <c r="O44" s="27">
        <f>SUMIF(Dataset_static!A:A,scores_results!B44,Dataset_static!P:P)</f>
        <v>1.5233282481566235</v>
      </c>
      <c r="P44" s="27">
        <f>SUMIF(Dataset_static!$A:$A,scores_results!$B44,Dataset_static!U:U)</f>
        <v>1.3920401493930905</v>
      </c>
      <c r="R44" t="str">
        <f t="shared" si="1"/>
        <v>test_132</v>
      </c>
      <c r="S44" t="str">
        <f>VLOOKUP($R44,experiments_specs!$A:$J,2,FALSE)</f>
        <v>NN,JJ,VB,VBD,VBG,VBN,VBP,VBZ</v>
      </c>
      <c r="T44">
        <f>VLOOKUP($R44,experiments_specs!$A:$J,4,FALSE)</f>
        <v>3</v>
      </c>
      <c r="U44" t="str">
        <f>VLOOKUP($R44,experiments_specs!$A:$J,5,FALSE)</f>
        <v>False</v>
      </c>
      <c r="V44" t="str">
        <f>VLOOKUP($R44,experiments_specs!$A:$J,6,FALSE)</f>
        <v>True</v>
      </c>
      <c r="W44" t="str">
        <f>VLOOKUP($R44,experiments_specs!$A:$J,7,FALSE)</f>
        <v>True</v>
      </c>
      <c r="X44" t="str">
        <f>VLOOKUP($R44,experiments_specs!$A:$J,8,FALSE)</f>
        <v>True</v>
      </c>
      <c r="Y44" t="str">
        <f>VLOOKUP($R44,experiments_specs!$A:$J,10,FALSE)</f>
        <v>False</v>
      </c>
      <c r="Z44" s="27">
        <f>SUMIF(Dataset_dynamic!$A:$A,scores_results!$R44,Dataset_dynamic!N:N)</f>
        <v>2.4362999999999996E-2</v>
      </c>
      <c r="AA44" s="27">
        <f>SUMIF(Dataset_dynamic!$A:$A,scores_results!$R44,Dataset_dynamic!O:O)</f>
        <v>1.0138888000000001</v>
      </c>
    </row>
    <row r="45" spans="2:27" x14ac:dyDescent="0.2">
      <c r="B45" t="s">
        <v>106</v>
      </c>
      <c r="C45" t="str">
        <f>VLOOKUP($B45,experiments_specs!$A:$J,2,FALSE)</f>
        <v>NN</v>
      </c>
      <c r="D45">
        <f>VLOOKUP($B45,experiments_specs!$A:$J,3,FALSE)</f>
        <v>1</v>
      </c>
      <c r="E45">
        <f>VLOOKUP($B45,experiments_specs!$A:$J,4,FALSE)</f>
        <v>2</v>
      </c>
      <c r="F45" t="str">
        <f>VLOOKUP($B45,experiments_specs!$A:$J,5,FALSE)</f>
        <v>True</v>
      </c>
      <c r="G45" t="str">
        <f>VLOOKUP($B45,experiments_specs!$A:$J,6,FALSE)</f>
        <v>True</v>
      </c>
      <c r="H45" t="str">
        <f>VLOOKUP($B45,experiments_specs!$A:$J,7,FALSE)</f>
        <v>True</v>
      </c>
      <c r="I45" t="str">
        <f>VLOOKUP($B45,experiments_specs!$A:$J,8,FALSE)</f>
        <v>True</v>
      </c>
      <c r="J45" t="str">
        <f>VLOOKUP($B45,experiments_specs!$A:$J,10,FALSE)</f>
        <v>False</v>
      </c>
      <c r="K45" s="27">
        <f>SUMIF(Dataset_static!$A:$A,scores_results!$B45,Dataset_static!M:M)</f>
        <v>0.8579173000000001</v>
      </c>
      <c r="L45" s="27">
        <f>SUMIF(Dataset_static!$A:$A,scores_results!$B45,Dataset_static!O:O)</f>
        <v>0.16605909999999999</v>
      </c>
      <c r="M45" s="27">
        <f>SUMIF(Dataset_static!$A:$A,scores_results!$B45,Dataset_static!R:R)</f>
        <v>0.53142520000000004</v>
      </c>
      <c r="N45" s="27">
        <f>SUMIF(Dataset_static!$A:$A,scores_results!$B45,Dataset_static!T:T)</f>
        <v>0.27848829999999997</v>
      </c>
      <c r="O45" s="27">
        <f>SUMIF(Dataset_static!A:A,scores_results!B45,Dataset_static!P:P)</f>
        <v>2.2118694171325748</v>
      </c>
      <c r="P45" s="27">
        <f>SUMIF(Dataset_static!$A:$A,scores_results!$B45,Dataset_static!U:U)</f>
        <v>1.6976911976911975</v>
      </c>
      <c r="R45" t="str">
        <f t="shared" si="1"/>
        <v>test_133</v>
      </c>
      <c r="S45" t="str">
        <f>VLOOKUP($R45,experiments_specs!$A:$J,2,FALSE)</f>
        <v>NN,JJ</v>
      </c>
      <c r="T45">
        <f>VLOOKUP($R45,experiments_specs!$A:$J,4,FALSE)</f>
        <v>2</v>
      </c>
      <c r="U45" t="str">
        <f>VLOOKUP($R45,experiments_specs!$A:$J,5,FALSE)</f>
        <v>True</v>
      </c>
      <c r="V45" t="str">
        <f>VLOOKUP($R45,experiments_specs!$A:$J,6,FALSE)</f>
        <v>True</v>
      </c>
      <c r="W45" t="str">
        <f>VLOOKUP($R45,experiments_specs!$A:$J,7,FALSE)</f>
        <v>True</v>
      </c>
      <c r="X45" t="str">
        <f>VLOOKUP($R45,experiments_specs!$A:$J,8,FALSE)</f>
        <v>True</v>
      </c>
      <c r="Y45" t="str">
        <f>VLOOKUP($R45,experiments_specs!$A:$J,10,FALSE)</f>
        <v>False</v>
      </c>
      <c r="Z45" s="27">
        <f>SUMIF(Dataset_dynamic!$A:$A,scores_results!$R45,Dataset_dynamic!N:N)</f>
        <v>0.18716560000000002</v>
      </c>
      <c r="AA45" s="27">
        <f>SUMIF(Dataset_dynamic!$A:$A,scores_results!$R45,Dataset_dynamic!O:O)</f>
        <v>1.0390976999999999</v>
      </c>
    </row>
    <row r="46" spans="2:27" x14ac:dyDescent="0.2">
      <c r="B46" t="s">
        <v>107</v>
      </c>
      <c r="C46" t="str">
        <f>VLOOKUP($B46,experiments_specs!$A:$J,2,FALSE)</f>
        <v>NN,JJ</v>
      </c>
      <c r="D46">
        <f>VLOOKUP($B46,experiments_specs!$A:$J,3,FALSE)</f>
        <v>1</v>
      </c>
      <c r="E46">
        <f>VLOOKUP($B46,experiments_specs!$A:$J,4,FALSE)</f>
        <v>2</v>
      </c>
      <c r="F46" t="str">
        <f>VLOOKUP($B46,experiments_specs!$A:$J,5,FALSE)</f>
        <v>True</v>
      </c>
      <c r="G46" t="str">
        <f>VLOOKUP($B46,experiments_specs!$A:$J,6,FALSE)</f>
        <v>True</v>
      </c>
      <c r="H46" t="str">
        <f>VLOOKUP($B46,experiments_specs!$A:$J,7,FALSE)</f>
        <v>True</v>
      </c>
      <c r="I46" t="str">
        <f>VLOOKUP($B46,experiments_specs!$A:$J,8,FALSE)</f>
        <v>True</v>
      </c>
      <c r="J46" t="str">
        <f>VLOOKUP($B46,experiments_specs!$A:$J,10,FALSE)</f>
        <v>False</v>
      </c>
      <c r="K46" s="27">
        <f>SUMIF(Dataset_static!$A:$A,scores_results!$B46,Dataset_static!M:M)</f>
        <v>0.83871479999999998</v>
      </c>
      <c r="L46" s="27">
        <f>SUMIF(Dataset_static!$A:$A,scores_results!$B46,Dataset_static!O:O)</f>
        <v>0.13715530000000001</v>
      </c>
      <c r="M46" s="27">
        <f>SUMIF(Dataset_static!$A:$A,scores_results!$B46,Dataset_static!R:R)</f>
        <v>0.75783230000000001</v>
      </c>
      <c r="N46" s="27">
        <f>SUMIF(Dataset_static!$A:$A,scores_results!$B46,Dataset_static!T:T)</f>
        <v>0.27765289999999998</v>
      </c>
      <c r="O46" s="27">
        <f>SUMIF(Dataset_static!A:A,scores_results!B46,Dataset_static!P:P)</f>
        <v>2.1953062701346453</v>
      </c>
      <c r="P46" s="27">
        <f>SUMIF(Dataset_static!$A:$A,scores_results!$B46,Dataset_static!U:U)</f>
        <v>2.4084007779659951</v>
      </c>
      <c r="R46" t="str">
        <f t="shared" si="1"/>
        <v>test_134</v>
      </c>
      <c r="S46" t="str">
        <f>VLOOKUP($R46,experiments_specs!$A:$J,2,FALSE)</f>
        <v>NN,JJ</v>
      </c>
      <c r="T46">
        <f>VLOOKUP($R46,experiments_specs!$A:$J,4,FALSE)</f>
        <v>3</v>
      </c>
      <c r="U46" t="str">
        <f>VLOOKUP($R46,experiments_specs!$A:$J,5,FALSE)</f>
        <v>True</v>
      </c>
      <c r="V46" t="str">
        <f>VLOOKUP($R46,experiments_specs!$A:$J,6,FALSE)</f>
        <v>True</v>
      </c>
      <c r="W46" t="str">
        <f>VLOOKUP($R46,experiments_specs!$A:$J,7,FALSE)</f>
        <v>True</v>
      </c>
      <c r="X46" t="str">
        <f>VLOOKUP($R46,experiments_specs!$A:$J,8,FALSE)</f>
        <v>True</v>
      </c>
      <c r="Y46" t="str">
        <f>VLOOKUP($R46,experiments_specs!$A:$J,10,FALSE)</f>
        <v>False</v>
      </c>
      <c r="Z46" s="27">
        <f>SUMIF(Dataset_dynamic!$A:$A,scores_results!$R46,Dataset_dynamic!N:N)</f>
        <v>0.18716560000000002</v>
      </c>
      <c r="AA46" s="27">
        <f>SUMIF(Dataset_dynamic!$A:$A,scores_results!$R46,Dataset_dynamic!O:O)</f>
        <v>1.0390976999999999</v>
      </c>
    </row>
    <row r="47" spans="2:27" x14ac:dyDescent="0.2">
      <c r="B47" t="s">
        <v>108</v>
      </c>
      <c r="C47" t="str">
        <f>VLOOKUP($B47,experiments_specs!$A:$J,2,FALSE)</f>
        <v>NN,VB</v>
      </c>
      <c r="D47">
        <f>VLOOKUP($B47,experiments_specs!$A:$J,3,FALSE)</f>
        <v>1</v>
      </c>
      <c r="E47">
        <f>VLOOKUP($B47,experiments_specs!$A:$J,4,FALSE)</f>
        <v>2</v>
      </c>
      <c r="F47" t="str">
        <f>VLOOKUP($B47,experiments_specs!$A:$J,5,FALSE)</f>
        <v>True</v>
      </c>
      <c r="G47" t="str">
        <f>VLOOKUP($B47,experiments_specs!$A:$J,6,FALSE)</f>
        <v>True</v>
      </c>
      <c r="H47" t="str">
        <f>VLOOKUP($B47,experiments_specs!$A:$J,7,FALSE)</f>
        <v>True</v>
      </c>
      <c r="I47" t="str">
        <f>VLOOKUP($B47,experiments_specs!$A:$J,8,FALSE)</f>
        <v>True</v>
      </c>
      <c r="J47" t="str">
        <f>VLOOKUP($B47,experiments_specs!$A:$J,10,FALSE)</f>
        <v>False</v>
      </c>
      <c r="K47" s="27">
        <f>SUMIF(Dataset_static!$A:$A,scores_results!$B47,Dataset_static!M:M)</f>
        <v>0.99374669999999998</v>
      </c>
      <c r="L47" s="27">
        <f>SUMIF(Dataset_static!$A:$A,scores_results!$B47,Dataset_static!O:O)</f>
        <v>0.16207830000000001</v>
      </c>
      <c r="M47" s="27">
        <f>SUMIF(Dataset_static!$A:$A,scores_results!$B47,Dataset_static!R:R)</f>
        <v>0.56014920000000001</v>
      </c>
      <c r="N47" s="27">
        <f>SUMIF(Dataset_static!$A:$A,scores_results!$B47,Dataset_static!T:T)</f>
        <v>0.22752650000000002</v>
      </c>
      <c r="O47" s="27">
        <f>SUMIF(Dataset_static!A:A,scores_results!B47,Dataset_static!P:P)</f>
        <v>2.1263993316624896</v>
      </c>
      <c r="P47" s="27">
        <f>SUMIF(Dataset_static!$A:$A,scores_results!$B47,Dataset_static!U:U)</f>
        <v>1.6825396825396823</v>
      </c>
      <c r="R47" t="str">
        <f t="shared" si="1"/>
        <v>test_135</v>
      </c>
      <c r="S47" t="str">
        <f>VLOOKUP($R47,experiments_specs!$A:$J,2,FALSE)</f>
        <v>NN,VB,VBD,VBG,VBN,VBP,VBZ</v>
      </c>
      <c r="T47">
        <f>VLOOKUP($R47,experiments_specs!$A:$J,4,FALSE)</f>
        <v>2</v>
      </c>
      <c r="U47" t="str">
        <f>VLOOKUP($R47,experiments_specs!$A:$J,5,FALSE)</f>
        <v>True</v>
      </c>
      <c r="V47" t="str">
        <f>VLOOKUP($R47,experiments_specs!$A:$J,6,FALSE)</f>
        <v>True</v>
      </c>
      <c r="W47" t="str">
        <f>VLOOKUP($R47,experiments_specs!$A:$J,7,FALSE)</f>
        <v>True</v>
      </c>
      <c r="X47" t="str">
        <f>VLOOKUP($R47,experiments_specs!$A:$J,8,FALSE)</f>
        <v>True</v>
      </c>
      <c r="Y47" t="str">
        <f>VLOOKUP($R47,experiments_specs!$A:$J,10,FALSE)</f>
        <v>False</v>
      </c>
      <c r="Z47" s="27">
        <f>SUMIF(Dataset_dynamic!$A:$A,scores_results!$R47,Dataset_dynamic!N:N)</f>
        <v>0.17115079999999999</v>
      </c>
      <c r="AA47" s="27">
        <f>SUMIF(Dataset_dynamic!$A:$A,scores_results!$R47,Dataset_dynamic!O:O)</f>
        <v>1.4130107000000001</v>
      </c>
    </row>
    <row r="48" spans="2:27" x14ac:dyDescent="0.2">
      <c r="B48" t="s">
        <v>109</v>
      </c>
      <c r="C48" t="str">
        <f>VLOOKUP($B48,experiments_specs!$A:$J,2,FALSE)</f>
        <v>NN,VB,VBD,VBG,VBN,VBP,VBZ</v>
      </c>
      <c r="D48">
        <f>VLOOKUP($B48,experiments_specs!$A:$J,3,FALSE)</f>
        <v>1</v>
      </c>
      <c r="E48">
        <f>VLOOKUP($B48,experiments_specs!$A:$J,4,FALSE)</f>
        <v>2</v>
      </c>
      <c r="F48" t="str">
        <f>VLOOKUP($B48,experiments_specs!$A:$J,5,FALSE)</f>
        <v>True</v>
      </c>
      <c r="G48" t="str">
        <f>VLOOKUP($B48,experiments_specs!$A:$J,6,FALSE)</f>
        <v>True</v>
      </c>
      <c r="H48" t="str">
        <f>VLOOKUP($B48,experiments_specs!$A:$J,7,FALSE)</f>
        <v>True</v>
      </c>
      <c r="I48" t="str">
        <f>VLOOKUP($B48,experiments_specs!$A:$J,8,FALSE)</f>
        <v>True</v>
      </c>
      <c r="J48" t="str">
        <f>VLOOKUP($B48,experiments_specs!$A:$J,10,FALSE)</f>
        <v>False</v>
      </c>
      <c r="K48" s="27">
        <f>SUMIF(Dataset_static!$A:$A,scores_results!$B48,Dataset_static!M:M)</f>
        <v>0.9796089</v>
      </c>
      <c r="L48" s="27">
        <f>SUMIF(Dataset_static!$A:$A,scores_results!$B48,Dataset_static!O:O)</f>
        <v>0.1352913</v>
      </c>
      <c r="M48" s="27">
        <f>SUMIF(Dataset_static!$A:$A,scores_results!$B48,Dataset_static!R:R)</f>
        <v>0.6716107</v>
      </c>
      <c r="N48" s="27">
        <f>SUMIF(Dataset_static!$A:$A,scores_results!$B48,Dataset_static!T:T)</f>
        <v>0.18993650000000001</v>
      </c>
      <c r="O48" s="27">
        <f>SUMIF(Dataset_static!A:A,scores_results!B48,Dataset_static!P:P)</f>
        <v>2.1263993316624896</v>
      </c>
      <c r="P48" s="27">
        <f>SUMIF(Dataset_static!$A:$A,scores_results!$B48,Dataset_static!U:U)</f>
        <v>1.7158730158730156</v>
      </c>
      <c r="R48" t="str">
        <f t="shared" si="1"/>
        <v>test_136</v>
      </c>
      <c r="S48" t="str">
        <f>VLOOKUP($R48,experiments_specs!$A:$J,2,FALSE)</f>
        <v>NN,VB,VBD,VBG,VBN,VBP,VBZ</v>
      </c>
      <c r="T48">
        <f>VLOOKUP($R48,experiments_specs!$A:$J,4,FALSE)</f>
        <v>3</v>
      </c>
      <c r="U48" t="str">
        <f>VLOOKUP($R48,experiments_specs!$A:$J,5,FALSE)</f>
        <v>True</v>
      </c>
      <c r="V48" t="str">
        <f>VLOOKUP($R48,experiments_specs!$A:$J,6,FALSE)</f>
        <v>True</v>
      </c>
      <c r="W48" t="str">
        <f>VLOOKUP($R48,experiments_specs!$A:$J,7,FALSE)</f>
        <v>True</v>
      </c>
      <c r="X48" t="str">
        <f>VLOOKUP($R48,experiments_specs!$A:$J,8,FALSE)</f>
        <v>True</v>
      </c>
      <c r="Y48" t="str">
        <f>VLOOKUP($R48,experiments_specs!$A:$J,10,FALSE)</f>
        <v>False</v>
      </c>
      <c r="Z48" s="27">
        <f>SUMIF(Dataset_dynamic!$A:$A,scores_results!$R48,Dataset_dynamic!N:N)</f>
        <v>0.17115079999999999</v>
      </c>
      <c r="AA48" s="27">
        <f>SUMIF(Dataset_dynamic!$A:$A,scores_results!$R48,Dataset_dynamic!O:O)</f>
        <v>1.4130107000000001</v>
      </c>
    </row>
    <row r="49" spans="2:27" x14ac:dyDescent="0.2">
      <c r="B49" t="s">
        <v>110</v>
      </c>
      <c r="C49" t="str">
        <f>VLOOKUP($B49,experiments_specs!$A:$J,2,FALSE)</f>
        <v>NN,RB</v>
      </c>
      <c r="D49">
        <f>VLOOKUP($B49,experiments_specs!$A:$J,3,FALSE)</f>
        <v>1</v>
      </c>
      <c r="E49">
        <f>VLOOKUP($B49,experiments_specs!$A:$J,4,FALSE)</f>
        <v>2</v>
      </c>
      <c r="F49" t="str">
        <f>VLOOKUP($B49,experiments_specs!$A:$J,5,FALSE)</f>
        <v>True</v>
      </c>
      <c r="G49" t="str">
        <f>VLOOKUP($B49,experiments_specs!$A:$J,6,FALSE)</f>
        <v>True</v>
      </c>
      <c r="H49" t="str">
        <f>VLOOKUP($B49,experiments_specs!$A:$J,7,FALSE)</f>
        <v>True</v>
      </c>
      <c r="I49" t="str">
        <f>VLOOKUP($B49,experiments_specs!$A:$J,8,FALSE)</f>
        <v>True</v>
      </c>
      <c r="J49" t="str">
        <f>VLOOKUP($B49,experiments_specs!$A:$J,10,FALSE)</f>
        <v>False</v>
      </c>
      <c r="K49" s="27">
        <f>SUMIF(Dataset_static!$A:$A,scores_results!$B49,Dataset_static!M:M)</f>
        <v>0.85551560000000004</v>
      </c>
      <c r="L49" s="27">
        <f>SUMIF(Dataset_static!$A:$A,scores_results!$B49,Dataset_static!O:O)</f>
        <v>0.15733070000000002</v>
      </c>
      <c r="M49" s="27">
        <f>SUMIF(Dataset_static!$A:$A,scores_results!$B49,Dataset_static!R:R)</f>
        <v>0.52894459999999999</v>
      </c>
      <c r="N49" s="27">
        <f>SUMIF(Dataset_static!$A:$A,scores_results!$B49,Dataset_static!T:T)</f>
        <v>0.27392420000000001</v>
      </c>
      <c r="O49" s="27">
        <f>SUMIF(Dataset_static!A:A,scores_results!B49,Dataset_static!P:P)</f>
        <v>2.2118694171325748</v>
      </c>
      <c r="P49" s="27">
        <f>SUMIF(Dataset_static!$A:$A,scores_results!$B49,Dataset_static!U:U)</f>
        <v>1.6976911976911975</v>
      </c>
      <c r="R49" t="str">
        <f t="shared" si="1"/>
        <v>test_137</v>
      </c>
      <c r="S49" t="str">
        <f>VLOOKUP($R49,experiments_specs!$A:$J,2,FALSE)</f>
        <v>NN,JJ,VB,VBD,VBG,VBN,VBP,VBZ</v>
      </c>
      <c r="T49">
        <f>VLOOKUP($R49,experiments_specs!$A:$J,4,FALSE)</f>
        <v>2</v>
      </c>
      <c r="U49" t="str">
        <f>VLOOKUP($R49,experiments_specs!$A:$J,5,FALSE)</f>
        <v>True</v>
      </c>
      <c r="V49" t="str">
        <f>VLOOKUP($R49,experiments_specs!$A:$J,6,FALSE)</f>
        <v>True</v>
      </c>
      <c r="W49" t="str">
        <f>VLOOKUP($R49,experiments_specs!$A:$J,7,FALSE)</f>
        <v>True</v>
      </c>
      <c r="X49" t="str">
        <f>VLOOKUP($R49,experiments_specs!$A:$J,8,FALSE)</f>
        <v>True</v>
      </c>
      <c r="Y49" t="str">
        <f>VLOOKUP($R49,experiments_specs!$A:$J,10,FALSE)</f>
        <v>False</v>
      </c>
      <c r="Z49" s="27">
        <f>SUMIF(Dataset_dynamic!$A:$A,scores_results!$R49,Dataset_dynamic!N:N)</f>
        <v>0.14960179999999998</v>
      </c>
      <c r="AA49" s="27">
        <f>SUMIF(Dataset_dynamic!$A:$A,scores_results!$R49,Dataset_dynamic!O:O)</f>
        <v>1.872431</v>
      </c>
    </row>
    <row r="50" spans="2:27" x14ac:dyDescent="0.2">
      <c r="B50" t="s">
        <v>111</v>
      </c>
      <c r="C50" t="str">
        <f>VLOOKUP($B50,experiments_specs!$A:$J,2,FALSE)</f>
        <v>NN,JJ,VB,VBD,VBG,VBN,VBP,VBZ</v>
      </c>
      <c r="D50">
        <f>VLOOKUP($B50,experiments_specs!$A:$J,3,FALSE)</f>
        <v>1</v>
      </c>
      <c r="E50">
        <f>VLOOKUP($B50,experiments_specs!$A:$J,4,FALSE)</f>
        <v>2</v>
      </c>
      <c r="F50" t="str">
        <f>VLOOKUP($B50,experiments_specs!$A:$J,5,FALSE)</f>
        <v>True</v>
      </c>
      <c r="G50" t="str">
        <f>VLOOKUP($B50,experiments_specs!$A:$J,6,FALSE)</f>
        <v>True</v>
      </c>
      <c r="H50" t="str">
        <f>VLOOKUP($B50,experiments_specs!$A:$J,7,FALSE)</f>
        <v>True</v>
      </c>
      <c r="I50" t="str">
        <f>VLOOKUP($B50,experiments_specs!$A:$J,8,FALSE)</f>
        <v>True</v>
      </c>
      <c r="J50" t="str">
        <f>VLOOKUP($B50,experiments_specs!$A:$J,10,FALSE)</f>
        <v>False</v>
      </c>
      <c r="K50" s="27">
        <f>SUMIF(Dataset_static!$A:$A,scores_results!$B50,Dataset_static!M:M)</f>
        <v>0.9747657999999999</v>
      </c>
      <c r="L50" s="27">
        <f>SUMIF(Dataset_static!$A:$A,scores_results!$B50,Dataset_static!O:O)</f>
        <v>0.12034069999999999</v>
      </c>
      <c r="M50" s="27">
        <f>SUMIF(Dataset_static!$A:$A,scores_results!$B50,Dataset_static!R:R)</f>
        <v>0.75093410000000005</v>
      </c>
      <c r="N50" s="27">
        <f>SUMIF(Dataset_static!$A:$A,scores_results!$B50,Dataset_static!T:T)</f>
        <v>0.15569459999999999</v>
      </c>
      <c r="O50" s="27">
        <f>SUMIF(Dataset_static!A:A,scores_results!B50,Dataset_static!P:P)</f>
        <v>2.1098361846645597</v>
      </c>
      <c r="P50" s="27">
        <f>SUMIF(Dataset_static!$A:$A,scores_results!$B50,Dataset_static!U:U)</f>
        <v>2.474701144266362</v>
      </c>
      <c r="R50" t="str">
        <f t="shared" si="1"/>
        <v>test_138</v>
      </c>
      <c r="S50" t="str">
        <f>VLOOKUP($R50,experiments_specs!$A:$J,2,FALSE)</f>
        <v>NN,JJ,VB,VBD,VBG,VBN,VBP,VBZ</v>
      </c>
      <c r="T50">
        <f>VLOOKUP($R50,experiments_specs!$A:$J,4,FALSE)</f>
        <v>3</v>
      </c>
      <c r="U50" t="str">
        <f>VLOOKUP($R50,experiments_specs!$A:$J,5,FALSE)</f>
        <v>True</v>
      </c>
      <c r="V50" t="str">
        <f>VLOOKUP($R50,experiments_specs!$A:$J,6,FALSE)</f>
        <v>True</v>
      </c>
      <c r="W50" t="str">
        <f>VLOOKUP($R50,experiments_specs!$A:$J,7,FALSE)</f>
        <v>True</v>
      </c>
      <c r="X50" t="str">
        <f>VLOOKUP($R50,experiments_specs!$A:$J,8,FALSE)</f>
        <v>True</v>
      </c>
      <c r="Y50" t="str">
        <f>VLOOKUP($R50,experiments_specs!$A:$J,10,FALSE)</f>
        <v>False</v>
      </c>
      <c r="Z50" s="27">
        <f>SUMIF(Dataset_dynamic!$A:$A,scores_results!$R50,Dataset_dynamic!N:N)</f>
        <v>0.14960179999999998</v>
      </c>
      <c r="AA50" s="27">
        <f>SUMIF(Dataset_dynamic!$A:$A,scores_results!$R50,Dataset_dynamic!O:O)</f>
        <v>1.872431</v>
      </c>
    </row>
    <row r="51" spans="2:27" x14ac:dyDescent="0.2">
      <c r="B51" t="s">
        <v>112</v>
      </c>
      <c r="C51" t="str">
        <f>VLOOKUP($B51,experiments_specs!$A:$J,2,FALSE)</f>
        <v>NN</v>
      </c>
      <c r="D51">
        <f>VLOOKUP($B51,experiments_specs!$A:$J,3,FALSE)</f>
        <v>1</v>
      </c>
      <c r="E51">
        <f>VLOOKUP($B51,experiments_specs!$A:$J,4,FALSE)</f>
        <v>2</v>
      </c>
      <c r="F51" t="str">
        <f>VLOOKUP($B51,experiments_specs!$A:$J,5,FALSE)</f>
        <v>True</v>
      </c>
      <c r="G51" t="str">
        <f>VLOOKUP($B51,experiments_specs!$A:$J,6,FALSE)</f>
        <v>True</v>
      </c>
      <c r="H51" t="str">
        <f>VLOOKUP($B51,experiments_specs!$A:$J,7,FALSE)</f>
        <v>True</v>
      </c>
      <c r="I51" t="str">
        <f>VLOOKUP($B51,experiments_specs!$A:$J,8,FALSE)</f>
        <v>True</v>
      </c>
      <c r="J51" t="str">
        <f>VLOOKUP($B51,experiments_specs!$A:$J,10,FALSE)</f>
        <v>True</v>
      </c>
      <c r="K51" s="27">
        <f>SUMIF(Dataset_static!$A:$A,scores_results!$B51,Dataset_static!M:M)</f>
        <v>0.84350000000000014</v>
      </c>
      <c r="L51" s="27">
        <f>SUMIF(Dataset_static!$A:$A,scores_results!$B51,Dataset_static!O:O)</f>
        <v>0.16609759999999998</v>
      </c>
      <c r="M51" s="27">
        <f>SUMIF(Dataset_static!$A:$A,scores_results!$B51,Dataset_static!R:R)</f>
        <v>0.54080090000000003</v>
      </c>
      <c r="N51" s="27">
        <f>SUMIF(Dataset_static!$A:$A,scores_results!$B51,Dataset_static!T:T)</f>
        <v>0.26964949999999999</v>
      </c>
      <c r="O51" s="27">
        <f>SUMIF(Dataset_static!A:A,scores_results!B51,Dataset_static!P:P)</f>
        <v>1.8118694171325749</v>
      </c>
      <c r="P51" s="27">
        <f>SUMIF(Dataset_static!$A:$A,scores_results!$B51,Dataset_static!U:U)</f>
        <v>1.6976911976911975</v>
      </c>
      <c r="R51" t="str">
        <f t="shared" si="1"/>
        <v>test_139</v>
      </c>
      <c r="S51" t="str">
        <f>VLOOKUP($R51,experiments_specs!$A:$J,2,FALSE)</f>
        <v>NN,JJ</v>
      </c>
      <c r="T51">
        <f>VLOOKUP($R51,experiments_specs!$A:$J,4,FALSE)</f>
        <v>2</v>
      </c>
      <c r="U51" t="str">
        <f>VLOOKUP($R51,experiments_specs!$A:$J,5,FALSE)</f>
        <v>False</v>
      </c>
      <c r="V51" t="str">
        <f>VLOOKUP($R51,experiments_specs!$A:$J,6,FALSE)</f>
        <v>True</v>
      </c>
      <c r="W51" t="str">
        <f>VLOOKUP($R51,experiments_specs!$A:$J,7,FALSE)</f>
        <v>True</v>
      </c>
      <c r="X51" t="str">
        <f>VLOOKUP($R51,experiments_specs!$A:$J,8,FALSE)</f>
        <v>True</v>
      </c>
      <c r="Y51" t="str">
        <f>VLOOKUP($R51,experiments_specs!$A:$J,10,FALSE)</f>
        <v>True</v>
      </c>
      <c r="Z51" s="27">
        <f>SUMIF(Dataset_dynamic!$A:$A,scores_results!$R51,Dataset_dynamic!N:N)</f>
        <v>3.44912E-2</v>
      </c>
      <c r="AA51" s="27">
        <f>SUMIF(Dataset_dynamic!$A:$A,scores_results!$R51,Dataset_dynamic!O:O)</f>
        <v>0.96666660000000004</v>
      </c>
    </row>
    <row r="52" spans="2:27" x14ac:dyDescent="0.2">
      <c r="B52" t="s">
        <v>113</v>
      </c>
      <c r="C52" t="str">
        <f>VLOOKUP($B52,experiments_specs!$A:$J,2,FALSE)</f>
        <v>NN,JJ</v>
      </c>
      <c r="D52">
        <f>VLOOKUP($B52,experiments_specs!$A:$J,3,FALSE)</f>
        <v>1</v>
      </c>
      <c r="E52">
        <f>VLOOKUP($B52,experiments_specs!$A:$J,4,FALSE)</f>
        <v>2</v>
      </c>
      <c r="F52" t="str">
        <f>VLOOKUP($B52,experiments_specs!$A:$J,5,FALSE)</f>
        <v>True</v>
      </c>
      <c r="G52" t="str">
        <f>VLOOKUP($B52,experiments_specs!$A:$J,6,FALSE)</f>
        <v>True</v>
      </c>
      <c r="H52" t="str">
        <f>VLOOKUP($B52,experiments_specs!$A:$J,7,FALSE)</f>
        <v>True</v>
      </c>
      <c r="I52" t="str">
        <f>VLOOKUP($B52,experiments_specs!$A:$J,8,FALSE)</f>
        <v>True</v>
      </c>
      <c r="J52" t="str">
        <f>VLOOKUP($B52,experiments_specs!$A:$J,10,FALSE)</f>
        <v>True</v>
      </c>
      <c r="K52" s="27">
        <f>SUMIF(Dataset_static!$A:$A,scores_results!$B52,Dataset_static!M:M)</f>
        <v>0.83443059999999991</v>
      </c>
      <c r="L52" s="27">
        <f>SUMIF(Dataset_static!$A:$A,scores_results!$B52,Dataset_static!O:O)</f>
        <v>0.16564419999999999</v>
      </c>
      <c r="M52" s="27">
        <f>SUMIF(Dataset_static!$A:$A,scores_results!$B52,Dataset_static!R:R)</f>
        <v>0.73002410000000006</v>
      </c>
      <c r="N52" s="27">
        <f>SUMIF(Dataset_static!$A:$A,scores_results!$B52,Dataset_static!T:T)</f>
        <v>0.24764590000000003</v>
      </c>
      <c r="O52" s="27">
        <f>SUMIF(Dataset_static!A:A,scores_results!B52,Dataset_static!P:P)</f>
        <v>1.7953062701346454</v>
      </c>
      <c r="P52" s="27">
        <f>SUMIF(Dataset_static!$A:$A,scores_results!$B52,Dataset_static!U:U)</f>
        <v>2.4084007779659951</v>
      </c>
      <c r="R52" t="str">
        <f t="shared" si="1"/>
        <v>test_140</v>
      </c>
      <c r="S52" t="str">
        <f>VLOOKUP($R52,experiments_specs!$A:$J,2,FALSE)</f>
        <v>NN,JJ</v>
      </c>
      <c r="T52">
        <f>VLOOKUP($R52,experiments_specs!$A:$J,4,FALSE)</f>
        <v>3</v>
      </c>
      <c r="U52" t="str">
        <f>VLOOKUP($R52,experiments_specs!$A:$J,5,FALSE)</f>
        <v>True</v>
      </c>
      <c r="V52" t="str">
        <f>VLOOKUP($R52,experiments_specs!$A:$J,6,FALSE)</f>
        <v>True</v>
      </c>
      <c r="W52" t="str">
        <f>VLOOKUP($R52,experiments_specs!$A:$J,7,FALSE)</f>
        <v>True</v>
      </c>
      <c r="X52" t="str">
        <f>VLOOKUP($R52,experiments_specs!$A:$J,8,FALSE)</f>
        <v>True</v>
      </c>
      <c r="Y52" t="str">
        <f>VLOOKUP($R52,experiments_specs!$A:$J,10,FALSE)</f>
        <v>True</v>
      </c>
      <c r="Z52" s="27">
        <f>SUMIF(Dataset_dynamic!$A:$A,scores_results!$R52,Dataset_dynamic!N:N)</f>
        <v>0.22204580000000002</v>
      </c>
      <c r="AA52" s="27">
        <f>SUMIF(Dataset_dynamic!$A:$A,scores_results!$R52,Dataset_dynamic!O:O)</f>
        <v>1.472431</v>
      </c>
    </row>
    <row r="53" spans="2:27" x14ac:dyDescent="0.2">
      <c r="B53" t="s">
        <v>114</v>
      </c>
      <c r="C53" t="str">
        <f>VLOOKUP($B53,experiments_specs!$A:$J,2,FALSE)</f>
        <v>NN,VB</v>
      </c>
      <c r="D53">
        <f>VLOOKUP($B53,experiments_specs!$A:$J,3,FALSE)</f>
        <v>1</v>
      </c>
      <c r="E53">
        <f>VLOOKUP($B53,experiments_specs!$A:$J,4,FALSE)</f>
        <v>2</v>
      </c>
      <c r="F53" t="str">
        <f>VLOOKUP($B53,experiments_specs!$A:$J,5,FALSE)</f>
        <v>True</v>
      </c>
      <c r="G53" t="str">
        <f>VLOOKUP($B53,experiments_specs!$A:$J,6,FALSE)</f>
        <v>True</v>
      </c>
      <c r="H53" t="str">
        <f>VLOOKUP($B53,experiments_specs!$A:$J,7,FALSE)</f>
        <v>True</v>
      </c>
      <c r="I53" t="str">
        <f>VLOOKUP($B53,experiments_specs!$A:$J,8,FALSE)</f>
        <v>True</v>
      </c>
      <c r="J53" t="str">
        <f>VLOOKUP($B53,experiments_specs!$A:$J,10,FALSE)</f>
        <v>True</v>
      </c>
      <c r="K53" s="27">
        <f>SUMIF(Dataset_static!$A:$A,scores_results!$B53,Dataset_static!M:M)</f>
        <v>0.83690589999999987</v>
      </c>
      <c r="L53" s="27">
        <f>SUMIF(Dataset_static!$A:$A,scores_results!$B53,Dataset_static!O:O)</f>
        <v>0.1493699</v>
      </c>
      <c r="M53" s="27">
        <f>SUMIF(Dataset_static!$A:$A,scores_results!$B53,Dataset_static!R:R)</f>
        <v>0.53626210000000007</v>
      </c>
      <c r="N53" s="27">
        <f>SUMIF(Dataset_static!$A:$A,scores_results!$B53,Dataset_static!T:T)</f>
        <v>0.24131329999999998</v>
      </c>
      <c r="O53" s="27">
        <f>SUMIF(Dataset_static!A:A,scores_results!B53,Dataset_static!P:P)</f>
        <v>1.8118694171325749</v>
      </c>
      <c r="P53" s="27">
        <f>SUMIF(Dataset_static!$A:$A,scores_results!$B53,Dataset_static!U:U)</f>
        <v>1.6976911976911975</v>
      </c>
      <c r="R53" t="str">
        <f t="shared" si="1"/>
        <v>test_141</v>
      </c>
      <c r="S53" t="str">
        <f>VLOOKUP($R53,experiments_specs!$A:$J,2,FALSE)</f>
        <v>NN,VB,VBD,VBG,VBN,VBP,VBZ</v>
      </c>
      <c r="T53">
        <f>VLOOKUP($R53,experiments_specs!$A:$J,4,FALSE)</f>
        <v>2</v>
      </c>
      <c r="U53" t="str">
        <f>VLOOKUP($R53,experiments_specs!$A:$J,5,FALSE)</f>
        <v>True</v>
      </c>
      <c r="V53" t="str">
        <f>VLOOKUP($R53,experiments_specs!$A:$J,6,FALSE)</f>
        <v>True</v>
      </c>
      <c r="W53" t="str">
        <f>VLOOKUP($R53,experiments_specs!$A:$J,7,FALSE)</f>
        <v>True</v>
      </c>
      <c r="X53" t="str">
        <f>VLOOKUP($R53,experiments_specs!$A:$J,8,FALSE)</f>
        <v>True</v>
      </c>
      <c r="Y53" t="str">
        <f>VLOOKUP($R53,experiments_specs!$A:$J,10,FALSE)</f>
        <v>True</v>
      </c>
      <c r="Z53" s="27">
        <f>SUMIF(Dataset_dynamic!$A:$A,scores_results!$R53,Dataset_dynamic!N:N)</f>
        <v>0.1978558</v>
      </c>
      <c r="AA53" s="27">
        <f>SUMIF(Dataset_dynamic!$A:$A,scores_results!$R53,Dataset_dynamic!O:O)</f>
        <v>0.97967730000000008</v>
      </c>
    </row>
    <row r="54" spans="2:27" x14ac:dyDescent="0.2">
      <c r="B54" t="s">
        <v>115</v>
      </c>
      <c r="C54" t="str">
        <f>VLOOKUP($B54,experiments_specs!$A:$J,2,FALSE)</f>
        <v>NN,VB,VBD,VBG,VBN,VBP,VBZ</v>
      </c>
      <c r="D54">
        <f>VLOOKUP($B54,experiments_specs!$A:$J,3,FALSE)</f>
        <v>1</v>
      </c>
      <c r="E54">
        <f>VLOOKUP($B54,experiments_specs!$A:$J,4,FALSE)</f>
        <v>2</v>
      </c>
      <c r="F54" t="str">
        <f>VLOOKUP($B54,experiments_specs!$A:$J,5,FALSE)</f>
        <v>True</v>
      </c>
      <c r="G54" t="str">
        <f>VLOOKUP($B54,experiments_specs!$A:$J,6,FALSE)</f>
        <v>True</v>
      </c>
      <c r="H54" t="str">
        <f>VLOOKUP($B54,experiments_specs!$A:$J,7,FALSE)</f>
        <v>True</v>
      </c>
      <c r="I54" t="str">
        <f>VLOOKUP($B54,experiments_specs!$A:$J,8,FALSE)</f>
        <v>True</v>
      </c>
      <c r="J54" t="str">
        <f>VLOOKUP($B54,experiments_specs!$A:$J,10,FALSE)</f>
        <v>True</v>
      </c>
      <c r="K54" s="27">
        <f>SUMIF(Dataset_static!$A:$A,scores_results!$B54,Dataset_static!M:M)</f>
        <v>0.83380039999999989</v>
      </c>
      <c r="L54" s="27">
        <f>SUMIF(Dataset_static!$A:$A,scores_results!$B54,Dataset_static!O:O)</f>
        <v>0.13862140000000001</v>
      </c>
      <c r="M54" s="27">
        <f>SUMIF(Dataset_static!$A:$A,scores_results!$B54,Dataset_static!R:R)</f>
        <v>0.53347560000000005</v>
      </c>
      <c r="N54" s="27">
        <f>SUMIF(Dataset_static!$A:$A,scores_results!$B54,Dataset_static!T:T)</f>
        <v>0.22400939999999997</v>
      </c>
      <c r="O54" s="27">
        <f>SUMIF(Dataset_static!A:A,scores_results!B54,Dataset_static!P:P)</f>
        <v>1.8118694171325749</v>
      </c>
      <c r="P54" s="27">
        <f>SUMIF(Dataset_static!$A:$A,scores_results!$B54,Dataset_static!U:U)</f>
        <v>1.6976911976911975</v>
      </c>
      <c r="R54" t="str">
        <f t="shared" si="1"/>
        <v>test_142</v>
      </c>
      <c r="S54" t="str">
        <f>VLOOKUP($R54,experiments_specs!$A:$J,2,FALSE)</f>
        <v>NN,VB,VBD,VBG,VBN,VBP,VBZ</v>
      </c>
      <c r="T54">
        <f>VLOOKUP($R54,experiments_specs!$A:$J,4,FALSE)</f>
        <v>3</v>
      </c>
      <c r="U54" t="str">
        <f>VLOOKUP($R54,experiments_specs!$A:$J,5,FALSE)</f>
        <v>True</v>
      </c>
      <c r="V54" t="str">
        <f>VLOOKUP($R54,experiments_specs!$A:$J,6,FALSE)</f>
        <v>True</v>
      </c>
      <c r="W54" t="str">
        <f>VLOOKUP($R54,experiments_specs!$A:$J,7,FALSE)</f>
        <v>True</v>
      </c>
      <c r="X54" t="str">
        <f>VLOOKUP($R54,experiments_specs!$A:$J,8,FALSE)</f>
        <v>True</v>
      </c>
      <c r="Y54" t="str">
        <f>VLOOKUP($R54,experiments_specs!$A:$J,10,FALSE)</f>
        <v>True</v>
      </c>
      <c r="Z54" s="27">
        <f>SUMIF(Dataset_dynamic!$A:$A,scores_results!$R54,Dataset_dynamic!N:N)</f>
        <v>0.1978558</v>
      </c>
      <c r="AA54" s="27">
        <f>SUMIF(Dataset_dynamic!$A:$A,scores_results!$R54,Dataset_dynamic!O:O)</f>
        <v>0.97967730000000008</v>
      </c>
    </row>
    <row r="55" spans="2:27" x14ac:dyDescent="0.2">
      <c r="B55" t="s">
        <v>116</v>
      </c>
      <c r="C55" t="str">
        <f>VLOOKUP($B55,experiments_specs!$A:$J,2,FALSE)</f>
        <v>NN,RB</v>
      </c>
      <c r="D55">
        <f>VLOOKUP($B55,experiments_specs!$A:$J,3,FALSE)</f>
        <v>1</v>
      </c>
      <c r="E55">
        <f>VLOOKUP($B55,experiments_specs!$A:$J,4,FALSE)</f>
        <v>2</v>
      </c>
      <c r="F55" t="str">
        <f>VLOOKUP($B55,experiments_specs!$A:$J,5,FALSE)</f>
        <v>True</v>
      </c>
      <c r="G55" t="str">
        <f>VLOOKUP($B55,experiments_specs!$A:$J,6,FALSE)</f>
        <v>True</v>
      </c>
      <c r="H55" t="str">
        <f>VLOOKUP($B55,experiments_specs!$A:$J,7,FALSE)</f>
        <v>True</v>
      </c>
      <c r="I55" t="str">
        <f>VLOOKUP($B55,experiments_specs!$A:$J,8,FALSE)</f>
        <v>True</v>
      </c>
      <c r="J55" t="str">
        <f>VLOOKUP($B55,experiments_specs!$A:$J,10,FALSE)</f>
        <v>True</v>
      </c>
      <c r="K55" s="27">
        <f>SUMIF(Dataset_static!$A:$A,scores_results!$B55,Dataset_static!M:M)</f>
        <v>0.84350000000000014</v>
      </c>
      <c r="L55" s="27">
        <f>SUMIF(Dataset_static!$A:$A,scores_results!$B55,Dataset_static!O:O)</f>
        <v>0.16609759999999998</v>
      </c>
      <c r="M55" s="27">
        <f>SUMIF(Dataset_static!$A:$A,scores_results!$B55,Dataset_static!R:R)</f>
        <v>0.54080090000000003</v>
      </c>
      <c r="N55" s="27">
        <f>SUMIF(Dataset_static!$A:$A,scores_results!$B55,Dataset_static!T:T)</f>
        <v>0.26964949999999999</v>
      </c>
      <c r="O55" s="27">
        <f>SUMIF(Dataset_static!A:A,scores_results!B55,Dataset_static!P:P)</f>
        <v>1.8118694171325749</v>
      </c>
      <c r="P55" s="27">
        <f>SUMIF(Dataset_static!$A:$A,scores_results!$B55,Dataset_static!U:U)</f>
        <v>1.6976911976911975</v>
      </c>
      <c r="R55" t="str">
        <f t="shared" si="1"/>
        <v>test_143</v>
      </c>
      <c r="S55" t="str">
        <f>VLOOKUP($R55,experiments_specs!$A:$J,2,FALSE)</f>
        <v>NN,JJ,VB,VBD,VBG,VBN,VBP,VBZ</v>
      </c>
      <c r="T55">
        <f>VLOOKUP($R55,experiments_specs!$A:$J,4,FALSE)</f>
        <v>2</v>
      </c>
      <c r="U55" t="str">
        <f>VLOOKUP($R55,experiments_specs!$A:$J,5,FALSE)</f>
        <v>True</v>
      </c>
      <c r="V55" t="str">
        <f>VLOOKUP($R55,experiments_specs!$A:$J,6,FALSE)</f>
        <v>True</v>
      </c>
      <c r="W55" t="str">
        <f>VLOOKUP($R55,experiments_specs!$A:$J,7,FALSE)</f>
        <v>True</v>
      </c>
      <c r="X55" t="str">
        <f>VLOOKUP($R55,experiments_specs!$A:$J,8,FALSE)</f>
        <v>True</v>
      </c>
      <c r="Y55" t="str">
        <f>VLOOKUP($R55,experiments_specs!$A:$J,10,FALSE)</f>
        <v>True</v>
      </c>
      <c r="Z55" s="27">
        <f>SUMIF(Dataset_dynamic!$A:$A,scores_results!$R55,Dataset_dynamic!N:N)</f>
        <v>0.2074261</v>
      </c>
      <c r="AA55" s="27">
        <f>SUMIF(Dataset_dynamic!$A:$A,scores_results!$R55,Dataset_dynamic!O:O)</f>
        <v>1.472431</v>
      </c>
    </row>
    <row r="56" spans="2:27" x14ac:dyDescent="0.2">
      <c r="B56" t="s">
        <v>117</v>
      </c>
      <c r="C56" t="str">
        <f>VLOOKUP($B56,experiments_specs!$A:$J,2,FALSE)</f>
        <v>NN,JJ,VB,VBD,VBG,VBN,VBP,VBZ</v>
      </c>
      <c r="D56">
        <f>VLOOKUP($B56,experiments_specs!$A:$J,3,FALSE)</f>
        <v>1</v>
      </c>
      <c r="E56">
        <f>VLOOKUP($B56,experiments_specs!$A:$J,4,FALSE)</f>
        <v>2</v>
      </c>
      <c r="F56" t="str">
        <f>VLOOKUP($B56,experiments_specs!$A:$J,5,FALSE)</f>
        <v>True</v>
      </c>
      <c r="G56" t="str">
        <f>VLOOKUP($B56,experiments_specs!$A:$J,6,FALSE)</f>
        <v>True</v>
      </c>
      <c r="H56" t="str">
        <f>VLOOKUP($B56,experiments_specs!$A:$J,7,FALSE)</f>
        <v>True</v>
      </c>
      <c r="I56" t="str">
        <f>VLOOKUP($B56,experiments_specs!$A:$J,8,FALSE)</f>
        <v>True</v>
      </c>
      <c r="J56" t="str">
        <f>VLOOKUP($B56,experiments_specs!$A:$J,10,FALSE)</f>
        <v>True</v>
      </c>
      <c r="K56" s="27">
        <f>SUMIF(Dataset_static!$A:$A,scores_results!$B56,Dataset_static!M:M)</f>
        <v>0.82842239999999989</v>
      </c>
      <c r="L56" s="27">
        <f>SUMIF(Dataset_static!$A:$A,scores_results!$B56,Dataset_static!O:O)</f>
        <v>0.14416030000000002</v>
      </c>
      <c r="M56" s="27">
        <f>SUMIF(Dataset_static!$A:$A,scores_results!$B56,Dataset_static!R:R)</f>
        <v>0.72470599999999996</v>
      </c>
      <c r="N56" s="27">
        <f>SUMIF(Dataset_static!$A:$A,scores_results!$B56,Dataset_static!T:T)</f>
        <v>0.2265334</v>
      </c>
      <c r="O56" s="27">
        <f>SUMIF(Dataset_static!A:A,scores_results!B56,Dataset_static!P:P)</f>
        <v>1.7953062701346454</v>
      </c>
      <c r="P56" s="27">
        <f>SUMIF(Dataset_static!$A:$A,scores_results!$B56,Dataset_static!U:U)</f>
        <v>2.4084007779659951</v>
      </c>
      <c r="R56" t="str">
        <f t="shared" si="1"/>
        <v>test_144</v>
      </c>
      <c r="S56" t="str">
        <f>VLOOKUP($R56,experiments_specs!$A:$J,2,FALSE)</f>
        <v>NN,JJ,VB,VBD,VBG,VBN,VBP,VBZ</v>
      </c>
      <c r="T56">
        <f>VLOOKUP($R56,experiments_specs!$A:$J,4,FALSE)</f>
        <v>3</v>
      </c>
      <c r="U56" t="str">
        <f>VLOOKUP($R56,experiments_specs!$A:$J,5,FALSE)</f>
        <v>True</v>
      </c>
      <c r="V56" t="str">
        <f>VLOOKUP($R56,experiments_specs!$A:$J,6,FALSE)</f>
        <v>True</v>
      </c>
      <c r="W56" t="str">
        <f>VLOOKUP($R56,experiments_specs!$A:$J,7,FALSE)</f>
        <v>True</v>
      </c>
      <c r="X56" t="str">
        <f>VLOOKUP($R56,experiments_specs!$A:$J,8,FALSE)</f>
        <v>True</v>
      </c>
      <c r="Y56" t="str">
        <f>VLOOKUP($R56,experiments_specs!$A:$J,10,FALSE)</f>
        <v>True</v>
      </c>
      <c r="Z56" s="27">
        <f>SUMIF(Dataset_dynamic!$A:$A,scores_results!$R56,Dataset_dynamic!N:N)</f>
        <v>0.2074261</v>
      </c>
      <c r="AA56" s="27">
        <f>SUMIF(Dataset_dynamic!$A:$A,scores_results!$R56,Dataset_dynamic!O:O)</f>
        <v>1.472431</v>
      </c>
    </row>
    <row r="57" spans="2:27" x14ac:dyDescent="0.2">
      <c r="B57" t="s">
        <v>134</v>
      </c>
      <c r="C57" t="str">
        <f>VLOOKUP($B57,experiments_specs!$A:$J,2,FALSE)</f>
        <v>NN</v>
      </c>
      <c r="D57">
        <f>VLOOKUP($B57,experiments_specs!$A:$J,3,FALSE)</f>
        <v>1</v>
      </c>
      <c r="E57">
        <f>VLOOKUP($B57,experiments_specs!$A:$J,4,FALSE)</f>
        <v>2</v>
      </c>
      <c r="F57" t="str">
        <f>VLOOKUP($B57,experiments_specs!$A:$J,5,FALSE)</f>
        <v>False</v>
      </c>
      <c r="G57" t="str">
        <f>VLOOKUP($B57,experiments_specs!$A:$J,6,FALSE)</f>
        <v>False</v>
      </c>
      <c r="H57" t="str">
        <f>VLOOKUP($B57,experiments_specs!$A:$J,7,FALSE)</f>
        <v>True</v>
      </c>
      <c r="I57" t="str">
        <f>VLOOKUP($B57,experiments_specs!$A:$J,8,FALSE)</f>
        <v>False</v>
      </c>
      <c r="J57" t="str">
        <f>VLOOKUP($B57,experiments_specs!$A:$J,10,FALSE)</f>
        <v>False</v>
      </c>
      <c r="K57" s="27">
        <f>SUMIF(Dataset_static!$A:$A,scores_results!$B57,Dataset_static!M:M)</f>
        <v>0.36457899999999999</v>
      </c>
      <c r="L57" s="27">
        <f>SUMIF(Dataset_static!$A:$A,scores_results!$B57,Dataset_static!O:O)</f>
        <v>1.5045900000000001E-2</v>
      </c>
      <c r="M57" s="27">
        <f>SUMIF(Dataset_static!$A:$A,scores_results!$B57,Dataset_static!R:R)</f>
        <v>0.16179300000000002</v>
      </c>
      <c r="N57" s="27">
        <f>SUMIF(Dataset_static!$A:$A,scores_results!$B57,Dataset_static!T:T)</f>
        <v>2.8448099999999997E-2</v>
      </c>
      <c r="O57" s="27">
        <f>SUMIF(Dataset_static!A:A,scores_results!B57,Dataset_static!P:P)</f>
        <v>2.2162698412698409</v>
      </c>
      <c r="P57" s="27">
        <f>SUMIF(Dataset_static!$A:$A,scores_results!$B57,Dataset_static!U:U)</f>
        <v>2.0453102453102452</v>
      </c>
      <c r="R57" t="str">
        <f t="shared" si="1"/>
        <v>test_145</v>
      </c>
      <c r="S57" t="str">
        <f>VLOOKUP($R57,experiments_specs!$A:$J,2,FALSE)</f>
        <v>NN,JJ</v>
      </c>
      <c r="T57">
        <f>VLOOKUP($R57,experiments_specs!$A:$J,4,FALSE)</f>
        <v>2</v>
      </c>
      <c r="U57" t="str">
        <f>VLOOKUP($R57,experiments_specs!$A:$J,5,FALSE)</f>
        <v>False</v>
      </c>
      <c r="V57" t="str">
        <f>VLOOKUP($R57,experiments_specs!$A:$J,6,FALSE)</f>
        <v>False</v>
      </c>
      <c r="W57" t="str">
        <f>VLOOKUP($R57,experiments_specs!$A:$J,7,FALSE)</f>
        <v>True</v>
      </c>
      <c r="X57" t="str">
        <f>VLOOKUP($R57,experiments_specs!$A:$J,8,FALSE)</f>
        <v>False</v>
      </c>
      <c r="Y57" t="str">
        <f>VLOOKUP($R57,experiments_specs!$A:$J,10,FALSE)</f>
        <v>False</v>
      </c>
      <c r="Z57" s="27">
        <f>SUMIF(Dataset_dynamic!$A:$A,scores_results!$R57,Dataset_dynamic!N:N)</f>
        <v>1.1035699999999999E-2</v>
      </c>
      <c r="AA57" s="27">
        <f>SUMIF(Dataset_dynamic!$A:$A,scores_results!$R57,Dataset_dynamic!O:O)</f>
        <v>1.1657008</v>
      </c>
    </row>
    <row r="58" spans="2:27" x14ac:dyDescent="0.2">
      <c r="B58" t="s">
        <v>135</v>
      </c>
      <c r="C58" t="str">
        <f>VLOOKUP($B58,experiments_specs!$A:$J,2,FALSE)</f>
        <v>NN,JJ</v>
      </c>
      <c r="D58">
        <f>VLOOKUP($B58,experiments_specs!$A:$J,3,FALSE)</f>
        <v>1</v>
      </c>
      <c r="E58">
        <f>VLOOKUP($B58,experiments_specs!$A:$J,4,FALSE)</f>
        <v>2</v>
      </c>
      <c r="F58" t="str">
        <f>VLOOKUP($B58,experiments_specs!$A:$J,5,FALSE)</f>
        <v>False</v>
      </c>
      <c r="G58" t="str">
        <f>VLOOKUP($B58,experiments_specs!$A:$J,6,FALSE)</f>
        <v>False</v>
      </c>
      <c r="H58" t="str">
        <f>VLOOKUP($B58,experiments_specs!$A:$J,7,FALSE)</f>
        <v>True</v>
      </c>
      <c r="I58" t="str">
        <f>VLOOKUP($B58,experiments_specs!$A:$J,8,FALSE)</f>
        <v>False</v>
      </c>
      <c r="J58" t="str">
        <f>VLOOKUP($B58,experiments_specs!$A:$J,10,FALSE)</f>
        <v>False</v>
      </c>
      <c r="K58" s="27">
        <f>SUMIF(Dataset_static!$A:$A,scores_results!$B58,Dataset_static!M:M)</f>
        <v>0.36457899999999999</v>
      </c>
      <c r="L58" s="27">
        <f>SUMIF(Dataset_static!$A:$A,scores_results!$B58,Dataset_static!O:O)</f>
        <v>1.04251E-2</v>
      </c>
      <c r="M58" s="27">
        <f>SUMIF(Dataset_static!$A:$A,scores_results!$B58,Dataset_static!R:R)</f>
        <v>0.16179300000000002</v>
      </c>
      <c r="N58" s="27">
        <f>SUMIF(Dataset_static!$A:$A,scores_results!$B58,Dataset_static!T:T)</f>
        <v>2.2396699999999999E-2</v>
      </c>
      <c r="O58" s="27">
        <f>SUMIF(Dataset_static!A:A,scores_results!B58,Dataset_static!P:P)</f>
        <v>2.2162698412698409</v>
      </c>
      <c r="P58" s="27">
        <f>SUMIF(Dataset_static!$A:$A,scores_results!$B58,Dataset_static!U:U)</f>
        <v>1.9546239708004414</v>
      </c>
      <c r="R58" t="str">
        <f t="shared" si="1"/>
        <v>test_146</v>
      </c>
      <c r="S58" t="str">
        <f>VLOOKUP($R58,experiments_specs!$A:$J,2,FALSE)</f>
        <v>NN,JJ</v>
      </c>
      <c r="T58">
        <f>VLOOKUP($R58,experiments_specs!$A:$J,4,FALSE)</f>
        <v>3</v>
      </c>
      <c r="U58" t="str">
        <f>VLOOKUP($R58,experiments_specs!$A:$J,5,FALSE)</f>
        <v>False</v>
      </c>
      <c r="V58" t="str">
        <f>VLOOKUP($R58,experiments_specs!$A:$J,6,FALSE)</f>
        <v>False</v>
      </c>
      <c r="W58" t="str">
        <f>VLOOKUP($R58,experiments_specs!$A:$J,7,FALSE)</f>
        <v>True</v>
      </c>
      <c r="X58" t="str">
        <f>VLOOKUP($R58,experiments_specs!$A:$J,8,FALSE)</f>
        <v>False</v>
      </c>
      <c r="Y58" t="str">
        <f>VLOOKUP($R58,experiments_specs!$A:$J,10,FALSE)</f>
        <v>False</v>
      </c>
      <c r="Z58" s="27">
        <f>SUMIF(Dataset_dynamic!$A:$A,scores_results!$R58,Dataset_dynamic!N:N)</f>
        <v>1.1035699999999999E-2</v>
      </c>
      <c r="AA58" s="27">
        <f>SUMIF(Dataset_dynamic!$A:$A,scores_results!$R58,Dataset_dynamic!O:O)</f>
        <v>1.1657008</v>
      </c>
    </row>
    <row r="59" spans="2:27" x14ac:dyDescent="0.2">
      <c r="B59" t="s">
        <v>136</v>
      </c>
      <c r="C59" t="str">
        <f>VLOOKUP($B59,experiments_specs!$A:$J,2,FALSE)</f>
        <v>NN,VB</v>
      </c>
      <c r="D59">
        <f>VLOOKUP($B59,experiments_specs!$A:$J,3,FALSE)</f>
        <v>1</v>
      </c>
      <c r="E59">
        <f>VLOOKUP($B59,experiments_specs!$A:$J,4,FALSE)</f>
        <v>2</v>
      </c>
      <c r="F59" t="str">
        <f>VLOOKUP($B59,experiments_specs!$A:$J,5,FALSE)</f>
        <v>False</v>
      </c>
      <c r="G59" t="str">
        <f>VLOOKUP($B59,experiments_specs!$A:$J,6,FALSE)</f>
        <v>False</v>
      </c>
      <c r="H59" t="str">
        <f>VLOOKUP($B59,experiments_specs!$A:$J,7,FALSE)</f>
        <v>True</v>
      </c>
      <c r="I59" t="str">
        <f>VLOOKUP($B59,experiments_specs!$A:$J,8,FALSE)</f>
        <v>False</v>
      </c>
      <c r="J59" t="str">
        <f>VLOOKUP($B59,experiments_specs!$A:$J,10,FALSE)</f>
        <v>False</v>
      </c>
      <c r="K59" s="27">
        <f>SUMIF(Dataset_static!$A:$A,scores_results!$B59,Dataset_static!M:M)</f>
        <v>0.37965660000000001</v>
      </c>
      <c r="L59" s="27">
        <f>SUMIF(Dataset_static!$A:$A,scores_results!$B59,Dataset_static!O:O)</f>
        <v>1.2784200000000001E-2</v>
      </c>
      <c r="M59" s="27">
        <f>SUMIF(Dataset_static!$A:$A,scores_results!$B59,Dataset_static!R:R)</f>
        <v>0.16725280000000001</v>
      </c>
      <c r="N59" s="27">
        <f>SUMIF(Dataset_static!$A:$A,scores_results!$B59,Dataset_static!T:T)</f>
        <v>2.7648499999999996E-2</v>
      </c>
      <c r="O59" s="27">
        <f>SUMIF(Dataset_static!A:A,scores_results!B59,Dataset_static!P:P)</f>
        <v>1.8333333333333333</v>
      </c>
      <c r="P59" s="27">
        <f>SUMIF(Dataset_static!$A:$A,scores_results!$B59,Dataset_static!U:U)</f>
        <v>2.0688034188034186</v>
      </c>
      <c r="R59" t="str">
        <f t="shared" si="1"/>
        <v>test_147</v>
      </c>
      <c r="S59" t="str">
        <f>VLOOKUP($R59,experiments_specs!$A:$J,2,FALSE)</f>
        <v>NN,VB,VBD,VBG,VBN,VBP,VBZ</v>
      </c>
      <c r="T59">
        <f>VLOOKUP($R59,experiments_specs!$A:$J,4,FALSE)</f>
        <v>2</v>
      </c>
      <c r="U59" t="str">
        <f>VLOOKUP($R59,experiments_specs!$A:$J,5,FALSE)</f>
        <v>False</v>
      </c>
      <c r="V59" t="str">
        <f>VLOOKUP($R59,experiments_specs!$A:$J,6,FALSE)</f>
        <v>False</v>
      </c>
      <c r="W59" t="str">
        <f>VLOOKUP($R59,experiments_specs!$A:$J,7,FALSE)</f>
        <v>True</v>
      </c>
      <c r="X59" t="str">
        <f>VLOOKUP($R59,experiments_specs!$A:$J,8,FALSE)</f>
        <v>False</v>
      </c>
      <c r="Y59" t="str">
        <f>VLOOKUP($R59,experiments_specs!$A:$J,10,FALSE)</f>
        <v>False</v>
      </c>
      <c r="Z59" s="27">
        <f>SUMIF(Dataset_dynamic!$A:$A,scores_results!$R59,Dataset_dynamic!N:N)</f>
        <v>1.1166200000000001E-2</v>
      </c>
      <c r="AA59" s="27">
        <f>SUMIF(Dataset_dynamic!$A:$A,scores_results!$R59,Dataset_dynamic!O:O)</f>
        <v>1.4018119</v>
      </c>
    </row>
    <row r="60" spans="2:27" x14ac:dyDescent="0.2">
      <c r="B60" t="s">
        <v>137</v>
      </c>
      <c r="C60" t="str">
        <f>VLOOKUP($B60,experiments_specs!$A:$J,2,FALSE)</f>
        <v>NN,VB,VBD,VBG,VBN,VBP,VBZ</v>
      </c>
      <c r="D60">
        <f>VLOOKUP($B60,experiments_specs!$A:$J,3,FALSE)</f>
        <v>1</v>
      </c>
      <c r="E60">
        <f>VLOOKUP($B60,experiments_specs!$A:$J,4,FALSE)</f>
        <v>2</v>
      </c>
      <c r="F60" t="str">
        <f>VLOOKUP($B60,experiments_specs!$A:$J,5,FALSE)</f>
        <v>False</v>
      </c>
      <c r="G60" t="str">
        <f>VLOOKUP($B60,experiments_specs!$A:$J,6,FALSE)</f>
        <v>False</v>
      </c>
      <c r="H60" t="str">
        <f>VLOOKUP($B60,experiments_specs!$A:$J,7,FALSE)</f>
        <v>True</v>
      </c>
      <c r="I60" t="str">
        <f>VLOOKUP($B60,experiments_specs!$A:$J,8,FALSE)</f>
        <v>False</v>
      </c>
      <c r="J60" t="str">
        <f>VLOOKUP($B60,experiments_specs!$A:$J,10,FALSE)</f>
        <v>False</v>
      </c>
      <c r="K60" s="27">
        <f>SUMIF(Dataset_static!$A:$A,scores_results!$B60,Dataset_static!M:M)</f>
        <v>0.36584839999999996</v>
      </c>
      <c r="L60" s="27">
        <f>SUMIF(Dataset_static!$A:$A,scores_results!$B60,Dataset_static!O:O)</f>
        <v>9.9345000000000024E-3</v>
      </c>
      <c r="M60" s="27">
        <f>SUMIF(Dataset_static!$A:$A,scores_results!$B60,Dataset_static!R:R)</f>
        <v>0</v>
      </c>
      <c r="N60" s="27">
        <f>SUMIF(Dataset_static!$A:$A,scores_results!$B60,Dataset_static!T:T)</f>
        <v>2.6088699999999999E-2</v>
      </c>
      <c r="O60" s="27">
        <f>SUMIF(Dataset_static!A:A,scores_results!B60,Dataset_static!P:P)</f>
        <v>1.5888888888888886</v>
      </c>
      <c r="P60" s="27">
        <f>SUMIF(Dataset_static!$A:$A,scores_results!$B60,Dataset_static!U:U)</f>
        <v>2.1492709904474609</v>
      </c>
      <c r="R60" t="str">
        <f t="shared" si="1"/>
        <v>test_148</v>
      </c>
      <c r="S60" t="str">
        <f>VLOOKUP($R60,experiments_specs!$A:$J,2,FALSE)</f>
        <v>NN,VB,VBD,VBG,VBN,VBP,VBZ</v>
      </c>
      <c r="T60">
        <f>VLOOKUP($R60,experiments_specs!$A:$J,4,FALSE)</f>
        <v>3</v>
      </c>
      <c r="U60" t="str">
        <f>VLOOKUP($R60,experiments_specs!$A:$J,5,FALSE)</f>
        <v>False</v>
      </c>
      <c r="V60" t="str">
        <f>VLOOKUP($R60,experiments_specs!$A:$J,6,FALSE)</f>
        <v>False</v>
      </c>
      <c r="W60" t="str">
        <f>VLOOKUP($R60,experiments_specs!$A:$J,7,FALSE)</f>
        <v>True</v>
      </c>
      <c r="X60" t="str">
        <f>VLOOKUP($R60,experiments_specs!$A:$J,8,FALSE)</f>
        <v>False</v>
      </c>
      <c r="Y60" t="str">
        <f>VLOOKUP($R60,experiments_specs!$A:$J,10,FALSE)</f>
        <v>False</v>
      </c>
      <c r="Z60" s="27">
        <f>SUMIF(Dataset_dynamic!$A:$A,scores_results!$R60,Dataset_dynamic!N:N)</f>
        <v>1.1166200000000001E-2</v>
      </c>
      <c r="AA60" s="27">
        <f>SUMIF(Dataset_dynamic!$A:$A,scores_results!$R60,Dataset_dynamic!O:O)</f>
        <v>1.4018119</v>
      </c>
    </row>
    <row r="61" spans="2:27" x14ac:dyDescent="0.2">
      <c r="B61" t="s">
        <v>138</v>
      </c>
      <c r="C61" t="str">
        <f>VLOOKUP($B61,experiments_specs!$A:$J,2,FALSE)</f>
        <v>NN,RB</v>
      </c>
      <c r="D61">
        <f>VLOOKUP($B61,experiments_specs!$A:$J,3,FALSE)</f>
        <v>1</v>
      </c>
      <c r="E61">
        <f>VLOOKUP($B61,experiments_specs!$A:$J,4,FALSE)</f>
        <v>2</v>
      </c>
      <c r="F61" t="str">
        <f>VLOOKUP($B61,experiments_specs!$A:$J,5,FALSE)</f>
        <v>False</v>
      </c>
      <c r="G61" t="str">
        <f>VLOOKUP($B61,experiments_specs!$A:$J,6,FALSE)</f>
        <v>False</v>
      </c>
      <c r="H61" t="str">
        <f>VLOOKUP($B61,experiments_specs!$A:$J,7,FALSE)</f>
        <v>True</v>
      </c>
      <c r="I61" t="str">
        <f>VLOOKUP($B61,experiments_specs!$A:$J,8,FALSE)</f>
        <v>False</v>
      </c>
      <c r="J61" t="str">
        <f>VLOOKUP($B61,experiments_specs!$A:$J,10,FALSE)</f>
        <v>False</v>
      </c>
      <c r="K61" s="27">
        <f>SUMIF(Dataset_static!$A:$A,scores_results!$B61,Dataset_static!M:M)</f>
        <v>0.36457899999999999</v>
      </c>
      <c r="L61" s="27">
        <f>SUMIF(Dataset_static!$A:$A,scores_results!$B61,Dataset_static!O:O)</f>
        <v>1.4725200000000001E-2</v>
      </c>
      <c r="M61" s="27">
        <f>SUMIF(Dataset_static!$A:$A,scores_results!$B61,Dataset_static!R:R)</f>
        <v>0.16179300000000002</v>
      </c>
      <c r="N61" s="27">
        <f>SUMIF(Dataset_static!$A:$A,scores_results!$B61,Dataset_static!T:T)</f>
        <v>2.8056199999999996E-2</v>
      </c>
      <c r="O61" s="27">
        <f>SUMIF(Dataset_static!A:A,scores_results!B61,Dataset_static!P:P)</f>
        <v>2.2162698412698409</v>
      </c>
      <c r="P61" s="27">
        <f>SUMIF(Dataset_static!$A:$A,scores_results!$B61,Dataset_static!U:U)</f>
        <v>2.0453102453102452</v>
      </c>
      <c r="R61" t="str">
        <f t="shared" si="1"/>
        <v>test_149</v>
      </c>
      <c r="S61" t="str">
        <f>VLOOKUP($R61,experiments_specs!$A:$J,2,FALSE)</f>
        <v>NN,JJ,VB,VBD,VBG,VBN,VBP,VBZ</v>
      </c>
      <c r="T61">
        <f>VLOOKUP($R61,experiments_specs!$A:$J,4,FALSE)</f>
        <v>2</v>
      </c>
      <c r="U61" t="str">
        <f>VLOOKUP($R61,experiments_specs!$A:$J,5,FALSE)</f>
        <v>False</v>
      </c>
      <c r="V61" t="str">
        <f>VLOOKUP($R61,experiments_specs!$A:$J,6,FALSE)</f>
        <v>False</v>
      </c>
      <c r="W61" t="str">
        <f>VLOOKUP($R61,experiments_specs!$A:$J,7,FALSE)</f>
        <v>True</v>
      </c>
      <c r="X61" t="str">
        <f>VLOOKUP($R61,experiments_specs!$A:$J,8,FALSE)</f>
        <v>False</v>
      </c>
      <c r="Y61" t="str">
        <f>VLOOKUP($R61,experiments_specs!$A:$J,10,FALSE)</f>
        <v>False</v>
      </c>
      <c r="Z61" s="27">
        <f>SUMIF(Dataset_dynamic!$A:$A,scores_results!$R61,Dataset_dynamic!N:N)</f>
        <v>9.0425999999999996E-3</v>
      </c>
      <c r="AA61" s="27">
        <f>SUMIF(Dataset_dynamic!$A:$A,scores_results!$R61,Dataset_dynamic!O:O)</f>
        <v>1.4018119</v>
      </c>
    </row>
    <row r="62" spans="2:27" x14ac:dyDescent="0.2">
      <c r="B62" t="s">
        <v>139</v>
      </c>
      <c r="C62" t="str">
        <f>VLOOKUP($B62,experiments_specs!$A:$J,2,FALSE)</f>
        <v>NN,JJ,VB,VBD,VBG,VBN,VBP,VBZ</v>
      </c>
      <c r="D62">
        <f>VLOOKUP($B62,experiments_specs!$A:$J,3,FALSE)</f>
        <v>1</v>
      </c>
      <c r="E62">
        <f>VLOOKUP($B62,experiments_specs!$A:$J,4,FALSE)</f>
        <v>2</v>
      </c>
      <c r="F62" t="str">
        <f>VLOOKUP($B62,experiments_specs!$A:$J,5,FALSE)</f>
        <v>False</v>
      </c>
      <c r="G62" t="str">
        <f>VLOOKUP($B62,experiments_specs!$A:$J,6,FALSE)</f>
        <v>False</v>
      </c>
      <c r="H62" t="str">
        <f>VLOOKUP($B62,experiments_specs!$A:$J,7,FALSE)</f>
        <v>True</v>
      </c>
      <c r="I62" t="str">
        <f>VLOOKUP($B62,experiments_specs!$A:$J,8,FALSE)</f>
        <v>False</v>
      </c>
      <c r="J62" t="str">
        <f>VLOOKUP($B62,experiments_specs!$A:$J,10,FALSE)</f>
        <v>False</v>
      </c>
      <c r="K62" s="27">
        <f>SUMIF(Dataset_static!$A:$A,scores_results!$B62,Dataset_static!M:M)</f>
        <v>0.36584839999999996</v>
      </c>
      <c r="L62" s="27">
        <f>SUMIF(Dataset_static!$A:$A,scores_results!$B62,Dataset_static!O:O)</f>
        <v>7.8843999999999997E-3</v>
      </c>
      <c r="M62" s="27">
        <f>SUMIF(Dataset_static!$A:$A,scores_results!$B62,Dataset_static!R:R)</f>
        <v>0</v>
      </c>
      <c r="N62" s="27">
        <f>SUMIF(Dataset_static!$A:$A,scores_results!$B62,Dataset_static!T:T)</f>
        <v>2.2891399999999999E-2</v>
      </c>
      <c r="O62" s="27">
        <f>SUMIF(Dataset_static!A:A,scores_results!B62,Dataset_static!P:P)</f>
        <v>1.5888888888888886</v>
      </c>
      <c r="P62" s="27">
        <f>SUMIF(Dataset_static!$A:$A,scores_results!$B62,Dataset_static!U:U)</f>
        <v>2.0446958270487685</v>
      </c>
      <c r="R62" t="str">
        <f t="shared" si="1"/>
        <v>test_150</v>
      </c>
      <c r="S62" t="str">
        <f>VLOOKUP($R62,experiments_specs!$A:$J,2,FALSE)</f>
        <v>NN,JJ,VB,VBD,VBG,VBN,VBP,VBZ</v>
      </c>
      <c r="T62">
        <f>VLOOKUP($R62,experiments_specs!$A:$J,4,FALSE)</f>
        <v>3</v>
      </c>
      <c r="U62" t="str">
        <f>VLOOKUP($R62,experiments_specs!$A:$J,5,FALSE)</f>
        <v>False</v>
      </c>
      <c r="V62" t="str">
        <f>VLOOKUP($R62,experiments_specs!$A:$J,6,FALSE)</f>
        <v>False</v>
      </c>
      <c r="W62" t="str">
        <f>VLOOKUP($R62,experiments_specs!$A:$J,7,FALSE)</f>
        <v>True</v>
      </c>
      <c r="X62" t="str">
        <f>VLOOKUP($R62,experiments_specs!$A:$J,8,FALSE)</f>
        <v>False</v>
      </c>
      <c r="Y62" t="str">
        <f>VLOOKUP($R62,experiments_specs!$A:$J,10,FALSE)</f>
        <v>False</v>
      </c>
      <c r="Z62" s="27">
        <f>SUMIF(Dataset_dynamic!$A:$A,scores_results!$R62,Dataset_dynamic!N:N)</f>
        <v>9.0425999999999996E-3</v>
      </c>
      <c r="AA62" s="27">
        <f>SUMIF(Dataset_dynamic!$A:$A,scores_results!$R62,Dataset_dynamic!O:O)</f>
        <v>1.4018119</v>
      </c>
    </row>
    <row r="63" spans="2:27" x14ac:dyDescent="0.2">
      <c r="B63" t="s">
        <v>140</v>
      </c>
      <c r="C63" t="str">
        <f>VLOOKUP($B63,experiments_specs!$A:$J,2,FALSE)</f>
        <v>NN</v>
      </c>
      <c r="D63">
        <f>VLOOKUP($B63,experiments_specs!$A:$J,3,FALSE)</f>
        <v>1</v>
      </c>
      <c r="E63">
        <f>VLOOKUP($B63,experiments_specs!$A:$J,4,FALSE)</f>
        <v>2</v>
      </c>
      <c r="F63" t="str">
        <f>VLOOKUP($B63,experiments_specs!$A:$J,5,FALSE)</f>
        <v>True</v>
      </c>
      <c r="G63" t="str">
        <f>VLOOKUP($B63,experiments_specs!$A:$J,6,FALSE)</f>
        <v>False</v>
      </c>
      <c r="H63" t="str">
        <f>VLOOKUP($B63,experiments_specs!$A:$J,7,FALSE)</f>
        <v>True</v>
      </c>
      <c r="I63" t="str">
        <f>VLOOKUP($B63,experiments_specs!$A:$J,8,FALSE)</f>
        <v>False</v>
      </c>
      <c r="J63" t="str">
        <f>VLOOKUP($B63,experiments_specs!$A:$J,10,FALSE)</f>
        <v>False</v>
      </c>
      <c r="K63" s="27">
        <f>SUMIF(Dataset_static!$A:$A,scores_results!$B63,Dataset_static!M:M)</f>
        <v>0.17028850000000001</v>
      </c>
      <c r="L63" s="27">
        <f>SUMIF(Dataset_static!$A:$A,scores_results!$B63,Dataset_static!O:O)</f>
        <v>6.3276299999999994E-2</v>
      </c>
      <c r="M63" s="27">
        <f>SUMIF(Dataset_static!$A:$A,scores_results!$B63,Dataset_static!R:R)</f>
        <v>6.3757599999999998E-2</v>
      </c>
      <c r="N63" s="27">
        <f>SUMIF(Dataset_static!$A:$A,scores_results!$B63,Dataset_static!T:T)</f>
        <v>8.602739999999999E-2</v>
      </c>
      <c r="O63" s="27">
        <f>SUMIF(Dataset_static!A:A,scores_results!B63,Dataset_static!P:P)</f>
        <v>2.1843358395989974</v>
      </c>
      <c r="P63" s="27">
        <f>SUMIF(Dataset_static!$A:$A,scores_results!$B63,Dataset_static!U:U)</f>
        <v>2.2653930177149988</v>
      </c>
      <c r="R63" t="str">
        <f t="shared" si="1"/>
        <v>test_151</v>
      </c>
      <c r="S63" t="str">
        <f>VLOOKUP($R63,experiments_specs!$A:$J,2,FALSE)</f>
        <v>NN,JJ</v>
      </c>
      <c r="T63">
        <f>VLOOKUP($R63,experiments_specs!$A:$J,4,FALSE)</f>
        <v>2</v>
      </c>
      <c r="U63" t="str">
        <f>VLOOKUP($R63,experiments_specs!$A:$J,5,FALSE)</f>
        <v>True</v>
      </c>
      <c r="V63" t="str">
        <f>VLOOKUP($R63,experiments_specs!$A:$J,6,FALSE)</f>
        <v>False</v>
      </c>
      <c r="W63" t="str">
        <f>VLOOKUP($R63,experiments_specs!$A:$J,7,FALSE)</f>
        <v>True</v>
      </c>
      <c r="X63" t="str">
        <f>VLOOKUP($R63,experiments_specs!$A:$J,8,FALSE)</f>
        <v>False</v>
      </c>
      <c r="Y63" t="str">
        <f>VLOOKUP($R63,experiments_specs!$A:$J,10,FALSE)</f>
        <v>False</v>
      </c>
      <c r="Z63" s="27">
        <f>SUMIF(Dataset_dynamic!$A:$A,scores_results!$R63,Dataset_dynamic!N:N)</f>
        <v>6.9611900000000004E-2</v>
      </c>
      <c r="AA63" s="27">
        <f>SUMIF(Dataset_dynamic!$A:$A,scores_results!$R63,Dataset_dynamic!O:O)</f>
        <v>1.0151881</v>
      </c>
    </row>
    <row r="64" spans="2:27" x14ac:dyDescent="0.2">
      <c r="B64" t="s">
        <v>141</v>
      </c>
      <c r="C64" t="str">
        <f>VLOOKUP($B64,experiments_specs!$A:$J,2,FALSE)</f>
        <v>NN,JJ</v>
      </c>
      <c r="D64">
        <f>VLOOKUP($B64,experiments_specs!$A:$J,3,FALSE)</f>
        <v>1</v>
      </c>
      <c r="E64">
        <f>VLOOKUP($B64,experiments_specs!$A:$J,4,FALSE)</f>
        <v>2</v>
      </c>
      <c r="F64" t="str">
        <f>VLOOKUP($B64,experiments_specs!$A:$J,5,FALSE)</f>
        <v>True</v>
      </c>
      <c r="G64" t="str">
        <f>VLOOKUP($B64,experiments_specs!$A:$J,6,FALSE)</f>
        <v>False</v>
      </c>
      <c r="H64" t="str">
        <f>VLOOKUP($B64,experiments_specs!$A:$J,7,FALSE)</f>
        <v>True</v>
      </c>
      <c r="I64" t="str">
        <f>VLOOKUP($B64,experiments_specs!$A:$J,8,FALSE)</f>
        <v>False</v>
      </c>
      <c r="J64" t="str">
        <f>VLOOKUP($B64,experiments_specs!$A:$J,10,FALSE)</f>
        <v>False</v>
      </c>
      <c r="K64" s="27">
        <f>SUMIF(Dataset_static!$A:$A,scores_results!$B64,Dataset_static!M:M)</f>
        <v>0.1214935</v>
      </c>
      <c r="L64" s="27">
        <f>SUMIF(Dataset_static!$A:$A,scores_results!$B64,Dataset_static!O:O)</f>
        <v>4.63393E-2</v>
      </c>
      <c r="M64" s="27">
        <f>SUMIF(Dataset_static!$A:$A,scores_results!$B64,Dataset_static!R:R)</f>
        <v>6.3757599999999998E-2</v>
      </c>
      <c r="N64" s="27">
        <f>SUMIF(Dataset_static!$A:$A,scores_results!$B64,Dataset_static!T:T)</f>
        <v>7.9115900000000003E-2</v>
      </c>
      <c r="O64" s="27">
        <f>SUMIF(Dataset_static!A:A,scores_results!B64,Dataset_static!P:P)</f>
        <v>2.3257499810131392</v>
      </c>
      <c r="P64" s="27">
        <f>SUMIF(Dataset_static!$A:$A,scores_results!$B64,Dataset_static!U:U)</f>
        <v>2.2653930177149988</v>
      </c>
      <c r="R64" t="str">
        <f t="shared" si="1"/>
        <v>test_152</v>
      </c>
      <c r="S64" t="str">
        <f>VLOOKUP($R64,experiments_specs!$A:$J,2,FALSE)</f>
        <v>NN,JJ</v>
      </c>
      <c r="T64">
        <f>VLOOKUP($R64,experiments_specs!$A:$J,4,FALSE)</f>
        <v>3</v>
      </c>
      <c r="U64" t="str">
        <f>VLOOKUP($R64,experiments_specs!$A:$J,5,FALSE)</f>
        <v>True</v>
      </c>
      <c r="V64" t="str">
        <f>VLOOKUP($R64,experiments_specs!$A:$J,6,FALSE)</f>
        <v>False</v>
      </c>
      <c r="W64" t="str">
        <f>VLOOKUP($R64,experiments_specs!$A:$J,7,FALSE)</f>
        <v>True</v>
      </c>
      <c r="X64" t="str">
        <f>VLOOKUP($R64,experiments_specs!$A:$J,8,FALSE)</f>
        <v>False</v>
      </c>
      <c r="Y64" t="str">
        <f>VLOOKUP($R64,experiments_specs!$A:$J,10,FALSE)</f>
        <v>False</v>
      </c>
      <c r="Z64" s="27">
        <f>SUMIF(Dataset_dynamic!$A:$A,scores_results!$R64,Dataset_dynamic!N:N)</f>
        <v>6.9611900000000004E-2</v>
      </c>
      <c r="AA64" s="27">
        <f>SUMIF(Dataset_dynamic!$A:$A,scores_results!$R64,Dataset_dynamic!O:O)</f>
        <v>1.0151881</v>
      </c>
    </row>
    <row r="65" spans="2:27" x14ac:dyDescent="0.2">
      <c r="B65" t="s">
        <v>142</v>
      </c>
      <c r="C65" t="str">
        <f>VLOOKUP($B65,experiments_specs!$A:$J,2,FALSE)</f>
        <v>NN,VB</v>
      </c>
      <c r="D65">
        <f>VLOOKUP($B65,experiments_specs!$A:$J,3,FALSE)</f>
        <v>1</v>
      </c>
      <c r="E65">
        <f>VLOOKUP($B65,experiments_specs!$A:$J,4,FALSE)</f>
        <v>2</v>
      </c>
      <c r="F65" t="str">
        <f>VLOOKUP($B65,experiments_specs!$A:$J,5,FALSE)</f>
        <v>True</v>
      </c>
      <c r="G65" t="str">
        <f>VLOOKUP($B65,experiments_specs!$A:$J,6,FALSE)</f>
        <v>False</v>
      </c>
      <c r="H65" t="str">
        <f>VLOOKUP($B65,experiments_specs!$A:$J,7,FALSE)</f>
        <v>True</v>
      </c>
      <c r="I65" t="str">
        <f>VLOOKUP($B65,experiments_specs!$A:$J,8,FALSE)</f>
        <v>False</v>
      </c>
      <c r="J65" t="str">
        <f>VLOOKUP($B65,experiments_specs!$A:$J,10,FALSE)</f>
        <v>False</v>
      </c>
      <c r="K65" s="27">
        <f>SUMIF(Dataset_static!$A:$A,scores_results!$B65,Dataset_static!M:M)</f>
        <v>0.1685816</v>
      </c>
      <c r="L65" s="27">
        <f>SUMIF(Dataset_static!$A:$A,scores_results!$B65,Dataset_static!O:O)</f>
        <v>5.4478299999999993E-2</v>
      </c>
      <c r="M65" s="27">
        <f>SUMIF(Dataset_static!$A:$A,scores_results!$B65,Dataset_static!R:R)</f>
        <v>6.3757599999999998E-2</v>
      </c>
      <c r="N65" s="27">
        <f>SUMIF(Dataset_static!$A:$A,scores_results!$B65,Dataset_static!T:T)</f>
        <v>7.0425100000000004E-2</v>
      </c>
      <c r="O65" s="27">
        <f>SUMIF(Dataset_static!A:A,scores_results!B65,Dataset_static!P:P)</f>
        <v>1.854970760233918</v>
      </c>
      <c r="P65" s="27">
        <f>SUMIF(Dataset_static!$A:$A,scores_results!$B65,Dataset_static!U:U)</f>
        <v>2.2653930177149988</v>
      </c>
      <c r="R65" t="str">
        <f t="shared" si="1"/>
        <v>test_153</v>
      </c>
      <c r="S65" t="str">
        <f>VLOOKUP($R65,experiments_specs!$A:$J,2,FALSE)</f>
        <v>NN,VB,VBD,VBG,VBN,VBP,VBZ</v>
      </c>
      <c r="T65">
        <f>VLOOKUP($R65,experiments_specs!$A:$J,4,FALSE)</f>
        <v>2</v>
      </c>
      <c r="U65" t="str">
        <f>VLOOKUP($R65,experiments_specs!$A:$J,5,FALSE)</f>
        <v>True</v>
      </c>
      <c r="V65" t="str">
        <f>VLOOKUP($R65,experiments_specs!$A:$J,6,FALSE)</f>
        <v>False</v>
      </c>
      <c r="W65" t="str">
        <f>VLOOKUP($R65,experiments_specs!$A:$J,7,FALSE)</f>
        <v>True</v>
      </c>
      <c r="X65" t="str">
        <f>VLOOKUP($R65,experiments_specs!$A:$J,8,FALSE)</f>
        <v>False</v>
      </c>
      <c r="Y65" t="str">
        <f>VLOOKUP($R65,experiments_specs!$A:$J,10,FALSE)</f>
        <v>False</v>
      </c>
      <c r="Z65" s="27">
        <f>SUMIF(Dataset_dynamic!$A:$A,scores_results!$R65,Dataset_dynamic!N:N)</f>
        <v>7.3108300000000001E-2</v>
      </c>
      <c r="AA65" s="27">
        <f>SUMIF(Dataset_dynamic!$A:$A,scores_results!$R65,Dataset_dynamic!O:O)</f>
        <v>1.0555922</v>
      </c>
    </row>
    <row r="66" spans="2:27" x14ac:dyDescent="0.2">
      <c r="B66" t="s">
        <v>143</v>
      </c>
      <c r="C66" t="str">
        <f>VLOOKUP($B66,experiments_specs!$A:$J,2,FALSE)</f>
        <v>NN,VB,VBD,VBG,VBN,VBP,VBZ</v>
      </c>
      <c r="D66">
        <f>VLOOKUP($B66,experiments_specs!$A:$J,3,FALSE)</f>
        <v>1</v>
      </c>
      <c r="E66">
        <f>VLOOKUP($B66,experiments_specs!$A:$J,4,FALSE)</f>
        <v>2</v>
      </c>
      <c r="F66" t="str">
        <f>VLOOKUP($B66,experiments_specs!$A:$J,5,FALSE)</f>
        <v>True</v>
      </c>
      <c r="G66" t="str">
        <f>VLOOKUP($B66,experiments_specs!$A:$J,6,FALSE)</f>
        <v>False</v>
      </c>
      <c r="H66" t="str">
        <f>VLOOKUP($B66,experiments_specs!$A:$J,7,FALSE)</f>
        <v>True</v>
      </c>
      <c r="I66" t="str">
        <f>VLOOKUP($B66,experiments_specs!$A:$J,8,FALSE)</f>
        <v>False</v>
      </c>
      <c r="J66" t="str">
        <f>VLOOKUP($B66,experiments_specs!$A:$J,10,FALSE)</f>
        <v>False</v>
      </c>
      <c r="K66" s="27">
        <f>SUMIF(Dataset_static!$A:$A,scores_results!$B66,Dataset_static!M:M)</f>
        <v>0.1685816</v>
      </c>
      <c r="L66" s="27">
        <f>SUMIF(Dataset_static!$A:$A,scores_results!$B66,Dataset_static!O:O)</f>
        <v>4.5248100000000006E-2</v>
      </c>
      <c r="M66" s="27">
        <f>SUMIF(Dataset_static!$A:$A,scores_results!$B66,Dataset_static!R:R)</f>
        <v>6.3757599999999998E-2</v>
      </c>
      <c r="N66" s="27">
        <f>SUMIF(Dataset_static!$A:$A,scores_results!$B66,Dataset_static!T:T)</f>
        <v>5.7819099999999998E-2</v>
      </c>
      <c r="O66" s="27">
        <f>SUMIF(Dataset_static!A:A,scores_results!B66,Dataset_static!P:P)</f>
        <v>1.854970760233918</v>
      </c>
      <c r="P66" s="27">
        <f>SUMIF(Dataset_static!$A:$A,scores_results!$B66,Dataset_static!U:U)</f>
        <v>2.3057970581190395</v>
      </c>
      <c r="R66" t="str">
        <f t="shared" si="1"/>
        <v>test_154</v>
      </c>
      <c r="S66" t="str">
        <f>VLOOKUP($R66,experiments_specs!$A:$J,2,FALSE)</f>
        <v>NN,VB,VBD,VBG,VBN,VBP,VBZ</v>
      </c>
      <c r="T66">
        <f>VLOOKUP($R66,experiments_specs!$A:$J,4,FALSE)</f>
        <v>3</v>
      </c>
      <c r="U66" t="str">
        <f>VLOOKUP($R66,experiments_specs!$A:$J,5,FALSE)</f>
        <v>True</v>
      </c>
      <c r="V66" t="str">
        <f>VLOOKUP($R66,experiments_specs!$A:$J,6,FALSE)</f>
        <v>False</v>
      </c>
      <c r="W66" t="str">
        <f>VLOOKUP($R66,experiments_specs!$A:$J,7,FALSE)</f>
        <v>True</v>
      </c>
      <c r="X66" t="str">
        <f>VLOOKUP($R66,experiments_specs!$A:$J,8,FALSE)</f>
        <v>False</v>
      </c>
      <c r="Y66" t="str">
        <f>VLOOKUP($R66,experiments_specs!$A:$J,10,FALSE)</f>
        <v>False</v>
      </c>
      <c r="Z66" s="27">
        <f>SUMIF(Dataset_dynamic!$A:$A,scores_results!$R66,Dataset_dynamic!N:N)</f>
        <v>7.3108300000000001E-2</v>
      </c>
      <c r="AA66" s="27">
        <f>SUMIF(Dataset_dynamic!$A:$A,scores_results!$R66,Dataset_dynamic!O:O)</f>
        <v>1.0555922</v>
      </c>
    </row>
    <row r="67" spans="2:27" x14ac:dyDescent="0.2">
      <c r="B67" t="s">
        <v>144</v>
      </c>
      <c r="C67" t="str">
        <f>VLOOKUP($B67,experiments_specs!$A:$J,2,FALSE)</f>
        <v>NN,RB</v>
      </c>
      <c r="D67">
        <f>VLOOKUP($B67,experiments_specs!$A:$J,3,FALSE)</f>
        <v>1</v>
      </c>
      <c r="E67">
        <f>VLOOKUP($B67,experiments_specs!$A:$J,4,FALSE)</f>
        <v>2</v>
      </c>
      <c r="F67" t="str">
        <f>VLOOKUP($B67,experiments_specs!$A:$J,5,FALSE)</f>
        <v>True</v>
      </c>
      <c r="G67" t="str">
        <f>VLOOKUP($B67,experiments_specs!$A:$J,6,FALSE)</f>
        <v>False</v>
      </c>
      <c r="H67" t="str">
        <f>VLOOKUP($B67,experiments_specs!$A:$J,7,FALSE)</f>
        <v>True</v>
      </c>
      <c r="I67" t="str">
        <f>VLOOKUP($B67,experiments_specs!$A:$J,8,FALSE)</f>
        <v>False</v>
      </c>
      <c r="J67" t="str">
        <f>VLOOKUP($B67,experiments_specs!$A:$J,10,FALSE)</f>
        <v>False</v>
      </c>
      <c r="K67" s="27">
        <f>SUMIF(Dataset_static!$A:$A,scores_results!$B67,Dataset_static!M:M)</f>
        <v>0.17028850000000001</v>
      </c>
      <c r="L67" s="27">
        <f>SUMIF(Dataset_static!$A:$A,scores_results!$B67,Dataset_static!O:O)</f>
        <v>5.862089999999999E-2</v>
      </c>
      <c r="M67" s="27">
        <f>SUMIF(Dataset_static!$A:$A,scores_results!$B67,Dataset_static!R:R)</f>
        <v>6.3757599999999998E-2</v>
      </c>
      <c r="N67" s="27">
        <f>SUMIF(Dataset_static!$A:$A,scores_results!$B67,Dataset_static!T:T)</f>
        <v>8.4186799999999992E-2</v>
      </c>
      <c r="O67" s="27">
        <f>SUMIF(Dataset_static!A:A,scores_results!B67,Dataset_static!P:P)</f>
        <v>2.1843358395989974</v>
      </c>
      <c r="P67" s="27">
        <f>SUMIF(Dataset_static!$A:$A,scores_results!$B67,Dataset_static!U:U)</f>
        <v>2.2653930177149988</v>
      </c>
      <c r="R67" t="str">
        <f t="shared" si="1"/>
        <v>test_155</v>
      </c>
      <c r="S67" t="str">
        <f>VLOOKUP($R67,experiments_specs!$A:$J,2,FALSE)</f>
        <v>NN,JJ,VB,VBD,VBG,VBN,VBP,VBZ</v>
      </c>
      <c r="T67">
        <f>VLOOKUP($R67,experiments_specs!$A:$J,4,FALSE)</f>
        <v>2</v>
      </c>
      <c r="U67" t="str">
        <f>VLOOKUP($R67,experiments_specs!$A:$J,5,FALSE)</f>
        <v>True</v>
      </c>
      <c r="V67" t="str">
        <f>VLOOKUP($R67,experiments_specs!$A:$J,6,FALSE)</f>
        <v>False</v>
      </c>
      <c r="W67" t="str">
        <f>VLOOKUP($R67,experiments_specs!$A:$J,7,FALSE)</f>
        <v>True</v>
      </c>
      <c r="X67" t="str">
        <f>VLOOKUP($R67,experiments_specs!$A:$J,8,FALSE)</f>
        <v>False</v>
      </c>
      <c r="Y67" t="str">
        <f>VLOOKUP($R67,experiments_specs!$A:$J,10,FALSE)</f>
        <v>False</v>
      </c>
      <c r="Z67" s="27">
        <f>SUMIF(Dataset_dynamic!$A:$A,scores_results!$R67,Dataset_dynamic!N:N)</f>
        <v>5.9480000000000005E-2</v>
      </c>
      <c r="AA67" s="27">
        <f>SUMIF(Dataset_dynamic!$A:$A,scores_results!$R67,Dataset_dynamic!O:O)</f>
        <v>1.0555922</v>
      </c>
    </row>
    <row r="68" spans="2:27" x14ac:dyDescent="0.2">
      <c r="B68" t="s">
        <v>145</v>
      </c>
      <c r="C68" t="str">
        <f>VLOOKUP($B68,experiments_specs!$A:$J,2,FALSE)</f>
        <v>NN,JJ,VB,VBD,VBG,VBN,VBP,VBZ</v>
      </c>
      <c r="D68">
        <f>VLOOKUP($B68,experiments_specs!$A:$J,3,FALSE)</f>
        <v>1</v>
      </c>
      <c r="E68">
        <f>VLOOKUP($B68,experiments_specs!$A:$J,4,FALSE)</f>
        <v>2</v>
      </c>
      <c r="F68" t="str">
        <f>VLOOKUP($B68,experiments_specs!$A:$J,5,FALSE)</f>
        <v>True</v>
      </c>
      <c r="G68" t="str">
        <f>VLOOKUP($B68,experiments_specs!$A:$J,6,FALSE)</f>
        <v>False</v>
      </c>
      <c r="H68" t="str">
        <f>VLOOKUP($B68,experiments_specs!$A:$J,7,FALSE)</f>
        <v>True</v>
      </c>
      <c r="I68" t="str">
        <f>VLOOKUP($B68,experiments_specs!$A:$J,8,FALSE)</f>
        <v>False</v>
      </c>
      <c r="J68" t="str">
        <f>VLOOKUP($B68,experiments_specs!$A:$J,10,FALSE)</f>
        <v>False</v>
      </c>
      <c r="K68" s="27">
        <f>SUMIF(Dataset_static!$A:$A,scores_results!$B68,Dataset_static!M:M)</f>
        <v>0.1685816</v>
      </c>
      <c r="L68" s="27">
        <f>SUMIF(Dataset_static!$A:$A,scores_results!$B68,Dataset_static!O:O)</f>
        <v>3.6088599999999998E-2</v>
      </c>
      <c r="M68" s="27">
        <f>SUMIF(Dataset_static!$A:$A,scores_results!$B68,Dataset_static!R:R)</f>
        <v>6.3757599999999998E-2</v>
      </c>
      <c r="N68" s="27">
        <f>SUMIF(Dataset_static!$A:$A,scores_results!$B68,Dataset_static!T:T)</f>
        <v>5.5969499999999998E-2</v>
      </c>
      <c r="O68" s="27">
        <f>SUMIF(Dataset_static!A:A,scores_results!B68,Dataset_static!P:P)</f>
        <v>1.854970760233918</v>
      </c>
      <c r="P68" s="27">
        <f>SUMIF(Dataset_static!$A:$A,scores_results!$B68,Dataset_static!U:U)</f>
        <v>2.3057970581190395</v>
      </c>
      <c r="R68" t="str">
        <f t="shared" si="1"/>
        <v>test_156</v>
      </c>
      <c r="S68" t="str">
        <f>VLOOKUP($R68,experiments_specs!$A:$J,2,FALSE)</f>
        <v>NN,JJ,VB,VBD,VBG,VBN,VBP,VBZ</v>
      </c>
      <c r="T68">
        <f>VLOOKUP($R68,experiments_specs!$A:$J,4,FALSE)</f>
        <v>3</v>
      </c>
      <c r="U68" t="str">
        <f>VLOOKUP($R68,experiments_specs!$A:$J,5,FALSE)</f>
        <v>True</v>
      </c>
      <c r="V68" t="str">
        <f>VLOOKUP($R68,experiments_specs!$A:$J,6,FALSE)</f>
        <v>False</v>
      </c>
      <c r="W68" t="str">
        <f>VLOOKUP($R68,experiments_specs!$A:$J,7,FALSE)</f>
        <v>True</v>
      </c>
      <c r="X68" t="str">
        <f>VLOOKUP($R68,experiments_specs!$A:$J,8,FALSE)</f>
        <v>False</v>
      </c>
      <c r="Y68" t="str">
        <f>VLOOKUP($R68,experiments_specs!$A:$J,10,FALSE)</f>
        <v>False</v>
      </c>
      <c r="Z68" s="27">
        <f>SUMIF(Dataset_dynamic!$A:$A,scores_results!$R68,Dataset_dynamic!N:N)</f>
        <v>5.9480000000000005E-2</v>
      </c>
      <c r="AA68" s="27">
        <f>SUMIF(Dataset_dynamic!$A:$A,scores_results!$R68,Dataset_dynamic!O:O)</f>
        <v>1.0555922</v>
      </c>
    </row>
    <row r="69" spans="2:27" x14ac:dyDescent="0.2">
      <c r="B69" t="s">
        <v>146</v>
      </c>
      <c r="C69" t="str">
        <f>VLOOKUP($B69,experiments_specs!$A:$J,2,FALSE)</f>
        <v>NN</v>
      </c>
      <c r="D69">
        <f>VLOOKUP($B69,experiments_specs!$A:$J,3,FALSE)</f>
        <v>1</v>
      </c>
      <c r="E69">
        <f>VLOOKUP($B69,experiments_specs!$A:$J,4,FALSE)</f>
        <v>2</v>
      </c>
      <c r="F69" t="str">
        <f>VLOOKUP($B69,experiments_specs!$A:$J,5,FALSE)</f>
        <v>True</v>
      </c>
      <c r="G69" t="str">
        <f>VLOOKUP($B69,experiments_specs!$A:$J,6,FALSE)</f>
        <v>False</v>
      </c>
      <c r="H69" t="str">
        <f>VLOOKUP($B69,experiments_specs!$A:$J,7,FALSE)</f>
        <v>True</v>
      </c>
      <c r="I69" t="str">
        <f>VLOOKUP($B69,experiments_specs!$A:$J,8,FALSE)</f>
        <v>False</v>
      </c>
      <c r="J69" t="str">
        <f>VLOOKUP($B69,experiments_specs!$A:$J,10,FALSE)</f>
        <v>True</v>
      </c>
      <c r="K69" s="27">
        <f>SUMIF(Dataset_static!$A:$A,scores_results!$B69,Dataset_static!M:M)</f>
        <v>0.12927640000000001</v>
      </c>
      <c r="L69" s="27">
        <f>SUMIF(Dataset_static!$A:$A,scores_results!$B69,Dataset_static!O:O)</f>
        <v>5.1876700000000005E-2</v>
      </c>
      <c r="M69" s="27">
        <f>SUMIF(Dataset_static!$A:$A,scores_results!$B69,Dataset_static!R:R)</f>
        <v>6.3757599999999998E-2</v>
      </c>
      <c r="N69" s="27">
        <f>SUMIF(Dataset_static!$A:$A,scores_results!$B69,Dataset_static!T:T)</f>
        <v>8.0819899999999986E-2</v>
      </c>
      <c r="O69" s="27">
        <f>SUMIF(Dataset_static!A:A,scores_results!B69,Dataset_static!P:P)</f>
        <v>1.6954469507101084</v>
      </c>
      <c r="P69" s="27">
        <f>SUMIF(Dataset_static!$A:$A,scores_results!$B69,Dataset_static!U:U)</f>
        <v>2.2653930177149988</v>
      </c>
      <c r="R69" t="str">
        <f t="shared" si="1"/>
        <v>test_157</v>
      </c>
      <c r="S69" t="str">
        <f>VLOOKUP($R69,experiments_specs!$A:$J,2,FALSE)</f>
        <v>NN,JJ</v>
      </c>
      <c r="T69">
        <f>VLOOKUP($R69,experiments_specs!$A:$J,4,FALSE)</f>
        <v>2</v>
      </c>
      <c r="U69" t="str">
        <f>VLOOKUP($R69,experiments_specs!$A:$J,5,FALSE)</f>
        <v>False</v>
      </c>
      <c r="V69" t="str">
        <f>VLOOKUP($R69,experiments_specs!$A:$J,6,FALSE)</f>
        <v>False</v>
      </c>
      <c r="W69" t="str">
        <f>VLOOKUP($R69,experiments_specs!$A:$J,7,FALSE)</f>
        <v>True</v>
      </c>
      <c r="X69" t="str">
        <f>VLOOKUP($R69,experiments_specs!$A:$J,8,FALSE)</f>
        <v>False</v>
      </c>
      <c r="Y69" t="str">
        <f>VLOOKUP($R69,experiments_specs!$A:$J,10,FALSE)</f>
        <v>True</v>
      </c>
      <c r="Z69" s="27">
        <f>SUMIF(Dataset_dynamic!$A:$A,scores_results!$R69,Dataset_dynamic!N:N)</f>
        <v>1.1035699999999999E-2</v>
      </c>
      <c r="AA69" s="27">
        <f>SUMIF(Dataset_dynamic!$A:$A,scores_results!$R69,Dataset_dynamic!O:O)</f>
        <v>1.1657008</v>
      </c>
    </row>
    <row r="70" spans="2:27" x14ac:dyDescent="0.2">
      <c r="B70" t="s">
        <v>147</v>
      </c>
      <c r="C70" t="str">
        <f>VLOOKUP($B70,experiments_specs!$A:$J,2,FALSE)</f>
        <v>NN,JJ</v>
      </c>
      <c r="D70">
        <f>VLOOKUP($B70,experiments_specs!$A:$J,3,FALSE)</f>
        <v>1</v>
      </c>
      <c r="E70">
        <f>VLOOKUP($B70,experiments_specs!$A:$J,4,FALSE)</f>
        <v>2</v>
      </c>
      <c r="F70" t="str">
        <f>VLOOKUP($B70,experiments_specs!$A:$J,5,FALSE)</f>
        <v>True</v>
      </c>
      <c r="G70" t="str">
        <f>VLOOKUP($B70,experiments_specs!$A:$J,6,FALSE)</f>
        <v>False</v>
      </c>
      <c r="H70" t="str">
        <f>VLOOKUP($B70,experiments_specs!$A:$J,7,FALSE)</f>
        <v>True</v>
      </c>
      <c r="I70" t="str">
        <f>VLOOKUP($B70,experiments_specs!$A:$J,8,FALSE)</f>
        <v>False</v>
      </c>
      <c r="J70" t="str">
        <f>VLOOKUP($B70,experiments_specs!$A:$J,10,FALSE)</f>
        <v>True</v>
      </c>
      <c r="K70" s="27">
        <f>SUMIF(Dataset_static!$A:$A,scores_results!$B70,Dataset_static!M:M)</f>
        <v>0.12927640000000001</v>
      </c>
      <c r="L70" s="27">
        <f>SUMIF(Dataset_static!$A:$A,scores_results!$B70,Dataset_static!O:O)</f>
        <v>4.7466700000000001E-2</v>
      </c>
      <c r="M70" s="27">
        <f>SUMIF(Dataset_static!$A:$A,scores_results!$B70,Dataset_static!R:R)</f>
        <v>6.3757599999999998E-2</v>
      </c>
      <c r="N70" s="27">
        <f>SUMIF(Dataset_static!$A:$A,scores_results!$B70,Dataset_static!T:T)</f>
        <v>7.2614200000000004E-2</v>
      </c>
      <c r="O70" s="27">
        <f>SUMIF(Dataset_static!A:A,scores_results!B70,Dataset_static!P:P)</f>
        <v>1.9257499810131387</v>
      </c>
      <c r="P70" s="27">
        <f>SUMIF(Dataset_static!$A:$A,scores_results!$B70,Dataset_static!U:U)</f>
        <v>2.2653930177149988</v>
      </c>
      <c r="R70" t="str">
        <f t="shared" si="1"/>
        <v>test_158</v>
      </c>
      <c r="S70" t="str">
        <f>VLOOKUP($R70,experiments_specs!$A:$J,2,FALSE)</f>
        <v>NN,JJ</v>
      </c>
      <c r="T70">
        <f>VLOOKUP($R70,experiments_specs!$A:$J,4,FALSE)</f>
        <v>3</v>
      </c>
      <c r="U70" t="str">
        <f>VLOOKUP($R70,experiments_specs!$A:$J,5,FALSE)</f>
        <v>True</v>
      </c>
      <c r="V70" t="str">
        <f>VLOOKUP($R70,experiments_specs!$A:$J,6,FALSE)</f>
        <v>False</v>
      </c>
      <c r="W70" t="str">
        <f>VLOOKUP($R70,experiments_specs!$A:$J,7,FALSE)</f>
        <v>True</v>
      </c>
      <c r="X70" t="str">
        <f>VLOOKUP($R70,experiments_specs!$A:$J,8,FALSE)</f>
        <v>False</v>
      </c>
      <c r="Y70" t="str">
        <f>VLOOKUP($R70,experiments_specs!$A:$J,10,FALSE)</f>
        <v>True</v>
      </c>
      <c r="Z70" s="27">
        <f>SUMIF(Dataset_dynamic!$A:$A,scores_results!$R70,Dataset_dynamic!N:N)</f>
        <v>7.8474199999999994E-2</v>
      </c>
      <c r="AA70" s="27">
        <f>SUMIF(Dataset_dynamic!$A:$A,scores_results!$R70,Dataset_dynamic!O:O)</f>
        <v>1.0151881</v>
      </c>
    </row>
    <row r="71" spans="2:27" x14ac:dyDescent="0.2">
      <c r="B71" t="s">
        <v>148</v>
      </c>
      <c r="C71" t="str">
        <f>VLOOKUP($B71,experiments_specs!$A:$J,2,FALSE)</f>
        <v>NN,VB</v>
      </c>
      <c r="D71">
        <f>VLOOKUP($B71,experiments_specs!$A:$J,3,FALSE)</f>
        <v>1</v>
      </c>
      <c r="E71">
        <f>VLOOKUP($B71,experiments_specs!$A:$J,4,FALSE)</f>
        <v>2</v>
      </c>
      <c r="F71" t="str">
        <f>VLOOKUP($B71,experiments_specs!$A:$J,5,FALSE)</f>
        <v>True</v>
      </c>
      <c r="G71" t="str">
        <f>VLOOKUP($B71,experiments_specs!$A:$J,6,FALSE)</f>
        <v>False</v>
      </c>
      <c r="H71" t="str">
        <f>VLOOKUP($B71,experiments_specs!$A:$J,7,FALSE)</f>
        <v>True</v>
      </c>
      <c r="I71" t="str">
        <f>VLOOKUP($B71,experiments_specs!$A:$J,8,FALSE)</f>
        <v>False</v>
      </c>
      <c r="J71" t="str">
        <f>VLOOKUP($B71,experiments_specs!$A:$J,10,FALSE)</f>
        <v>True</v>
      </c>
      <c r="K71" s="27">
        <f>SUMIF(Dataset_static!$A:$A,scores_results!$B71,Dataset_static!M:M)</f>
        <v>9.6448499999999993E-2</v>
      </c>
      <c r="L71" s="27">
        <f>SUMIF(Dataset_static!$A:$A,scores_results!$B71,Dataset_static!O:O)</f>
        <v>4.6031899999999994E-2</v>
      </c>
      <c r="M71" s="27">
        <f>SUMIF(Dataset_static!$A:$A,scores_results!$B71,Dataset_static!R:R)</f>
        <v>6.3757599999999998E-2</v>
      </c>
      <c r="N71" s="27">
        <f>SUMIF(Dataset_static!$A:$A,scores_results!$B71,Dataset_static!T:T)</f>
        <v>7.0309099999999999E-2</v>
      </c>
      <c r="O71" s="27">
        <f>SUMIF(Dataset_static!A:A,scores_results!B71,Dataset_static!P:P)</f>
        <v>1.6954469507101084</v>
      </c>
      <c r="P71" s="27">
        <f>SUMIF(Dataset_static!$A:$A,scores_results!$B71,Dataset_static!U:U)</f>
        <v>2.2653930177149988</v>
      </c>
      <c r="R71" t="str">
        <f t="shared" si="1"/>
        <v>test_159</v>
      </c>
      <c r="S71" t="str">
        <f>VLOOKUP($R71,experiments_specs!$A:$J,2,FALSE)</f>
        <v>NN,VB,VBD,VBG,VBN,VBP,VBZ</v>
      </c>
      <c r="T71">
        <f>VLOOKUP($R71,experiments_specs!$A:$J,4,FALSE)</f>
        <v>2</v>
      </c>
      <c r="U71" t="str">
        <f>VLOOKUP($R71,experiments_specs!$A:$J,5,FALSE)</f>
        <v>True</v>
      </c>
      <c r="V71" t="str">
        <f>VLOOKUP($R71,experiments_specs!$A:$J,6,FALSE)</f>
        <v>False</v>
      </c>
      <c r="W71" t="str">
        <f>VLOOKUP($R71,experiments_specs!$A:$J,7,FALSE)</f>
        <v>True</v>
      </c>
      <c r="X71" t="str">
        <f>VLOOKUP($R71,experiments_specs!$A:$J,8,FALSE)</f>
        <v>False</v>
      </c>
      <c r="Y71" t="str">
        <f>VLOOKUP($R71,experiments_specs!$A:$J,10,FALSE)</f>
        <v>True</v>
      </c>
      <c r="Z71" s="27">
        <f>SUMIF(Dataset_dynamic!$A:$A,scores_results!$R71,Dataset_dynamic!N:N)</f>
        <v>7.5377599999999989E-2</v>
      </c>
      <c r="AA71" s="27">
        <f>SUMIF(Dataset_dynamic!$A:$A,scores_results!$R71,Dataset_dynamic!O:O)</f>
        <v>1.0151881</v>
      </c>
    </row>
    <row r="72" spans="2:27" x14ac:dyDescent="0.2">
      <c r="B72" t="s">
        <v>149</v>
      </c>
      <c r="C72" t="str">
        <f>VLOOKUP($B72,experiments_specs!$A:$J,2,FALSE)</f>
        <v>NN,VB,VBD,VBG,VBN,VBP,VBZ</v>
      </c>
      <c r="D72">
        <f>VLOOKUP($B72,experiments_specs!$A:$J,3,FALSE)</f>
        <v>1</v>
      </c>
      <c r="E72">
        <f>VLOOKUP($B72,experiments_specs!$A:$J,4,FALSE)</f>
        <v>2</v>
      </c>
      <c r="F72" t="str">
        <f>VLOOKUP($B72,experiments_specs!$A:$J,5,FALSE)</f>
        <v>True</v>
      </c>
      <c r="G72" t="str">
        <f>VLOOKUP($B72,experiments_specs!$A:$J,6,FALSE)</f>
        <v>False</v>
      </c>
      <c r="H72" t="str">
        <f>VLOOKUP($B72,experiments_specs!$A:$J,7,FALSE)</f>
        <v>True</v>
      </c>
      <c r="I72" t="str">
        <f>VLOOKUP($B72,experiments_specs!$A:$J,8,FALSE)</f>
        <v>False</v>
      </c>
      <c r="J72" t="str">
        <f>VLOOKUP($B72,experiments_specs!$A:$J,10,FALSE)</f>
        <v>True</v>
      </c>
      <c r="K72" s="27">
        <f>SUMIF(Dataset_static!$A:$A,scores_results!$B72,Dataset_static!M:M)</f>
        <v>9.6448499999999993E-2</v>
      </c>
      <c r="L72" s="27">
        <f>SUMIF(Dataset_static!$A:$A,scores_results!$B72,Dataset_static!O:O)</f>
        <v>4.3385699999999999E-2</v>
      </c>
      <c r="M72" s="27">
        <f>SUMIF(Dataset_static!$A:$A,scores_results!$B72,Dataset_static!R:R)</f>
        <v>6.3757599999999998E-2</v>
      </c>
      <c r="N72" s="27">
        <f>SUMIF(Dataset_static!$A:$A,scores_results!$B72,Dataset_static!T:T)</f>
        <v>6.6374799999999998E-2</v>
      </c>
      <c r="O72" s="27">
        <f>SUMIF(Dataset_static!A:A,scores_results!B72,Dataset_static!P:P)</f>
        <v>1.6954469507101084</v>
      </c>
      <c r="P72" s="27">
        <f>SUMIF(Dataset_static!$A:$A,scores_results!$B72,Dataset_static!U:U)</f>
        <v>2.2653930177149988</v>
      </c>
      <c r="R72" t="str">
        <f t="shared" si="1"/>
        <v>test_160</v>
      </c>
      <c r="S72" t="str">
        <f>VLOOKUP($R72,experiments_specs!$A:$J,2,FALSE)</f>
        <v>NN,VB,VBD,VBG,VBN,VBP,VBZ</v>
      </c>
      <c r="T72">
        <f>VLOOKUP($R72,experiments_specs!$A:$J,4,FALSE)</f>
        <v>3</v>
      </c>
      <c r="U72" t="str">
        <f>VLOOKUP($R72,experiments_specs!$A:$J,5,FALSE)</f>
        <v>True</v>
      </c>
      <c r="V72" t="str">
        <f>VLOOKUP($R72,experiments_specs!$A:$J,6,FALSE)</f>
        <v>False</v>
      </c>
      <c r="W72" t="str">
        <f>VLOOKUP($R72,experiments_specs!$A:$J,7,FALSE)</f>
        <v>True</v>
      </c>
      <c r="X72" t="str">
        <f>VLOOKUP($R72,experiments_specs!$A:$J,8,FALSE)</f>
        <v>False</v>
      </c>
      <c r="Y72" t="str">
        <f>VLOOKUP($R72,experiments_specs!$A:$J,10,FALSE)</f>
        <v>True</v>
      </c>
      <c r="Z72" s="27">
        <f>SUMIF(Dataset_dynamic!$A:$A,scores_results!$R72,Dataset_dynamic!N:N)</f>
        <v>7.5377599999999989E-2</v>
      </c>
      <c r="AA72" s="27">
        <f>SUMIF(Dataset_dynamic!$A:$A,scores_results!$R72,Dataset_dynamic!O:O)</f>
        <v>1.0151881</v>
      </c>
    </row>
    <row r="73" spans="2:27" x14ac:dyDescent="0.2">
      <c r="B73" t="s">
        <v>150</v>
      </c>
      <c r="C73" t="str">
        <f>VLOOKUP($B73,experiments_specs!$A:$J,2,FALSE)</f>
        <v>NN,RB</v>
      </c>
      <c r="D73">
        <f>VLOOKUP($B73,experiments_specs!$A:$J,3,FALSE)</f>
        <v>1</v>
      </c>
      <c r="E73">
        <f>VLOOKUP($B73,experiments_specs!$A:$J,4,FALSE)</f>
        <v>2</v>
      </c>
      <c r="F73" t="str">
        <f>VLOOKUP($B73,experiments_specs!$A:$J,5,FALSE)</f>
        <v>True</v>
      </c>
      <c r="G73" t="str">
        <f>VLOOKUP($B73,experiments_specs!$A:$J,6,FALSE)</f>
        <v>False</v>
      </c>
      <c r="H73" t="str">
        <f>VLOOKUP($B73,experiments_specs!$A:$J,7,FALSE)</f>
        <v>True</v>
      </c>
      <c r="I73" t="str">
        <f>VLOOKUP($B73,experiments_specs!$A:$J,8,FALSE)</f>
        <v>False</v>
      </c>
      <c r="J73" t="str">
        <f>VLOOKUP($B73,experiments_specs!$A:$J,10,FALSE)</f>
        <v>True</v>
      </c>
      <c r="K73" s="27">
        <f>SUMIF(Dataset_static!$A:$A,scores_results!$B73,Dataset_static!M:M)</f>
        <v>0.12927640000000001</v>
      </c>
      <c r="L73" s="27">
        <f>SUMIF(Dataset_static!$A:$A,scores_results!$B73,Dataset_static!O:O)</f>
        <v>5.1876700000000005E-2</v>
      </c>
      <c r="M73" s="27">
        <f>SUMIF(Dataset_static!$A:$A,scores_results!$B73,Dataset_static!R:R)</f>
        <v>6.3757599999999998E-2</v>
      </c>
      <c r="N73" s="27">
        <f>SUMIF(Dataset_static!$A:$A,scores_results!$B73,Dataset_static!T:T)</f>
        <v>8.0819899999999986E-2</v>
      </c>
      <c r="O73" s="27">
        <f>SUMIF(Dataset_static!A:A,scores_results!B73,Dataset_static!P:P)</f>
        <v>1.6954469507101084</v>
      </c>
      <c r="P73" s="27">
        <f>SUMIF(Dataset_static!$A:$A,scores_results!$B73,Dataset_static!U:U)</f>
        <v>2.2653930177149988</v>
      </c>
      <c r="R73" t="str">
        <f t="shared" si="1"/>
        <v>test_161</v>
      </c>
      <c r="S73" t="str">
        <f>VLOOKUP($R73,experiments_specs!$A:$J,2,FALSE)</f>
        <v>NN,JJ,VB,VBD,VBG,VBN,VBP,VBZ</v>
      </c>
      <c r="T73">
        <f>VLOOKUP($R73,experiments_specs!$A:$J,4,FALSE)</f>
        <v>2</v>
      </c>
      <c r="U73" t="str">
        <f>VLOOKUP($R73,experiments_specs!$A:$J,5,FALSE)</f>
        <v>True</v>
      </c>
      <c r="V73" t="str">
        <f>VLOOKUP($R73,experiments_specs!$A:$J,6,FALSE)</f>
        <v>False</v>
      </c>
      <c r="W73" t="str">
        <f>VLOOKUP($R73,experiments_specs!$A:$J,7,FALSE)</f>
        <v>True</v>
      </c>
      <c r="X73" t="str">
        <f>VLOOKUP($R73,experiments_specs!$A:$J,8,FALSE)</f>
        <v>False</v>
      </c>
      <c r="Y73" t="str">
        <f>VLOOKUP($R73,experiments_specs!$A:$J,10,FALSE)</f>
        <v>True</v>
      </c>
      <c r="Z73" s="27">
        <f>SUMIF(Dataset_dynamic!$A:$A,scores_results!$R73,Dataset_dynamic!N:N)</f>
        <v>6.4574500000000007E-2</v>
      </c>
      <c r="AA73" s="27">
        <f>SUMIF(Dataset_dynamic!$A:$A,scores_results!$R73,Dataset_dynamic!O:O)</f>
        <v>1.0151881</v>
      </c>
    </row>
    <row r="74" spans="2:27" x14ac:dyDescent="0.2">
      <c r="B74" t="s">
        <v>151</v>
      </c>
      <c r="C74" t="str">
        <f>VLOOKUP($B74,experiments_specs!$A:$J,2,FALSE)</f>
        <v>NN,JJ,VB,VBD,VBG,VBN,VBP,VBZ</v>
      </c>
      <c r="D74">
        <f>VLOOKUP($B74,experiments_specs!$A:$J,3,FALSE)</f>
        <v>1</v>
      </c>
      <c r="E74">
        <f>VLOOKUP($B74,experiments_specs!$A:$J,4,FALSE)</f>
        <v>2</v>
      </c>
      <c r="F74" t="str">
        <f>VLOOKUP($B74,experiments_specs!$A:$J,5,FALSE)</f>
        <v>True</v>
      </c>
      <c r="G74" t="str">
        <f>VLOOKUP($B74,experiments_specs!$A:$J,6,FALSE)</f>
        <v>False</v>
      </c>
      <c r="H74" t="str">
        <f>VLOOKUP($B74,experiments_specs!$A:$J,7,FALSE)</f>
        <v>True</v>
      </c>
      <c r="I74" t="str">
        <f>VLOOKUP($B74,experiments_specs!$A:$J,8,FALSE)</f>
        <v>False</v>
      </c>
      <c r="J74" t="str">
        <f>VLOOKUP($B74,experiments_specs!$A:$J,10,FALSE)</f>
        <v>True</v>
      </c>
      <c r="K74" s="27">
        <f>SUMIF(Dataset_static!$A:$A,scores_results!$B74,Dataset_static!M:M)</f>
        <v>9.6448499999999993E-2</v>
      </c>
      <c r="L74" s="27">
        <f>SUMIF(Dataset_static!$A:$A,scores_results!$B74,Dataset_static!O:O)</f>
        <v>4.03185E-2</v>
      </c>
      <c r="M74" s="27">
        <f>SUMIF(Dataset_static!$A:$A,scores_results!$B74,Dataset_static!R:R)</f>
        <v>6.3757599999999998E-2</v>
      </c>
      <c r="N74" s="27">
        <f>SUMIF(Dataset_static!$A:$A,scores_results!$B74,Dataset_static!T:T)</f>
        <v>6.0942099999999999E-2</v>
      </c>
      <c r="O74" s="27">
        <f>SUMIF(Dataset_static!A:A,scores_results!B74,Dataset_static!P:P)</f>
        <v>1.9257499810131387</v>
      </c>
      <c r="P74" s="27">
        <f>SUMIF(Dataset_static!$A:$A,scores_results!$B74,Dataset_static!U:U)</f>
        <v>2.2653930177149988</v>
      </c>
      <c r="R74" t="str">
        <f t="shared" si="1"/>
        <v>test_162</v>
      </c>
      <c r="S74" t="str">
        <f>VLOOKUP($R74,experiments_specs!$A:$J,2,FALSE)</f>
        <v>NN,JJ,VB,VBD,VBG,VBN,VBP,VBZ</v>
      </c>
      <c r="T74">
        <f>VLOOKUP($R74,experiments_specs!$A:$J,4,FALSE)</f>
        <v>3</v>
      </c>
      <c r="U74" t="str">
        <f>VLOOKUP($R74,experiments_specs!$A:$J,5,FALSE)</f>
        <v>True</v>
      </c>
      <c r="V74" t="str">
        <f>VLOOKUP($R74,experiments_specs!$A:$J,6,FALSE)</f>
        <v>False</v>
      </c>
      <c r="W74" t="str">
        <f>VLOOKUP($R74,experiments_specs!$A:$J,7,FALSE)</f>
        <v>True</v>
      </c>
      <c r="X74" t="str">
        <f>VLOOKUP($R74,experiments_specs!$A:$J,8,FALSE)</f>
        <v>False</v>
      </c>
      <c r="Y74" t="str">
        <f>VLOOKUP($R74,experiments_specs!$A:$J,10,FALSE)</f>
        <v>True</v>
      </c>
      <c r="Z74" s="27">
        <f>SUMIF(Dataset_dynamic!$A:$A,scores_results!$R74,Dataset_dynamic!N:N)</f>
        <v>6.4574500000000007E-2</v>
      </c>
      <c r="AA74" s="27">
        <f>SUMIF(Dataset_dynamic!$A:$A,scores_results!$R74,Dataset_dynamic!O:O)</f>
        <v>1.0151881</v>
      </c>
    </row>
    <row r="75" spans="2:27" x14ac:dyDescent="0.2">
      <c r="B75" t="s">
        <v>152</v>
      </c>
      <c r="C75" t="str">
        <f>VLOOKUP($B75,experiments_specs!$A:$J,2,FALSE)</f>
        <v>NN</v>
      </c>
      <c r="D75">
        <f>VLOOKUP($B75,experiments_specs!$A:$J,3,FALSE)</f>
        <v>1</v>
      </c>
      <c r="E75">
        <f>VLOOKUP($B75,experiments_specs!$A:$J,4,FALSE)</f>
        <v>2</v>
      </c>
      <c r="F75" t="str">
        <f>VLOOKUP($B75,experiments_specs!$A:$J,5,FALSE)</f>
        <v>False</v>
      </c>
      <c r="G75" t="str">
        <f>VLOOKUP($B75,experiments_specs!$A:$J,6,FALSE)</f>
        <v>False</v>
      </c>
      <c r="H75" t="str">
        <f>VLOOKUP($B75,experiments_specs!$A:$J,7,FALSE)</f>
        <v>False</v>
      </c>
      <c r="I75" t="str">
        <f>VLOOKUP($B75,experiments_specs!$A:$J,8,FALSE)</f>
        <v>True</v>
      </c>
      <c r="J75" t="str">
        <f>VLOOKUP($B75,experiments_specs!$A:$J,10,FALSE)</f>
        <v>False</v>
      </c>
      <c r="K75" s="27">
        <f>SUMIF(Dataset_static!$A:$A,scores_results!$B75,Dataset_static!M:M)</f>
        <v>0.56748310000000002</v>
      </c>
      <c r="L75" s="27">
        <f>SUMIF(Dataset_static!$A:$A,scores_results!$B75,Dataset_static!O:O)</f>
        <v>2.5772099999999999E-2</v>
      </c>
      <c r="M75" s="27">
        <f>SUMIF(Dataset_static!$A:$A,scores_results!$B75,Dataset_static!R:R)</f>
        <v>0.98545260000000001</v>
      </c>
      <c r="N75" s="27">
        <f>SUMIF(Dataset_static!$A:$A,scores_results!$B75,Dataset_static!T:T)</f>
        <v>6.6097199999999995E-2</v>
      </c>
      <c r="O75" s="27">
        <f>SUMIF(Dataset_static!A:A,scores_results!B75,Dataset_static!P:P)</f>
        <v>2.0093663646295226</v>
      </c>
      <c r="P75" s="27">
        <f>SUMIF(Dataset_static!$A:$A,scores_results!$B75,Dataset_static!U:U)</f>
        <v>1.6403382565147271</v>
      </c>
      <c r="R75" t="str">
        <f t="shared" si="1"/>
        <v>test_163</v>
      </c>
      <c r="S75" t="str">
        <f>VLOOKUP($R75,experiments_specs!$A:$J,2,FALSE)</f>
        <v>NN,JJ</v>
      </c>
      <c r="T75">
        <f>VLOOKUP($R75,experiments_specs!$A:$J,4,FALSE)</f>
        <v>2</v>
      </c>
      <c r="U75" t="str">
        <f>VLOOKUP($R75,experiments_specs!$A:$J,5,FALSE)</f>
        <v>False</v>
      </c>
      <c r="V75" t="str">
        <f>VLOOKUP($R75,experiments_specs!$A:$J,6,FALSE)</f>
        <v>False</v>
      </c>
      <c r="W75" t="str">
        <f>VLOOKUP($R75,experiments_specs!$A:$J,7,FALSE)</f>
        <v>False</v>
      </c>
      <c r="X75" t="str">
        <f>VLOOKUP($R75,experiments_specs!$A:$J,8,FALSE)</f>
        <v>True</v>
      </c>
      <c r="Y75" t="str">
        <f>VLOOKUP($R75,experiments_specs!$A:$J,10,FALSE)</f>
        <v>False</v>
      </c>
      <c r="Z75" s="27">
        <f>SUMIF(Dataset_dynamic!$A:$A,scores_results!$R75,Dataset_dynamic!N:N)</f>
        <v>4.3774399999999998E-2</v>
      </c>
      <c r="AA75" s="27">
        <f>SUMIF(Dataset_dynamic!$A:$A,scores_results!$R75,Dataset_dynamic!O:O)</f>
        <v>1.0428937999999999</v>
      </c>
    </row>
    <row r="76" spans="2:27" x14ac:dyDescent="0.2">
      <c r="B76" t="s">
        <v>153</v>
      </c>
      <c r="C76" t="str">
        <f>VLOOKUP($B76,experiments_specs!$A:$J,2,FALSE)</f>
        <v>NN,JJ</v>
      </c>
      <c r="D76">
        <f>VLOOKUP($B76,experiments_specs!$A:$J,3,FALSE)</f>
        <v>1</v>
      </c>
      <c r="E76">
        <f>VLOOKUP($B76,experiments_specs!$A:$J,4,FALSE)</f>
        <v>2</v>
      </c>
      <c r="F76" t="str">
        <f>VLOOKUP($B76,experiments_specs!$A:$J,5,FALSE)</f>
        <v>False</v>
      </c>
      <c r="G76" t="str">
        <f>VLOOKUP($B76,experiments_specs!$A:$J,6,FALSE)</f>
        <v>False</v>
      </c>
      <c r="H76" t="str">
        <f>VLOOKUP($B76,experiments_specs!$A:$J,7,FALSE)</f>
        <v>False</v>
      </c>
      <c r="I76" t="str">
        <f>VLOOKUP($B76,experiments_specs!$A:$J,8,FALSE)</f>
        <v>True</v>
      </c>
      <c r="J76" t="str">
        <f>VLOOKUP($B76,experiments_specs!$A:$J,10,FALSE)</f>
        <v>False</v>
      </c>
      <c r="K76" s="27">
        <f>SUMIF(Dataset_static!$A:$A,scores_results!$B76,Dataset_static!M:M)</f>
        <v>0.82423119999999994</v>
      </c>
      <c r="L76" s="27">
        <f>SUMIF(Dataset_static!$A:$A,scores_results!$B76,Dataset_static!O:O)</f>
        <v>2.4209099999999997E-2</v>
      </c>
      <c r="M76" s="27">
        <f>SUMIF(Dataset_static!$A:$A,scores_results!$B76,Dataset_static!R:R)</f>
        <v>1.0422165999999999</v>
      </c>
      <c r="N76" s="27">
        <f>SUMIF(Dataset_static!$A:$A,scores_results!$B76,Dataset_static!T:T)</f>
        <v>7.3354799999999998E-2</v>
      </c>
      <c r="O76" s="27">
        <f>SUMIF(Dataset_static!A:A,scores_results!B76,Dataset_static!P:P)</f>
        <v>1.8774982327613907</v>
      </c>
      <c r="P76" s="27">
        <f>SUMIF(Dataset_static!$A:$A,scores_results!$B76,Dataset_static!U:U)</f>
        <v>1.1780366692131397</v>
      </c>
      <c r="R76" t="str">
        <f t="shared" si="1"/>
        <v>test_164</v>
      </c>
      <c r="S76" t="str">
        <f>VLOOKUP($R76,experiments_specs!$A:$J,2,FALSE)</f>
        <v>NN,JJ</v>
      </c>
      <c r="T76">
        <f>VLOOKUP($R76,experiments_specs!$A:$J,4,FALSE)</f>
        <v>3</v>
      </c>
      <c r="U76" t="str">
        <f>VLOOKUP($R76,experiments_specs!$A:$J,5,FALSE)</f>
        <v>False</v>
      </c>
      <c r="V76" t="str">
        <f>VLOOKUP($R76,experiments_specs!$A:$J,6,FALSE)</f>
        <v>False</v>
      </c>
      <c r="W76" t="str">
        <f>VLOOKUP($R76,experiments_specs!$A:$J,7,FALSE)</f>
        <v>False</v>
      </c>
      <c r="X76" t="str">
        <f>VLOOKUP($R76,experiments_specs!$A:$J,8,FALSE)</f>
        <v>True</v>
      </c>
      <c r="Y76" t="str">
        <f>VLOOKUP($R76,experiments_specs!$A:$J,10,FALSE)</f>
        <v>False</v>
      </c>
      <c r="Z76" s="27">
        <f>SUMIF(Dataset_dynamic!$A:$A,scores_results!$R76,Dataset_dynamic!N:N)</f>
        <v>4.3774399999999998E-2</v>
      </c>
      <c r="AA76" s="27">
        <f>SUMIF(Dataset_dynamic!$A:$A,scores_results!$R76,Dataset_dynamic!O:O)</f>
        <v>1.0428937999999999</v>
      </c>
    </row>
    <row r="77" spans="2:27" x14ac:dyDescent="0.2">
      <c r="B77" t="s">
        <v>154</v>
      </c>
      <c r="C77" t="str">
        <f>VLOOKUP($B77,experiments_specs!$A:$J,2,FALSE)</f>
        <v>NN,VB</v>
      </c>
      <c r="D77">
        <f>VLOOKUP($B77,experiments_specs!$A:$J,3,FALSE)</f>
        <v>1</v>
      </c>
      <c r="E77">
        <f>VLOOKUP($B77,experiments_specs!$A:$J,4,FALSE)</f>
        <v>2</v>
      </c>
      <c r="F77" t="str">
        <f>VLOOKUP($B77,experiments_specs!$A:$J,5,FALSE)</f>
        <v>False</v>
      </c>
      <c r="G77" t="str">
        <f>VLOOKUP($B77,experiments_specs!$A:$J,6,FALSE)</f>
        <v>False</v>
      </c>
      <c r="H77" t="str">
        <f>VLOOKUP($B77,experiments_specs!$A:$J,7,FALSE)</f>
        <v>False</v>
      </c>
      <c r="I77" t="str">
        <f>VLOOKUP($B77,experiments_specs!$A:$J,8,FALSE)</f>
        <v>True</v>
      </c>
      <c r="J77" t="str">
        <f>VLOOKUP($B77,experiments_specs!$A:$J,10,FALSE)</f>
        <v>False</v>
      </c>
      <c r="K77" s="27">
        <f>SUMIF(Dataset_static!$A:$A,scores_results!$B77,Dataset_static!M:M)</f>
        <v>0.8824398</v>
      </c>
      <c r="L77" s="27">
        <f>SUMIF(Dataset_static!$A:$A,scores_results!$B77,Dataset_static!O:O)</f>
        <v>2.22458E-2</v>
      </c>
      <c r="M77" s="27">
        <f>SUMIF(Dataset_static!$A:$A,scores_results!$B77,Dataset_static!R:R)</f>
        <v>0.79777999999999993</v>
      </c>
      <c r="N77" s="27">
        <f>SUMIF(Dataset_static!$A:$A,scores_results!$B77,Dataset_static!T:T)</f>
        <v>4.7855500000000002E-2</v>
      </c>
      <c r="O77" s="27">
        <f>SUMIF(Dataset_static!A:A,scores_results!B77,Dataset_static!P:P)</f>
        <v>1.8486520789152368</v>
      </c>
      <c r="P77" s="27">
        <f>SUMIF(Dataset_static!$A:$A,scores_results!$B77,Dataset_static!U:U)</f>
        <v>1.3726836888601595</v>
      </c>
      <c r="R77" t="str">
        <f t="shared" si="1"/>
        <v>test_165</v>
      </c>
      <c r="S77" t="str">
        <f>VLOOKUP($R77,experiments_specs!$A:$J,2,FALSE)</f>
        <v>NN,VB,VBD,VBG,VBN,VBP,VBZ</v>
      </c>
      <c r="T77">
        <f>VLOOKUP($R77,experiments_specs!$A:$J,4,FALSE)</f>
        <v>2</v>
      </c>
      <c r="U77" t="str">
        <f>VLOOKUP($R77,experiments_specs!$A:$J,5,FALSE)</f>
        <v>False</v>
      </c>
      <c r="V77" t="str">
        <f>VLOOKUP($R77,experiments_specs!$A:$J,6,FALSE)</f>
        <v>False</v>
      </c>
      <c r="W77" t="str">
        <f>VLOOKUP($R77,experiments_specs!$A:$J,7,FALSE)</f>
        <v>False</v>
      </c>
      <c r="X77" t="str">
        <f>VLOOKUP($R77,experiments_specs!$A:$J,8,FALSE)</f>
        <v>True</v>
      </c>
      <c r="Y77" t="str">
        <f>VLOOKUP($R77,experiments_specs!$A:$J,10,FALSE)</f>
        <v>False</v>
      </c>
      <c r="Z77" s="27">
        <f>SUMIF(Dataset_dynamic!$A:$A,scores_results!$R77,Dataset_dynamic!N:N)</f>
        <v>3.4720099999999997E-2</v>
      </c>
      <c r="AA77" s="27">
        <f>SUMIF(Dataset_dynamic!$A:$A,scores_results!$R77,Dataset_dynamic!O:O)</f>
        <v>0.34285710000000003</v>
      </c>
    </row>
    <row r="78" spans="2:27" x14ac:dyDescent="0.2">
      <c r="B78" t="s">
        <v>155</v>
      </c>
      <c r="C78" t="str">
        <f>VLOOKUP($B78,experiments_specs!$A:$J,2,FALSE)</f>
        <v>NN,VB,VBD,VBG,VBN,VBP,VBZ</v>
      </c>
      <c r="D78">
        <f>VLOOKUP($B78,experiments_specs!$A:$J,3,FALSE)</f>
        <v>1</v>
      </c>
      <c r="E78">
        <f>VLOOKUP($B78,experiments_specs!$A:$J,4,FALSE)</f>
        <v>2</v>
      </c>
      <c r="F78" t="str">
        <f>VLOOKUP($B78,experiments_specs!$A:$J,5,FALSE)</f>
        <v>False</v>
      </c>
      <c r="G78" t="str">
        <f>VLOOKUP($B78,experiments_specs!$A:$J,6,FALSE)</f>
        <v>False</v>
      </c>
      <c r="H78" t="str">
        <f>VLOOKUP($B78,experiments_specs!$A:$J,7,FALSE)</f>
        <v>False</v>
      </c>
      <c r="I78" t="str">
        <f>VLOOKUP($B78,experiments_specs!$A:$J,8,FALSE)</f>
        <v>True</v>
      </c>
      <c r="J78" t="str">
        <f>VLOOKUP($B78,experiments_specs!$A:$J,10,FALSE)</f>
        <v>False</v>
      </c>
      <c r="K78" s="27">
        <f>SUMIF(Dataset_static!$A:$A,scores_results!$B78,Dataset_static!M:M)</f>
        <v>0.82952549999999992</v>
      </c>
      <c r="L78" s="27">
        <f>SUMIF(Dataset_static!$A:$A,scores_results!$B78,Dataset_static!O:O)</f>
        <v>2.0674300000000003E-2</v>
      </c>
      <c r="M78" s="27">
        <f>SUMIF(Dataset_static!$A:$A,scores_results!$B78,Dataset_static!R:R)</f>
        <v>0.92816029999999994</v>
      </c>
      <c r="N78" s="27">
        <f>SUMIF(Dataset_static!$A:$A,scores_results!$B78,Dataset_static!T:T)</f>
        <v>6.9039699999999996E-2</v>
      </c>
      <c r="O78" s="27">
        <f>SUMIF(Dataset_static!A:A,scores_results!B78,Dataset_static!P:P)</f>
        <v>1.3410818713450292</v>
      </c>
      <c r="P78" s="27">
        <f>SUMIF(Dataset_static!$A:$A,scores_results!$B78,Dataset_static!U:U)</f>
        <v>1.952048768225239</v>
      </c>
      <c r="R78" t="str">
        <f t="shared" ref="R78:R92" si="2">"test_"&amp;RIGHT(R77,3)+1</f>
        <v>test_166</v>
      </c>
      <c r="S78" t="str">
        <f>VLOOKUP($R78,experiments_specs!$A:$J,2,FALSE)</f>
        <v>NN,VB,VBD,VBG,VBN,VBP,VBZ</v>
      </c>
      <c r="T78">
        <f>VLOOKUP($R78,experiments_specs!$A:$J,4,FALSE)</f>
        <v>3</v>
      </c>
      <c r="U78" t="str">
        <f>VLOOKUP($R78,experiments_specs!$A:$J,5,FALSE)</f>
        <v>False</v>
      </c>
      <c r="V78" t="str">
        <f>VLOOKUP($R78,experiments_specs!$A:$J,6,FALSE)</f>
        <v>False</v>
      </c>
      <c r="W78" t="str">
        <f>VLOOKUP($R78,experiments_specs!$A:$J,7,FALSE)</f>
        <v>False</v>
      </c>
      <c r="X78" t="str">
        <f>VLOOKUP($R78,experiments_specs!$A:$J,8,FALSE)</f>
        <v>True</v>
      </c>
      <c r="Y78" t="str">
        <f>VLOOKUP($R78,experiments_specs!$A:$J,10,FALSE)</f>
        <v>False</v>
      </c>
      <c r="Z78" s="27">
        <f>SUMIF(Dataset_dynamic!$A:$A,scores_results!$R78,Dataset_dynamic!N:N)</f>
        <v>3.4720099999999997E-2</v>
      </c>
      <c r="AA78" s="27">
        <f>SUMIF(Dataset_dynamic!$A:$A,scores_results!$R78,Dataset_dynamic!O:O)</f>
        <v>0.34285710000000003</v>
      </c>
    </row>
    <row r="79" spans="2:27" x14ac:dyDescent="0.2">
      <c r="B79" t="s">
        <v>156</v>
      </c>
      <c r="C79" t="str">
        <f>VLOOKUP($B79,experiments_specs!$A:$J,2,FALSE)</f>
        <v>NN,RB</v>
      </c>
      <c r="D79">
        <f>VLOOKUP($B79,experiments_specs!$A:$J,3,FALSE)</f>
        <v>1</v>
      </c>
      <c r="E79">
        <f>VLOOKUP($B79,experiments_specs!$A:$J,4,FALSE)</f>
        <v>2</v>
      </c>
      <c r="F79" t="str">
        <f>VLOOKUP($B79,experiments_specs!$A:$J,5,FALSE)</f>
        <v>False</v>
      </c>
      <c r="G79" t="str">
        <f>VLOOKUP($B79,experiments_specs!$A:$J,6,FALSE)</f>
        <v>False</v>
      </c>
      <c r="H79" t="str">
        <f>VLOOKUP($B79,experiments_specs!$A:$J,7,FALSE)</f>
        <v>False</v>
      </c>
      <c r="I79" t="str">
        <f>VLOOKUP($B79,experiments_specs!$A:$J,8,FALSE)</f>
        <v>True</v>
      </c>
      <c r="J79" t="str">
        <f>VLOOKUP($B79,experiments_specs!$A:$J,10,FALSE)</f>
        <v>False</v>
      </c>
      <c r="K79" s="27">
        <f>SUMIF(Dataset_static!$A:$A,scores_results!$B79,Dataset_static!M:M)</f>
        <v>0.56617910000000005</v>
      </c>
      <c r="L79" s="27">
        <f>SUMIF(Dataset_static!$A:$A,scores_results!$B79,Dataset_static!O:O)</f>
        <v>2.5232700000000004E-2</v>
      </c>
      <c r="M79" s="27">
        <f>SUMIF(Dataset_static!$A:$A,scores_results!$B79,Dataset_static!R:R)</f>
        <v>0.98302789999999995</v>
      </c>
      <c r="N79" s="27">
        <f>SUMIF(Dataset_static!$A:$A,scores_results!$B79,Dataset_static!T:T)</f>
        <v>6.5237000000000003E-2</v>
      </c>
      <c r="O79" s="27">
        <f>SUMIF(Dataset_static!A:A,scores_results!B79,Dataset_static!P:P)</f>
        <v>2.0093663646295226</v>
      </c>
      <c r="P79" s="27">
        <f>SUMIF(Dataset_static!$A:$A,scores_results!$B79,Dataset_static!U:U)</f>
        <v>1.6403382565147271</v>
      </c>
      <c r="R79" t="str">
        <f t="shared" si="2"/>
        <v>test_167</v>
      </c>
      <c r="S79" t="str">
        <f>VLOOKUP($R79,experiments_specs!$A:$J,2,FALSE)</f>
        <v>NN,JJ,VB,VBD,VBG,VBN,VBP,VBZ</v>
      </c>
      <c r="T79">
        <f>VLOOKUP($R79,experiments_specs!$A:$J,4,FALSE)</f>
        <v>2</v>
      </c>
      <c r="U79" t="str">
        <f>VLOOKUP($R79,experiments_specs!$A:$J,5,FALSE)</f>
        <v>False</v>
      </c>
      <c r="V79" t="str">
        <f>VLOOKUP($R79,experiments_specs!$A:$J,6,FALSE)</f>
        <v>False</v>
      </c>
      <c r="W79" t="str">
        <f>VLOOKUP($R79,experiments_specs!$A:$J,7,FALSE)</f>
        <v>False</v>
      </c>
      <c r="X79" t="str">
        <f>VLOOKUP($R79,experiments_specs!$A:$J,8,FALSE)</f>
        <v>True</v>
      </c>
      <c r="Y79" t="str">
        <f>VLOOKUP($R79,experiments_specs!$A:$J,10,FALSE)</f>
        <v>False</v>
      </c>
      <c r="Z79" s="27">
        <f>SUMIF(Dataset_dynamic!$A:$A,scores_results!$R79,Dataset_dynamic!N:N)</f>
        <v>3.0006399999999996E-2</v>
      </c>
      <c r="AA79" s="27">
        <f>SUMIF(Dataset_dynamic!$A:$A,scores_results!$R79,Dataset_dynamic!O:O)</f>
        <v>0.46050409999999997</v>
      </c>
    </row>
    <row r="80" spans="2:27" x14ac:dyDescent="0.2">
      <c r="B80" t="s">
        <v>157</v>
      </c>
      <c r="C80" t="str">
        <f>VLOOKUP($B80,experiments_specs!$A:$J,2,FALSE)</f>
        <v>NN,JJ,VB,VBD,VBG,VBN,VBP,VBZ</v>
      </c>
      <c r="D80">
        <f>VLOOKUP($B80,experiments_specs!$A:$J,3,FALSE)</f>
        <v>1</v>
      </c>
      <c r="E80">
        <f>VLOOKUP($B80,experiments_specs!$A:$J,4,FALSE)</f>
        <v>2</v>
      </c>
      <c r="F80" t="str">
        <f>VLOOKUP($B80,experiments_specs!$A:$J,5,FALSE)</f>
        <v>False</v>
      </c>
      <c r="G80" t="str">
        <f>VLOOKUP($B80,experiments_specs!$A:$J,6,FALSE)</f>
        <v>False</v>
      </c>
      <c r="H80" t="str">
        <f>VLOOKUP($B80,experiments_specs!$A:$J,7,FALSE)</f>
        <v>False</v>
      </c>
      <c r="I80" t="str">
        <f>VLOOKUP($B80,experiments_specs!$A:$J,8,FALSE)</f>
        <v>True</v>
      </c>
      <c r="J80" t="str">
        <f>VLOOKUP($B80,experiments_specs!$A:$J,10,FALSE)</f>
        <v>False</v>
      </c>
      <c r="K80" s="27">
        <f>SUMIF(Dataset_static!$A:$A,scores_results!$B80,Dataset_static!M:M)</f>
        <v>0.82245579999999996</v>
      </c>
      <c r="L80" s="27">
        <f>SUMIF(Dataset_static!$A:$A,scores_results!$B80,Dataset_static!O:O)</f>
        <v>1.71562E-2</v>
      </c>
      <c r="M80" s="27">
        <f>SUMIF(Dataset_static!$A:$A,scores_results!$B80,Dataset_static!R:R)</f>
        <v>0.92269309999999993</v>
      </c>
      <c r="N80" s="27">
        <f>SUMIF(Dataset_static!$A:$A,scores_results!$B80,Dataset_static!T:T)</f>
        <v>6.5972799999999998E-2</v>
      </c>
      <c r="O80" s="27">
        <f>SUMIF(Dataset_static!A:A,scores_results!B80,Dataset_static!P:P)</f>
        <v>1.2558688387635757</v>
      </c>
      <c r="P80" s="27">
        <f>SUMIF(Dataset_static!$A:$A,scores_results!$B80,Dataset_static!U:U)</f>
        <v>1.9696958270487683</v>
      </c>
      <c r="R80" t="str">
        <f t="shared" si="2"/>
        <v>test_168</v>
      </c>
      <c r="S80" t="str">
        <f>VLOOKUP($R80,experiments_specs!$A:$J,2,FALSE)</f>
        <v>NN,JJ,VB,VBD,VBG,VBN,VBP,VBZ</v>
      </c>
      <c r="T80">
        <f>VLOOKUP($R80,experiments_specs!$A:$J,4,FALSE)</f>
        <v>3</v>
      </c>
      <c r="U80" t="str">
        <f>VLOOKUP($R80,experiments_specs!$A:$J,5,FALSE)</f>
        <v>False</v>
      </c>
      <c r="V80" t="str">
        <f>VLOOKUP($R80,experiments_specs!$A:$J,6,FALSE)</f>
        <v>False</v>
      </c>
      <c r="W80" t="str">
        <f>VLOOKUP($R80,experiments_specs!$A:$J,7,FALSE)</f>
        <v>False</v>
      </c>
      <c r="X80" t="str">
        <f>VLOOKUP($R80,experiments_specs!$A:$J,8,FALSE)</f>
        <v>True</v>
      </c>
      <c r="Y80" t="str">
        <f>VLOOKUP($R80,experiments_specs!$A:$J,10,FALSE)</f>
        <v>False</v>
      </c>
      <c r="Z80" s="27">
        <f>SUMIF(Dataset_dynamic!$A:$A,scores_results!$R80,Dataset_dynamic!N:N)</f>
        <v>3.0006399999999996E-2</v>
      </c>
      <c r="AA80" s="27">
        <f>SUMIF(Dataset_dynamic!$A:$A,scores_results!$R80,Dataset_dynamic!O:O)</f>
        <v>0.46050409999999997</v>
      </c>
    </row>
    <row r="81" spans="2:27" x14ac:dyDescent="0.2">
      <c r="B81" t="s">
        <v>158</v>
      </c>
      <c r="C81" t="str">
        <f>VLOOKUP($B81,experiments_specs!$A:$J,2,FALSE)</f>
        <v>NN</v>
      </c>
      <c r="D81">
        <f>VLOOKUP($B81,experiments_specs!$A:$J,3,FALSE)</f>
        <v>1</v>
      </c>
      <c r="E81">
        <f>VLOOKUP($B81,experiments_specs!$A:$J,4,FALSE)</f>
        <v>2</v>
      </c>
      <c r="F81" t="str">
        <f>VLOOKUP($B81,experiments_specs!$A:$J,5,FALSE)</f>
        <v>True</v>
      </c>
      <c r="G81" t="str">
        <f>VLOOKUP($B81,experiments_specs!$A:$J,6,FALSE)</f>
        <v>False</v>
      </c>
      <c r="H81" t="str">
        <f>VLOOKUP($B81,experiments_specs!$A:$J,7,FALSE)</f>
        <v>False</v>
      </c>
      <c r="I81" t="str">
        <f>VLOOKUP($B81,experiments_specs!$A:$J,8,FALSE)</f>
        <v>True</v>
      </c>
      <c r="J81" t="str">
        <f>VLOOKUP($B81,experiments_specs!$A:$J,10,FALSE)</f>
        <v>False</v>
      </c>
      <c r="K81" s="27">
        <f>SUMIF(Dataset_static!$A:$A,scores_results!$B81,Dataset_static!M:M)</f>
        <v>0.5331302</v>
      </c>
      <c r="L81" s="27">
        <f>SUMIF(Dataset_static!$A:$A,scores_results!$B81,Dataset_static!O:O)</f>
        <v>8.6845099999999995E-2</v>
      </c>
      <c r="M81" s="27">
        <f>SUMIF(Dataset_static!$A:$A,scores_results!$B81,Dataset_static!R:R)</f>
        <v>0.59297599999999995</v>
      </c>
      <c r="N81" s="27">
        <f>SUMIF(Dataset_static!$A:$A,scores_results!$B81,Dataset_static!T:T)</f>
        <v>0.16634160000000001</v>
      </c>
      <c r="O81" s="27">
        <f>SUMIF(Dataset_static!A:A,scores_results!B81,Dataset_static!P:P)</f>
        <v>1.8343358395989975</v>
      </c>
      <c r="P81" s="27">
        <f>SUMIF(Dataset_static!$A:$A,scores_results!$B81,Dataset_static!U:U)</f>
        <v>1.7305690181851174</v>
      </c>
      <c r="R81" t="str">
        <f t="shared" si="2"/>
        <v>test_169</v>
      </c>
      <c r="S81" t="str">
        <f>VLOOKUP($R81,experiments_specs!$A:$J,2,FALSE)</f>
        <v>NN,JJ</v>
      </c>
      <c r="T81">
        <f>VLOOKUP($R81,experiments_specs!$A:$J,4,FALSE)</f>
        <v>2</v>
      </c>
      <c r="U81" t="str">
        <f>VLOOKUP($R81,experiments_specs!$A:$J,5,FALSE)</f>
        <v>True</v>
      </c>
      <c r="V81" t="str">
        <f>VLOOKUP($R81,experiments_specs!$A:$J,6,FALSE)</f>
        <v>False</v>
      </c>
      <c r="W81" t="str">
        <f>VLOOKUP($R81,experiments_specs!$A:$J,7,FALSE)</f>
        <v>False</v>
      </c>
      <c r="X81" t="str">
        <f>VLOOKUP($R81,experiments_specs!$A:$J,8,FALSE)</f>
        <v>True</v>
      </c>
      <c r="Y81" t="str">
        <f>VLOOKUP($R81,experiments_specs!$A:$J,10,FALSE)</f>
        <v>False</v>
      </c>
      <c r="Z81" s="27">
        <f>SUMIF(Dataset_dynamic!$A:$A,scores_results!$R81,Dataset_dynamic!N:N)</f>
        <v>0.23107000000000003</v>
      </c>
      <c r="AA81" s="27">
        <f>SUMIF(Dataset_dynamic!$A:$A,scores_results!$R81,Dataset_dynamic!O:O)</f>
        <v>2.2879737000000002</v>
      </c>
    </row>
    <row r="82" spans="2:27" x14ac:dyDescent="0.2">
      <c r="B82" t="s">
        <v>159</v>
      </c>
      <c r="C82" t="str">
        <f>VLOOKUP($B82,experiments_specs!$A:$J,2,FALSE)</f>
        <v>NN,JJ</v>
      </c>
      <c r="D82">
        <f>VLOOKUP($B82,experiments_specs!$A:$J,3,FALSE)</f>
        <v>1</v>
      </c>
      <c r="E82">
        <f>VLOOKUP($B82,experiments_specs!$A:$J,4,FALSE)</f>
        <v>2</v>
      </c>
      <c r="F82" t="str">
        <f>VLOOKUP($B82,experiments_specs!$A:$J,5,FALSE)</f>
        <v>True</v>
      </c>
      <c r="G82" t="str">
        <f>VLOOKUP($B82,experiments_specs!$A:$J,6,FALSE)</f>
        <v>False</v>
      </c>
      <c r="H82" t="str">
        <f>VLOOKUP($B82,experiments_specs!$A:$J,7,FALSE)</f>
        <v>False</v>
      </c>
      <c r="I82" t="str">
        <f>VLOOKUP($B82,experiments_specs!$A:$J,8,FALSE)</f>
        <v>True</v>
      </c>
      <c r="J82" t="str">
        <f>VLOOKUP($B82,experiments_specs!$A:$J,10,FALSE)</f>
        <v>False</v>
      </c>
      <c r="K82" s="27">
        <f>SUMIF(Dataset_static!$A:$A,scores_results!$B82,Dataset_static!M:M)</f>
        <v>0.52521229999999997</v>
      </c>
      <c r="L82" s="27">
        <f>SUMIF(Dataset_static!$A:$A,scores_results!$B82,Dataset_static!O:O)</f>
        <v>6.28055E-2</v>
      </c>
      <c r="M82" s="27">
        <f>SUMIF(Dataset_static!$A:$A,scores_results!$B82,Dataset_static!R:R)</f>
        <v>0.5834937</v>
      </c>
      <c r="N82" s="27">
        <f>SUMIF(Dataset_static!$A:$A,scores_results!$B82,Dataset_static!T:T)</f>
        <v>0.15678400000000001</v>
      </c>
      <c r="O82" s="27">
        <f>SUMIF(Dataset_static!A:A,scores_results!B82,Dataset_static!P:P)</f>
        <v>1.8343358395989975</v>
      </c>
      <c r="P82" s="27">
        <f>SUMIF(Dataset_static!$A:$A,scores_results!$B82,Dataset_static!U:U)</f>
        <v>2.4695376518905929</v>
      </c>
      <c r="R82" t="str">
        <f t="shared" si="2"/>
        <v>test_170</v>
      </c>
      <c r="S82" t="str">
        <f>VLOOKUP($R82,experiments_specs!$A:$J,2,FALSE)</f>
        <v>NN,JJ</v>
      </c>
      <c r="T82">
        <f>VLOOKUP($R82,experiments_specs!$A:$J,4,FALSE)</f>
        <v>3</v>
      </c>
      <c r="U82" t="str">
        <f>VLOOKUP($R82,experiments_specs!$A:$J,5,FALSE)</f>
        <v>True</v>
      </c>
      <c r="V82" t="str">
        <f>VLOOKUP($R82,experiments_specs!$A:$J,6,FALSE)</f>
        <v>False</v>
      </c>
      <c r="W82" t="str">
        <f>VLOOKUP($R82,experiments_specs!$A:$J,7,FALSE)</f>
        <v>False</v>
      </c>
      <c r="X82" t="str">
        <f>VLOOKUP($R82,experiments_specs!$A:$J,8,FALSE)</f>
        <v>True</v>
      </c>
      <c r="Y82" t="str">
        <f>VLOOKUP($R82,experiments_specs!$A:$J,10,FALSE)</f>
        <v>False</v>
      </c>
      <c r="Z82" s="27">
        <f>SUMIF(Dataset_dynamic!$A:$A,scores_results!$R82,Dataset_dynamic!N:N)</f>
        <v>0.23107000000000003</v>
      </c>
      <c r="AA82" s="27">
        <f>SUMIF(Dataset_dynamic!$A:$A,scores_results!$R82,Dataset_dynamic!O:O)</f>
        <v>2.2879737000000002</v>
      </c>
    </row>
    <row r="83" spans="2:27" x14ac:dyDescent="0.2">
      <c r="B83" t="s">
        <v>160</v>
      </c>
      <c r="C83" t="str">
        <f>VLOOKUP($B83,experiments_specs!$A:$J,2,FALSE)</f>
        <v>NN,VB</v>
      </c>
      <c r="D83">
        <f>VLOOKUP($B83,experiments_specs!$A:$J,3,FALSE)</f>
        <v>1</v>
      </c>
      <c r="E83">
        <f>VLOOKUP($B83,experiments_specs!$A:$J,4,FALSE)</f>
        <v>2</v>
      </c>
      <c r="F83" t="str">
        <f>VLOOKUP($B83,experiments_specs!$A:$J,5,FALSE)</f>
        <v>True</v>
      </c>
      <c r="G83" t="str">
        <f>VLOOKUP($B83,experiments_specs!$A:$J,6,FALSE)</f>
        <v>False</v>
      </c>
      <c r="H83" t="str">
        <f>VLOOKUP($B83,experiments_specs!$A:$J,7,FALSE)</f>
        <v>False</v>
      </c>
      <c r="I83" t="str">
        <f>VLOOKUP($B83,experiments_specs!$A:$J,8,FALSE)</f>
        <v>True</v>
      </c>
      <c r="J83" t="str">
        <f>VLOOKUP($B83,experiments_specs!$A:$J,10,FALSE)</f>
        <v>False</v>
      </c>
      <c r="K83" s="27">
        <f>SUMIF(Dataset_static!$A:$A,scores_results!$B83,Dataset_static!M:M)</f>
        <v>0.6311312</v>
      </c>
      <c r="L83" s="27">
        <f>SUMIF(Dataset_static!$A:$A,scores_results!$B83,Dataset_static!O:O)</f>
        <v>7.73895E-2</v>
      </c>
      <c r="M83" s="27">
        <f>SUMIF(Dataset_static!$A:$A,scores_results!$B83,Dataset_static!R:R)</f>
        <v>0.58261479999999999</v>
      </c>
      <c r="N83" s="27">
        <f>SUMIF(Dataset_static!$A:$A,scores_results!$B83,Dataset_static!T:T)</f>
        <v>0.1423759</v>
      </c>
      <c r="O83" s="27">
        <f>SUMIF(Dataset_static!A:A,scores_results!B83,Dataset_static!P:P)</f>
        <v>2.1263993316624896</v>
      </c>
      <c r="P83" s="27">
        <f>SUMIF(Dataset_static!$A:$A,scores_results!$B83,Dataset_static!U:U)</f>
        <v>1.7422649246178659</v>
      </c>
      <c r="R83" t="str">
        <f t="shared" si="2"/>
        <v>test_171</v>
      </c>
      <c r="S83" t="str">
        <f>VLOOKUP($R83,experiments_specs!$A:$J,2,FALSE)</f>
        <v>NN,VB,VBD,VBG,VBN,VBP,VBZ</v>
      </c>
      <c r="T83">
        <f>VLOOKUP($R83,experiments_specs!$A:$J,4,FALSE)</f>
        <v>2</v>
      </c>
      <c r="U83" t="str">
        <f>VLOOKUP($R83,experiments_specs!$A:$J,5,FALSE)</f>
        <v>True</v>
      </c>
      <c r="V83" t="str">
        <f>VLOOKUP($R83,experiments_specs!$A:$J,6,FALSE)</f>
        <v>False</v>
      </c>
      <c r="W83" t="str">
        <f>VLOOKUP($R83,experiments_specs!$A:$J,7,FALSE)</f>
        <v>False</v>
      </c>
      <c r="X83" t="str">
        <f>VLOOKUP($R83,experiments_specs!$A:$J,8,FALSE)</f>
        <v>True</v>
      </c>
      <c r="Y83" t="str">
        <f>VLOOKUP($R83,experiments_specs!$A:$J,10,FALSE)</f>
        <v>False</v>
      </c>
      <c r="Z83" s="27">
        <f>SUMIF(Dataset_dynamic!$A:$A,scores_results!$R83,Dataset_dynamic!N:N)</f>
        <v>0.20615</v>
      </c>
      <c r="AA83" s="27">
        <f>SUMIF(Dataset_dynamic!$A:$A,scores_results!$R83,Dataset_dynamic!O:O)</f>
        <v>1.4713285</v>
      </c>
    </row>
    <row r="84" spans="2:27" x14ac:dyDescent="0.2">
      <c r="B84" t="s">
        <v>161</v>
      </c>
      <c r="C84" t="str">
        <f>VLOOKUP($B84,experiments_specs!$A:$J,2,FALSE)</f>
        <v>NN,VB,VBD,VBG,VBN,VBP,VBZ</v>
      </c>
      <c r="D84">
        <f>VLOOKUP($B84,experiments_specs!$A:$J,3,FALSE)</f>
        <v>1</v>
      </c>
      <c r="E84">
        <f>VLOOKUP($B84,experiments_specs!$A:$J,4,FALSE)</f>
        <v>2</v>
      </c>
      <c r="F84" t="str">
        <f>VLOOKUP($B84,experiments_specs!$A:$J,5,FALSE)</f>
        <v>True</v>
      </c>
      <c r="G84" t="str">
        <f>VLOOKUP($B84,experiments_specs!$A:$J,6,FALSE)</f>
        <v>False</v>
      </c>
      <c r="H84" t="str">
        <f>VLOOKUP($B84,experiments_specs!$A:$J,7,FALSE)</f>
        <v>False</v>
      </c>
      <c r="I84" t="str">
        <f>VLOOKUP($B84,experiments_specs!$A:$J,8,FALSE)</f>
        <v>True</v>
      </c>
      <c r="J84" t="str">
        <f>VLOOKUP($B84,experiments_specs!$A:$J,10,FALSE)</f>
        <v>False</v>
      </c>
      <c r="K84" s="27">
        <f>SUMIF(Dataset_static!$A:$A,scores_results!$B84,Dataset_static!M:M)</f>
        <v>0.57974349999999997</v>
      </c>
      <c r="L84" s="27">
        <f>SUMIF(Dataset_static!$A:$A,scores_results!$B84,Dataset_static!O:O)</f>
        <v>8.2445299999999999E-2</v>
      </c>
      <c r="M84" s="27">
        <f>SUMIF(Dataset_static!$A:$A,scores_results!$B84,Dataset_static!R:R)</f>
        <v>0.70439350000000001</v>
      </c>
      <c r="N84" s="27">
        <f>SUMIF(Dataset_static!$A:$A,scores_results!$B84,Dataset_static!T:T)</f>
        <v>0.1572846</v>
      </c>
      <c r="O84" s="27">
        <f>SUMIF(Dataset_static!A:A,scores_results!B84,Dataset_static!P:P)</f>
        <v>2.0964285714285715</v>
      </c>
      <c r="P84" s="27">
        <f>SUMIF(Dataset_static!$A:$A,scores_results!$B84,Dataset_static!U:U)</f>
        <v>1.7755982579511991</v>
      </c>
      <c r="R84" t="str">
        <f t="shared" si="2"/>
        <v>test_172</v>
      </c>
      <c r="S84" t="str">
        <f>VLOOKUP($R84,experiments_specs!$A:$J,2,FALSE)</f>
        <v>NN,VB,VBD,VBG,VBN,VBP,VBZ</v>
      </c>
      <c r="T84">
        <f>VLOOKUP($R84,experiments_specs!$A:$J,4,FALSE)</f>
        <v>3</v>
      </c>
      <c r="U84" t="str">
        <f>VLOOKUP($R84,experiments_specs!$A:$J,5,FALSE)</f>
        <v>True</v>
      </c>
      <c r="V84" t="str">
        <f>VLOOKUP($R84,experiments_specs!$A:$J,6,FALSE)</f>
        <v>False</v>
      </c>
      <c r="W84" t="str">
        <f>VLOOKUP($R84,experiments_specs!$A:$J,7,FALSE)</f>
        <v>False</v>
      </c>
      <c r="X84" t="str">
        <f>VLOOKUP($R84,experiments_specs!$A:$J,8,FALSE)</f>
        <v>True</v>
      </c>
      <c r="Y84" t="str">
        <f>VLOOKUP($R84,experiments_specs!$A:$J,10,FALSE)</f>
        <v>False</v>
      </c>
      <c r="Z84" s="27">
        <f>SUMIF(Dataset_dynamic!$A:$A,scores_results!$R84,Dataset_dynamic!N:N)</f>
        <v>0.20615</v>
      </c>
      <c r="AA84" s="27">
        <f>SUMIF(Dataset_dynamic!$A:$A,scores_results!$R84,Dataset_dynamic!O:O)</f>
        <v>1.4713285</v>
      </c>
    </row>
    <row r="85" spans="2:27" x14ac:dyDescent="0.2">
      <c r="B85" t="s">
        <v>162</v>
      </c>
      <c r="C85" t="str">
        <f>VLOOKUP($B85,experiments_specs!$A:$J,2,FALSE)</f>
        <v>NN,RB</v>
      </c>
      <c r="D85">
        <f>VLOOKUP($B85,experiments_specs!$A:$J,3,FALSE)</f>
        <v>1</v>
      </c>
      <c r="E85">
        <f>VLOOKUP($B85,experiments_specs!$A:$J,4,FALSE)</f>
        <v>2</v>
      </c>
      <c r="F85" t="str">
        <f>VLOOKUP($B85,experiments_specs!$A:$J,5,FALSE)</f>
        <v>True</v>
      </c>
      <c r="G85" t="str">
        <f>VLOOKUP($B85,experiments_specs!$A:$J,6,FALSE)</f>
        <v>False</v>
      </c>
      <c r="H85" t="str">
        <f>VLOOKUP($B85,experiments_specs!$A:$J,7,FALSE)</f>
        <v>False</v>
      </c>
      <c r="I85" t="str">
        <f>VLOOKUP($B85,experiments_specs!$A:$J,8,FALSE)</f>
        <v>True</v>
      </c>
      <c r="J85" t="str">
        <f>VLOOKUP($B85,experiments_specs!$A:$J,10,FALSE)</f>
        <v>False</v>
      </c>
      <c r="K85" s="27">
        <f>SUMIF(Dataset_static!$A:$A,scores_results!$B85,Dataset_static!M:M)</f>
        <v>0.53074350000000003</v>
      </c>
      <c r="L85" s="27">
        <f>SUMIF(Dataset_static!$A:$A,scores_results!$B85,Dataset_static!O:O)</f>
        <v>8.3508899999999997E-2</v>
      </c>
      <c r="M85" s="27">
        <f>SUMIF(Dataset_static!$A:$A,scores_results!$B85,Dataset_static!R:R)</f>
        <v>0.58977380000000001</v>
      </c>
      <c r="N85" s="27">
        <f>SUMIF(Dataset_static!$A:$A,scores_results!$B85,Dataset_static!T:T)</f>
        <v>0.17489499999999999</v>
      </c>
      <c r="O85" s="27">
        <f>SUMIF(Dataset_static!A:A,scores_results!B85,Dataset_static!P:P)</f>
        <v>1.8343358395989975</v>
      </c>
      <c r="P85" s="27">
        <f>SUMIF(Dataset_static!$A:$A,scores_results!$B85,Dataset_static!U:U)</f>
        <v>1.7305690181851174</v>
      </c>
      <c r="R85" t="str">
        <f t="shared" si="2"/>
        <v>test_173</v>
      </c>
      <c r="S85" t="str">
        <f>VLOOKUP($R85,experiments_specs!$A:$J,2,FALSE)</f>
        <v>NN,JJ,VB,VBD,VBG,VBN,VBP,VBZ</v>
      </c>
      <c r="T85">
        <f>VLOOKUP($R85,experiments_specs!$A:$J,4,FALSE)</f>
        <v>2</v>
      </c>
      <c r="U85" t="str">
        <f>VLOOKUP($R85,experiments_specs!$A:$J,5,FALSE)</f>
        <v>True</v>
      </c>
      <c r="V85" t="str">
        <f>VLOOKUP($R85,experiments_specs!$A:$J,6,FALSE)</f>
        <v>False</v>
      </c>
      <c r="W85" t="str">
        <f>VLOOKUP($R85,experiments_specs!$A:$J,7,FALSE)</f>
        <v>False</v>
      </c>
      <c r="X85" t="str">
        <f>VLOOKUP($R85,experiments_specs!$A:$J,8,FALSE)</f>
        <v>True</v>
      </c>
      <c r="Y85" t="str">
        <f>VLOOKUP($R85,experiments_specs!$A:$J,10,FALSE)</f>
        <v>False</v>
      </c>
      <c r="Z85" s="27">
        <f>SUMIF(Dataset_dynamic!$A:$A,scores_results!$R85,Dataset_dynamic!N:N)</f>
        <v>0.17006149999999998</v>
      </c>
      <c r="AA85" s="27">
        <f>SUMIF(Dataset_dynamic!$A:$A,scores_results!$R85,Dataset_dynamic!O:O)</f>
        <v>1.4895103999999999</v>
      </c>
    </row>
    <row r="86" spans="2:27" x14ac:dyDescent="0.2">
      <c r="B86" t="s">
        <v>163</v>
      </c>
      <c r="C86" t="str">
        <f>VLOOKUP($B86,experiments_specs!$A:$J,2,FALSE)</f>
        <v>NN,JJ,VB,VBD,VBG,VBN,VBP,VBZ</v>
      </c>
      <c r="D86">
        <f>VLOOKUP($B86,experiments_specs!$A:$J,3,FALSE)</f>
        <v>1</v>
      </c>
      <c r="E86">
        <f>VLOOKUP($B86,experiments_specs!$A:$J,4,FALSE)</f>
        <v>2</v>
      </c>
      <c r="F86" t="str">
        <f>VLOOKUP($B86,experiments_specs!$A:$J,5,FALSE)</f>
        <v>True</v>
      </c>
      <c r="G86" t="str">
        <f>VLOOKUP($B86,experiments_specs!$A:$J,6,FALSE)</f>
        <v>False</v>
      </c>
      <c r="H86" t="str">
        <f>VLOOKUP($B86,experiments_specs!$A:$J,7,FALSE)</f>
        <v>False</v>
      </c>
      <c r="I86" t="str">
        <f>VLOOKUP($B86,experiments_specs!$A:$J,8,FALSE)</f>
        <v>True</v>
      </c>
      <c r="J86" t="str">
        <f>VLOOKUP($B86,experiments_specs!$A:$J,10,FALSE)</f>
        <v>False</v>
      </c>
      <c r="K86" s="27">
        <f>SUMIF(Dataset_static!$A:$A,scores_results!$B86,Dataset_static!M:M)</f>
        <v>0.35977290000000001</v>
      </c>
      <c r="L86" s="27">
        <f>SUMIF(Dataset_static!$A:$A,scores_results!$B86,Dataset_static!O:O)</f>
        <v>5.43212E-2</v>
      </c>
      <c r="M86" s="27">
        <f>SUMIF(Dataset_static!$A:$A,scores_results!$B86,Dataset_static!R:R)</f>
        <v>0.70092869999999996</v>
      </c>
      <c r="N86" s="27">
        <f>SUMIF(Dataset_static!$A:$A,scores_results!$B86,Dataset_static!T:T)</f>
        <v>0.14640249999999999</v>
      </c>
      <c r="O86" s="27">
        <f>SUMIF(Dataset_static!A:A,scores_results!B86,Dataset_static!P:P)</f>
        <v>2.0408730158730157</v>
      </c>
      <c r="P86" s="27">
        <f>SUMIF(Dataset_static!$A:$A,scores_results!$B86,Dataset_static!U:U)</f>
        <v>1.7937800761330172</v>
      </c>
      <c r="R86" t="str">
        <f t="shared" si="2"/>
        <v>test_174</v>
      </c>
      <c r="S86" t="str">
        <f>VLOOKUP($R86,experiments_specs!$A:$J,2,FALSE)</f>
        <v>NN,JJ,VB,VBD,VBG,VBN,VBP,VBZ</v>
      </c>
      <c r="T86">
        <f>VLOOKUP($R86,experiments_specs!$A:$J,4,FALSE)</f>
        <v>3</v>
      </c>
      <c r="U86" t="str">
        <f>VLOOKUP($R86,experiments_specs!$A:$J,5,FALSE)</f>
        <v>True</v>
      </c>
      <c r="V86" t="str">
        <f>VLOOKUP($R86,experiments_specs!$A:$J,6,FALSE)</f>
        <v>False</v>
      </c>
      <c r="W86" t="str">
        <f>VLOOKUP($R86,experiments_specs!$A:$J,7,FALSE)</f>
        <v>False</v>
      </c>
      <c r="X86" t="str">
        <f>VLOOKUP($R86,experiments_specs!$A:$J,8,FALSE)</f>
        <v>True</v>
      </c>
      <c r="Y86" t="str">
        <f>VLOOKUP($R86,experiments_specs!$A:$J,10,FALSE)</f>
        <v>False</v>
      </c>
      <c r="Z86" s="27">
        <f>SUMIF(Dataset_dynamic!$A:$A,scores_results!$R86,Dataset_dynamic!N:N)</f>
        <v>0.17006149999999998</v>
      </c>
      <c r="AA86" s="27">
        <f>SUMIF(Dataset_dynamic!$A:$A,scores_results!$R86,Dataset_dynamic!O:O)</f>
        <v>1.4895103999999999</v>
      </c>
    </row>
    <row r="87" spans="2:27" x14ac:dyDescent="0.2">
      <c r="B87" t="s">
        <v>164</v>
      </c>
      <c r="C87" t="str">
        <f>VLOOKUP($B87,experiments_specs!$A:$J,2,FALSE)</f>
        <v>NN</v>
      </c>
      <c r="D87">
        <f>VLOOKUP($B87,experiments_specs!$A:$J,3,FALSE)</f>
        <v>1</v>
      </c>
      <c r="E87">
        <f>VLOOKUP($B87,experiments_specs!$A:$J,4,FALSE)</f>
        <v>2</v>
      </c>
      <c r="F87" t="str">
        <f>VLOOKUP($B87,experiments_specs!$A:$J,5,FALSE)</f>
        <v>True</v>
      </c>
      <c r="G87" t="str">
        <f>VLOOKUP($B87,experiments_specs!$A:$J,6,FALSE)</f>
        <v>False</v>
      </c>
      <c r="H87" t="str">
        <f>VLOOKUP($B87,experiments_specs!$A:$J,7,FALSE)</f>
        <v>False</v>
      </c>
      <c r="I87" t="str">
        <f>VLOOKUP($B87,experiments_specs!$A:$J,8,FALSE)</f>
        <v>True</v>
      </c>
      <c r="J87" t="str">
        <f>VLOOKUP($B87,experiments_specs!$A:$J,10,FALSE)</f>
        <v>True</v>
      </c>
      <c r="K87" s="27">
        <f>SUMIF(Dataset_static!$A:$A,scores_results!$B87,Dataset_static!M:M)</f>
        <v>0.53403970000000001</v>
      </c>
      <c r="L87" s="27">
        <f>SUMIF(Dataset_static!$A:$A,scores_results!$B87,Dataset_static!O:O)</f>
        <v>8.7512800000000002E-2</v>
      </c>
      <c r="M87" s="27">
        <f>SUMIF(Dataset_static!$A:$A,scores_results!$B87,Dataset_static!R:R)</f>
        <v>0.59279539999999997</v>
      </c>
      <c r="N87" s="27">
        <f>SUMIF(Dataset_static!$A:$A,scores_results!$B87,Dataset_static!T:T)</f>
        <v>0.1507175</v>
      </c>
      <c r="O87" s="27">
        <f>SUMIF(Dataset_static!A:A,scores_results!B87,Dataset_static!P:P)</f>
        <v>1.8343358395989975</v>
      </c>
      <c r="P87" s="27">
        <f>SUMIF(Dataset_static!$A:$A,scores_results!$B87,Dataset_static!U:U)</f>
        <v>1.7305690181851174</v>
      </c>
      <c r="R87" t="str">
        <f t="shared" si="2"/>
        <v>test_175</v>
      </c>
      <c r="S87" t="str">
        <f>VLOOKUP($R87,experiments_specs!$A:$J,2,FALSE)</f>
        <v>NN,JJ</v>
      </c>
      <c r="T87">
        <f>VLOOKUP($R87,experiments_specs!$A:$J,4,FALSE)</f>
        <v>2</v>
      </c>
      <c r="U87" t="str">
        <f>VLOOKUP($R87,experiments_specs!$A:$J,5,FALSE)</f>
        <v>False</v>
      </c>
      <c r="V87" t="str">
        <f>VLOOKUP($R87,experiments_specs!$A:$J,6,FALSE)</f>
        <v>False</v>
      </c>
      <c r="W87" t="str">
        <f>VLOOKUP($R87,experiments_specs!$A:$J,7,FALSE)</f>
        <v>False</v>
      </c>
      <c r="X87" t="str">
        <f>VLOOKUP($R87,experiments_specs!$A:$J,8,FALSE)</f>
        <v>True</v>
      </c>
      <c r="Y87" t="str">
        <f>VLOOKUP($R87,experiments_specs!$A:$J,10,FALSE)</f>
        <v>True</v>
      </c>
      <c r="Z87" s="27">
        <f>SUMIF(Dataset_dynamic!$A:$A,scores_results!$R87,Dataset_dynamic!N:N)</f>
        <v>4.3774399999999998E-2</v>
      </c>
      <c r="AA87" s="27">
        <f>SUMIF(Dataset_dynamic!$A:$A,scores_results!$R87,Dataset_dynamic!O:O)</f>
        <v>1.0428937999999999</v>
      </c>
    </row>
    <row r="88" spans="2:27" x14ac:dyDescent="0.2">
      <c r="B88" t="s">
        <v>165</v>
      </c>
      <c r="C88" t="str">
        <f>VLOOKUP($B88,experiments_specs!$A:$J,2,FALSE)</f>
        <v>NN,JJ</v>
      </c>
      <c r="D88">
        <f>VLOOKUP($B88,experiments_specs!$A:$J,3,FALSE)</f>
        <v>1</v>
      </c>
      <c r="E88">
        <f>VLOOKUP($B88,experiments_specs!$A:$J,4,FALSE)</f>
        <v>2</v>
      </c>
      <c r="F88" t="str">
        <f>VLOOKUP($B88,experiments_specs!$A:$J,5,FALSE)</f>
        <v>True</v>
      </c>
      <c r="G88" t="str">
        <f>VLOOKUP($B88,experiments_specs!$A:$J,6,FALSE)</f>
        <v>False</v>
      </c>
      <c r="H88" t="str">
        <f>VLOOKUP($B88,experiments_specs!$A:$J,7,FALSE)</f>
        <v>False</v>
      </c>
      <c r="I88" t="str">
        <f>VLOOKUP($B88,experiments_specs!$A:$J,8,FALSE)</f>
        <v>True</v>
      </c>
      <c r="J88" t="str">
        <f>VLOOKUP($B88,experiments_specs!$A:$J,10,FALSE)</f>
        <v>True</v>
      </c>
      <c r="K88" s="27">
        <f>SUMIF(Dataset_static!$A:$A,scores_results!$B88,Dataset_static!M:M)</f>
        <v>0.53013789999999994</v>
      </c>
      <c r="L88" s="27">
        <f>SUMIF(Dataset_static!$A:$A,scores_results!$B88,Dataset_static!O:O)</f>
        <v>8.1955899999999998E-2</v>
      </c>
      <c r="M88" s="27">
        <f>SUMIF(Dataset_static!$A:$A,scores_results!$B88,Dataset_static!R:R)</f>
        <v>0.6821642</v>
      </c>
      <c r="N88" s="27">
        <f>SUMIF(Dataset_static!$A:$A,scores_results!$B88,Dataset_static!T:T)</f>
        <v>0.18301529999999999</v>
      </c>
      <c r="O88" s="27">
        <f>SUMIF(Dataset_static!A:A,scores_results!B88,Dataset_static!P:P)</f>
        <v>1.8343358395989975</v>
      </c>
      <c r="P88" s="27">
        <f>SUMIF(Dataset_static!$A:$A,scores_results!$B88,Dataset_static!U:U)</f>
        <v>2.4578417454578441</v>
      </c>
      <c r="R88" t="str">
        <f t="shared" si="2"/>
        <v>test_176</v>
      </c>
      <c r="S88" t="str">
        <f>VLOOKUP($R88,experiments_specs!$A:$J,2,FALSE)</f>
        <v>NN,JJ</v>
      </c>
      <c r="T88">
        <f>VLOOKUP($R88,experiments_specs!$A:$J,4,FALSE)</f>
        <v>3</v>
      </c>
      <c r="U88" t="str">
        <f>VLOOKUP($R88,experiments_specs!$A:$J,5,FALSE)</f>
        <v>True</v>
      </c>
      <c r="V88" t="str">
        <f>VLOOKUP($R88,experiments_specs!$A:$J,6,FALSE)</f>
        <v>False</v>
      </c>
      <c r="W88" t="str">
        <f>VLOOKUP($R88,experiments_specs!$A:$J,7,FALSE)</f>
        <v>False</v>
      </c>
      <c r="X88" t="str">
        <f>VLOOKUP($R88,experiments_specs!$A:$J,8,FALSE)</f>
        <v>True</v>
      </c>
      <c r="Y88" t="str">
        <f>VLOOKUP($R88,experiments_specs!$A:$J,10,FALSE)</f>
        <v>True</v>
      </c>
      <c r="Z88" s="27">
        <f>SUMIF(Dataset_dynamic!$A:$A,scores_results!$R88,Dataset_dynamic!N:N)</f>
        <v>0.25556040000000002</v>
      </c>
      <c r="AA88" s="27">
        <f>SUMIF(Dataset_dynamic!$A:$A,scores_results!$R88,Dataset_dynamic!O:O)</f>
        <v>1.5572452999999999</v>
      </c>
    </row>
    <row r="89" spans="2:27" x14ac:dyDescent="0.2">
      <c r="B89" t="s">
        <v>166</v>
      </c>
      <c r="C89" t="str">
        <f>VLOOKUP($B89,experiments_specs!$A:$J,2,FALSE)</f>
        <v>NN,VB</v>
      </c>
      <c r="D89">
        <f>VLOOKUP($B89,experiments_specs!$A:$J,3,FALSE)</f>
        <v>1</v>
      </c>
      <c r="E89">
        <f>VLOOKUP($B89,experiments_specs!$A:$J,4,FALSE)</f>
        <v>2</v>
      </c>
      <c r="F89" t="str">
        <f>VLOOKUP($B89,experiments_specs!$A:$J,5,FALSE)</f>
        <v>True</v>
      </c>
      <c r="G89" t="str">
        <f>VLOOKUP($B89,experiments_specs!$A:$J,6,FALSE)</f>
        <v>False</v>
      </c>
      <c r="H89" t="str">
        <f>VLOOKUP($B89,experiments_specs!$A:$J,7,FALSE)</f>
        <v>False</v>
      </c>
      <c r="I89" t="str">
        <f>VLOOKUP($B89,experiments_specs!$A:$J,8,FALSE)</f>
        <v>True</v>
      </c>
      <c r="J89" t="str">
        <f>VLOOKUP($B89,experiments_specs!$A:$J,10,FALSE)</f>
        <v>True</v>
      </c>
      <c r="K89" s="27">
        <f>SUMIF(Dataset_static!$A:$A,scores_results!$B89,Dataset_static!M:M)</f>
        <v>0.53206759999999997</v>
      </c>
      <c r="L89" s="27">
        <f>SUMIF(Dataset_static!$A:$A,scores_results!$B89,Dataset_static!O:O)</f>
        <v>7.4242699999999995E-2</v>
      </c>
      <c r="M89" s="27">
        <f>SUMIF(Dataset_static!$A:$A,scores_results!$B89,Dataset_static!R:R)</f>
        <v>0.58823819999999993</v>
      </c>
      <c r="N89" s="27">
        <f>SUMIF(Dataset_static!$A:$A,scores_results!$B89,Dataset_static!T:T)</f>
        <v>0.1336976</v>
      </c>
      <c r="O89" s="27">
        <f>SUMIF(Dataset_static!A:A,scores_results!B89,Dataset_static!P:P)</f>
        <v>1.7708437761069338</v>
      </c>
      <c r="P89" s="27">
        <f>SUMIF(Dataset_static!$A:$A,scores_results!$B89,Dataset_static!U:U)</f>
        <v>1.7422649246178659</v>
      </c>
      <c r="R89" t="str">
        <f t="shared" si="2"/>
        <v>test_177</v>
      </c>
      <c r="S89" t="str">
        <f>VLOOKUP($R89,experiments_specs!$A:$J,2,FALSE)</f>
        <v>NN,VB,VBD,VBG,VBN,VBP,VBZ</v>
      </c>
      <c r="T89">
        <f>VLOOKUP($R89,experiments_specs!$A:$J,4,FALSE)</f>
        <v>2</v>
      </c>
      <c r="U89" t="str">
        <f>VLOOKUP($R89,experiments_specs!$A:$J,5,FALSE)</f>
        <v>True</v>
      </c>
      <c r="V89" t="str">
        <f>VLOOKUP($R89,experiments_specs!$A:$J,6,FALSE)</f>
        <v>False</v>
      </c>
      <c r="W89" t="str">
        <f>VLOOKUP($R89,experiments_specs!$A:$J,7,FALSE)</f>
        <v>False</v>
      </c>
      <c r="X89" t="str">
        <f>VLOOKUP($R89,experiments_specs!$A:$J,8,FALSE)</f>
        <v>True</v>
      </c>
      <c r="Y89" t="str">
        <f>VLOOKUP($R89,experiments_specs!$A:$J,10,FALSE)</f>
        <v>True</v>
      </c>
      <c r="Z89" s="27">
        <f>SUMIF(Dataset_dynamic!$A:$A,scores_results!$R89,Dataset_dynamic!N:N)</f>
        <v>0.23105559999999997</v>
      </c>
      <c r="AA89" s="27">
        <f>SUMIF(Dataset_dynamic!$A:$A,scores_results!$R89,Dataset_dynamic!O:O)</f>
        <v>1.476105</v>
      </c>
    </row>
    <row r="90" spans="2:27" x14ac:dyDescent="0.2">
      <c r="B90" t="s">
        <v>167</v>
      </c>
      <c r="C90" t="str">
        <f>VLOOKUP($B90,experiments_specs!$A:$J,2,FALSE)</f>
        <v>NN,VB,VBD,VBG,VBN,VBP,VBZ</v>
      </c>
      <c r="D90">
        <f>VLOOKUP($B90,experiments_specs!$A:$J,3,FALSE)</f>
        <v>1</v>
      </c>
      <c r="E90">
        <f>VLOOKUP($B90,experiments_specs!$A:$J,4,FALSE)</f>
        <v>2</v>
      </c>
      <c r="F90" t="str">
        <f>VLOOKUP($B90,experiments_specs!$A:$J,5,FALSE)</f>
        <v>True</v>
      </c>
      <c r="G90" t="str">
        <f>VLOOKUP($B90,experiments_specs!$A:$J,6,FALSE)</f>
        <v>False</v>
      </c>
      <c r="H90" t="str">
        <f>VLOOKUP($B90,experiments_specs!$A:$J,7,FALSE)</f>
        <v>False</v>
      </c>
      <c r="I90" t="str">
        <f>VLOOKUP($B90,experiments_specs!$A:$J,8,FALSE)</f>
        <v>True</v>
      </c>
      <c r="J90" t="str">
        <f>VLOOKUP($B90,experiments_specs!$A:$J,10,FALSE)</f>
        <v>True</v>
      </c>
      <c r="K90" s="27">
        <f>SUMIF(Dataset_static!$A:$A,scores_results!$B90,Dataset_static!M:M)</f>
        <v>0.53013789999999994</v>
      </c>
      <c r="L90" s="27">
        <f>SUMIF(Dataset_static!$A:$A,scores_results!$B90,Dataset_static!O:O)</f>
        <v>7.0224700000000001E-2</v>
      </c>
      <c r="M90" s="27">
        <f>SUMIF(Dataset_static!$A:$A,scores_results!$B90,Dataset_static!R:R)</f>
        <v>0.58478299999999994</v>
      </c>
      <c r="N90" s="27">
        <f>SUMIF(Dataset_static!$A:$A,scores_results!$B90,Dataset_static!T:T)</f>
        <v>0.12590099999999999</v>
      </c>
      <c r="O90" s="27">
        <f>SUMIF(Dataset_static!A:A,scores_results!B90,Dataset_static!P:P)</f>
        <v>1.7708437761069338</v>
      </c>
      <c r="P90" s="27">
        <f>SUMIF(Dataset_static!$A:$A,scores_results!$B90,Dataset_static!U:U)</f>
        <v>1.7422649246178659</v>
      </c>
      <c r="R90" t="str">
        <f t="shared" si="2"/>
        <v>test_178</v>
      </c>
      <c r="S90" t="str">
        <f>VLOOKUP($R90,experiments_specs!$A:$J,2,FALSE)</f>
        <v>NN,VB,VBD,VBG,VBN,VBP,VBZ</v>
      </c>
      <c r="T90">
        <f>VLOOKUP($R90,experiments_specs!$A:$J,4,FALSE)</f>
        <v>3</v>
      </c>
      <c r="U90" t="str">
        <f>VLOOKUP($R90,experiments_specs!$A:$J,5,FALSE)</f>
        <v>True</v>
      </c>
      <c r="V90" t="str">
        <f>VLOOKUP($R90,experiments_specs!$A:$J,6,FALSE)</f>
        <v>False</v>
      </c>
      <c r="W90" t="str">
        <f>VLOOKUP($R90,experiments_specs!$A:$J,7,FALSE)</f>
        <v>False</v>
      </c>
      <c r="X90" t="str">
        <f>VLOOKUP($R90,experiments_specs!$A:$J,8,FALSE)</f>
        <v>True</v>
      </c>
      <c r="Y90" t="str">
        <f>VLOOKUP($R90,experiments_specs!$A:$J,10,FALSE)</f>
        <v>True</v>
      </c>
      <c r="Z90" s="27">
        <f>SUMIF(Dataset_dynamic!$A:$A,scores_results!$R90,Dataset_dynamic!N:N)</f>
        <v>0.23105559999999997</v>
      </c>
      <c r="AA90" s="27">
        <f>SUMIF(Dataset_dynamic!$A:$A,scores_results!$R90,Dataset_dynamic!O:O)</f>
        <v>1.476105</v>
      </c>
    </row>
    <row r="91" spans="2:27" x14ac:dyDescent="0.2">
      <c r="B91" t="s">
        <v>168</v>
      </c>
      <c r="C91" t="str">
        <f>VLOOKUP($B91,experiments_specs!$A:$J,2,FALSE)</f>
        <v>NN,RB</v>
      </c>
      <c r="D91">
        <f>VLOOKUP($B91,experiments_specs!$A:$J,3,FALSE)</f>
        <v>1</v>
      </c>
      <c r="E91">
        <f>VLOOKUP($B91,experiments_specs!$A:$J,4,FALSE)</f>
        <v>2</v>
      </c>
      <c r="F91" t="str">
        <f>VLOOKUP($B91,experiments_specs!$A:$J,5,FALSE)</f>
        <v>True</v>
      </c>
      <c r="G91" t="str">
        <f>VLOOKUP($B91,experiments_specs!$A:$J,6,FALSE)</f>
        <v>False</v>
      </c>
      <c r="H91" t="str">
        <f>VLOOKUP($B91,experiments_specs!$A:$J,7,FALSE)</f>
        <v>False</v>
      </c>
      <c r="I91" t="str">
        <f>VLOOKUP($B91,experiments_specs!$A:$J,8,FALSE)</f>
        <v>True</v>
      </c>
      <c r="J91" t="str">
        <f>VLOOKUP($B91,experiments_specs!$A:$J,10,FALSE)</f>
        <v>True</v>
      </c>
      <c r="K91" s="27">
        <f>SUMIF(Dataset_static!$A:$A,scores_results!$B91,Dataset_static!M:M)</f>
        <v>0.53403970000000001</v>
      </c>
      <c r="L91" s="27">
        <f>SUMIF(Dataset_static!$A:$A,scores_results!$B91,Dataset_static!O:O)</f>
        <v>8.7512800000000002E-2</v>
      </c>
      <c r="M91" s="27">
        <f>SUMIF(Dataset_static!$A:$A,scores_results!$B91,Dataset_static!R:R)</f>
        <v>0.59279539999999997</v>
      </c>
      <c r="N91" s="27">
        <f>SUMIF(Dataset_static!$A:$A,scores_results!$B91,Dataset_static!T:T)</f>
        <v>0.1507175</v>
      </c>
      <c r="O91" s="27">
        <f>SUMIF(Dataset_static!A:A,scores_results!B91,Dataset_static!P:P)</f>
        <v>1.8343358395989975</v>
      </c>
      <c r="P91" s="27">
        <f>SUMIF(Dataset_static!$A:$A,scores_results!$B91,Dataset_static!U:U)</f>
        <v>1.7305690181851174</v>
      </c>
      <c r="R91" t="str">
        <f t="shared" si="2"/>
        <v>test_179</v>
      </c>
      <c r="S91" t="str">
        <f>VLOOKUP($R91,experiments_specs!$A:$J,2,FALSE)</f>
        <v>NN,JJ,VB,VBD,VBG,VBN,VBP,VBZ</v>
      </c>
      <c r="T91">
        <f>VLOOKUP($R91,experiments_specs!$A:$J,4,FALSE)</f>
        <v>2</v>
      </c>
      <c r="U91" t="str">
        <f>VLOOKUP($R91,experiments_specs!$A:$J,5,FALSE)</f>
        <v>True</v>
      </c>
      <c r="V91" t="str">
        <f>VLOOKUP($R91,experiments_specs!$A:$J,6,FALSE)</f>
        <v>False</v>
      </c>
      <c r="W91" t="str">
        <f>VLOOKUP($R91,experiments_specs!$A:$J,7,FALSE)</f>
        <v>False</v>
      </c>
      <c r="X91" t="str">
        <f>VLOOKUP($R91,experiments_specs!$A:$J,8,FALSE)</f>
        <v>True</v>
      </c>
      <c r="Y91" t="str">
        <f>VLOOKUP($R91,experiments_specs!$A:$J,10,FALSE)</f>
        <v>True</v>
      </c>
      <c r="Z91" s="27">
        <f>SUMIF(Dataset_dynamic!$A:$A,scores_results!$R91,Dataset_dynamic!N:N)</f>
        <v>0.2128466</v>
      </c>
      <c r="AA91" s="27">
        <f>SUMIF(Dataset_dynamic!$A:$A,scores_results!$R91,Dataset_dynamic!O:O)</f>
        <v>1.4205493999999999</v>
      </c>
    </row>
    <row r="92" spans="2:27" x14ac:dyDescent="0.2">
      <c r="B92" t="s">
        <v>169</v>
      </c>
      <c r="C92" t="str">
        <f>VLOOKUP($B92,experiments_specs!$A:$J,2,FALSE)</f>
        <v>NN,JJ,VB,VBD,VBG,VBN,VBP,VBZ</v>
      </c>
      <c r="D92">
        <f>VLOOKUP($B92,experiments_specs!$A:$J,3,FALSE)</f>
        <v>1</v>
      </c>
      <c r="E92">
        <f>VLOOKUP($B92,experiments_specs!$A:$J,4,FALSE)</f>
        <v>2</v>
      </c>
      <c r="F92" t="str">
        <f>VLOOKUP($B92,experiments_specs!$A:$J,5,FALSE)</f>
        <v>True</v>
      </c>
      <c r="G92" t="str">
        <f>VLOOKUP($B92,experiments_specs!$A:$J,6,FALSE)</f>
        <v>False</v>
      </c>
      <c r="H92" t="str">
        <f>VLOOKUP($B92,experiments_specs!$A:$J,7,FALSE)</f>
        <v>False</v>
      </c>
      <c r="I92" t="str">
        <f>VLOOKUP($B92,experiments_specs!$A:$J,8,FALSE)</f>
        <v>True</v>
      </c>
      <c r="J92" t="str">
        <f>VLOOKUP($B92,experiments_specs!$A:$J,10,FALSE)</f>
        <v>True</v>
      </c>
      <c r="K92" s="27">
        <f>SUMIF(Dataset_static!$A:$A,scores_results!$B92,Dataset_static!M:M)</f>
        <v>0.53013789999999994</v>
      </c>
      <c r="L92" s="27">
        <f>SUMIF(Dataset_static!$A:$A,scores_results!$B92,Dataset_static!O:O)</f>
        <v>6.6644499999999995E-2</v>
      </c>
      <c r="M92" s="27">
        <f>SUMIF(Dataset_static!$A:$A,scores_results!$B92,Dataset_static!R:R)</f>
        <v>0.58478299999999994</v>
      </c>
      <c r="N92" s="27">
        <f>SUMIF(Dataset_static!$A:$A,scores_results!$B92,Dataset_static!T:T)</f>
        <v>0.11282159999999999</v>
      </c>
      <c r="O92" s="27">
        <f>SUMIF(Dataset_static!A:A,scores_results!B92,Dataset_static!P:P)</f>
        <v>1.7708437761069338</v>
      </c>
      <c r="P92" s="27">
        <f>SUMIF(Dataset_static!$A:$A,scores_results!$B92,Dataset_static!U:U)</f>
        <v>2.4695376518905929</v>
      </c>
      <c r="R92" t="str">
        <f t="shared" si="2"/>
        <v>test_180</v>
      </c>
      <c r="S92" t="str">
        <f>VLOOKUP($R92,experiments_specs!$A:$J,2,FALSE)</f>
        <v>NN,JJ,VB,VBD,VBG,VBN,VBP,VBZ</v>
      </c>
      <c r="T92">
        <f>VLOOKUP($R92,experiments_specs!$A:$J,4,FALSE)</f>
        <v>3</v>
      </c>
      <c r="U92" t="str">
        <f>VLOOKUP($R92,experiments_specs!$A:$J,5,FALSE)</f>
        <v>True</v>
      </c>
      <c r="V92" t="str">
        <f>VLOOKUP($R92,experiments_specs!$A:$J,6,FALSE)</f>
        <v>False</v>
      </c>
      <c r="W92" t="str">
        <f>VLOOKUP($R92,experiments_specs!$A:$J,7,FALSE)</f>
        <v>False</v>
      </c>
      <c r="X92" t="str">
        <f>VLOOKUP($R92,experiments_specs!$A:$J,8,FALSE)</f>
        <v>True</v>
      </c>
      <c r="Y92" t="str">
        <f>VLOOKUP($R92,experiments_specs!$A:$J,10,FALSE)</f>
        <v>True</v>
      </c>
      <c r="Z92" s="27">
        <f>SUMIF(Dataset_dynamic!$A:$A,scores_results!$R92,Dataset_dynamic!N:N)</f>
        <v>0.2128466</v>
      </c>
      <c r="AA92" s="27">
        <f>SUMIF(Dataset_dynamic!$A:$A,scores_results!$R92,Dataset_dynamic!O:O)</f>
        <v>1.4205493999999999</v>
      </c>
    </row>
  </sheetData>
  <mergeCells count="2">
    <mergeCell ref="R1:AA1"/>
    <mergeCell ref="B1:P1"/>
  </mergeCells>
  <phoneticPr fontId="5" type="noConversion"/>
  <conditionalFormatting sqref="K3:K92">
    <cfRule type="colorScale" priority="6">
      <colorScale>
        <cfvo type="min"/>
        <cfvo type="percentile" val="50"/>
        <cfvo type="max"/>
        <color rgb="FFF8696B"/>
        <color rgb="FFFFEB84"/>
        <color rgb="FF63BE7B"/>
      </colorScale>
    </cfRule>
  </conditionalFormatting>
  <conditionalFormatting sqref="L3:L92">
    <cfRule type="colorScale" priority="5">
      <colorScale>
        <cfvo type="min"/>
        <cfvo type="percentile" val="50"/>
        <cfvo type="max"/>
        <color rgb="FFF8696B"/>
        <color rgb="FFFFEB84"/>
        <color rgb="FF63BE7B"/>
      </colorScale>
    </cfRule>
  </conditionalFormatting>
  <conditionalFormatting sqref="O3:P92">
    <cfRule type="colorScale" priority="9">
      <colorScale>
        <cfvo type="min"/>
        <cfvo type="percentile" val="50"/>
        <cfvo type="max"/>
        <color rgb="FFF8696B"/>
        <color rgb="FFFFEB84"/>
        <color rgb="FF63BE7B"/>
      </colorScale>
    </cfRule>
  </conditionalFormatting>
  <conditionalFormatting sqref="M3:M92">
    <cfRule type="colorScale" priority="10">
      <colorScale>
        <cfvo type="min"/>
        <cfvo type="percentile" val="50"/>
        <cfvo type="max"/>
        <color rgb="FFF8696B"/>
        <color rgb="FFFFEB84"/>
        <color rgb="FF63BE7B"/>
      </colorScale>
    </cfRule>
  </conditionalFormatting>
  <conditionalFormatting sqref="N3:N92">
    <cfRule type="colorScale" priority="11">
      <colorScale>
        <cfvo type="min"/>
        <cfvo type="percentile" val="50"/>
        <cfvo type="max"/>
        <color rgb="FFF8696B"/>
        <color rgb="FFFFEB84"/>
        <color rgb="FF63BE7B"/>
      </colorScale>
    </cfRule>
  </conditionalFormatting>
  <conditionalFormatting sqref="Z3:Z92">
    <cfRule type="colorScale" priority="2">
      <colorScale>
        <cfvo type="min"/>
        <cfvo type="percentile" val="50"/>
        <cfvo type="max"/>
        <color rgb="FFF8696B"/>
        <color rgb="FFFFEB84"/>
        <color rgb="FF63BE7B"/>
      </colorScale>
    </cfRule>
  </conditionalFormatting>
  <conditionalFormatting sqref="AA3:AA9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145A6-12D4-454D-91A3-18E2A07CEBE6}">
  <sheetPr codeName="Foglio10"/>
  <dimension ref="A1:P722"/>
  <sheetViews>
    <sheetView tabSelected="1" zoomScale="101" workbookViewId="0">
      <selection activeCell="L1" sqref="L1"/>
    </sheetView>
  </sheetViews>
  <sheetFormatPr baseColWidth="10" defaultRowHeight="16" x14ac:dyDescent="0.2"/>
  <cols>
    <col min="1" max="1" width="8.33203125" style="54" customWidth="1"/>
    <col min="2" max="2" width="6.5" style="40" customWidth="1"/>
    <col min="3" max="3" width="6.6640625" style="54" customWidth="1"/>
    <col min="4" max="4" width="6.5" style="54" customWidth="1"/>
    <col min="5" max="5" width="7.6640625" style="54" customWidth="1"/>
    <col min="6" max="6" width="10" style="54" customWidth="1"/>
    <col min="7" max="7" width="10.33203125" style="54" customWidth="1"/>
    <col min="8" max="8" width="9" style="54" customWidth="1"/>
    <col min="9" max="9" width="4.33203125" style="54" customWidth="1"/>
    <col min="10" max="10" width="5.83203125" style="54" customWidth="1"/>
    <col min="11" max="11" width="23.83203125" style="54" customWidth="1"/>
    <col min="12" max="12" width="24" style="54" customWidth="1"/>
    <col min="13" max="13" width="2.6640625" style="54" customWidth="1"/>
    <col min="14" max="14" width="28" style="54" customWidth="1"/>
    <col min="15" max="15" width="11.83203125" style="54" customWidth="1"/>
    <col min="16" max="16" width="19.83203125" style="53" customWidth="1"/>
    <col min="17" max="16384" width="10.83203125" style="54"/>
  </cols>
  <sheetData>
    <row r="1" spans="1:16" s="36" customFormat="1" ht="85" x14ac:dyDescent="0.2">
      <c r="A1" s="36" t="s">
        <v>0</v>
      </c>
      <c r="B1" s="40" t="s">
        <v>1</v>
      </c>
      <c r="C1" s="36" t="s">
        <v>2</v>
      </c>
      <c r="D1" s="36" t="s">
        <v>3</v>
      </c>
      <c r="E1" s="36" t="s">
        <v>4</v>
      </c>
      <c r="F1" s="36" t="s">
        <v>5</v>
      </c>
      <c r="G1" s="36" t="s">
        <v>6</v>
      </c>
      <c r="H1" s="36" t="s">
        <v>7</v>
      </c>
      <c r="I1" s="36" t="s">
        <v>8</v>
      </c>
      <c r="J1" s="36" t="s">
        <v>9</v>
      </c>
      <c r="K1" s="36" t="s">
        <v>49</v>
      </c>
      <c r="L1" s="36" t="s">
        <v>1307</v>
      </c>
      <c r="M1" s="36" t="s">
        <v>1308</v>
      </c>
      <c r="N1" s="36" t="s">
        <v>1309</v>
      </c>
      <c r="O1" s="36" t="s">
        <v>121</v>
      </c>
      <c r="P1" s="37"/>
    </row>
    <row r="2" spans="1:16" x14ac:dyDescent="0.2">
      <c r="A2" s="36"/>
      <c r="B2" s="40" t="e">
        <f>VLOOKUP(Tabella13[[#This Row],[test_id]],experiments_specs!A:J,2,FALSE)</f>
        <v>#N/A</v>
      </c>
      <c r="C2" s="36" t="e">
        <f>VLOOKUP(Tabella13[[#This Row],[test_id]],experiments_specs!A:J,3,FALSE)</f>
        <v>#N/A</v>
      </c>
      <c r="D2" s="36" t="e">
        <f>VLOOKUP(Tabella13[[#This Row],[test_id]],experiments_specs!A:J,4,FALSE)</f>
        <v>#N/A</v>
      </c>
      <c r="E2" s="36" t="e">
        <f>VLOOKUP(Tabella13[[#This Row],[test_id]],experiments_specs!A:J,5,FALSE)</f>
        <v>#N/A</v>
      </c>
      <c r="F2" s="36" t="e">
        <f>VLOOKUP(Tabella13[[#This Row],[test_id]],experiments_specs!A:J,6,FALSE)</f>
        <v>#N/A</v>
      </c>
      <c r="G2" s="36" t="e">
        <f>VLOOKUP(Tabella13[[#This Row],[test_id]],experiments_specs!A:J,7,FALSE)</f>
        <v>#N/A</v>
      </c>
      <c r="H2" s="36" t="e">
        <f>VLOOKUP(Tabella13[[#This Row],[test_id]],experiments_specs!A:J,8,FALSE)</f>
        <v>#N/A</v>
      </c>
      <c r="I2" s="36" t="e">
        <f>VLOOKUP(Tabella13[[#This Row],[test_id]],experiments_specs!A:J,9,FALSE)</f>
        <v>#N/A</v>
      </c>
      <c r="J2" s="36" t="e">
        <f>VLOOKUP(Tabella13[[#This Row],[test_id]],experiments_specs!A:J,10,FALSE)</f>
        <v>#N/A</v>
      </c>
      <c r="K2" s="40"/>
      <c r="L2" s="36"/>
      <c r="M2" s="36"/>
      <c r="N2" s="36"/>
      <c r="O2" s="36"/>
    </row>
    <row r="3" spans="1:16" ht="85" x14ac:dyDescent="0.2">
      <c r="A3" s="36" t="s">
        <v>1224</v>
      </c>
      <c r="B3" s="45" t="str">
        <f>VLOOKUP(Tabella13[[#This Row],[test_id]],experiments_specs!A:J,2,FALSE)</f>
        <v>NN,VB,VBD,VBG,VBN,VBP,VBZ</v>
      </c>
      <c r="C3" s="38">
        <f>VLOOKUP(Tabella13[[#This Row],[test_id]],experiments_specs!A:J,3,FALSE)</f>
        <v>0</v>
      </c>
      <c r="D3" s="38">
        <f>VLOOKUP(Tabella13[[#This Row],[test_id]],experiments_specs!A:J,4,FALSE)</f>
        <v>3</v>
      </c>
      <c r="E3" s="38" t="str">
        <f>VLOOKUP(Tabella13[[#This Row],[test_id]],experiments_specs!A:J,5,FALSE)</f>
        <v>True</v>
      </c>
      <c r="F3" s="38" t="str">
        <f>VLOOKUP(Tabella13[[#This Row],[test_id]],experiments_specs!A:J,6,FALSE)</f>
        <v>True</v>
      </c>
      <c r="G3" s="38" t="str">
        <f>VLOOKUP(Tabella13[[#This Row],[test_id]],experiments_specs!A:J,7,FALSE)</f>
        <v>False</v>
      </c>
      <c r="H3" s="38" t="str">
        <f>VLOOKUP(Tabella13[[#This Row],[test_id]],experiments_specs!A:J,8,FALSE)</f>
        <v>False</v>
      </c>
      <c r="I3" s="38" t="str">
        <f>VLOOKUP(Tabella13[[#This Row],[test_id]],experiments_specs!A:J,9,FALSE)</f>
        <v>wup_similarity</v>
      </c>
      <c r="J3" s="38" t="str">
        <f>VLOOKUP(Tabella13[[#This Row],[test_id]],experiments_specs!A:J,10,FALSE)</f>
        <v>False</v>
      </c>
      <c r="K3" s="40" t="s">
        <v>19</v>
      </c>
      <c r="L3" s="36" t="s">
        <v>226</v>
      </c>
      <c r="M3" s="36">
        <v>4</v>
      </c>
      <c r="N3" s="36">
        <v>2.5359400000000001E-2</v>
      </c>
      <c r="O3" s="36">
        <v>0.17391300000000001</v>
      </c>
    </row>
    <row r="4" spans="1:16" ht="85" x14ac:dyDescent="0.2">
      <c r="A4" s="36" t="s">
        <v>1224</v>
      </c>
      <c r="B4" s="45" t="str">
        <f>VLOOKUP(Tabella13[[#This Row],[test_id]],experiments_specs!A:J,2,FALSE)</f>
        <v>NN,VB,VBD,VBG,VBN,VBP,VBZ</v>
      </c>
      <c r="C4" s="38">
        <f>VLOOKUP(Tabella13[[#This Row],[test_id]],experiments_specs!A:J,3,FALSE)</f>
        <v>0</v>
      </c>
      <c r="D4" s="38">
        <f>VLOOKUP(Tabella13[[#This Row],[test_id]],experiments_specs!A:J,4,FALSE)</f>
        <v>3</v>
      </c>
      <c r="E4" s="38" t="str">
        <f>VLOOKUP(Tabella13[[#This Row],[test_id]],experiments_specs!A:J,5,FALSE)</f>
        <v>True</v>
      </c>
      <c r="F4" s="38" t="str">
        <f>VLOOKUP(Tabella13[[#This Row],[test_id]],experiments_specs!A:J,6,FALSE)</f>
        <v>True</v>
      </c>
      <c r="G4" s="38" t="str">
        <f>VLOOKUP(Tabella13[[#This Row],[test_id]],experiments_specs!A:J,7,FALSE)</f>
        <v>False</v>
      </c>
      <c r="H4" s="38" t="str">
        <f>VLOOKUP(Tabella13[[#This Row],[test_id]],experiments_specs!A:J,8,FALSE)</f>
        <v>False</v>
      </c>
      <c r="I4" s="38" t="str">
        <f>VLOOKUP(Tabella13[[#This Row],[test_id]],experiments_specs!A:J,9,FALSE)</f>
        <v>wup_similarity</v>
      </c>
      <c r="J4" s="38" t="str">
        <f>VLOOKUP(Tabella13[[#This Row],[test_id]],experiments_specs!A:J,10,FALSE)</f>
        <v>False</v>
      </c>
      <c r="K4" s="40" t="s">
        <v>12</v>
      </c>
      <c r="L4" s="36" t="s">
        <v>23</v>
      </c>
      <c r="M4" s="36">
        <v>2</v>
      </c>
      <c r="N4" s="36">
        <v>3.0388499999999999E-2</v>
      </c>
      <c r="O4" s="36">
        <v>0.42857139999999999</v>
      </c>
    </row>
    <row r="5" spans="1:16" ht="85" x14ac:dyDescent="0.2">
      <c r="A5" s="36" t="s">
        <v>1224</v>
      </c>
      <c r="B5" s="45" t="str">
        <f>VLOOKUP(Tabella13[[#This Row],[test_id]],experiments_specs!A:J,2,FALSE)</f>
        <v>NN,VB,VBD,VBG,VBN,VBP,VBZ</v>
      </c>
      <c r="C5" s="38">
        <f>VLOOKUP(Tabella13[[#This Row],[test_id]],experiments_specs!A:J,3,FALSE)</f>
        <v>0</v>
      </c>
      <c r="D5" s="38">
        <f>VLOOKUP(Tabella13[[#This Row],[test_id]],experiments_specs!A:J,4,FALSE)</f>
        <v>3</v>
      </c>
      <c r="E5" s="38" t="str">
        <f>VLOOKUP(Tabella13[[#This Row],[test_id]],experiments_specs!A:J,5,FALSE)</f>
        <v>True</v>
      </c>
      <c r="F5" s="38" t="str">
        <f>VLOOKUP(Tabella13[[#This Row],[test_id]],experiments_specs!A:J,6,FALSE)</f>
        <v>True</v>
      </c>
      <c r="G5" s="38" t="str">
        <f>VLOOKUP(Tabella13[[#This Row],[test_id]],experiments_specs!A:J,7,FALSE)</f>
        <v>False</v>
      </c>
      <c r="H5" s="38" t="str">
        <f>VLOOKUP(Tabella13[[#This Row],[test_id]],experiments_specs!A:J,8,FALSE)</f>
        <v>False</v>
      </c>
      <c r="I5" s="38" t="str">
        <f>VLOOKUP(Tabella13[[#This Row],[test_id]],experiments_specs!A:J,9,FALSE)</f>
        <v>wup_similarity</v>
      </c>
      <c r="J5" s="38" t="str">
        <f>VLOOKUP(Tabella13[[#This Row],[test_id]],experiments_specs!A:J,10,FALSE)</f>
        <v>False</v>
      </c>
      <c r="K5" s="40" t="s">
        <v>13</v>
      </c>
      <c r="L5" s="36" t="s">
        <v>33</v>
      </c>
      <c r="M5" s="36">
        <v>2</v>
      </c>
      <c r="N5" s="36">
        <v>2.9100299999999999E-2</v>
      </c>
      <c r="O5" s="36">
        <v>0.4</v>
      </c>
    </row>
    <row r="6" spans="1:16" ht="85" x14ac:dyDescent="0.2">
      <c r="A6" s="36" t="s">
        <v>1224</v>
      </c>
      <c r="B6" s="45" t="str">
        <f>VLOOKUP(Tabella13[[#This Row],[test_id]],experiments_specs!A:J,2,FALSE)</f>
        <v>NN,VB,VBD,VBG,VBN,VBP,VBZ</v>
      </c>
      <c r="C6" s="38">
        <f>VLOOKUP(Tabella13[[#This Row],[test_id]],experiments_specs!A:J,3,FALSE)</f>
        <v>0</v>
      </c>
      <c r="D6" s="38">
        <f>VLOOKUP(Tabella13[[#This Row],[test_id]],experiments_specs!A:J,4,FALSE)</f>
        <v>3</v>
      </c>
      <c r="E6" s="38" t="str">
        <f>VLOOKUP(Tabella13[[#This Row],[test_id]],experiments_specs!A:J,5,FALSE)</f>
        <v>True</v>
      </c>
      <c r="F6" s="38" t="str">
        <f>VLOOKUP(Tabella13[[#This Row],[test_id]],experiments_specs!A:J,6,FALSE)</f>
        <v>True</v>
      </c>
      <c r="G6" s="38" t="str">
        <f>VLOOKUP(Tabella13[[#This Row],[test_id]],experiments_specs!A:J,7,FALSE)</f>
        <v>False</v>
      </c>
      <c r="H6" s="38" t="str">
        <f>VLOOKUP(Tabella13[[#This Row],[test_id]],experiments_specs!A:J,8,FALSE)</f>
        <v>False</v>
      </c>
      <c r="I6" s="38" t="str">
        <f>VLOOKUP(Tabella13[[#This Row],[test_id]],experiments_specs!A:J,9,FALSE)</f>
        <v>wup_similarity</v>
      </c>
      <c r="J6" s="38" t="str">
        <f>VLOOKUP(Tabella13[[#This Row],[test_id]],experiments_specs!A:J,10,FALSE)</f>
        <v>False</v>
      </c>
      <c r="K6" s="40" t="s">
        <v>14</v>
      </c>
      <c r="L6" s="36" t="s">
        <v>1329</v>
      </c>
      <c r="M6" s="36" t="s">
        <v>1331</v>
      </c>
      <c r="N6" s="36">
        <v>1.05612E-2</v>
      </c>
      <c r="O6" s="36" t="s">
        <v>1430</v>
      </c>
    </row>
    <row r="7" spans="1:16" ht="85" x14ac:dyDescent="0.2">
      <c r="A7" s="36" t="s">
        <v>1224</v>
      </c>
      <c r="B7" s="45" t="str">
        <f>VLOOKUP(Tabella13[[#This Row],[test_id]],experiments_specs!A:J,2,FALSE)</f>
        <v>NN,VB,VBD,VBG,VBN,VBP,VBZ</v>
      </c>
      <c r="C7" s="38">
        <f>VLOOKUP(Tabella13[[#This Row],[test_id]],experiments_specs!A:J,3,FALSE)</f>
        <v>0</v>
      </c>
      <c r="D7" s="38">
        <f>VLOOKUP(Tabella13[[#This Row],[test_id]],experiments_specs!A:J,4,FALSE)</f>
        <v>3</v>
      </c>
      <c r="E7" s="38" t="str">
        <f>VLOOKUP(Tabella13[[#This Row],[test_id]],experiments_specs!A:J,5,FALSE)</f>
        <v>True</v>
      </c>
      <c r="F7" s="38" t="str">
        <f>VLOOKUP(Tabella13[[#This Row],[test_id]],experiments_specs!A:J,6,FALSE)</f>
        <v>True</v>
      </c>
      <c r="G7" s="38" t="str">
        <f>VLOOKUP(Tabella13[[#This Row],[test_id]],experiments_specs!A:J,7,FALSE)</f>
        <v>False</v>
      </c>
      <c r="H7" s="38" t="str">
        <f>VLOOKUP(Tabella13[[#This Row],[test_id]],experiments_specs!A:J,8,FALSE)</f>
        <v>False</v>
      </c>
      <c r="I7" s="38" t="str">
        <f>VLOOKUP(Tabella13[[#This Row],[test_id]],experiments_specs!A:J,9,FALSE)</f>
        <v>wup_similarity</v>
      </c>
      <c r="J7" s="38" t="str">
        <f>VLOOKUP(Tabella13[[#This Row],[test_id]],experiments_specs!A:J,10,FALSE)</f>
        <v>False</v>
      </c>
      <c r="K7" s="40" t="s">
        <v>15</v>
      </c>
      <c r="L7" s="36" t="s">
        <v>27</v>
      </c>
      <c r="M7" s="36">
        <v>2</v>
      </c>
      <c r="N7" s="36">
        <v>1.00757E-2</v>
      </c>
      <c r="O7" s="36">
        <v>0.1666666</v>
      </c>
    </row>
    <row r="8" spans="1:16" ht="85" x14ac:dyDescent="0.2">
      <c r="A8" s="36" t="s">
        <v>1224</v>
      </c>
      <c r="B8" s="45" t="str">
        <f>VLOOKUP(Tabella13[[#This Row],[test_id]],experiments_specs!A:J,2,FALSE)</f>
        <v>NN,VB,VBD,VBG,VBN,VBP,VBZ</v>
      </c>
      <c r="C8" s="38">
        <f>VLOOKUP(Tabella13[[#This Row],[test_id]],experiments_specs!A:J,3,FALSE)</f>
        <v>0</v>
      </c>
      <c r="D8" s="38">
        <f>VLOOKUP(Tabella13[[#This Row],[test_id]],experiments_specs!A:J,4,FALSE)</f>
        <v>3</v>
      </c>
      <c r="E8" s="38" t="str">
        <f>VLOOKUP(Tabella13[[#This Row],[test_id]],experiments_specs!A:J,5,FALSE)</f>
        <v>True</v>
      </c>
      <c r="F8" s="38" t="str">
        <f>VLOOKUP(Tabella13[[#This Row],[test_id]],experiments_specs!A:J,6,FALSE)</f>
        <v>True</v>
      </c>
      <c r="G8" s="38" t="str">
        <f>VLOOKUP(Tabella13[[#This Row],[test_id]],experiments_specs!A:J,7,FALSE)</f>
        <v>False</v>
      </c>
      <c r="H8" s="38" t="str">
        <f>VLOOKUP(Tabella13[[#This Row],[test_id]],experiments_specs!A:J,8,FALSE)</f>
        <v>False</v>
      </c>
      <c r="I8" s="38" t="str">
        <f>VLOOKUP(Tabella13[[#This Row],[test_id]],experiments_specs!A:J,9,FALSE)</f>
        <v>wup_similarity</v>
      </c>
      <c r="J8" s="38" t="str">
        <f>VLOOKUP(Tabella13[[#This Row],[test_id]],experiments_specs!A:J,10,FALSE)</f>
        <v>False</v>
      </c>
      <c r="K8" s="40" t="s">
        <v>16</v>
      </c>
      <c r="L8" s="36" t="s">
        <v>1333</v>
      </c>
      <c r="M8" s="36" t="s">
        <v>1314</v>
      </c>
      <c r="N8" s="36">
        <v>1.91366E-2</v>
      </c>
      <c r="O8" s="36" t="s">
        <v>1432</v>
      </c>
    </row>
    <row r="9" spans="1:16" ht="85" x14ac:dyDescent="0.2">
      <c r="A9" s="36" t="s">
        <v>1224</v>
      </c>
      <c r="B9" s="45" t="str">
        <f>VLOOKUP(Tabella13[[#This Row],[test_id]],experiments_specs!A:J,2,FALSE)</f>
        <v>NN,VB,VBD,VBG,VBN,VBP,VBZ</v>
      </c>
      <c r="C9" s="38">
        <f>VLOOKUP(Tabella13[[#This Row],[test_id]],experiments_specs!A:J,3,FALSE)</f>
        <v>0</v>
      </c>
      <c r="D9" s="38">
        <f>VLOOKUP(Tabella13[[#This Row],[test_id]],experiments_specs!A:J,4,FALSE)</f>
        <v>3</v>
      </c>
      <c r="E9" s="38" t="str">
        <f>VLOOKUP(Tabella13[[#This Row],[test_id]],experiments_specs!A:J,5,FALSE)</f>
        <v>True</v>
      </c>
      <c r="F9" s="38" t="str">
        <f>VLOOKUP(Tabella13[[#This Row],[test_id]],experiments_specs!A:J,6,FALSE)</f>
        <v>True</v>
      </c>
      <c r="G9" s="38" t="str">
        <f>VLOOKUP(Tabella13[[#This Row],[test_id]],experiments_specs!A:J,7,FALSE)</f>
        <v>False</v>
      </c>
      <c r="H9" s="38" t="str">
        <f>VLOOKUP(Tabella13[[#This Row],[test_id]],experiments_specs!A:J,8,FALSE)</f>
        <v>False</v>
      </c>
      <c r="I9" s="38" t="str">
        <f>VLOOKUP(Tabella13[[#This Row],[test_id]],experiments_specs!A:J,9,FALSE)</f>
        <v>wup_similarity</v>
      </c>
      <c r="J9" s="38" t="str">
        <f>VLOOKUP(Tabella13[[#This Row],[test_id]],experiments_specs!A:J,10,FALSE)</f>
        <v>False</v>
      </c>
      <c r="K9" s="40" t="s">
        <v>17</v>
      </c>
      <c r="L9" s="36" t="s">
        <v>1327</v>
      </c>
      <c r="M9" s="36" t="s">
        <v>1314</v>
      </c>
      <c r="N9" s="36">
        <v>3.50689E-2</v>
      </c>
      <c r="O9" s="36" t="s">
        <v>1432</v>
      </c>
    </row>
    <row r="10" spans="1:16" ht="85" x14ac:dyDescent="0.2">
      <c r="A10" s="36" t="s">
        <v>1224</v>
      </c>
      <c r="B10" s="45" t="str">
        <f>VLOOKUP(Tabella13[[#This Row],[test_id]],experiments_specs!A:J,2,FALSE)</f>
        <v>NN,VB,VBD,VBG,VBN,VBP,VBZ</v>
      </c>
      <c r="C10" s="38">
        <f>VLOOKUP(Tabella13[[#This Row],[test_id]],experiments_specs!A:J,3,FALSE)</f>
        <v>0</v>
      </c>
      <c r="D10" s="38">
        <f>VLOOKUP(Tabella13[[#This Row],[test_id]],experiments_specs!A:J,4,FALSE)</f>
        <v>3</v>
      </c>
      <c r="E10" s="38" t="str">
        <f>VLOOKUP(Tabella13[[#This Row],[test_id]],experiments_specs!A:J,5,FALSE)</f>
        <v>True</v>
      </c>
      <c r="F10" s="38" t="str">
        <f>VLOOKUP(Tabella13[[#This Row],[test_id]],experiments_specs!A:J,6,FALSE)</f>
        <v>True</v>
      </c>
      <c r="G10" s="38" t="str">
        <f>VLOOKUP(Tabella13[[#This Row],[test_id]],experiments_specs!A:J,7,FALSE)</f>
        <v>False</v>
      </c>
      <c r="H10" s="38" t="str">
        <f>VLOOKUP(Tabella13[[#This Row],[test_id]],experiments_specs!A:J,8,FALSE)</f>
        <v>False</v>
      </c>
      <c r="I10" s="38" t="str">
        <f>VLOOKUP(Tabella13[[#This Row],[test_id]],experiments_specs!A:J,9,FALSE)</f>
        <v>wup_similarity</v>
      </c>
      <c r="J10" s="38" t="str">
        <f>VLOOKUP(Tabella13[[#This Row],[test_id]],experiments_specs!A:J,10,FALSE)</f>
        <v>False</v>
      </c>
      <c r="K10" s="40" t="s">
        <v>18</v>
      </c>
      <c r="L10" s="36" t="s">
        <v>45</v>
      </c>
      <c r="M10" s="36">
        <v>2</v>
      </c>
      <c r="N10" s="36">
        <v>1.00217E-2</v>
      </c>
      <c r="O10" s="36">
        <v>0.2105263</v>
      </c>
    </row>
    <row r="11" spans="1:16" ht="85" x14ac:dyDescent="0.2">
      <c r="A11" s="36" t="s">
        <v>1225</v>
      </c>
      <c r="B11" s="45" t="str">
        <f>VLOOKUP(Tabella13[[#This Row],[test_id]],experiments_specs!A:J,2,FALSE)</f>
        <v>NN,JJ,VB,VBD,VBG,VBN,VBP,VBZ</v>
      </c>
      <c r="C11" s="38">
        <f>VLOOKUP(Tabella13[[#This Row],[test_id]],experiments_specs!A:J,3,FALSE)</f>
        <v>0</v>
      </c>
      <c r="D11" s="38">
        <f>VLOOKUP(Tabella13[[#This Row],[test_id]],experiments_specs!A:J,4,FALSE)</f>
        <v>2</v>
      </c>
      <c r="E11" s="38" t="str">
        <f>VLOOKUP(Tabella13[[#This Row],[test_id]],experiments_specs!A:J,5,FALSE)</f>
        <v>True</v>
      </c>
      <c r="F11" s="38" t="str">
        <f>VLOOKUP(Tabella13[[#This Row],[test_id]],experiments_specs!A:J,6,FALSE)</f>
        <v>True</v>
      </c>
      <c r="G11" s="38" t="str">
        <f>VLOOKUP(Tabella13[[#This Row],[test_id]],experiments_specs!A:J,7,FALSE)</f>
        <v>False</v>
      </c>
      <c r="H11" s="38" t="str">
        <f>VLOOKUP(Tabella13[[#This Row],[test_id]],experiments_specs!A:J,8,FALSE)</f>
        <v>False</v>
      </c>
      <c r="I11" s="38" t="str">
        <f>VLOOKUP(Tabella13[[#This Row],[test_id]],experiments_specs!A:J,9,FALSE)</f>
        <v>wup_similarity</v>
      </c>
      <c r="J11" s="38" t="str">
        <f>VLOOKUP(Tabella13[[#This Row],[test_id]],experiments_specs!A:J,10,FALSE)</f>
        <v>False</v>
      </c>
      <c r="K11" s="40" t="s">
        <v>19</v>
      </c>
      <c r="L11" s="36" t="s">
        <v>1312</v>
      </c>
      <c r="M11" s="36" t="s">
        <v>1314</v>
      </c>
      <c r="N11" s="36">
        <v>1.97927E-2</v>
      </c>
      <c r="O11" s="36" t="s">
        <v>1434</v>
      </c>
    </row>
    <row r="12" spans="1:16" ht="85" x14ac:dyDescent="0.2">
      <c r="A12" s="36" t="s">
        <v>1225</v>
      </c>
      <c r="B12" s="45" t="str">
        <f>VLOOKUP(Tabella13[[#This Row],[test_id]],experiments_specs!A:J,2,FALSE)</f>
        <v>NN,JJ,VB,VBD,VBG,VBN,VBP,VBZ</v>
      </c>
      <c r="C12" s="38">
        <f>VLOOKUP(Tabella13[[#This Row],[test_id]],experiments_specs!A:J,3,FALSE)</f>
        <v>0</v>
      </c>
      <c r="D12" s="38">
        <f>VLOOKUP(Tabella13[[#This Row],[test_id]],experiments_specs!A:J,4,FALSE)</f>
        <v>2</v>
      </c>
      <c r="E12" s="38" t="str">
        <f>VLOOKUP(Tabella13[[#This Row],[test_id]],experiments_specs!A:J,5,FALSE)</f>
        <v>True</v>
      </c>
      <c r="F12" s="38" t="str">
        <f>VLOOKUP(Tabella13[[#This Row],[test_id]],experiments_specs!A:J,6,FALSE)</f>
        <v>True</v>
      </c>
      <c r="G12" s="38" t="str">
        <f>VLOOKUP(Tabella13[[#This Row],[test_id]],experiments_specs!A:J,7,FALSE)</f>
        <v>False</v>
      </c>
      <c r="H12" s="38" t="str">
        <f>VLOOKUP(Tabella13[[#This Row],[test_id]],experiments_specs!A:J,8,FALSE)</f>
        <v>False</v>
      </c>
      <c r="I12" s="38" t="str">
        <f>VLOOKUP(Tabella13[[#This Row],[test_id]],experiments_specs!A:J,9,FALSE)</f>
        <v>wup_similarity</v>
      </c>
      <c r="J12" s="38" t="str">
        <f>VLOOKUP(Tabella13[[#This Row],[test_id]],experiments_specs!A:J,10,FALSE)</f>
        <v>False</v>
      </c>
      <c r="K12" s="40" t="s">
        <v>12</v>
      </c>
      <c r="L12" s="36" t="s">
        <v>23</v>
      </c>
      <c r="M12" s="36">
        <v>2</v>
      </c>
      <c r="N12" s="36">
        <v>2.27914E-2</v>
      </c>
      <c r="O12" s="36">
        <v>0.42857139999999999</v>
      </c>
    </row>
    <row r="13" spans="1:16" ht="85" x14ac:dyDescent="0.2">
      <c r="A13" s="36" t="s">
        <v>1225</v>
      </c>
      <c r="B13" s="45" t="str">
        <f>VLOOKUP(Tabella13[[#This Row],[test_id]],experiments_specs!A:J,2,FALSE)</f>
        <v>NN,JJ,VB,VBD,VBG,VBN,VBP,VBZ</v>
      </c>
      <c r="C13" s="38">
        <f>VLOOKUP(Tabella13[[#This Row],[test_id]],experiments_specs!A:J,3,FALSE)</f>
        <v>0</v>
      </c>
      <c r="D13" s="38">
        <f>VLOOKUP(Tabella13[[#This Row],[test_id]],experiments_specs!A:J,4,FALSE)</f>
        <v>2</v>
      </c>
      <c r="E13" s="38" t="str">
        <f>VLOOKUP(Tabella13[[#This Row],[test_id]],experiments_specs!A:J,5,FALSE)</f>
        <v>True</v>
      </c>
      <c r="F13" s="38" t="str">
        <f>VLOOKUP(Tabella13[[#This Row],[test_id]],experiments_specs!A:J,6,FALSE)</f>
        <v>True</v>
      </c>
      <c r="G13" s="38" t="str">
        <f>VLOOKUP(Tabella13[[#This Row],[test_id]],experiments_specs!A:J,7,FALSE)</f>
        <v>False</v>
      </c>
      <c r="H13" s="38" t="str">
        <f>VLOOKUP(Tabella13[[#This Row],[test_id]],experiments_specs!A:J,8,FALSE)</f>
        <v>False</v>
      </c>
      <c r="I13" s="38" t="str">
        <f>VLOOKUP(Tabella13[[#This Row],[test_id]],experiments_specs!A:J,9,FALSE)</f>
        <v>wup_similarity</v>
      </c>
      <c r="J13" s="38" t="str">
        <f>VLOOKUP(Tabella13[[#This Row],[test_id]],experiments_specs!A:J,10,FALSE)</f>
        <v>False</v>
      </c>
      <c r="K13" s="40" t="s">
        <v>13</v>
      </c>
      <c r="L13" s="36" t="s">
        <v>33</v>
      </c>
      <c r="M13" s="36">
        <v>2</v>
      </c>
      <c r="N13" s="36">
        <v>2.2116199999999999E-2</v>
      </c>
      <c r="O13" s="36">
        <v>0.4</v>
      </c>
    </row>
    <row r="14" spans="1:16" ht="85" x14ac:dyDescent="0.2">
      <c r="A14" s="36" t="s">
        <v>1225</v>
      </c>
      <c r="B14" s="45" t="str">
        <f>VLOOKUP(Tabella13[[#This Row],[test_id]],experiments_specs!A:J,2,FALSE)</f>
        <v>NN,JJ,VB,VBD,VBG,VBN,VBP,VBZ</v>
      </c>
      <c r="C14" s="38">
        <f>VLOOKUP(Tabella13[[#This Row],[test_id]],experiments_specs!A:J,3,FALSE)</f>
        <v>0</v>
      </c>
      <c r="D14" s="38">
        <f>VLOOKUP(Tabella13[[#This Row],[test_id]],experiments_specs!A:J,4,FALSE)</f>
        <v>2</v>
      </c>
      <c r="E14" s="38" t="str">
        <f>VLOOKUP(Tabella13[[#This Row],[test_id]],experiments_specs!A:J,5,FALSE)</f>
        <v>True</v>
      </c>
      <c r="F14" s="38" t="str">
        <f>VLOOKUP(Tabella13[[#This Row],[test_id]],experiments_specs!A:J,6,FALSE)</f>
        <v>True</v>
      </c>
      <c r="G14" s="38" t="str">
        <f>VLOOKUP(Tabella13[[#This Row],[test_id]],experiments_specs!A:J,7,FALSE)</f>
        <v>False</v>
      </c>
      <c r="H14" s="38" t="str">
        <f>VLOOKUP(Tabella13[[#This Row],[test_id]],experiments_specs!A:J,8,FALSE)</f>
        <v>False</v>
      </c>
      <c r="I14" s="38" t="str">
        <f>VLOOKUP(Tabella13[[#This Row],[test_id]],experiments_specs!A:J,9,FALSE)</f>
        <v>wup_similarity</v>
      </c>
      <c r="J14" s="38" t="str">
        <f>VLOOKUP(Tabella13[[#This Row],[test_id]],experiments_specs!A:J,10,FALSE)</f>
        <v>False</v>
      </c>
      <c r="K14" s="40" t="s">
        <v>14</v>
      </c>
      <c r="L14" s="36" t="s">
        <v>1329</v>
      </c>
      <c r="M14" s="36" t="s">
        <v>1331</v>
      </c>
      <c r="N14" s="36">
        <v>9.0209999999999995E-3</v>
      </c>
      <c r="O14" s="36" t="s">
        <v>1430</v>
      </c>
    </row>
    <row r="15" spans="1:16" ht="85" x14ac:dyDescent="0.2">
      <c r="A15" s="36" t="s">
        <v>1225</v>
      </c>
      <c r="B15" s="45" t="str">
        <f>VLOOKUP(Tabella13[[#This Row],[test_id]],experiments_specs!A:J,2,FALSE)</f>
        <v>NN,JJ,VB,VBD,VBG,VBN,VBP,VBZ</v>
      </c>
      <c r="C15" s="38">
        <f>VLOOKUP(Tabella13[[#This Row],[test_id]],experiments_specs!A:J,3,FALSE)</f>
        <v>0</v>
      </c>
      <c r="D15" s="38">
        <f>VLOOKUP(Tabella13[[#This Row],[test_id]],experiments_specs!A:J,4,FALSE)</f>
        <v>2</v>
      </c>
      <c r="E15" s="38" t="str">
        <f>VLOOKUP(Tabella13[[#This Row],[test_id]],experiments_specs!A:J,5,FALSE)</f>
        <v>True</v>
      </c>
      <c r="F15" s="38" t="str">
        <f>VLOOKUP(Tabella13[[#This Row],[test_id]],experiments_specs!A:J,6,FALSE)</f>
        <v>True</v>
      </c>
      <c r="G15" s="38" t="str">
        <f>VLOOKUP(Tabella13[[#This Row],[test_id]],experiments_specs!A:J,7,FALSE)</f>
        <v>False</v>
      </c>
      <c r="H15" s="38" t="str">
        <f>VLOOKUP(Tabella13[[#This Row],[test_id]],experiments_specs!A:J,8,FALSE)</f>
        <v>False</v>
      </c>
      <c r="I15" s="38" t="str">
        <f>VLOOKUP(Tabella13[[#This Row],[test_id]],experiments_specs!A:J,9,FALSE)</f>
        <v>wup_similarity</v>
      </c>
      <c r="J15" s="38" t="str">
        <f>VLOOKUP(Tabella13[[#This Row],[test_id]],experiments_specs!A:J,10,FALSE)</f>
        <v>False</v>
      </c>
      <c r="K15" s="40" t="s">
        <v>15</v>
      </c>
      <c r="L15" s="36" t="s">
        <v>293</v>
      </c>
      <c r="M15" s="36">
        <v>1</v>
      </c>
      <c r="N15" s="36">
        <v>2.09529E-2</v>
      </c>
      <c r="O15" s="36">
        <v>0.90909090000000004</v>
      </c>
    </row>
    <row r="16" spans="1:16" ht="85" x14ac:dyDescent="0.2">
      <c r="A16" s="36" t="s">
        <v>1225</v>
      </c>
      <c r="B16" s="45" t="str">
        <f>VLOOKUP(Tabella13[[#This Row],[test_id]],experiments_specs!A:J,2,FALSE)</f>
        <v>NN,JJ,VB,VBD,VBG,VBN,VBP,VBZ</v>
      </c>
      <c r="C16" s="38">
        <f>VLOOKUP(Tabella13[[#This Row],[test_id]],experiments_specs!A:J,3,FALSE)</f>
        <v>0</v>
      </c>
      <c r="D16" s="38">
        <f>VLOOKUP(Tabella13[[#This Row],[test_id]],experiments_specs!A:J,4,FALSE)</f>
        <v>2</v>
      </c>
      <c r="E16" s="38" t="str">
        <f>VLOOKUP(Tabella13[[#This Row],[test_id]],experiments_specs!A:J,5,FALSE)</f>
        <v>True</v>
      </c>
      <c r="F16" s="38" t="str">
        <f>VLOOKUP(Tabella13[[#This Row],[test_id]],experiments_specs!A:J,6,FALSE)</f>
        <v>True</v>
      </c>
      <c r="G16" s="38" t="str">
        <f>VLOOKUP(Tabella13[[#This Row],[test_id]],experiments_specs!A:J,7,FALSE)</f>
        <v>False</v>
      </c>
      <c r="H16" s="38" t="str">
        <f>VLOOKUP(Tabella13[[#This Row],[test_id]],experiments_specs!A:J,8,FALSE)</f>
        <v>False</v>
      </c>
      <c r="I16" s="38" t="str">
        <f>VLOOKUP(Tabella13[[#This Row],[test_id]],experiments_specs!A:J,9,FALSE)</f>
        <v>wup_similarity</v>
      </c>
      <c r="J16" s="38" t="str">
        <f>VLOOKUP(Tabella13[[#This Row],[test_id]],experiments_specs!A:J,10,FALSE)</f>
        <v>False</v>
      </c>
      <c r="K16" s="40" t="s">
        <v>16</v>
      </c>
      <c r="L16" s="36" t="s">
        <v>1333</v>
      </c>
      <c r="M16" s="36" t="s">
        <v>1314</v>
      </c>
      <c r="N16" s="36">
        <v>1.76645E-2</v>
      </c>
      <c r="O16" s="36" t="s">
        <v>1432</v>
      </c>
    </row>
    <row r="17" spans="1:15" ht="85" x14ac:dyDescent="0.2">
      <c r="A17" s="36" t="s">
        <v>1225</v>
      </c>
      <c r="B17" s="45" t="str">
        <f>VLOOKUP(Tabella13[[#This Row],[test_id]],experiments_specs!A:J,2,FALSE)</f>
        <v>NN,JJ,VB,VBD,VBG,VBN,VBP,VBZ</v>
      </c>
      <c r="C17" s="38">
        <f>VLOOKUP(Tabella13[[#This Row],[test_id]],experiments_specs!A:J,3,FALSE)</f>
        <v>0</v>
      </c>
      <c r="D17" s="38">
        <f>VLOOKUP(Tabella13[[#This Row],[test_id]],experiments_specs!A:J,4,FALSE)</f>
        <v>2</v>
      </c>
      <c r="E17" s="38" t="str">
        <f>VLOOKUP(Tabella13[[#This Row],[test_id]],experiments_specs!A:J,5,FALSE)</f>
        <v>True</v>
      </c>
      <c r="F17" s="38" t="str">
        <f>VLOOKUP(Tabella13[[#This Row],[test_id]],experiments_specs!A:J,6,FALSE)</f>
        <v>True</v>
      </c>
      <c r="G17" s="38" t="str">
        <f>VLOOKUP(Tabella13[[#This Row],[test_id]],experiments_specs!A:J,7,FALSE)</f>
        <v>False</v>
      </c>
      <c r="H17" s="38" t="str">
        <f>VLOOKUP(Tabella13[[#This Row],[test_id]],experiments_specs!A:J,8,FALSE)</f>
        <v>False</v>
      </c>
      <c r="I17" s="38" t="str">
        <f>VLOOKUP(Tabella13[[#This Row],[test_id]],experiments_specs!A:J,9,FALSE)</f>
        <v>wup_similarity</v>
      </c>
      <c r="J17" s="38" t="str">
        <f>VLOOKUP(Tabella13[[#This Row],[test_id]],experiments_specs!A:J,10,FALSE)</f>
        <v>False</v>
      </c>
      <c r="K17" s="40" t="s">
        <v>17</v>
      </c>
      <c r="L17" s="36" t="s">
        <v>1327</v>
      </c>
      <c r="M17" s="36" t="s">
        <v>1314</v>
      </c>
      <c r="N17" s="36">
        <v>3.1490400000000002E-2</v>
      </c>
      <c r="O17" s="36" t="s">
        <v>1432</v>
      </c>
    </row>
    <row r="18" spans="1:15" ht="85" x14ac:dyDescent="0.2">
      <c r="A18" s="36" t="s">
        <v>1225</v>
      </c>
      <c r="B18" s="45" t="str">
        <f>VLOOKUP(Tabella13[[#This Row],[test_id]],experiments_specs!A:J,2,FALSE)</f>
        <v>NN,JJ,VB,VBD,VBG,VBN,VBP,VBZ</v>
      </c>
      <c r="C18" s="38">
        <f>VLOOKUP(Tabella13[[#This Row],[test_id]],experiments_specs!A:J,3,FALSE)</f>
        <v>0</v>
      </c>
      <c r="D18" s="38">
        <f>VLOOKUP(Tabella13[[#This Row],[test_id]],experiments_specs!A:J,4,FALSE)</f>
        <v>2</v>
      </c>
      <c r="E18" s="38" t="str">
        <f>VLOOKUP(Tabella13[[#This Row],[test_id]],experiments_specs!A:J,5,FALSE)</f>
        <v>True</v>
      </c>
      <c r="F18" s="38" t="str">
        <f>VLOOKUP(Tabella13[[#This Row],[test_id]],experiments_specs!A:J,6,FALSE)</f>
        <v>True</v>
      </c>
      <c r="G18" s="38" t="str">
        <f>VLOOKUP(Tabella13[[#This Row],[test_id]],experiments_specs!A:J,7,FALSE)</f>
        <v>False</v>
      </c>
      <c r="H18" s="38" t="str">
        <f>VLOOKUP(Tabella13[[#This Row],[test_id]],experiments_specs!A:J,8,FALSE)</f>
        <v>False</v>
      </c>
      <c r="I18" s="38" t="str">
        <f>VLOOKUP(Tabella13[[#This Row],[test_id]],experiments_specs!A:J,9,FALSE)</f>
        <v>wup_similarity</v>
      </c>
      <c r="J18" s="38" t="str">
        <f>VLOOKUP(Tabella13[[#This Row],[test_id]],experiments_specs!A:J,10,FALSE)</f>
        <v>False</v>
      </c>
      <c r="K18" s="40" t="s">
        <v>18</v>
      </c>
      <c r="L18" s="36" t="s">
        <v>45</v>
      </c>
      <c r="M18" s="36">
        <v>2</v>
      </c>
      <c r="N18" s="36">
        <v>8.1188000000000007E-3</v>
      </c>
      <c r="O18" s="36">
        <v>0.2105263</v>
      </c>
    </row>
    <row r="19" spans="1:15" ht="85" x14ac:dyDescent="0.2">
      <c r="A19" s="36" t="s">
        <v>1226</v>
      </c>
      <c r="B19" s="45" t="str">
        <f>VLOOKUP(Tabella13[[#This Row],[test_id]],experiments_specs!A:J,2,FALSE)</f>
        <v>NN,JJ,VB,VBD,VBG,VBN,VBP,VBZ</v>
      </c>
      <c r="C19" s="38">
        <f>VLOOKUP(Tabella13[[#This Row],[test_id]],experiments_specs!A:J,3,FALSE)</f>
        <v>0</v>
      </c>
      <c r="D19" s="38">
        <f>VLOOKUP(Tabella13[[#This Row],[test_id]],experiments_specs!A:J,4,FALSE)</f>
        <v>3</v>
      </c>
      <c r="E19" s="38" t="str">
        <f>VLOOKUP(Tabella13[[#This Row],[test_id]],experiments_specs!A:J,5,FALSE)</f>
        <v>True</v>
      </c>
      <c r="F19" s="38" t="str">
        <f>VLOOKUP(Tabella13[[#This Row],[test_id]],experiments_specs!A:J,6,FALSE)</f>
        <v>True</v>
      </c>
      <c r="G19" s="38" t="str">
        <f>VLOOKUP(Tabella13[[#This Row],[test_id]],experiments_specs!A:J,7,FALSE)</f>
        <v>False</v>
      </c>
      <c r="H19" s="38" t="str">
        <f>VLOOKUP(Tabella13[[#This Row],[test_id]],experiments_specs!A:J,8,FALSE)</f>
        <v>False</v>
      </c>
      <c r="I19" s="38" t="str">
        <f>VLOOKUP(Tabella13[[#This Row],[test_id]],experiments_specs!A:J,9,FALSE)</f>
        <v>wup_similarity</v>
      </c>
      <c r="J19" s="38" t="str">
        <f>VLOOKUP(Tabella13[[#This Row],[test_id]],experiments_specs!A:J,10,FALSE)</f>
        <v>False</v>
      </c>
      <c r="K19" s="40" t="s">
        <v>19</v>
      </c>
      <c r="L19" s="36" t="s">
        <v>1312</v>
      </c>
      <c r="M19" s="36" t="s">
        <v>1314</v>
      </c>
      <c r="N19" s="36">
        <v>1.97927E-2</v>
      </c>
      <c r="O19" s="36" t="s">
        <v>1434</v>
      </c>
    </row>
    <row r="20" spans="1:15" ht="85" x14ac:dyDescent="0.2">
      <c r="A20" s="36" t="s">
        <v>1226</v>
      </c>
      <c r="B20" s="45" t="str">
        <f>VLOOKUP(Tabella13[[#This Row],[test_id]],experiments_specs!A:J,2,FALSE)</f>
        <v>NN,JJ,VB,VBD,VBG,VBN,VBP,VBZ</v>
      </c>
      <c r="C20" s="38">
        <f>VLOOKUP(Tabella13[[#This Row],[test_id]],experiments_specs!A:J,3,FALSE)</f>
        <v>0</v>
      </c>
      <c r="D20" s="38">
        <f>VLOOKUP(Tabella13[[#This Row],[test_id]],experiments_specs!A:J,4,FALSE)</f>
        <v>3</v>
      </c>
      <c r="E20" s="38" t="str">
        <f>VLOOKUP(Tabella13[[#This Row],[test_id]],experiments_specs!A:J,5,FALSE)</f>
        <v>True</v>
      </c>
      <c r="F20" s="38" t="str">
        <f>VLOOKUP(Tabella13[[#This Row],[test_id]],experiments_specs!A:J,6,FALSE)</f>
        <v>True</v>
      </c>
      <c r="G20" s="38" t="str">
        <f>VLOOKUP(Tabella13[[#This Row],[test_id]],experiments_specs!A:J,7,FALSE)</f>
        <v>False</v>
      </c>
      <c r="H20" s="38" t="str">
        <f>VLOOKUP(Tabella13[[#This Row],[test_id]],experiments_specs!A:J,8,FALSE)</f>
        <v>False</v>
      </c>
      <c r="I20" s="38" t="str">
        <f>VLOOKUP(Tabella13[[#This Row],[test_id]],experiments_specs!A:J,9,FALSE)</f>
        <v>wup_similarity</v>
      </c>
      <c r="J20" s="38" t="str">
        <f>VLOOKUP(Tabella13[[#This Row],[test_id]],experiments_specs!A:J,10,FALSE)</f>
        <v>False</v>
      </c>
      <c r="K20" s="40" t="s">
        <v>12</v>
      </c>
      <c r="L20" s="36" t="s">
        <v>23</v>
      </c>
      <c r="M20" s="36">
        <v>2</v>
      </c>
      <c r="N20" s="36">
        <v>2.27914E-2</v>
      </c>
      <c r="O20" s="36">
        <v>0.42857139999999999</v>
      </c>
    </row>
    <row r="21" spans="1:15" ht="85" x14ac:dyDescent="0.2">
      <c r="A21" s="36" t="s">
        <v>1226</v>
      </c>
      <c r="B21" s="45" t="str">
        <f>VLOOKUP(Tabella13[[#This Row],[test_id]],experiments_specs!A:J,2,FALSE)</f>
        <v>NN,JJ,VB,VBD,VBG,VBN,VBP,VBZ</v>
      </c>
      <c r="C21" s="38">
        <f>VLOOKUP(Tabella13[[#This Row],[test_id]],experiments_specs!A:J,3,FALSE)</f>
        <v>0</v>
      </c>
      <c r="D21" s="38">
        <f>VLOOKUP(Tabella13[[#This Row],[test_id]],experiments_specs!A:J,4,FALSE)</f>
        <v>3</v>
      </c>
      <c r="E21" s="38" t="str">
        <f>VLOOKUP(Tabella13[[#This Row],[test_id]],experiments_specs!A:J,5,FALSE)</f>
        <v>True</v>
      </c>
      <c r="F21" s="38" t="str">
        <f>VLOOKUP(Tabella13[[#This Row],[test_id]],experiments_specs!A:J,6,FALSE)</f>
        <v>True</v>
      </c>
      <c r="G21" s="38" t="str">
        <f>VLOOKUP(Tabella13[[#This Row],[test_id]],experiments_specs!A:J,7,FALSE)</f>
        <v>False</v>
      </c>
      <c r="H21" s="38" t="str">
        <f>VLOOKUP(Tabella13[[#This Row],[test_id]],experiments_specs!A:J,8,FALSE)</f>
        <v>False</v>
      </c>
      <c r="I21" s="38" t="str">
        <f>VLOOKUP(Tabella13[[#This Row],[test_id]],experiments_specs!A:J,9,FALSE)</f>
        <v>wup_similarity</v>
      </c>
      <c r="J21" s="38" t="str">
        <f>VLOOKUP(Tabella13[[#This Row],[test_id]],experiments_specs!A:J,10,FALSE)</f>
        <v>False</v>
      </c>
      <c r="K21" s="40" t="s">
        <v>13</v>
      </c>
      <c r="L21" s="36" t="s">
        <v>33</v>
      </c>
      <c r="M21" s="36">
        <v>2</v>
      </c>
      <c r="N21" s="36">
        <v>2.2116199999999999E-2</v>
      </c>
      <c r="O21" s="36">
        <v>0.4</v>
      </c>
    </row>
    <row r="22" spans="1:15" ht="85" x14ac:dyDescent="0.2">
      <c r="A22" s="36" t="s">
        <v>1226</v>
      </c>
      <c r="B22" s="45" t="str">
        <f>VLOOKUP(Tabella13[[#This Row],[test_id]],experiments_specs!A:J,2,FALSE)</f>
        <v>NN,JJ,VB,VBD,VBG,VBN,VBP,VBZ</v>
      </c>
      <c r="C22" s="38">
        <f>VLOOKUP(Tabella13[[#This Row],[test_id]],experiments_specs!A:J,3,FALSE)</f>
        <v>0</v>
      </c>
      <c r="D22" s="38">
        <f>VLOOKUP(Tabella13[[#This Row],[test_id]],experiments_specs!A:J,4,FALSE)</f>
        <v>3</v>
      </c>
      <c r="E22" s="38" t="str">
        <f>VLOOKUP(Tabella13[[#This Row],[test_id]],experiments_specs!A:J,5,FALSE)</f>
        <v>True</v>
      </c>
      <c r="F22" s="38" t="str">
        <f>VLOOKUP(Tabella13[[#This Row],[test_id]],experiments_specs!A:J,6,FALSE)</f>
        <v>True</v>
      </c>
      <c r="G22" s="38" t="str">
        <f>VLOOKUP(Tabella13[[#This Row],[test_id]],experiments_specs!A:J,7,FALSE)</f>
        <v>False</v>
      </c>
      <c r="H22" s="38" t="str">
        <f>VLOOKUP(Tabella13[[#This Row],[test_id]],experiments_specs!A:J,8,FALSE)</f>
        <v>False</v>
      </c>
      <c r="I22" s="38" t="str">
        <f>VLOOKUP(Tabella13[[#This Row],[test_id]],experiments_specs!A:J,9,FALSE)</f>
        <v>wup_similarity</v>
      </c>
      <c r="J22" s="38" t="str">
        <f>VLOOKUP(Tabella13[[#This Row],[test_id]],experiments_specs!A:J,10,FALSE)</f>
        <v>False</v>
      </c>
      <c r="K22" s="40" t="s">
        <v>14</v>
      </c>
      <c r="L22" s="36" t="s">
        <v>1329</v>
      </c>
      <c r="M22" s="36" t="s">
        <v>1331</v>
      </c>
      <c r="N22" s="36">
        <v>9.0209999999999995E-3</v>
      </c>
      <c r="O22" s="36" t="s">
        <v>1430</v>
      </c>
    </row>
    <row r="23" spans="1:15" ht="85" x14ac:dyDescent="0.2">
      <c r="A23" s="36" t="s">
        <v>1226</v>
      </c>
      <c r="B23" s="45" t="str">
        <f>VLOOKUP(Tabella13[[#This Row],[test_id]],experiments_specs!A:J,2,FALSE)</f>
        <v>NN,JJ,VB,VBD,VBG,VBN,VBP,VBZ</v>
      </c>
      <c r="C23" s="38">
        <f>VLOOKUP(Tabella13[[#This Row],[test_id]],experiments_specs!A:J,3,FALSE)</f>
        <v>0</v>
      </c>
      <c r="D23" s="38">
        <f>VLOOKUP(Tabella13[[#This Row],[test_id]],experiments_specs!A:J,4,FALSE)</f>
        <v>3</v>
      </c>
      <c r="E23" s="38" t="str">
        <f>VLOOKUP(Tabella13[[#This Row],[test_id]],experiments_specs!A:J,5,FALSE)</f>
        <v>True</v>
      </c>
      <c r="F23" s="38" t="str">
        <f>VLOOKUP(Tabella13[[#This Row],[test_id]],experiments_specs!A:J,6,FALSE)</f>
        <v>True</v>
      </c>
      <c r="G23" s="38" t="str">
        <f>VLOOKUP(Tabella13[[#This Row],[test_id]],experiments_specs!A:J,7,FALSE)</f>
        <v>False</v>
      </c>
      <c r="H23" s="38" t="str">
        <f>VLOOKUP(Tabella13[[#This Row],[test_id]],experiments_specs!A:J,8,FALSE)</f>
        <v>False</v>
      </c>
      <c r="I23" s="38" t="str">
        <f>VLOOKUP(Tabella13[[#This Row],[test_id]],experiments_specs!A:J,9,FALSE)</f>
        <v>wup_similarity</v>
      </c>
      <c r="J23" s="38" t="str">
        <f>VLOOKUP(Tabella13[[#This Row],[test_id]],experiments_specs!A:J,10,FALSE)</f>
        <v>False</v>
      </c>
      <c r="K23" s="40" t="s">
        <v>15</v>
      </c>
      <c r="L23" s="36" t="s">
        <v>293</v>
      </c>
      <c r="M23" s="36">
        <v>1</v>
      </c>
      <c r="N23" s="36">
        <v>2.09529E-2</v>
      </c>
      <c r="O23" s="36">
        <v>0.90909090000000004</v>
      </c>
    </row>
    <row r="24" spans="1:15" ht="85" x14ac:dyDescent="0.2">
      <c r="A24" s="36" t="s">
        <v>1226</v>
      </c>
      <c r="B24" s="45" t="str">
        <f>VLOOKUP(Tabella13[[#This Row],[test_id]],experiments_specs!A:J,2,FALSE)</f>
        <v>NN,JJ,VB,VBD,VBG,VBN,VBP,VBZ</v>
      </c>
      <c r="C24" s="38">
        <f>VLOOKUP(Tabella13[[#This Row],[test_id]],experiments_specs!A:J,3,FALSE)</f>
        <v>0</v>
      </c>
      <c r="D24" s="38">
        <f>VLOOKUP(Tabella13[[#This Row],[test_id]],experiments_specs!A:J,4,FALSE)</f>
        <v>3</v>
      </c>
      <c r="E24" s="38" t="str">
        <f>VLOOKUP(Tabella13[[#This Row],[test_id]],experiments_specs!A:J,5,FALSE)</f>
        <v>True</v>
      </c>
      <c r="F24" s="38" t="str">
        <f>VLOOKUP(Tabella13[[#This Row],[test_id]],experiments_specs!A:J,6,FALSE)</f>
        <v>True</v>
      </c>
      <c r="G24" s="38" t="str">
        <f>VLOOKUP(Tabella13[[#This Row],[test_id]],experiments_specs!A:J,7,FALSE)</f>
        <v>False</v>
      </c>
      <c r="H24" s="38" t="str">
        <f>VLOOKUP(Tabella13[[#This Row],[test_id]],experiments_specs!A:J,8,FALSE)</f>
        <v>False</v>
      </c>
      <c r="I24" s="38" t="str">
        <f>VLOOKUP(Tabella13[[#This Row],[test_id]],experiments_specs!A:J,9,FALSE)</f>
        <v>wup_similarity</v>
      </c>
      <c r="J24" s="38" t="str">
        <f>VLOOKUP(Tabella13[[#This Row],[test_id]],experiments_specs!A:J,10,FALSE)</f>
        <v>False</v>
      </c>
      <c r="K24" s="40" t="s">
        <v>16</v>
      </c>
      <c r="L24" s="36" t="s">
        <v>1333</v>
      </c>
      <c r="M24" s="36" t="s">
        <v>1314</v>
      </c>
      <c r="N24" s="36">
        <v>1.76645E-2</v>
      </c>
      <c r="O24" s="36" t="s">
        <v>1432</v>
      </c>
    </row>
    <row r="25" spans="1:15" ht="85" x14ac:dyDescent="0.2">
      <c r="A25" s="36" t="s">
        <v>1226</v>
      </c>
      <c r="B25" s="45" t="str">
        <f>VLOOKUP(Tabella13[[#This Row],[test_id]],experiments_specs!A:J,2,FALSE)</f>
        <v>NN,JJ,VB,VBD,VBG,VBN,VBP,VBZ</v>
      </c>
      <c r="C25" s="38">
        <f>VLOOKUP(Tabella13[[#This Row],[test_id]],experiments_specs!A:J,3,FALSE)</f>
        <v>0</v>
      </c>
      <c r="D25" s="38">
        <f>VLOOKUP(Tabella13[[#This Row],[test_id]],experiments_specs!A:J,4,FALSE)</f>
        <v>3</v>
      </c>
      <c r="E25" s="38" t="str">
        <f>VLOOKUP(Tabella13[[#This Row],[test_id]],experiments_specs!A:J,5,FALSE)</f>
        <v>True</v>
      </c>
      <c r="F25" s="38" t="str">
        <f>VLOOKUP(Tabella13[[#This Row],[test_id]],experiments_specs!A:J,6,FALSE)</f>
        <v>True</v>
      </c>
      <c r="G25" s="38" t="str">
        <f>VLOOKUP(Tabella13[[#This Row],[test_id]],experiments_specs!A:J,7,FALSE)</f>
        <v>False</v>
      </c>
      <c r="H25" s="38" t="str">
        <f>VLOOKUP(Tabella13[[#This Row],[test_id]],experiments_specs!A:J,8,FALSE)</f>
        <v>False</v>
      </c>
      <c r="I25" s="38" t="str">
        <f>VLOOKUP(Tabella13[[#This Row],[test_id]],experiments_specs!A:J,9,FALSE)</f>
        <v>wup_similarity</v>
      </c>
      <c r="J25" s="38" t="str">
        <f>VLOOKUP(Tabella13[[#This Row],[test_id]],experiments_specs!A:J,10,FALSE)</f>
        <v>False</v>
      </c>
      <c r="K25" s="40" t="s">
        <v>17</v>
      </c>
      <c r="L25" s="36" t="s">
        <v>1327</v>
      </c>
      <c r="M25" s="36" t="s">
        <v>1314</v>
      </c>
      <c r="N25" s="36">
        <v>3.1490400000000002E-2</v>
      </c>
      <c r="O25" s="36" t="s">
        <v>1432</v>
      </c>
    </row>
    <row r="26" spans="1:15" ht="85" x14ac:dyDescent="0.2">
      <c r="A26" s="36" t="s">
        <v>1226</v>
      </c>
      <c r="B26" s="45" t="str">
        <f>VLOOKUP(Tabella13[[#This Row],[test_id]],experiments_specs!A:J,2,FALSE)</f>
        <v>NN,JJ,VB,VBD,VBG,VBN,VBP,VBZ</v>
      </c>
      <c r="C26" s="38">
        <f>VLOOKUP(Tabella13[[#This Row],[test_id]],experiments_specs!A:J,3,FALSE)</f>
        <v>0</v>
      </c>
      <c r="D26" s="38">
        <f>VLOOKUP(Tabella13[[#This Row],[test_id]],experiments_specs!A:J,4,FALSE)</f>
        <v>3</v>
      </c>
      <c r="E26" s="38" t="str">
        <f>VLOOKUP(Tabella13[[#This Row],[test_id]],experiments_specs!A:J,5,FALSE)</f>
        <v>True</v>
      </c>
      <c r="F26" s="38" t="str">
        <f>VLOOKUP(Tabella13[[#This Row],[test_id]],experiments_specs!A:J,6,FALSE)</f>
        <v>True</v>
      </c>
      <c r="G26" s="38" t="str">
        <f>VLOOKUP(Tabella13[[#This Row],[test_id]],experiments_specs!A:J,7,FALSE)</f>
        <v>False</v>
      </c>
      <c r="H26" s="38" t="str">
        <f>VLOOKUP(Tabella13[[#This Row],[test_id]],experiments_specs!A:J,8,FALSE)</f>
        <v>False</v>
      </c>
      <c r="I26" s="38" t="str">
        <f>VLOOKUP(Tabella13[[#This Row],[test_id]],experiments_specs!A:J,9,FALSE)</f>
        <v>wup_similarity</v>
      </c>
      <c r="J26" s="38" t="str">
        <f>VLOOKUP(Tabella13[[#This Row],[test_id]],experiments_specs!A:J,10,FALSE)</f>
        <v>False</v>
      </c>
      <c r="K26" s="40" t="s">
        <v>18</v>
      </c>
      <c r="L26" s="36" t="s">
        <v>45</v>
      </c>
      <c r="M26" s="36">
        <v>2</v>
      </c>
      <c r="N26" s="36">
        <v>8.1188000000000007E-3</v>
      </c>
      <c r="O26" s="36">
        <v>0.2105263</v>
      </c>
    </row>
    <row r="27" spans="1:15" ht="85" x14ac:dyDescent="0.2">
      <c r="A27" s="36" t="s">
        <v>1227</v>
      </c>
      <c r="B27" s="45" t="str">
        <f>VLOOKUP(Tabella13[[#This Row],[test_id]],experiments_specs!A:J,2,FALSE)</f>
        <v>NN,JJ</v>
      </c>
      <c r="C27" s="38">
        <f>VLOOKUP(Tabella13[[#This Row],[test_id]],experiments_specs!A:J,3,FALSE)</f>
        <v>0</v>
      </c>
      <c r="D27" s="38">
        <f>VLOOKUP(Tabella13[[#This Row],[test_id]],experiments_specs!A:J,4,FALSE)</f>
        <v>2</v>
      </c>
      <c r="E27" s="38" t="str">
        <f>VLOOKUP(Tabella13[[#This Row],[test_id]],experiments_specs!A:J,5,FALSE)</f>
        <v>False</v>
      </c>
      <c r="F27" s="38" t="str">
        <f>VLOOKUP(Tabella13[[#This Row],[test_id]],experiments_specs!A:J,6,FALSE)</f>
        <v>True</v>
      </c>
      <c r="G27" s="38" t="str">
        <f>VLOOKUP(Tabella13[[#This Row],[test_id]],experiments_specs!A:J,7,FALSE)</f>
        <v>False</v>
      </c>
      <c r="H27" s="38" t="str">
        <f>VLOOKUP(Tabella13[[#This Row],[test_id]],experiments_specs!A:J,8,FALSE)</f>
        <v>False</v>
      </c>
      <c r="I27" s="38" t="str">
        <f>VLOOKUP(Tabella13[[#This Row],[test_id]],experiments_specs!A:J,9,FALSE)</f>
        <v>wup_similarity</v>
      </c>
      <c r="J27" s="38" t="str">
        <f>VLOOKUP(Tabella13[[#This Row],[test_id]],experiments_specs!A:J,10,FALSE)</f>
        <v>True</v>
      </c>
      <c r="K27" s="40" t="s">
        <v>19</v>
      </c>
      <c r="L27" s="36" t="s">
        <v>1312</v>
      </c>
      <c r="M27" s="36" t="s">
        <v>1314</v>
      </c>
      <c r="N27" s="36">
        <v>2.8078999999999999E-3</v>
      </c>
      <c r="O27" s="36" t="s">
        <v>1434</v>
      </c>
    </row>
    <row r="28" spans="1:15" ht="85" x14ac:dyDescent="0.2">
      <c r="A28" s="36" t="s">
        <v>1227</v>
      </c>
      <c r="B28" s="45" t="str">
        <f>VLOOKUP(Tabella13[[#This Row],[test_id]],experiments_specs!A:J,2,FALSE)</f>
        <v>NN,JJ</v>
      </c>
      <c r="C28" s="38">
        <f>VLOOKUP(Tabella13[[#This Row],[test_id]],experiments_specs!A:J,3,FALSE)</f>
        <v>0</v>
      </c>
      <c r="D28" s="38">
        <f>VLOOKUP(Tabella13[[#This Row],[test_id]],experiments_specs!A:J,4,FALSE)</f>
        <v>2</v>
      </c>
      <c r="E28" s="38" t="str">
        <f>VLOOKUP(Tabella13[[#This Row],[test_id]],experiments_specs!A:J,5,FALSE)</f>
        <v>False</v>
      </c>
      <c r="F28" s="38" t="str">
        <f>VLOOKUP(Tabella13[[#This Row],[test_id]],experiments_specs!A:J,6,FALSE)</f>
        <v>True</v>
      </c>
      <c r="G28" s="38" t="str">
        <f>VLOOKUP(Tabella13[[#This Row],[test_id]],experiments_specs!A:J,7,FALSE)</f>
        <v>False</v>
      </c>
      <c r="H28" s="38" t="str">
        <f>VLOOKUP(Tabella13[[#This Row],[test_id]],experiments_specs!A:J,8,FALSE)</f>
        <v>False</v>
      </c>
      <c r="I28" s="38" t="str">
        <f>VLOOKUP(Tabella13[[#This Row],[test_id]],experiments_specs!A:J,9,FALSE)</f>
        <v>wup_similarity</v>
      </c>
      <c r="J28" s="38" t="str">
        <f>VLOOKUP(Tabella13[[#This Row],[test_id]],experiments_specs!A:J,10,FALSE)</f>
        <v>True</v>
      </c>
      <c r="K28" s="40" t="s">
        <v>12</v>
      </c>
      <c r="L28" s="36" t="s">
        <v>23</v>
      </c>
      <c r="M28" s="36">
        <v>2</v>
      </c>
      <c r="N28" s="36">
        <v>5.2849000000000004E-3</v>
      </c>
      <c r="O28" s="36">
        <v>0.42857139999999999</v>
      </c>
    </row>
    <row r="29" spans="1:15" ht="85" x14ac:dyDescent="0.2">
      <c r="A29" s="36" t="s">
        <v>1227</v>
      </c>
      <c r="B29" s="45" t="str">
        <f>VLOOKUP(Tabella13[[#This Row],[test_id]],experiments_specs!A:J,2,FALSE)</f>
        <v>NN,JJ</v>
      </c>
      <c r="C29" s="38">
        <f>VLOOKUP(Tabella13[[#This Row],[test_id]],experiments_specs!A:J,3,FALSE)</f>
        <v>0</v>
      </c>
      <c r="D29" s="38">
        <f>VLOOKUP(Tabella13[[#This Row],[test_id]],experiments_specs!A:J,4,FALSE)</f>
        <v>2</v>
      </c>
      <c r="E29" s="38" t="str">
        <f>VLOOKUP(Tabella13[[#This Row],[test_id]],experiments_specs!A:J,5,FALSE)</f>
        <v>False</v>
      </c>
      <c r="F29" s="38" t="str">
        <f>VLOOKUP(Tabella13[[#This Row],[test_id]],experiments_specs!A:J,6,FALSE)</f>
        <v>True</v>
      </c>
      <c r="G29" s="38" t="str">
        <f>VLOOKUP(Tabella13[[#This Row],[test_id]],experiments_specs!A:J,7,FALSE)</f>
        <v>False</v>
      </c>
      <c r="H29" s="38" t="str">
        <f>VLOOKUP(Tabella13[[#This Row],[test_id]],experiments_specs!A:J,8,FALSE)</f>
        <v>False</v>
      </c>
      <c r="I29" s="38" t="str">
        <f>VLOOKUP(Tabella13[[#This Row],[test_id]],experiments_specs!A:J,9,FALSE)</f>
        <v>wup_similarity</v>
      </c>
      <c r="J29" s="38" t="str">
        <f>VLOOKUP(Tabella13[[#This Row],[test_id]],experiments_specs!A:J,10,FALSE)</f>
        <v>True</v>
      </c>
      <c r="K29" s="40" t="s">
        <v>13</v>
      </c>
      <c r="L29" s="36" t="s">
        <v>1317</v>
      </c>
      <c r="M29" s="36">
        <v>3</v>
      </c>
      <c r="N29" s="36">
        <v>6.9794999999999996E-3</v>
      </c>
      <c r="O29" s="36" t="s">
        <v>25</v>
      </c>
    </row>
    <row r="30" spans="1:15" ht="85" x14ac:dyDescent="0.2">
      <c r="A30" s="36" t="s">
        <v>1227</v>
      </c>
      <c r="B30" s="45" t="str">
        <f>VLOOKUP(Tabella13[[#This Row],[test_id]],experiments_specs!A:J,2,FALSE)</f>
        <v>NN,JJ</v>
      </c>
      <c r="C30" s="38">
        <f>VLOOKUP(Tabella13[[#This Row],[test_id]],experiments_specs!A:J,3,FALSE)</f>
        <v>0</v>
      </c>
      <c r="D30" s="38">
        <f>VLOOKUP(Tabella13[[#This Row],[test_id]],experiments_specs!A:J,4,FALSE)</f>
        <v>2</v>
      </c>
      <c r="E30" s="38" t="str">
        <f>VLOOKUP(Tabella13[[#This Row],[test_id]],experiments_specs!A:J,5,FALSE)</f>
        <v>False</v>
      </c>
      <c r="F30" s="38" t="str">
        <f>VLOOKUP(Tabella13[[#This Row],[test_id]],experiments_specs!A:J,6,FALSE)</f>
        <v>True</v>
      </c>
      <c r="G30" s="38" t="str">
        <f>VLOOKUP(Tabella13[[#This Row],[test_id]],experiments_specs!A:J,7,FALSE)</f>
        <v>False</v>
      </c>
      <c r="H30" s="38" t="str">
        <f>VLOOKUP(Tabella13[[#This Row],[test_id]],experiments_specs!A:J,8,FALSE)</f>
        <v>False</v>
      </c>
      <c r="I30" s="38" t="str">
        <f>VLOOKUP(Tabella13[[#This Row],[test_id]],experiments_specs!A:J,9,FALSE)</f>
        <v>wup_similarity</v>
      </c>
      <c r="J30" s="38" t="str">
        <f>VLOOKUP(Tabella13[[#This Row],[test_id]],experiments_specs!A:J,10,FALSE)</f>
        <v>True</v>
      </c>
      <c r="K30" s="40" t="s">
        <v>14</v>
      </c>
      <c r="L30" s="36" t="s">
        <v>1319</v>
      </c>
      <c r="M30" s="36" t="s">
        <v>1314</v>
      </c>
      <c r="N30" s="36">
        <v>4.2995999999999998E-3</v>
      </c>
      <c r="O30" s="36" t="s">
        <v>1436</v>
      </c>
    </row>
    <row r="31" spans="1:15" ht="85" x14ac:dyDescent="0.2">
      <c r="A31" s="36" t="s">
        <v>1227</v>
      </c>
      <c r="B31" s="45" t="str">
        <f>VLOOKUP(Tabella13[[#This Row],[test_id]],experiments_specs!A:J,2,FALSE)</f>
        <v>NN,JJ</v>
      </c>
      <c r="C31" s="38">
        <f>VLOOKUP(Tabella13[[#This Row],[test_id]],experiments_specs!A:J,3,FALSE)</f>
        <v>0</v>
      </c>
      <c r="D31" s="38">
        <f>VLOOKUP(Tabella13[[#This Row],[test_id]],experiments_specs!A:J,4,FALSE)</f>
        <v>2</v>
      </c>
      <c r="E31" s="38" t="str">
        <f>VLOOKUP(Tabella13[[#This Row],[test_id]],experiments_specs!A:J,5,FALSE)</f>
        <v>False</v>
      </c>
      <c r="F31" s="38" t="str">
        <f>VLOOKUP(Tabella13[[#This Row],[test_id]],experiments_specs!A:J,6,FALSE)</f>
        <v>True</v>
      </c>
      <c r="G31" s="38" t="str">
        <f>VLOOKUP(Tabella13[[#This Row],[test_id]],experiments_specs!A:J,7,FALSE)</f>
        <v>False</v>
      </c>
      <c r="H31" s="38" t="str">
        <f>VLOOKUP(Tabella13[[#This Row],[test_id]],experiments_specs!A:J,8,FALSE)</f>
        <v>False</v>
      </c>
      <c r="I31" s="38" t="str">
        <f>VLOOKUP(Tabella13[[#This Row],[test_id]],experiments_specs!A:J,9,FALSE)</f>
        <v>wup_similarity</v>
      </c>
      <c r="J31" s="38" t="str">
        <f>VLOOKUP(Tabella13[[#This Row],[test_id]],experiments_specs!A:J,10,FALSE)</f>
        <v>True</v>
      </c>
      <c r="K31" s="40" t="s">
        <v>15</v>
      </c>
      <c r="L31" s="36" t="s">
        <v>293</v>
      </c>
      <c r="M31" s="36">
        <v>1</v>
      </c>
      <c r="N31" s="36">
        <v>4.3425E-3</v>
      </c>
      <c r="O31" s="36">
        <v>0.90909090000000004</v>
      </c>
    </row>
    <row r="32" spans="1:15" ht="85" x14ac:dyDescent="0.2">
      <c r="A32" s="36" t="s">
        <v>1227</v>
      </c>
      <c r="B32" s="45" t="str">
        <f>VLOOKUP(Tabella13[[#This Row],[test_id]],experiments_specs!A:J,2,FALSE)</f>
        <v>NN,JJ</v>
      </c>
      <c r="C32" s="38">
        <f>VLOOKUP(Tabella13[[#This Row],[test_id]],experiments_specs!A:J,3,FALSE)</f>
        <v>0</v>
      </c>
      <c r="D32" s="38">
        <f>VLOOKUP(Tabella13[[#This Row],[test_id]],experiments_specs!A:J,4,FALSE)</f>
        <v>2</v>
      </c>
      <c r="E32" s="38" t="str">
        <f>VLOOKUP(Tabella13[[#This Row],[test_id]],experiments_specs!A:J,5,FALSE)</f>
        <v>False</v>
      </c>
      <c r="F32" s="38" t="str">
        <f>VLOOKUP(Tabella13[[#This Row],[test_id]],experiments_specs!A:J,6,FALSE)</f>
        <v>True</v>
      </c>
      <c r="G32" s="38" t="str">
        <f>VLOOKUP(Tabella13[[#This Row],[test_id]],experiments_specs!A:J,7,FALSE)</f>
        <v>False</v>
      </c>
      <c r="H32" s="38" t="str">
        <f>VLOOKUP(Tabella13[[#This Row],[test_id]],experiments_specs!A:J,8,FALSE)</f>
        <v>False</v>
      </c>
      <c r="I32" s="38" t="str">
        <f>VLOOKUP(Tabella13[[#This Row],[test_id]],experiments_specs!A:J,9,FALSE)</f>
        <v>wup_similarity</v>
      </c>
      <c r="J32" s="38" t="str">
        <f>VLOOKUP(Tabella13[[#This Row],[test_id]],experiments_specs!A:J,10,FALSE)</f>
        <v>True</v>
      </c>
      <c r="K32" s="40" t="s">
        <v>16</v>
      </c>
      <c r="L32" s="36" t="s">
        <v>209</v>
      </c>
      <c r="M32" s="36">
        <v>2</v>
      </c>
      <c r="N32" s="36">
        <v>2.9521999999999999E-3</v>
      </c>
      <c r="O32" s="36">
        <v>0.55555549999999998</v>
      </c>
    </row>
    <row r="33" spans="1:15" ht="85" x14ac:dyDescent="0.2">
      <c r="A33" s="36" t="s">
        <v>1227</v>
      </c>
      <c r="B33" s="45" t="str">
        <f>VLOOKUP(Tabella13[[#This Row],[test_id]],experiments_specs!A:J,2,FALSE)</f>
        <v>NN,JJ</v>
      </c>
      <c r="C33" s="38">
        <f>VLOOKUP(Tabella13[[#This Row],[test_id]],experiments_specs!A:J,3,FALSE)</f>
        <v>0</v>
      </c>
      <c r="D33" s="38">
        <f>VLOOKUP(Tabella13[[#This Row],[test_id]],experiments_specs!A:J,4,FALSE)</f>
        <v>2</v>
      </c>
      <c r="E33" s="38" t="str">
        <f>VLOOKUP(Tabella13[[#This Row],[test_id]],experiments_specs!A:J,5,FALSE)</f>
        <v>False</v>
      </c>
      <c r="F33" s="38" t="str">
        <f>VLOOKUP(Tabella13[[#This Row],[test_id]],experiments_specs!A:J,6,FALSE)</f>
        <v>True</v>
      </c>
      <c r="G33" s="38" t="str">
        <f>VLOOKUP(Tabella13[[#This Row],[test_id]],experiments_specs!A:J,7,FALSE)</f>
        <v>False</v>
      </c>
      <c r="H33" s="38" t="str">
        <f>VLOOKUP(Tabella13[[#This Row],[test_id]],experiments_specs!A:J,8,FALSE)</f>
        <v>False</v>
      </c>
      <c r="I33" s="38" t="str">
        <f>VLOOKUP(Tabella13[[#This Row],[test_id]],experiments_specs!A:J,9,FALSE)</f>
        <v>wup_similarity</v>
      </c>
      <c r="J33" s="38" t="str">
        <f>VLOOKUP(Tabella13[[#This Row],[test_id]],experiments_specs!A:J,10,FALSE)</f>
        <v>True</v>
      </c>
      <c r="K33" s="40" t="s">
        <v>17</v>
      </c>
      <c r="L33" s="36" t="s">
        <v>219</v>
      </c>
      <c r="M33" s="36">
        <v>2</v>
      </c>
      <c r="N33" s="36">
        <v>2.7277E-3</v>
      </c>
      <c r="O33" s="36">
        <v>0.13333329999999999</v>
      </c>
    </row>
    <row r="34" spans="1:15" ht="85" x14ac:dyDescent="0.2">
      <c r="A34" s="36" t="s">
        <v>1227</v>
      </c>
      <c r="B34" s="45" t="str">
        <f>VLOOKUP(Tabella13[[#This Row],[test_id]],experiments_specs!A:J,2,FALSE)</f>
        <v>NN,JJ</v>
      </c>
      <c r="C34" s="38">
        <f>VLOOKUP(Tabella13[[#This Row],[test_id]],experiments_specs!A:J,3,FALSE)</f>
        <v>0</v>
      </c>
      <c r="D34" s="38">
        <f>VLOOKUP(Tabella13[[#This Row],[test_id]],experiments_specs!A:J,4,FALSE)</f>
        <v>2</v>
      </c>
      <c r="E34" s="38" t="str">
        <f>VLOOKUP(Tabella13[[#This Row],[test_id]],experiments_specs!A:J,5,FALSE)</f>
        <v>False</v>
      </c>
      <c r="F34" s="38" t="str">
        <f>VLOOKUP(Tabella13[[#This Row],[test_id]],experiments_specs!A:J,6,FALSE)</f>
        <v>True</v>
      </c>
      <c r="G34" s="38" t="str">
        <f>VLOOKUP(Tabella13[[#This Row],[test_id]],experiments_specs!A:J,7,FALSE)</f>
        <v>False</v>
      </c>
      <c r="H34" s="38" t="str">
        <f>VLOOKUP(Tabella13[[#This Row],[test_id]],experiments_specs!A:J,8,FALSE)</f>
        <v>False</v>
      </c>
      <c r="I34" s="38" t="str">
        <f>VLOOKUP(Tabella13[[#This Row],[test_id]],experiments_specs!A:J,9,FALSE)</f>
        <v>wup_similarity</v>
      </c>
      <c r="J34" s="38" t="str">
        <f>VLOOKUP(Tabella13[[#This Row],[test_id]],experiments_specs!A:J,10,FALSE)</f>
        <v>True</v>
      </c>
      <c r="K34" s="40" t="s">
        <v>18</v>
      </c>
      <c r="L34" s="36" t="s">
        <v>1323</v>
      </c>
      <c r="M34" s="36" t="s">
        <v>1314</v>
      </c>
      <c r="N34" s="36">
        <v>2.2725000000000002E-3</v>
      </c>
      <c r="O34" s="36" t="s">
        <v>1438</v>
      </c>
    </row>
    <row r="35" spans="1:15" ht="85" x14ac:dyDescent="0.2">
      <c r="A35" s="36" t="s">
        <v>1228</v>
      </c>
      <c r="B35" s="45" t="str">
        <f>VLOOKUP(Tabella13[[#This Row],[test_id]],experiments_specs!A:J,2,FALSE)</f>
        <v>NN,JJ</v>
      </c>
      <c r="C35" s="38">
        <f>VLOOKUP(Tabella13[[#This Row],[test_id]],experiments_specs!A:J,3,FALSE)</f>
        <v>0</v>
      </c>
      <c r="D35" s="38">
        <f>VLOOKUP(Tabella13[[#This Row],[test_id]],experiments_specs!A:J,4,FALSE)</f>
        <v>3</v>
      </c>
      <c r="E35" s="38" t="str">
        <f>VLOOKUP(Tabella13[[#This Row],[test_id]],experiments_specs!A:J,5,FALSE)</f>
        <v>True</v>
      </c>
      <c r="F35" s="38" t="str">
        <f>VLOOKUP(Tabella13[[#This Row],[test_id]],experiments_specs!A:J,6,FALSE)</f>
        <v>True</v>
      </c>
      <c r="G35" s="38" t="str">
        <f>VLOOKUP(Tabella13[[#This Row],[test_id]],experiments_specs!A:J,7,FALSE)</f>
        <v>False</v>
      </c>
      <c r="H35" s="38" t="str">
        <f>VLOOKUP(Tabella13[[#This Row],[test_id]],experiments_specs!A:J,8,FALSE)</f>
        <v>False</v>
      </c>
      <c r="I35" s="38" t="str">
        <f>VLOOKUP(Tabella13[[#This Row],[test_id]],experiments_specs!A:J,9,FALSE)</f>
        <v>wup_similarity</v>
      </c>
      <c r="J35" s="38" t="str">
        <f>VLOOKUP(Tabella13[[#This Row],[test_id]],experiments_specs!A:J,10,FALSE)</f>
        <v>True</v>
      </c>
      <c r="K35" s="40" t="s">
        <v>19</v>
      </c>
      <c r="L35" s="36" t="s">
        <v>1312</v>
      </c>
      <c r="M35" s="36" t="s">
        <v>1314</v>
      </c>
      <c r="N35" s="36">
        <v>2.7982799999999999E-2</v>
      </c>
      <c r="O35" s="36" t="s">
        <v>1434</v>
      </c>
    </row>
    <row r="36" spans="1:15" ht="85" x14ac:dyDescent="0.2">
      <c r="A36" s="36" t="s">
        <v>1228</v>
      </c>
      <c r="B36" s="45" t="str">
        <f>VLOOKUP(Tabella13[[#This Row],[test_id]],experiments_specs!A:J,2,FALSE)</f>
        <v>NN,JJ</v>
      </c>
      <c r="C36" s="38">
        <f>VLOOKUP(Tabella13[[#This Row],[test_id]],experiments_specs!A:J,3,FALSE)</f>
        <v>0</v>
      </c>
      <c r="D36" s="38">
        <f>VLOOKUP(Tabella13[[#This Row],[test_id]],experiments_specs!A:J,4,FALSE)</f>
        <v>3</v>
      </c>
      <c r="E36" s="38" t="str">
        <f>VLOOKUP(Tabella13[[#This Row],[test_id]],experiments_specs!A:J,5,FALSE)</f>
        <v>True</v>
      </c>
      <c r="F36" s="38" t="str">
        <f>VLOOKUP(Tabella13[[#This Row],[test_id]],experiments_specs!A:J,6,FALSE)</f>
        <v>True</v>
      </c>
      <c r="G36" s="38" t="str">
        <f>VLOOKUP(Tabella13[[#This Row],[test_id]],experiments_specs!A:J,7,FALSE)</f>
        <v>False</v>
      </c>
      <c r="H36" s="38" t="str">
        <f>VLOOKUP(Tabella13[[#This Row],[test_id]],experiments_specs!A:J,8,FALSE)</f>
        <v>False</v>
      </c>
      <c r="I36" s="38" t="str">
        <f>VLOOKUP(Tabella13[[#This Row],[test_id]],experiments_specs!A:J,9,FALSE)</f>
        <v>wup_similarity</v>
      </c>
      <c r="J36" s="38" t="str">
        <f>VLOOKUP(Tabella13[[#This Row],[test_id]],experiments_specs!A:J,10,FALSE)</f>
        <v>True</v>
      </c>
      <c r="K36" s="40" t="s">
        <v>12</v>
      </c>
      <c r="L36" s="36" t="s">
        <v>23</v>
      </c>
      <c r="M36" s="36">
        <v>2</v>
      </c>
      <c r="N36" s="36">
        <v>4.9726699999999999E-2</v>
      </c>
      <c r="O36" s="36">
        <v>0.42857139999999999</v>
      </c>
    </row>
    <row r="37" spans="1:15" ht="85" x14ac:dyDescent="0.2">
      <c r="A37" s="36" t="s">
        <v>1228</v>
      </c>
      <c r="B37" s="45" t="str">
        <f>VLOOKUP(Tabella13[[#This Row],[test_id]],experiments_specs!A:J,2,FALSE)</f>
        <v>NN,JJ</v>
      </c>
      <c r="C37" s="38">
        <f>VLOOKUP(Tabella13[[#This Row],[test_id]],experiments_specs!A:J,3,FALSE)</f>
        <v>0</v>
      </c>
      <c r="D37" s="38">
        <f>VLOOKUP(Tabella13[[#This Row],[test_id]],experiments_specs!A:J,4,FALSE)</f>
        <v>3</v>
      </c>
      <c r="E37" s="38" t="str">
        <f>VLOOKUP(Tabella13[[#This Row],[test_id]],experiments_specs!A:J,5,FALSE)</f>
        <v>True</v>
      </c>
      <c r="F37" s="38" t="str">
        <f>VLOOKUP(Tabella13[[#This Row],[test_id]],experiments_specs!A:J,6,FALSE)</f>
        <v>True</v>
      </c>
      <c r="G37" s="38" t="str">
        <f>VLOOKUP(Tabella13[[#This Row],[test_id]],experiments_specs!A:J,7,FALSE)</f>
        <v>False</v>
      </c>
      <c r="H37" s="38" t="str">
        <f>VLOOKUP(Tabella13[[#This Row],[test_id]],experiments_specs!A:J,8,FALSE)</f>
        <v>False</v>
      </c>
      <c r="I37" s="38" t="str">
        <f>VLOOKUP(Tabella13[[#This Row],[test_id]],experiments_specs!A:J,9,FALSE)</f>
        <v>wup_similarity</v>
      </c>
      <c r="J37" s="38" t="str">
        <f>VLOOKUP(Tabella13[[#This Row],[test_id]],experiments_specs!A:J,10,FALSE)</f>
        <v>True</v>
      </c>
      <c r="K37" s="40" t="s">
        <v>13</v>
      </c>
      <c r="L37" s="36" t="s">
        <v>327</v>
      </c>
      <c r="M37" s="36">
        <v>2</v>
      </c>
      <c r="N37" s="36">
        <v>2.4573600000000001E-2</v>
      </c>
      <c r="O37" s="36" t="s">
        <v>25</v>
      </c>
    </row>
    <row r="38" spans="1:15" ht="85" x14ac:dyDescent="0.2">
      <c r="A38" s="36" t="s">
        <v>1228</v>
      </c>
      <c r="B38" s="45" t="str">
        <f>VLOOKUP(Tabella13[[#This Row],[test_id]],experiments_specs!A:J,2,FALSE)</f>
        <v>NN,JJ</v>
      </c>
      <c r="C38" s="38">
        <f>VLOOKUP(Tabella13[[#This Row],[test_id]],experiments_specs!A:J,3,FALSE)</f>
        <v>0</v>
      </c>
      <c r="D38" s="38">
        <f>VLOOKUP(Tabella13[[#This Row],[test_id]],experiments_specs!A:J,4,FALSE)</f>
        <v>3</v>
      </c>
      <c r="E38" s="38" t="str">
        <f>VLOOKUP(Tabella13[[#This Row],[test_id]],experiments_specs!A:J,5,FALSE)</f>
        <v>True</v>
      </c>
      <c r="F38" s="38" t="str">
        <f>VLOOKUP(Tabella13[[#This Row],[test_id]],experiments_specs!A:J,6,FALSE)</f>
        <v>True</v>
      </c>
      <c r="G38" s="38" t="str">
        <f>VLOOKUP(Tabella13[[#This Row],[test_id]],experiments_specs!A:J,7,FALSE)</f>
        <v>False</v>
      </c>
      <c r="H38" s="38" t="str">
        <f>VLOOKUP(Tabella13[[#This Row],[test_id]],experiments_specs!A:J,8,FALSE)</f>
        <v>False</v>
      </c>
      <c r="I38" s="38" t="str">
        <f>VLOOKUP(Tabella13[[#This Row],[test_id]],experiments_specs!A:J,9,FALSE)</f>
        <v>wup_similarity</v>
      </c>
      <c r="J38" s="38" t="str">
        <f>VLOOKUP(Tabella13[[#This Row],[test_id]],experiments_specs!A:J,10,FALSE)</f>
        <v>True</v>
      </c>
      <c r="K38" s="40" t="s">
        <v>14</v>
      </c>
      <c r="L38" s="36" t="s">
        <v>1329</v>
      </c>
      <c r="M38" s="36" t="s">
        <v>1331</v>
      </c>
      <c r="N38" s="36">
        <v>1.3121499999999999E-2</v>
      </c>
      <c r="O38" s="36" t="s">
        <v>1430</v>
      </c>
    </row>
    <row r="39" spans="1:15" ht="85" x14ac:dyDescent="0.2">
      <c r="A39" s="36" t="s">
        <v>1228</v>
      </c>
      <c r="B39" s="45" t="str">
        <f>VLOOKUP(Tabella13[[#This Row],[test_id]],experiments_specs!A:J,2,FALSE)</f>
        <v>NN,JJ</v>
      </c>
      <c r="C39" s="38">
        <f>VLOOKUP(Tabella13[[#This Row],[test_id]],experiments_specs!A:J,3,FALSE)</f>
        <v>0</v>
      </c>
      <c r="D39" s="38">
        <f>VLOOKUP(Tabella13[[#This Row],[test_id]],experiments_specs!A:J,4,FALSE)</f>
        <v>3</v>
      </c>
      <c r="E39" s="38" t="str">
        <f>VLOOKUP(Tabella13[[#This Row],[test_id]],experiments_specs!A:J,5,FALSE)</f>
        <v>True</v>
      </c>
      <c r="F39" s="38" t="str">
        <f>VLOOKUP(Tabella13[[#This Row],[test_id]],experiments_specs!A:J,6,FALSE)</f>
        <v>True</v>
      </c>
      <c r="G39" s="38" t="str">
        <f>VLOOKUP(Tabella13[[#This Row],[test_id]],experiments_specs!A:J,7,FALSE)</f>
        <v>False</v>
      </c>
      <c r="H39" s="38" t="str">
        <f>VLOOKUP(Tabella13[[#This Row],[test_id]],experiments_specs!A:J,8,FALSE)</f>
        <v>False</v>
      </c>
      <c r="I39" s="38" t="str">
        <f>VLOOKUP(Tabella13[[#This Row],[test_id]],experiments_specs!A:J,9,FALSE)</f>
        <v>wup_similarity</v>
      </c>
      <c r="J39" s="38" t="str">
        <f>VLOOKUP(Tabella13[[#This Row],[test_id]],experiments_specs!A:J,10,FALSE)</f>
        <v>True</v>
      </c>
      <c r="K39" s="40" t="s">
        <v>15</v>
      </c>
      <c r="L39" s="36" t="s">
        <v>293</v>
      </c>
      <c r="M39" s="36">
        <v>1</v>
      </c>
      <c r="N39" s="36">
        <v>4.19058E-2</v>
      </c>
      <c r="O39" s="36">
        <v>0.90909090000000004</v>
      </c>
    </row>
    <row r="40" spans="1:15" ht="85" x14ac:dyDescent="0.2">
      <c r="A40" s="36" t="s">
        <v>1228</v>
      </c>
      <c r="B40" s="45" t="str">
        <f>VLOOKUP(Tabella13[[#This Row],[test_id]],experiments_specs!A:J,2,FALSE)</f>
        <v>NN,JJ</v>
      </c>
      <c r="C40" s="38">
        <f>VLOOKUP(Tabella13[[#This Row],[test_id]],experiments_specs!A:J,3,FALSE)</f>
        <v>0</v>
      </c>
      <c r="D40" s="38">
        <f>VLOOKUP(Tabella13[[#This Row],[test_id]],experiments_specs!A:J,4,FALSE)</f>
        <v>3</v>
      </c>
      <c r="E40" s="38" t="str">
        <f>VLOOKUP(Tabella13[[#This Row],[test_id]],experiments_specs!A:J,5,FALSE)</f>
        <v>True</v>
      </c>
      <c r="F40" s="38" t="str">
        <f>VLOOKUP(Tabella13[[#This Row],[test_id]],experiments_specs!A:J,6,FALSE)</f>
        <v>True</v>
      </c>
      <c r="G40" s="38" t="str">
        <f>VLOOKUP(Tabella13[[#This Row],[test_id]],experiments_specs!A:J,7,FALSE)</f>
        <v>False</v>
      </c>
      <c r="H40" s="38" t="str">
        <f>VLOOKUP(Tabella13[[#This Row],[test_id]],experiments_specs!A:J,8,FALSE)</f>
        <v>False</v>
      </c>
      <c r="I40" s="38" t="str">
        <f>VLOOKUP(Tabella13[[#This Row],[test_id]],experiments_specs!A:J,9,FALSE)</f>
        <v>wup_similarity</v>
      </c>
      <c r="J40" s="38" t="str">
        <f>VLOOKUP(Tabella13[[#This Row],[test_id]],experiments_specs!A:J,10,FALSE)</f>
        <v>True</v>
      </c>
      <c r="K40" s="40" t="s">
        <v>16</v>
      </c>
      <c r="L40" s="36" t="s">
        <v>1333</v>
      </c>
      <c r="M40" s="36" t="s">
        <v>1314</v>
      </c>
      <c r="N40" s="36">
        <v>1.91366E-2</v>
      </c>
      <c r="O40" s="36" t="s">
        <v>1432</v>
      </c>
    </row>
    <row r="41" spans="1:15" ht="85" x14ac:dyDescent="0.2">
      <c r="A41" s="36" t="s">
        <v>1228</v>
      </c>
      <c r="B41" s="45" t="str">
        <f>VLOOKUP(Tabella13[[#This Row],[test_id]],experiments_specs!A:J,2,FALSE)</f>
        <v>NN,JJ</v>
      </c>
      <c r="C41" s="38">
        <f>VLOOKUP(Tabella13[[#This Row],[test_id]],experiments_specs!A:J,3,FALSE)</f>
        <v>0</v>
      </c>
      <c r="D41" s="38">
        <f>VLOOKUP(Tabella13[[#This Row],[test_id]],experiments_specs!A:J,4,FALSE)</f>
        <v>3</v>
      </c>
      <c r="E41" s="38" t="str">
        <f>VLOOKUP(Tabella13[[#This Row],[test_id]],experiments_specs!A:J,5,FALSE)</f>
        <v>True</v>
      </c>
      <c r="F41" s="38" t="str">
        <f>VLOOKUP(Tabella13[[#This Row],[test_id]],experiments_specs!A:J,6,FALSE)</f>
        <v>True</v>
      </c>
      <c r="G41" s="38" t="str">
        <f>VLOOKUP(Tabella13[[#This Row],[test_id]],experiments_specs!A:J,7,FALSE)</f>
        <v>False</v>
      </c>
      <c r="H41" s="38" t="str">
        <f>VLOOKUP(Tabella13[[#This Row],[test_id]],experiments_specs!A:J,8,FALSE)</f>
        <v>False</v>
      </c>
      <c r="I41" s="38" t="str">
        <f>VLOOKUP(Tabella13[[#This Row],[test_id]],experiments_specs!A:J,9,FALSE)</f>
        <v>wup_similarity</v>
      </c>
      <c r="J41" s="38" t="str">
        <f>VLOOKUP(Tabella13[[#This Row],[test_id]],experiments_specs!A:J,10,FALSE)</f>
        <v>True</v>
      </c>
      <c r="K41" s="40" t="s">
        <v>17</v>
      </c>
      <c r="L41" s="36" t="s">
        <v>1335</v>
      </c>
      <c r="M41" s="36" t="s">
        <v>1314</v>
      </c>
      <c r="N41" s="36">
        <v>2.0997999999999999E-2</v>
      </c>
      <c r="O41" s="36" t="s">
        <v>1440</v>
      </c>
    </row>
    <row r="42" spans="1:15" ht="85" x14ac:dyDescent="0.2">
      <c r="A42" s="36" t="s">
        <v>1228</v>
      </c>
      <c r="B42" s="45" t="str">
        <f>VLOOKUP(Tabella13[[#This Row],[test_id]],experiments_specs!A:J,2,FALSE)</f>
        <v>NN,JJ</v>
      </c>
      <c r="C42" s="38">
        <f>VLOOKUP(Tabella13[[#This Row],[test_id]],experiments_specs!A:J,3,FALSE)</f>
        <v>0</v>
      </c>
      <c r="D42" s="38">
        <f>VLOOKUP(Tabella13[[#This Row],[test_id]],experiments_specs!A:J,4,FALSE)</f>
        <v>3</v>
      </c>
      <c r="E42" s="38" t="str">
        <f>VLOOKUP(Tabella13[[#This Row],[test_id]],experiments_specs!A:J,5,FALSE)</f>
        <v>True</v>
      </c>
      <c r="F42" s="38" t="str">
        <f>VLOOKUP(Tabella13[[#This Row],[test_id]],experiments_specs!A:J,6,FALSE)</f>
        <v>True</v>
      </c>
      <c r="G42" s="38" t="str">
        <f>VLOOKUP(Tabella13[[#This Row],[test_id]],experiments_specs!A:J,7,FALSE)</f>
        <v>False</v>
      </c>
      <c r="H42" s="38" t="str">
        <f>VLOOKUP(Tabella13[[#This Row],[test_id]],experiments_specs!A:J,8,FALSE)</f>
        <v>False</v>
      </c>
      <c r="I42" s="38" t="str">
        <f>VLOOKUP(Tabella13[[#This Row],[test_id]],experiments_specs!A:J,9,FALSE)</f>
        <v>wup_similarity</v>
      </c>
      <c r="J42" s="38" t="str">
        <f>VLOOKUP(Tabella13[[#This Row],[test_id]],experiments_specs!A:J,10,FALSE)</f>
        <v>True</v>
      </c>
      <c r="K42" s="40" t="s">
        <v>18</v>
      </c>
      <c r="L42" s="36" t="s">
        <v>45</v>
      </c>
      <c r="M42" s="36">
        <v>2</v>
      </c>
      <c r="N42" s="36">
        <v>1.7334800000000001E-2</v>
      </c>
      <c r="O42" s="36">
        <v>0.2105263</v>
      </c>
    </row>
    <row r="43" spans="1:15" ht="85" x14ac:dyDescent="0.2">
      <c r="A43" s="36" t="s">
        <v>1229</v>
      </c>
      <c r="B43" s="45" t="str">
        <f>VLOOKUP(Tabella13[[#This Row],[test_id]],experiments_specs!A:J,2,FALSE)</f>
        <v>NN,VB,VBD,VBG,VBN,VBP,VBZ</v>
      </c>
      <c r="C43" s="38">
        <f>VLOOKUP(Tabella13[[#This Row],[test_id]],experiments_specs!A:J,3,FALSE)</f>
        <v>0</v>
      </c>
      <c r="D43" s="38">
        <f>VLOOKUP(Tabella13[[#This Row],[test_id]],experiments_specs!A:J,4,FALSE)</f>
        <v>2</v>
      </c>
      <c r="E43" s="38" t="str">
        <f>VLOOKUP(Tabella13[[#This Row],[test_id]],experiments_specs!A:J,5,FALSE)</f>
        <v>True</v>
      </c>
      <c r="F43" s="38" t="str">
        <f>VLOOKUP(Tabella13[[#This Row],[test_id]],experiments_specs!A:J,6,FALSE)</f>
        <v>True</v>
      </c>
      <c r="G43" s="38" t="str">
        <f>VLOOKUP(Tabella13[[#This Row],[test_id]],experiments_specs!A:J,7,FALSE)</f>
        <v>False</v>
      </c>
      <c r="H43" s="38" t="str">
        <f>VLOOKUP(Tabella13[[#This Row],[test_id]],experiments_specs!A:J,8,FALSE)</f>
        <v>False</v>
      </c>
      <c r="I43" s="38" t="str">
        <f>VLOOKUP(Tabella13[[#This Row],[test_id]],experiments_specs!A:J,9,FALSE)</f>
        <v>wup_similarity</v>
      </c>
      <c r="J43" s="38" t="str">
        <f>VLOOKUP(Tabella13[[#This Row],[test_id]],experiments_specs!A:J,10,FALSE)</f>
        <v>True</v>
      </c>
      <c r="K43" s="40" t="s">
        <v>19</v>
      </c>
      <c r="L43" s="36" t="s">
        <v>226</v>
      </c>
      <c r="M43" s="36">
        <v>4</v>
      </c>
      <c r="N43" s="36">
        <v>3.52827E-2</v>
      </c>
      <c r="O43" s="36">
        <v>0.17391300000000001</v>
      </c>
    </row>
    <row r="44" spans="1:15" ht="85" x14ac:dyDescent="0.2">
      <c r="A44" s="36" t="s">
        <v>1229</v>
      </c>
      <c r="B44" s="45" t="str">
        <f>VLOOKUP(Tabella13[[#This Row],[test_id]],experiments_specs!A:J,2,FALSE)</f>
        <v>NN,VB,VBD,VBG,VBN,VBP,VBZ</v>
      </c>
      <c r="C44" s="38">
        <f>VLOOKUP(Tabella13[[#This Row],[test_id]],experiments_specs!A:J,3,FALSE)</f>
        <v>0</v>
      </c>
      <c r="D44" s="38">
        <f>VLOOKUP(Tabella13[[#This Row],[test_id]],experiments_specs!A:J,4,FALSE)</f>
        <v>2</v>
      </c>
      <c r="E44" s="38" t="str">
        <f>VLOOKUP(Tabella13[[#This Row],[test_id]],experiments_specs!A:J,5,FALSE)</f>
        <v>True</v>
      </c>
      <c r="F44" s="38" t="str">
        <f>VLOOKUP(Tabella13[[#This Row],[test_id]],experiments_specs!A:J,6,FALSE)</f>
        <v>True</v>
      </c>
      <c r="G44" s="38" t="str">
        <f>VLOOKUP(Tabella13[[#This Row],[test_id]],experiments_specs!A:J,7,FALSE)</f>
        <v>False</v>
      </c>
      <c r="H44" s="38" t="str">
        <f>VLOOKUP(Tabella13[[#This Row],[test_id]],experiments_specs!A:J,8,FALSE)</f>
        <v>False</v>
      </c>
      <c r="I44" s="38" t="str">
        <f>VLOOKUP(Tabella13[[#This Row],[test_id]],experiments_specs!A:J,9,FALSE)</f>
        <v>wup_similarity</v>
      </c>
      <c r="J44" s="38" t="str">
        <f>VLOOKUP(Tabella13[[#This Row],[test_id]],experiments_specs!A:J,10,FALSE)</f>
        <v>True</v>
      </c>
      <c r="K44" s="40" t="s">
        <v>12</v>
      </c>
      <c r="L44" s="36" t="s">
        <v>23</v>
      </c>
      <c r="M44" s="36">
        <v>2</v>
      </c>
      <c r="N44" s="36">
        <v>4.3759399999999997E-2</v>
      </c>
      <c r="O44" s="36">
        <v>0.42857139999999999</v>
      </c>
    </row>
    <row r="45" spans="1:15" ht="85" x14ac:dyDescent="0.2">
      <c r="A45" s="36" t="s">
        <v>1229</v>
      </c>
      <c r="B45" s="45" t="str">
        <f>VLOOKUP(Tabella13[[#This Row],[test_id]],experiments_specs!A:J,2,FALSE)</f>
        <v>NN,VB,VBD,VBG,VBN,VBP,VBZ</v>
      </c>
      <c r="C45" s="38">
        <f>VLOOKUP(Tabella13[[#This Row],[test_id]],experiments_specs!A:J,3,FALSE)</f>
        <v>0</v>
      </c>
      <c r="D45" s="38">
        <f>VLOOKUP(Tabella13[[#This Row],[test_id]],experiments_specs!A:J,4,FALSE)</f>
        <v>2</v>
      </c>
      <c r="E45" s="38" t="str">
        <f>VLOOKUP(Tabella13[[#This Row],[test_id]],experiments_specs!A:J,5,FALSE)</f>
        <v>True</v>
      </c>
      <c r="F45" s="38" t="str">
        <f>VLOOKUP(Tabella13[[#This Row],[test_id]],experiments_specs!A:J,6,FALSE)</f>
        <v>True</v>
      </c>
      <c r="G45" s="38" t="str">
        <f>VLOOKUP(Tabella13[[#This Row],[test_id]],experiments_specs!A:J,7,FALSE)</f>
        <v>False</v>
      </c>
      <c r="H45" s="38" t="str">
        <f>VLOOKUP(Tabella13[[#This Row],[test_id]],experiments_specs!A:J,8,FALSE)</f>
        <v>False</v>
      </c>
      <c r="I45" s="38" t="str">
        <f>VLOOKUP(Tabella13[[#This Row],[test_id]],experiments_specs!A:J,9,FALSE)</f>
        <v>wup_similarity</v>
      </c>
      <c r="J45" s="38" t="str">
        <f>VLOOKUP(Tabella13[[#This Row],[test_id]],experiments_specs!A:J,10,FALSE)</f>
        <v>True</v>
      </c>
      <c r="K45" s="40" t="s">
        <v>13</v>
      </c>
      <c r="L45" s="36" t="s">
        <v>327</v>
      </c>
      <c r="M45" s="36">
        <v>2</v>
      </c>
      <c r="N45" s="36">
        <v>2.4573600000000001E-2</v>
      </c>
      <c r="O45" s="36" t="s">
        <v>25</v>
      </c>
    </row>
    <row r="46" spans="1:15" ht="85" x14ac:dyDescent="0.2">
      <c r="A46" s="36" t="s">
        <v>1229</v>
      </c>
      <c r="B46" s="45" t="str">
        <f>VLOOKUP(Tabella13[[#This Row],[test_id]],experiments_specs!A:J,2,FALSE)</f>
        <v>NN,VB,VBD,VBG,VBN,VBP,VBZ</v>
      </c>
      <c r="C46" s="38">
        <f>VLOOKUP(Tabella13[[#This Row],[test_id]],experiments_specs!A:J,3,FALSE)</f>
        <v>0</v>
      </c>
      <c r="D46" s="38">
        <f>VLOOKUP(Tabella13[[#This Row],[test_id]],experiments_specs!A:J,4,FALSE)</f>
        <v>2</v>
      </c>
      <c r="E46" s="38" t="str">
        <f>VLOOKUP(Tabella13[[#This Row],[test_id]],experiments_specs!A:J,5,FALSE)</f>
        <v>True</v>
      </c>
      <c r="F46" s="38" t="str">
        <f>VLOOKUP(Tabella13[[#This Row],[test_id]],experiments_specs!A:J,6,FALSE)</f>
        <v>True</v>
      </c>
      <c r="G46" s="38" t="str">
        <f>VLOOKUP(Tabella13[[#This Row],[test_id]],experiments_specs!A:J,7,FALSE)</f>
        <v>False</v>
      </c>
      <c r="H46" s="38" t="str">
        <f>VLOOKUP(Tabella13[[#This Row],[test_id]],experiments_specs!A:J,8,FALSE)</f>
        <v>False</v>
      </c>
      <c r="I46" s="38" t="str">
        <f>VLOOKUP(Tabella13[[#This Row],[test_id]],experiments_specs!A:J,9,FALSE)</f>
        <v>wup_similarity</v>
      </c>
      <c r="J46" s="38" t="str">
        <f>VLOOKUP(Tabella13[[#This Row],[test_id]],experiments_specs!A:J,10,FALSE)</f>
        <v>True</v>
      </c>
      <c r="K46" s="40" t="s">
        <v>14</v>
      </c>
      <c r="L46" s="36" t="s">
        <v>1329</v>
      </c>
      <c r="M46" s="36" t="s">
        <v>1331</v>
      </c>
      <c r="N46" s="36">
        <v>1.27356E-2</v>
      </c>
      <c r="O46" s="36" t="s">
        <v>1430</v>
      </c>
    </row>
    <row r="47" spans="1:15" ht="85" x14ac:dyDescent="0.2">
      <c r="A47" s="36" t="s">
        <v>1229</v>
      </c>
      <c r="B47" s="45" t="str">
        <f>VLOOKUP(Tabella13[[#This Row],[test_id]],experiments_specs!A:J,2,FALSE)</f>
        <v>NN,VB,VBD,VBG,VBN,VBP,VBZ</v>
      </c>
      <c r="C47" s="38">
        <f>VLOOKUP(Tabella13[[#This Row],[test_id]],experiments_specs!A:J,3,FALSE)</f>
        <v>0</v>
      </c>
      <c r="D47" s="38">
        <f>VLOOKUP(Tabella13[[#This Row],[test_id]],experiments_specs!A:J,4,FALSE)</f>
        <v>2</v>
      </c>
      <c r="E47" s="38" t="str">
        <f>VLOOKUP(Tabella13[[#This Row],[test_id]],experiments_specs!A:J,5,FALSE)</f>
        <v>True</v>
      </c>
      <c r="F47" s="38" t="str">
        <f>VLOOKUP(Tabella13[[#This Row],[test_id]],experiments_specs!A:J,6,FALSE)</f>
        <v>True</v>
      </c>
      <c r="G47" s="38" t="str">
        <f>VLOOKUP(Tabella13[[#This Row],[test_id]],experiments_specs!A:J,7,FALSE)</f>
        <v>False</v>
      </c>
      <c r="H47" s="38" t="str">
        <f>VLOOKUP(Tabella13[[#This Row],[test_id]],experiments_specs!A:J,8,FALSE)</f>
        <v>False</v>
      </c>
      <c r="I47" s="38" t="str">
        <f>VLOOKUP(Tabella13[[#This Row],[test_id]],experiments_specs!A:J,9,FALSE)</f>
        <v>wup_similarity</v>
      </c>
      <c r="J47" s="38" t="str">
        <f>VLOOKUP(Tabella13[[#This Row],[test_id]],experiments_specs!A:J,10,FALSE)</f>
        <v>True</v>
      </c>
      <c r="K47" s="40" t="s">
        <v>15</v>
      </c>
      <c r="L47" s="36" t="s">
        <v>27</v>
      </c>
      <c r="M47" s="36">
        <v>2</v>
      </c>
      <c r="N47" s="36">
        <v>1.7352599999999999E-2</v>
      </c>
      <c r="O47" s="36">
        <v>0.1666666</v>
      </c>
    </row>
    <row r="48" spans="1:15" ht="85" x14ac:dyDescent="0.2">
      <c r="A48" s="36" t="s">
        <v>1229</v>
      </c>
      <c r="B48" s="45" t="str">
        <f>VLOOKUP(Tabella13[[#This Row],[test_id]],experiments_specs!A:J,2,FALSE)</f>
        <v>NN,VB,VBD,VBG,VBN,VBP,VBZ</v>
      </c>
      <c r="C48" s="38">
        <f>VLOOKUP(Tabella13[[#This Row],[test_id]],experiments_specs!A:J,3,FALSE)</f>
        <v>0</v>
      </c>
      <c r="D48" s="38">
        <f>VLOOKUP(Tabella13[[#This Row],[test_id]],experiments_specs!A:J,4,FALSE)</f>
        <v>2</v>
      </c>
      <c r="E48" s="38" t="str">
        <f>VLOOKUP(Tabella13[[#This Row],[test_id]],experiments_specs!A:J,5,FALSE)</f>
        <v>True</v>
      </c>
      <c r="F48" s="38" t="str">
        <f>VLOOKUP(Tabella13[[#This Row],[test_id]],experiments_specs!A:J,6,FALSE)</f>
        <v>True</v>
      </c>
      <c r="G48" s="38" t="str">
        <f>VLOOKUP(Tabella13[[#This Row],[test_id]],experiments_specs!A:J,7,FALSE)</f>
        <v>False</v>
      </c>
      <c r="H48" s="38" t="str">
        <f>VLOOKUP(Tabella13[[#This Row],[test_id]],experiments_specs!A:J,8,FALSE)</f>
        <v>False</v>
      </c>
      <c r="I48" s="38" t="str">
        <f>VLOOKUP(Tabella13[[#This Row],[test_id]],experiments_specs!A:J,9,FALSE)</f>
        <v>wup_similarity</v>
      </c>
      <c r="J48" s="38" t="str">
        <f>VLOOKUP(Tabella13[[#This Row],[test_id]],experiments_specs!A:J,10,FALSE)</f>
        <v>True</v>
      </c>
      <c r="K48" s="40" t="s">
        <v>16</v>
      </c>
      <c r="L48" s="36" t="s">
        <v>1333</v>
      </c>
      <c r="M48" s="36" t="s">
        <v>1314</v>
      </c>
      <c r="N48" s="36">
        <v>2.55155E-2</v>
      </c>
      <c r="O48" s="36" t="s">
        <v>1432</v>
      </c>
    </row>
    <row r="49" spans="1:15" ht="85" x14ac:dyDescent="0.2">
      <c r="A49" s="36" t="s">
        <v>1229</v>
      </c>
      <c r="B49" s="45" t="str">
        <f>VLOOKUP(Tabella13[[#This Row],[test_id]],experiments_specs!A:J,2,FALSE)</f>
        <v>NN,VB,VBD,VBG,VBN,VBP,VBZ</v>
      </c>
      <c r="C49" s="38">
        <f>VLOOKUP(Tabella13[[#This Row],[test_id]],experiments_specs!A:J,3,FALSE)</f>
        <v>0</v>
      </c>
      <c r="D49" s="38">
        <f>VLOOKUP(Tabella13[[#This Row],[test_id]],experiments_specs!A:J,4,FALSE)</f>
        <v>2</v>
      </c>
      <c r="E49" s="38" t="str">
        <f>VLOOKUP(Tabella13[[#This Row],[test_id]],experiments_specs!A:J,5,FALSE)</f>
        <v>True</v>
      </c>
      <c r="F49" s="38" t="str">
        <f>VLOOKUP(Tabella13[[#This Row],[test_id]],experiments_specs!A:J,6,FALSE)</f>
        <v>True</v>
      </c>
      <c r="G49" s="38" t="str">
        <f>VLOOKUP(Tabella13[[#This Row],[test_id]],experiments_specs!A:J,7,FALSE)</f>
        <v>False</v>
      </c>
      <c r="H49" s="38" t="str">
        <f>VLOOKUP(Tabella13[[#This Row],[test_id]],experiments_specs!A:J,8,FALSE)</f>
        <v>False</v>
      </c>
      <c r="I49" s="38" t="str">
        <f>VLOOKUP(Tabella13[[#This Row],[test_id]],experiments_specs!A:J,9,FALSE)</f>
        <v>wup_similarity</v>
      </c>
      <c r="J49" s="38" t="str">
        <f>VLOOKUP(Tabella13[[#This Row],[test_id]],experiments_specs!A:J,10,FALSE)</f>
        <v>True</v>
      </c>
      <c r="K49" s="40" t="s">
        <v>17</v>
      </c>
      <c r="L49" s="36" t="s">
        <v>1335</v>
      </c>
      <c r="M49" s="36" t="s">
        <v>1314</v>
      </c>
      <c r="N49" s="36">
        <v>1.88982E-2</v>
      </c>
      <c r="O49" s="36" t="s">
        <v>1440</v>
      </c>
    </row>
    <row r="50" spans="1:15" ht="85" x14ac:dyDescent="0.2">
      <c r="A50" s="36" t="s">
        <v>1229</v>
      </c>
      <c r="B50" s="45" t="str">
        <f>VLOOKUP(Tabella13[[#This Row],[test_id]],experiments_specs!A:J,2,FALSE)</f>
        <v>NN,VB,VBD,VBG,VBN,VBP,VBZ</v>
      </c>
      <c r="C50" s="38">
        <f>VLOOKUP(Tabella13[[#This Row],[test_id]],experiments_specs!A:J,3,FALSE)</f>
        <v>0</v>
      </c>
      <c r="D50" s="38">
        <f>VLOOKUP(Tabella13[[#This Row],[test_id]],experiments_specs!A:J,4,FALSE)</f>
        <v>2</v>
      </c>
      <c r="E50" s="38" t="str">
        <f>VLOOKUP(Tabella13[[#This Row],[test_id]],experiments_specs!A:J,5,FALSE)</f>
        <v>True</v>
      </c>
      <c r="F50" s="38" t="str">
        <f>VLOOKUP(Tabella13[[#This Row],[test_id]],experiments_specs!A:J,6,FALSE)</f>
        <v>True</v>
      </c>
      <c r="G50" s="38" t="str">
        <f>VLOOKUP(Tabella13[[#This Row],[test_id]],experiments_specs!A:J,7,FALSE)</f>
        <v>False</v>
      </c>
      <c r="H50" s="38" t="str">
        <f>VLOOKUP(Tabella13[[#This Row],[test_id]],experiments_specs!A:J,8,FALSE)</f>
        <v>False</v>
      </c>
      <c r="I50" s="38" t="str">
        <f>VLOOKUP(Tabella13[[#This Row],[test_id]],experiments_specs!A:J,9,FALSE)</f>
        <v>wup_similarity</v>
      </c>
      <c r="J50" s="38" t="str">
        <f>VLOOKUP(Tabella13[[#This Row],[test_id]],experiments_specs!A:J,10,FALSE)</f>
        <v>True</v>
      </c>
      <c r="K50" s="40" t="s">
        <v>18</v>
      </c>
      <c r="L50" s="36" t="s">
        <v>45</v>
      </c>
      <c r="M50" s="36">
        <v>2</v>
      </c>
      <c r="N50" s="36">
        <v>1.3362199999999999E-2</v>
      </c>
      <c r="O50" s="36">
        <v>0.2105263</v>
      </c>
    </row>
    <row r="51" spans="1:15" ht="85" x14ac:dyDescent="0.2">
      <c r="A51" s="36" t="s">
        <v>1230</v>
      </c>
      <c r="B51" s="45" t="str">
        <f>VLOOKUP(Tabella13[[#This Row],[test_id]],experiments_specs!A:J,2,FALSE)</f>
        <v>NN,VB,VBD,VBG,VBN,VBP,VBZ</v>
      </c>
      <c r="C51" s="38">
        <f>VLOOKUP(Tabella13[[#This Row],[test_id]],experiments_specs!A:J,3,FALSE)</f>
        <v>0</v>
      </c>
      <c r="D51" s="38">
        <f>VLOOKUP(Tabella13[[#This Row],[test_id]],experiments_specs!A:J,4,FALSE)</f>
        <v>3</v>
      </c>
      <c r="E51" s="38" t="str">
        <f>VLOOKUP(Tabella13[[#This Row],[test_id]],experiments_specs!A:J,5,FALSE)</f>
        <v>True</v>
      </c>
      <c r="F51" s="38" t="str">
        <f>VLOOKUP(Tabella13[[#This Row],[test_id]],experiments_specs!A:J,6,FALSE)</f>
        <v>True</v>
      </c>
      <c r="G51" s="38" t="str">
        <f>VLOOKUP(Tabella13[[#This Row],[test_id]],experiments_specs!A:J,7,FALSE)</f>
        <v>False</v>
      </c>
      <c r="H51" s="38" t="str">
        <f>VLOOKUP(Tabella13[[#This Row],[test_id]],experiments_specs!A:J,8,FALSE)</f>
        <v>False</v>
      </c>
      <c r="I51" s="38" t="str">
        <f>VLOOKUP(Tabella13[[#This Row],[test_id]],experiments_specs!A:J,9,FALSE)</f>
        <v>wup_similarity</v>
      </c>
      <c r="J51" s="38" t="str">
        <f>VLOOKUP(Tabella13[[#This Row],[test_id]],experiments_specs!A:J,10,FALSE)</f>
        <v>True</v>
      </c>
      <c r="K51" s="40" t="s">
        <v>19</v>
      </c>
      <c r="L51" s="36" t="s">
        <v>226</v>
      </c>
      <c r="M51" s="36">
        <v>4</v>
      </c>
      <c r="N51" s="36">
        <v>3.52827E-2</v>
      </c>
      <c r="O51" s="36">
        <v>0.17391300000000001</v>
      </c>
    </row>
    <row r="52" spans="1:15" ht="85" x14ac:dyDescent="0.2">
      <c r="A52" s="36" t="s">
        <v>1230</v>
      </c>
      <c r="B52" s="45" t="str">
        <f>VLOOKUP(Tabella13[[#This Row],[test_id]],experiments_specs!A:J,2,FALSE)</f>
        <v>NN,VB,VBD,VBG,VBN,VBP,VBZ</v>
      </c>
      <c r="C52" s="38">
        <f>VLOOKUP(Tabella13[[#This Row],[test_id]],experiments_specs!A:J,3,FALSE)</f>
        <v>0</v>
      </c>
      <c r="D52" s="38">
        <f>VLOOKUP(Tabella13[[#This Row],[test_id]],experiments_specs!A:J,4,FALSE)</f>
        <v>3</v>
      </c>
      <c r="E52" s="38" t="str">
        <f>VLOOKUP(Tabella13[[#This Row],[test_id]],experiments_specs!A:J,5,FALSE)</f>
        <v>True</v>
      </c>
      <c r="F52" s="38" t="str">
        <f>VLOOKUP(Tabella13[[#This Row],[test_id]],experiments_specs!A:J,6,FALSE)</f>
        <v>True</v>
      </c>
      <c r="G52" s="38" t="str">
        <f>VLOOKUP(Tabella13[[#This Row],[test_id]],experiments_specs!A:J,7,FALSE)</f>
        <v>False</v>
      </c>
      <c r="H52" s="38" t="str">
        <f>VLOOKUP(Tabella13[[#This Row],[test_id]],experiments_specs!A:J,8,FALSE)</f>
        <v>False</v>
      </c>
      <c r="I52" s="38" t="str">
        <f>VLOOKUP(Tabella13[[#This Row],[test_id]],experiments_specs!A:J,9,FALSE)</f>
        <v>wup_similarity</v>
      </c>
      <c r="J52" s="38" t="str">
        <f>VLOOKUP(Tabella13[[#This Row],[test_id]],experiments_specs!A:J,10,FALSE)</f>
        <v>True</v>
      </c>
      <c r="K52" s="40" t="s">
        <v>12</v>
      </c>
      <c r="L52" s="36" t="s">
        <v>23</v>
      </c>
      <c r="M52" s="36">
        <v>2</v>
      </c>
      <c r="N52" s="36">
        <v>4.3759399999999997E-2</v>
      </c>
      <c r="O52" s="36">
        <v>0.42857139999999999</v>
      </c>
    </row>
    <row r="53" spans="1:15" ht="85" x14ac:dyDescent="0.2">
      <c r="A53" s="36" t="s">
        <v>1230</v>
      </c>
      <c r="B53" s="45" t="str">
        <f>VLOOKUP(Tabella13[[#This Row],[test_id]],experiments_specs!A:J,2,FALSE)</f>
        <v>NN,VB,VBD,VBG,VBN,VBP,VBZ</v>
      </c>
      <c r="C53" s="38">
        <f>VLOOKUP(Tabella13[[#This Row],[test_id]],experiments_specs!A:J,3,FALSE)</f>
        <v>0</v>
      </c>
      <c r="D53" s="38">
        <f>VLOOKUP(Tabella13[[#This Row],[test_id]],experiments_specs!A:J,4,FALSE)</f>
        <v>3</v>
      </c>
      <c r="E53" s="38" t="str">
        <f>VLOOKUP(Tabella13[[#This Row],[test_id]],experiments_specs!A:J,5,FALSE)</f>
        <v>True</v>
      </c>
      <c r="F53" s="38" t="str">
        <f>VLOOKUP(Tabella13[[#This Row],[test_id]],experiments_specs!A:J,6,FALSE)</f>
        <v>True</v>
      </c>
      <c r="G53" s="38" t="str">
        <f>VLOOKUP(Tabella13[[#This Row],[test_id]],experiments_specs!A:J,7,FALSE)</f>
        <v>False</v>
      </c>
      <c r="H53" s="38" t="str">
        <f>VLOOKUP(Tabella13[[#This Row],[test_id]],experiments_specs!A:J,8,FALSE)</f>
        <v>False</v>
      </c>
      <c r="I53" s="38" t="str">
        <f>VLOOKUP(Tabella13[[#This Row],[test_id]],experiments_specs!A:J,9,FALSE)</f>
        <v>wup_similarity</v>
      </c>
      <c r="J53" s="38" t="str">
        <f>VLOOKUP(Tabella13[[#This Row],[test_id]],experiments_specs!A:J,10,FALSE)</f>
        <v>True</v>
      </c>
      <c r="K53" s="40" t="s">
        <v>13</v>
      </c>
      <c r="L53" s="36" t="s">
        <v>327</v>
      </c>
      <c r="M53" s="36">
        <v>2</v>
      </c>
      <c r="N53" s="36">
        <v>2.4573600000000001E-2</v>
      </c>
      <c r="O53" s="36" t="s">
        <v>25</v>
      </c>
    </row>
    <row r="54" spans="1:15" ht="85" x14ac:dyDescent="0.2">
      <c r="A54" s="36" t="s">
        <v>1230</v>
      </c>
      <c r="B54" s="45" t="str">
        <f>VLOOKUP(Tabella13[[#This Row],[test_id]],experiments_specs!A:J,2,FALSE)</f>
        <v>NN,VB,VBD,VBG,VBN,VBP,VBZ</v>
      </c>
      <c r="C54" s="38">
        <f>VLOOKUP(Tabella13[[#This Row],[test_id]],experiments_specs!A:J,3,FALSE)</f>
        <v>0</v>
      </c>
      <c r="D54" s="38">
        <f>VLOOKUP(Tabella13[[#This Row],[test_id]],experiments_specs!A:J,4,FALSE)</f>
        <v>3</v>
      </c>
      <c r="E54" s="38" t="str">
        <f>VLOOKUP(Tabella13[[#This Row],[test_id]],experiments_specs!A:J,5,FALSE)</f>
        <v>True</v>
      </c>
      <c r="F54" s="38" t="str">
        <f>VLOOKUP(Tabella13[[#This Row],[test_id]],experiments_specs!A:J,6,FALSE)</f>
        <v>True</v>
      </c>
      <c r="G54" s="38" t="str">
        <f>VLOOKUP(Tabella13[[#This Row],[test_id]],experiments_specs!A:J,7,FALSE)</f>
        <v>False</v>
      </c>
      <c r="H54" s="38" t="str">
        <f>VLOOKUP(Tabella13[[#This Row],[test_id]],experiments_specs!A:J,8,FALSE)</f>
        <v>False</v>
      </c>
      <c r="I54" s="38" t="str">
        <f>VLOOKUP(Tabella13[[#This Row],[test_id]],experiments_specs!A:J,9,FALSE)</f>
        <v>wup_similarity</v>
      </c>
      <c r="J54" s="38" t="str">
        <f>VLOOKUP(Tabella13[[#This Row],[test_id]],experiments_specs!A:J,10,FALSE)</f>
        <v>True</v>
      </c>
      <c r="K54" s="40" t="s">
        <v>14</v>
      </c>
      <c r="L54" s="36" t="s">
        <v>1329</v>
      </c>
      <c r="M54" s="36" t="s">
        <v>1331</v>
      </c>
      <c r="N54" s="36">
        <v>1.27356E-2</v>
      </c>
      <c r="O54" s="36" t="s">
        <v>1430</v>
      </c>
    </row>
    <row r="55" spans="1:15" ht="85" x14ac:dyDescent="0.2">
      <c r="A55" s="36" t="s">
        <v>1230</v>
      </c>
      <c r="B55" s="45" t="str">
        <f>VLOOKUP(Tabella13[[#This Row],[test_id]],experiments_specs!A:J,2,FALSE)</f>
        <v>NN,VB,VBD,VBG,VBN,VBP,VBZ</v>
      </c>
      <c r="C55" s="38">
        <f>VLOOKUP(Tabella13[[#This Row],[test_id]],experiments_specs!A:J,3,FALSE)</f>
        <v>0</v>
      </c>
      <c r="D55" s="38">
        <f>VLOOKUP(Tabella13[[#This Row],[test_id]],experiments_specs!A:J,4,FALSE)</f>
        <v>3</v>
      </c>
      <c r="E55" s="38" t="str">
        <f>VLOOKUP(Tabella13[[#This Row],[test_id]],experiments_specs!A:J,5,FALSE)</f>
        <v>True</v>
      </c>
      <c r="F55" s="38" t="str">
        <f>VLOOKUP(Tabella13[[#This Row],[test_id]],experiments_specs!A:J,6,FALSE)</f>
        <v>True</v>
      </c>
      <c r="G55" s="38" t="str">
        <f>VLOOKUP(Tabella13[[#This Row],[test_id]],experiments_specs!A:J,7,FALSE)</f>
        <v>False</v>
      </c>
      <c r="H55" s="38" t="str">
        <f>VLOOKUP(Tabella13[[#This Row],[test_id]],experiments_specs!A:J,8,FALSE)</f>
        <v>False</v>
      </c>
      <c r="I55" s="38" t="str">
        <f>VLOOKUP(Tabella13[[#This Row],[test_id]],experiments_specs!A:J,9,FALSE)</f>
        <v>wup_similarity</v>
      </c>
      <c r="J55" s="38" t="str">
        <f>VLOOKUP(Tabella13[[#This Row],[test_id]],experiments_specs!A:J,10,FALSE)</f>
        <v>True</v>
      </c>
      <c r="K55" s="40" t="s">
        <v>15</v>
      </c>
      <c r="L55" s="36" t="s">
        <v>27</v>
      </c>
      <c r="M55" s="36">
        <v>2</v>
      </c>
      <c r="N55" s="36">
        <v>1.7352599999999999E-2</v>
      </c>
      <c r="O55" s="36">
        <v>0.1666666</v>
      </c>
    </row>
    <row r="56" spans="1:15" ht="85" x14ac:dyDescent="0.2">
      <c r="A56" s="36" t="s">
        <v>1230</v>
      </c>
      <c r="B56" s="45" t="str">
        <f>VLOOKUP(Tabella13[[#This Row],[test_id]],experiments_specs!A:J,2,FALSE)</f>
        <v>NN,VB,VBD,VBG,VBN,VBP,VBZ</v>
      </c>
      <c r="C56" s="38">
        <f>VLOOKUP(Tabella13[[#This Row],[test_id]],experiments_specs!A:J,3,FALSE)</f>
        <v>0</v>
      </c>
      <c r="D56" s="38">
        <f>VLOOKUP(Tabella13[[#This Row],[test_id]],experiments_specs!A:J,4,FALSE)</f>
        <v>3</v>
      </c>
      <c r="E56" s="38" t="str">
        <f>VLOOKUP(Tabella13[[#This Row],[test_id]],experiments_specs!A:J,5,FALSE)</f>
        <v>True</v>
      </c>
      <c r="F56" s="38" t="str">
        <f>VLOOKUP(Tabella13[[#This Row],[test_id]],experiments_specs!A:J,6,FALSE)</f>
        <v>True</v>
      </c>
      <c r="G56" s="38" t="str">
        <f>VLOOKUP(Tabella13[[#This Row],[test_id]],experiments_specs!A:J,7,FALSE)</f>
        <v>False</v>
      </c>
      <c r="H56" s="38" t="str">
        <f>VLOOKUP(Tabella13[[#This Row],[test_id]],experiments_specs!A:J,8,FALSE)</f>
        <v>False</v>
      </c>
      <c r="I56" s="38" t="str">
        <f>VLOOKUP(Tabella13[[#This Row],[test_id]],experiments_specs!A:J,9,FALSE)</f>
        <v>wup_similarity</v>
      </c>
      <c r="J56" s="38" t="str">
        <f>VLOOKUP(Tabella13[[#This Row],[test_id]],experiments_specs!A:J,10,FALSE)</f>
        <v>True</v>
      </c>
      <c r="K56" s="40" t="s">
        <v>16</v>
      </c>
      <c r="L56" s="36" t="s">
        <v>1333</v>
      </c>
      <c r="M56" s="36" t="s">
        <v>1314</v>
      </c>
      <c r="N56" s="36">
        <v>2.55155E-2</v>
      </c>
      <c r="O56" s="36" t="s">
        <v>1432</v>
      </c>
    </row>
    <row r="57" spans="1:15" ht="85" x14ac:dyDescent="0.2">
      <c r="A57" s="36" t="s">
        <v>1230</v>
      </c>
      <c r="B57" s="45" t="str">
        <f>VLOOKUP(Tabella13[[#This Row],[test_id]],experiments_specs!A:J,2,FALSE)</f>
        <v>NN,VB,VBD,VBG,VBN,VBP,VBZ</v>
      </c>
      <c r="C57" s="38">
        <f>VLOOKUP(Tabella13[[#This Row],[test_id]],experiments_specs!A:J,3,FALSE)</f>
        <v>0</v>
      </c>
      <c r="D57" s="38">
        <f>VLOOKUP(Tabella13[[#This Row],[test_id]],experiments_specs!A:J,4,FALSE)</f>
        <v>3</v>
      </c>
      <c r="E57" s="38" t="str">
        <f>VLOOKUP(Tabella13[[#This Row],[test_id]],experiments_specs!A:J,5,FALSE)</f>
        <v>True</v>
      </c>
      <c r="F57" s="38" t="str">
        <f>VLOOKUP(Tabella13[[#This Row],[test_id]],experiments_specs!A:J,6,FALSE)</f>
        <v>True</v>
      </c>
      <c r="G57" s="38" t="str">
        <f>VLOOKUP(Tabella13[[#This Row],[test_id]],experiments_specs!A:J,7,FALSE)</f>
        <v>False</v>
      </c>
      <c r="H57" s="38" t="str">
        <f>VLOOKUP(Tabella13[[#This Row],[test_id]],experiments_specs!A:J,8,FALSE)</f>
        <v>False</v>
      </c>
      <c r="I57" s="38" t="str">
        <f>VLOOKUP(Tabella13[[#This Row],[test_id]],experiments_specs!A:J,9,FALSE)</f>
        <v>wup_similarity</v>
      </c>
      <c r="J57" s="38" t="str">
        <f>VLOOKUP(Tabella13[[#This Row],[test_id]],experiments_specs!A:J,10,FALSE)</f>
        <v>True</v>
      </c>
      <c r="K57" s="40" t="s">
        <v>17</v>
      </c>
      <c r="L57" s="36" t="s">
        <v>1335</v>
      </c>
      <c r="M57" s="36" t="s">
        <v>1314</v>
      </c>
      <c r="N57" s="36">
        <v>1.88982E-2</v>
      </c>
      <c r="O57" s="36" t="s">
        <v>1440</v>
      </c>
    </row>
    <row r="58" spans="1:15" ht="85" x14ac:dyDescent="0.2">
      <c r="A58" s="36" t="s">
        <v>1230</v>
      </c>
      <c r="B58" s="45" t="str">
        <f>VLOOKUP(Tabella13[[#This Row],[test_id]],experiments_specs!A:J,2,FALSE)</f>
        <v>NN,VB,VBD,VBG,VBN,VBP,VBZ</v>
      </c>
      <c r="C58" s="38">
        <f>VLOOKUP(Tabella13[[#This Row],[test_id]],experiments_specs!A:J,3,FALSE)</f>
        <v>0</v>
      </c>
      <c r="D58" s="38">
        <f>VLOOKUP(Tabella13[[#This Row],[test_id]],experiments_specs!A:J,4,FALSE)</f>
        <v>3</v>
      </c>
      <c r="E58" s="38" t="str">
        <f>VLOOKUP(Tabella13[[#This Row],[test_id]],experiments_specs!A:J,5,FALSE)</f>
        <v>True</v>
      </c>
      <c r="F58" s="38" t="str">
        <f>VLOOKUP(Tabella13[[#This Row],[test_id]],experiments_specs!A:J,6,FALSE)</f>
        <v>True</v>
      </c>
      <c r="G58" s="38" t="str">
        <f>VLOOKUP(Tabella13[[#This Row],[test_id]],experiments_specs!A:J,7,FALSE)</f>
        <v>False</v>
      </c>
      <c r="H58" s="38" t="str">
        <f>VLOOKUP(Tabella13[[#This Row],[test_id]],experiments_specs!A:J,8,FALSE)</f>
        <v>False</v>
      </c>
      <c r="I58" s="38" t="str">
        <f>VLOOKUP(Tabella13[[#This Row],[test_id]],experiments_specs!A:J,9,FALSE)</f>
        <v>wup_similarity</v>
      </c>
      <c r="J58" s="38" t="str">
        <f>VLOOKUP(Tabella13[[#This Row],[test_id]],experiments_specs!A:J,10,FALSE)</f>
        <v>True</v>
      </c>
      <c r="K58" s="40" t="s">
        <v>18</v>
      </c>
      <c r="L58" s="36" t="s">
        <v>45</v>
      </c>
      <c r="M58" s="36">
        <v>2</v>
      </c>
      <c r="N58" s="36">
        <v>1.3362199999999999E-2</v>
      </c>
      <c r="O58" s="36">
        <v>0.2105263</v>
      </c>
    </row>
    <row r="59" spans="1:15" ht="85" x14ac:dyDescent="0.2">
      <c r="A59" s="36" t="s">
        <v>1231</v>
      </c>
      <c r="B59" s="45" t="str">
        <f>VLOOKUP(Tabella13[[#This Row],[test_id]],experiments_specs!A:J,2,FALSE)</f>
        <v>NN,JJ,VB,VBD,VBG,VBN,VBP,VBZ</v>
      </c>
      <c r="C59" s="38">
        <f>VLOOKUP(Tabella13[[#This Row],[test_id]],experiments_specs!A:J,3,FALSE)</f>
        <v>0</v>
      </c>
      <c r="D59" s="38">
        <f>VLOOKUP(Tabella13[[#This Row],[test_id]],experiments_specs!A:J,4,FALSE)</f>
        <v>2</v>
      </c>
      <c r="E59" s="38" t="str">
        <f>VLOOKUP(Tabella13[[#This Row],[test_id]],experiments_specs!A:J,5,FALSE)</f>
        <v>True</v>
      </c>
      <c r="F59" s="38" t="str">
        <f>VLOOKUP(Tabella13[[#This Row],[test_id]],experiments_specs!A:J,6,FALSE)</f>
        <v>True</v>
      </c>
      <c r="G59" s="38" t="str">
        <f>VLOOKUP(Tabella13[[#This Row],[test_id]],experiments_specs!A:J,7,FALSE)</f>
        <v>False</v>
      </c>
      <c r="H59" s="38" t="str">
        <f>VLOOKUP(Tabella13[[#This Row],[test_id]],experiments_specs!A:J,8,FALSE)</f>
        <v>False</v>
      </c>
      <c r="I59" s="38" t="str">
        <f>VLOOKUP(Tabella13[[#This Row],[test_id]],experiments_specs!A:J,9,FALSE)</f>
        <v>wup_similarity</v>
      </c>
      <c r="J59" s="38" t="str">
        <f>VLOOKUP(Tabella13[[#This Row],[test_id]],experiments_specs!A:J,10,FALSE)</f>
        <v>True</v>
      </c>
      <c r="K59" s="40" t="s">
        <v>19</v>
      </c>
      <c r="L59" s="36" t="s">
        <v>1312</v>
      </c>
      <c r="M59" s="36" t="s">
        <v>1314</v>
      </c>
      <c r="N59" s="36">
        <v>2.7050000000000001E-2</v>
      </c>
      <c r="O59" s="36" t="s">
        <v>1434</v>
      </c>
    </row>
    <row r="60" spans="1:15" ht="85" x14ac:dyDescent="0.2">
      <c r="A60" s="36" t="s">
        <v>1231</v>
      </c>
      <c r="B60" s="45" t="str">
        <f>VLOOKUP(Tabella13[[#This Row],[test_id]],experiments_specs!A:J,2,FALSE)</f>
        <v>NN,JJ,VB,VBD,VBG,VBN,VBP,VBZ</v>
      </c>
      <c r="C60" s="38">
        <f>VLOOKUP(Tabella13[[#This Row],[test_id]],experiments_specs!A:J,3,FALSE)</f>
        <v>0</v>
      </c>
      <c r="D60" s="38">
        <f>VLOOKUP(Tabella13[[#This Row],[test_id]],experiments_specs!A:J,4,FALSE)</f>
        <v>2</v>
      </c>
      <c r="E60" s="38" t="str">
        <f>VLOOKUP(Tabella13[[#This Row],[test_id]],experiments_specs!A:J,5,FALSE)</f>
        <v>True</v>
      </c>
      <c r="F60" s="38" t="str">
        <f>VLOOKUP(Tabella13[[#This Row],[test_id]],experiments_specs!A:J,6,FALSE)</f>
        <v>True</v>
      </c>
      <c r="G60" s="38" t="str">
        <f>VLOOKUP(Tabella13[[#This Row],[test_id]],experiments_specs!A:J,7,FALSE)</f>
        <v>False</v>
      </c>
      <c r="H60" s="38" t="str">
        <f>VLOOKUP(Tabella13[[#This Row],[test_id]],experiments_specs!A:J,8,FALSE)</f>
        <v>False</v>
      </c>
      <c r="I60" s="38" t="str">
        <f>VLOOKUP(Tabella13[[#This Row],[test_id]],experiments_specs!A:J,9,FALSE)</f>
        <v>wup_similarity</v>
      </c>
      <c r="J60" s="38" t="str">
        <f>VLOOKUP(Tabella13[[#This Row],[test_id]],experiments_specs!A:J,10,FALSE)</f>
        <v>True</v>
      </c>
      <c r="K60" s="40" t="s">
        <v>12</v>
      </c>
      <c r="L60" s="36" t="s">
        <v>23</v>
      </c>
      <c r="M60" s="36">
        <v>2</v>
      </c>
      <c r="N60" s="36">
        <v>3.7723699999999999E-2</v>
      </c>
      <c r="O60" s="36">
        <v>0.42857139999999999</v>
      </c>
    </row>
    <row r="61" spans="1:15" ht="85" x14ac:dyDescent="0.2">
      <c r="A61" s="36" t="s">
        <v>1231</v>
      </c>
      <c r="B61" s="45" t="str">
        <f>VLOOKUP(Tabella13[[#This Row],[test_id]],experiments_specs!A:J,2,FALSE)</f>
        <v>NN,JJ,VB,VBD,VBG,VBN,VBP,VBZ</v>
      </c>
      <c r="C61" s="38">
        <f>VLOOKUP(Tabella13[[#This Row],[test_id]],experiments_specs!A:J,3,FALSE)</f>
        <v>0</v>
      </c>
      <c r="D61" s="38">
        <f>VLOOKUP(Tabella13[[#This Row],[test_id]],experiments_specs!A:J,4,FALSE)</f>
        <v>2</v>
      </c>
      <c r="E61" s="38" t="str">
        <f>VLOOKUP(Tabella13[[#This Row],[test_id]],experiments_specs!A:J,5,FALSE)</f>
        <v>True</v>
      </c>
      <c r="F61" s="38" t="str">
        <f>VLOOKUP(Tabella13[[#This Row],[test_id]],experiments_specs!A:J,6,FALSE)</f>
        <v>True</v>
      </c>
      <c r="G61" s="38" t="str">
        <f>VLOOKUP(Tabella13[[#This Row],[test_id]],experiments_specs!A:J,7,FALSE)</f>
        <v>False</v>
      </c>
      <c r="H61" s="38" t="str">
        <f>VLOOKUP(Tabella13[[#This Row],[test_id]],experiments_specs!A:J,8,FALSE)</f>
        <v>False</v>
      </c>
      <c r="I61" s="38" t="str">
        <f>VLOOKUP(Tabella13[[#This Row],[test_id]],experiments_specs!A:J,9,FALSE)</f>
        <v>wup_similarity</v>
      </c>
      <c r="J61" s="38" t="str">
        <f>VLOOKUP(Tabella13[[#This Row],[test_id]],experiments_specs!A:J,10,FALSE)</f>
        <v>True</v>
      </c>
      <c r="K61" s="40" t="s">
        <v>13</v>
      </c>
      <c r="L61" s="36" t="s">
        <v>327</v>
      </c>
      <c r="M61" s="36">
        <v>2</v>
      </c>
      <c r="N61" s="36">
        <v>2.4573600000000001E-2</v>
      </c>
      <c r="O61" s="36" t="s">
        <v>25</v>
      </c>
    </row>
    <row r="62" spans="1:15" ht="85" x14ac:dyDescent="0.2">
      <c r="A62" s="36" t="s">
        <v>1231</v>
      </c>
      <c r="B62" s="45" t="str">
        <f>VLOOKUP(Tabella13[[#This Row],[test_id]],experiments_specs!A:J,2,FALSE)</f>
        <v>NN,JJ,VB,VBD,VBG,VBN,VBP,VBZ</v>
      </c>
      <c r="C62" s="38">
        <f>VLOOKUP(Tabella13[[#This Row],[test_id]],experiments_specs!A:J,3,FALSE)</f>
        <v>0</v>
      </c>
      <c r="D62" s="38">
        <f>VLOOKUP(Tabella13[[#This Row],[test_id]],experiments_specs!A:J,4,FALSE)</f>
        <v>2</v>
      </c>
      <c r="E62" s="38" t="str">
        <f>VLOOKUP(Tabella13[[#This Row],[test_id]],experiments_specs!A:J,5,FALSE)</f>
        <v>True</v>
      </c>
      <c r="F62" s="38" t="str">
        <f>VLOOKUP(Tabella13[[#This Row],[test_id]],experiments_specs!A:J,6,FALSE)</f>
        <v>True</v>
      </c>
      <c r="G62" s="38" t="str">
        <f>VLOOKUP(Tabella13[[#This Row],[test_id]],experiments_specs!A:J,7,FALSE)</f>
        <v>False</v>
      </c>
      <c r="H62" s="38" t="str">
        <f>VLOOKUP(Tabella13[[#This Row],[test_id]],experiments_specs!A:J,8,FALSE)</f>
        <v>False</v>
      </c>
      <c r="I62" s="38" t="str">
        <f>VLOOKUP(Tabella13[[#This Row],[test_id]],experiments_specs!A:J,9,FALSE)</f>
        <v>wup_similarity</v>
      </c>
      <c r="J62" s="38" t="str">
        <f>VLOOKUP(Tabella13[[#This Row],[test_id]],experiments_specs!A:J,10,FALSE)</f>
        <v>True</v>
      </c>
      <c r="K62" s="40" t="s">
        <v>14</v>
      </c>
      <c r="L62" s="36" t="s">
        <v>1329</v>
      </c>
      <c r="M62" s="36" t="s">
        <v>1331</v>
      </c>
      <c r="N62" s="36">
        <v>1.1102799999999999E-2</v>
      </c>
      <c r="O62" s="36" t="s">
        <v>1430</v>
      </c>
    </row>
    <row r="63" spans="1:15" ht="85" x14ac:dyDescent="0.2">
      <c r="A63" s="36" t="s">
        <v>1231</v>
      </c>
      <c r="B63" s="45" t="str">
        <f>VLOOKUP(Tabella13[[#This Row],[test_id]],experiments_specs!A:J,2,FALSE)</f>
        <v>NN,JJ,VB,VBD,VBG,VBN,VBP,VBZ</v>
      </c>
      <c r="C63" s="38">
        <f>VLOOKUP(Tabella13[[#This Row],[test_id]],experiments_specs!A:J,3,FALSE)</f>
        <v>0</v>
      </c>
      <c r="D63" s="38">
        <f>VLOOKUP(Tabella13[[#This Row],[test_id]],experiments_specs!A:J,4,FALSE)</f>
        <v>2</v>
      </c>
      <c r="E63" s="38" t="str">
        <f>VLOOKUP(Tabella13[[#This Row],[test_id]],experiments_specs!A:J,5,FALSE)</f>
        <v>True</v>
      </c>
      <c r="F63" s="38" t="str">
        <f>VLOOKUP(Tabella13[[#This Row],[test_id]],experiments_specs!A:J,6,FALSE)</f>
        <v>True</v>
      </c>
      <c r="G63" s="38" t="str">
        <f>VLOOKUP(Tabella13[[#This Row],[test_id]],experiments_specs!A:J,7,FALSE)</f>
        <v>False</v>
      </c>
      <c r="H63" s="38" t="str">
        <f>VLOOKUP(Tabella13[[#This Row],[test_id]],experiments_specs!A:J,8,FALSE)</f>
        <v>False</v>
      </c>
      <c r="I63" s="38" t="str">
        <f>VLOOKUP(Tabella13[[#This Row],[test_id]],experiments_specs!A:J,9,FALSE)</f>
        <v>wup_similarity</v>
      </c>
      <c r="J63" s="38" t="str">
        <f>VLOOKUP(Tabella13[[#This Row],[test_id]],experiments_specs!A:J,10,FALSE)</f>
        <v>True</v>
      </c>
      <c r="K63" s="40" t="s">
        <v>15</v>
      </c>
      <c r="L63" s="36" t="s">
        <v>293</v>
      </c>
      <c r="M63" s="36">
        <v>1</v>
      </c>
      <c r="N63" s="36">
        <v>3.4921500000000001E-2</v>
      </c>
      <c r="O63" s="36">
        <v>0.90909090000000004</v>
      </c>
    </row>
    <row r="64" spans="1:15" ht="85" x14ac:dyDescent="0.2">
      <c r="A64" s="36" t="s">
        <v>1231</v>
      </c>
      <c r="B64" s="45" t="str">
        <f>VLOOKUP(Tabella13[[#This Row],[test_id]],experiments_specs!A:J,2,FALSE)</f>
        <v>NN,JJ,VB,VBD,VBG,VBN,VBP,VBZ</v>
      </c>
      <c r="C64" s="38">
        <f>VLOOKUP(Tabella13[[#This Row],[test_id]],experiments_specs!A:J,3,FALSE)</f>
        <v>0</v>
      </c>
      <c r="D64" s="38">
        <f>VLOOKUP(Tabella13[[#This Row],[test_id]],experiments_specs!A:J,4,FALSE)</f>
        <v>2</v>
      </c>
      <c r="E64" s="38" t="str">
        <f>VLOOKUP(Tabella13[[#This Row],[test_id]],experiments_specs!A:J,5,FALSE)</f>
        <v>True</v>
      </c>
      <c r="F64" s="38" t="str">
        <f>VLOOKUP(Tabella13[[#This Row],[test_id]],experiments_specs!A:J,6,FALSE)</f>
        <v>True</v>
      </c>
      <c r="G64" s="38" t="str">
        <f>VLOOKUP(Tabella13[[#This Row],[test_id]],experiments_specs!A:J,7,FALSE)</f>
        <v>False</v>
      </c>
      <c r="H64" s="38" t="str">
        <f>VLOOKUP(Tabella13[[#This Row],[test_id]],experiments_specs!A:J,8,FALSE)</f>
        <v>False</v>
      </c>
      <c r="I64" s="38" t="str">
        <f>VLOOKUP(Tabella13[[#This Row],[test_id]],experiments_specs!A:J,9,FALSE)</f>
        <v>wup_similarity</v>
      </c>
      <c r="J64" s="38" t="str">
        <f>VLOOKUP(Tabella13[[#This Row],[test_id]],experiments_specs!A:J,10,FALSE)</f>
        <v>True</v>
      </c>
      <c r="K64" s="40" t="s">
        <v>16</v>
      </c>
      <c r="L64" s="36" t="s">
        <v>1333</v>
      </c>
      <c r="M64" s="36" t="s">
        <v>1314</v>
      </c>
      <c r="N64" s="36">
        <v>2.4825900000000001E-2</v>
      </c>
      <c r="O64" s="36" t="s">
        <v>1432</v>
      </c>
    </row>
    <row r="65" spans="1:15" ht="85" x14ac:dyDescent="0.2">
      <c r="A65" s="36" t="s">
        <v>1231</v>
      </c>
      <c r="B65" s="45" t="str">
        <f>VLOOKUP(Tabella13[[#This Row],[test_id]],experiments_specs!A:J,2,FALSE)</f>
        <v>NN,JJ,VB,VBD,VBG,VBN,VBP,VBZ</v>
      </c>
      <c r="C65" s="38">
        <f>VLOOKUP(Tabella13[[#This Row],[test_id]],experiments_specs!A:J,3,FALSE)</f>
        <v>0</v>
      </c>
      <c r="D65" s="38">
        <f>VLOOKUP(Tabella13[[#This Row],[test_id]],experiments_specs!A:J,4,FALSE)</f>
        <v>2</v>
      </c>
      <c r="E65" s="38" t="str">
        <f>VLOOKUP(Tabella13[[#This Row],[test_id]],experiments_specs!A:J,5,FALSE)</f>
        <v>True</v>
      </c>
      <c r="F65" s="38" t="str">
        <f>VLOOKUP(Tabella13[[#This Row],[test_id]],experiments_specs!A:J,6,FALSE)</f>
        <v>True</v>
      </c>
      <c r="G65" s="38" t="str">
        <f>VLOOKUP(Tabella13[[#This Row],[test_id]],experiments_specs!A:J,7,FALSE)</f>
        <v>False</v>
      </c>
      <c r="H65" s="38" t="str">
        <f>VLOOKUP(Tabella13[[#This Row],[test_id]],experiments_specs!A:J,8,FALSE)</f>
        <v>False</v>
      </c>
      <c r="I65" s="38" t="str">
        <f>VLOOKUP(Tabella13[[#This Row],[test_id]],experiments_specs!A:J,9,FALSE)</f>
        <v>wup_similarity</v>
      </c>
      <c r="J65" s="38" t="str">
        <f>VLOOKUP(Tabella13[[#This Row],[test_id]],experiments_specs!A:J,10,FALSE)</f>
        <v>True</v>
      </c>
      <c r="K65" s="40" t="s">
        <v>17</v>
      </c>
      <c r="L65" s="36" t="s">
        <v>1335</v>
      </c>
      <c r="M65" s="36" t="s">
        <v>1314</v>
      </c>
      <c r="N65" s="36">
        <v>1.71802E-2</v>
      </c>
      <c r="O65" s="36" t="s">
        <v>1440</v>
      </c>
    </row>
    <row r="66" spans="1:15" ht="85" x14ac:dyDescent="0.2">
      <c r="A66" s="36" t="s">
        <v>1231</v>
      </c>
      <c r="B66" s="45" t="str">
        <f>VLOOKUP(Tabella13[[#This Row],[test_id]],experiments_specs!A:J,2,FALSE)</f>
        <v>NN,JJ,VB,VBD,VBG,VBN,VBP,VBZ</v>
      </c>
      <c r="C66" s="38">
        <f>VLOOKUP(Tabella13[[#This Row],[test_id]],experiments_specs!A:J,3,FALSE)</f>
        <v>0</v>
      </c>
      <c r="D66" s="38">
        <f>VLOOKUP(Tabella13[[#This Row],[test_id]],experiments_specs!A:J,4,FALSE)</f>
        <v>2</v>
      </c>
      <c r="E66" s="38" t="str">
        <f>VLOOKUP(Tabella13[[#This Row],[test_id]],experiments_specs!A:J,5,FALSE)</f>
        <v>True</v>
      </c>
      <c r="F66" s="38" t="str">
        <f>VLOOKUP(Tabella13[[#This Row],[test_id]],experiments_specs!A:J,6,FALSE)</f>
        <v>True</v>
      </c>
      <c r="G66" s="38" t="str">
        <f>VLOOKUP(Tabella13[[#This Row],[test_id]],experiments_specs!A:J,7,FALSE)</f>
        <v>False</v>
      </c>
      <c r="H66" s="38" t="str">
        <f>VLOOKUP(Tabella13[[#This Row],[test_id]],experiments_specs!A:J,8,FALSE)</f>
        <v>False</v>
      </c>
      <c r="I66" s="38" t="str">
        <f>VLOOKUP(Tabella13[[#This Row],[test_id]],experiments_specs!A:J,9,FALSE)</f>
        <v>wup_similarity</v>
      </c>
      <c r="J66" s="38" t="str">
        <f>VLOOKUP(Tabella13[[#This Row],[test_id]],experiments_specs!A:J,10,FALSE)</f>
        <v>True</v>
      </c>
      <c r="K66" s="40" t="s">
        <v>18</v>
      </c>
      <c r="L66" s="36" t="s">
        <v>45</v>
      </c>
      <c r="M66" s="36">
        <v>2</v>
      </c>
      <c r="N66" s="36">
        <v>1.2576199999999999E-2</v>
      </c>
      <c r="O66" s="36">
        <v>0.2105263</v>
      </c>
    </row>
    <row r="67" spans="1:15" ht="85" x14ac:dyDescent="0.2">
      <c r="A67" s="36" t="s">
        <v>1232</v>
      </c>
      <c r="B67" s="45" t="str">
        <f>VLOOKUP(Tabella13[[#This Row],[test_id]],experiments_specs!A:J,2,FALSE)</f>
        <v>NN,JJ,VB,VBD,VBG,VBN,VBP,VBZ</v>
      </c>
      <c r="C67" s="38">
        <f>VLOOKUP(Tabella13[[#This Row],[test_id]],experiments_specs!A:J,3,FALSE)</f>
        <v>0</v>
      </c>
      <c r="D67" s="38">
        <f>VLOOKUP(Tabella13[[#This Row],[test_id]],experiments_specs!A:J,4,FALSE)</f>
        <v>3</v>
      </c>
      <c r="E67" s="38" t="str">
        <f>VLOOKUP(Tabella13[[#This Row],[test_id]],experiments_specs!A:J,5,FALSE)</f>
        <v>True</v>
      </c>
      <c r="F67" s="38" t="str">
        <f>VLOOKUP(Tabella13[[#This Row],[test_id]],experiments_specs!A:J,6,FALSE)</f>
        <v>True</v>
      </c>
      <c r="G67" s="38" t="str">
        <f>VLOOKUP(Tabella13[[#This Row],[test_id]],experiments_specs!A:J,7,FALSE)</f>
        <v>False</v>
      </c>
      <c r="H67" s="38" t="str">
        <f>VLOOKUP(Tabella13[[#This Row],[test_id]],experiments_specs!A:J,8,FALSE)</f>
        <v>False</v>
      </c>
      <c r="I67" s="38" t="str">
        <f>VLOOKUP(Tabella13[[#This Row],[test_id]],experiments_specs!A:J,9,FALSE)</f>
        <v>wup_similarity</v>
      </c>
      <c r="J67" s="38" t="str">
        <f>VLOOKUP(Tabella13[[#This Row],[test_id]],experiments_specs!A:J,10,FALSE)</f>
        <v>True</v>
      </c>
      <c r="K67" s="40" t="s">
        <v>19</v>
      </c>
      <c r="L67" s="36" t="s">
        <v>1312</v>
      </c>
      <c r="M67" s="36" t="s">
        <v>1314</v>
      </c>
      <c r="N67" s="36">
        <v>2.7050000000000001E-2</v>
      </c>
      <c r="O67" s="36" t="s">
        <v>1434</v>
      </c>
    </row>
    <row r="68" spans="1:15" ht="85" x14ac:dyDescent="0.2">
      <c r="A68" s="36" t="s">
        <v>1232</v>
      </c>
      <c r="B68" s="45" t="str">
        <f>VLOOKUP(Tabella13[[#This Row],[test_id]],experiments_specs!A:J,2,FALSE)</f>
        <v>NN,JJ,VB,VBD,VBG,VBN,VBP,VBZ</v>
      </c>
      <c r="C68" s="38">
        <f>VLOOKUP(Tabella13[[#This Row],[test_id]],experiments_specs!A:J,3,FALSE)</f>
        <v>0</v>
      </c>
      <c r="D68" s="38">
        <f>VLOOKUP(Tabella13[[#This Row],[test_id]],experiments_specs!A:J,4,FALSE)</f>
        <v>3</v>
      </c>
      <c r="E68" s="38" t="str">
        <f>VLOOKUP(Tabella13[[#This Row],[test_id]],experiments_specs!A:J,5,FALSE)</f>
        <v>True</v>
      </c>
      <c r="F68" s="38" t="str">
        <f>VLOOKUP(Tabella13[[#This Row],[test_id]],experiments_specs!A:J,6,FALSE)</f>
        <v>True</v>
      </c>
      <c r="G68" s="38" t="str">
        <f>VLOOKUP(Tabella13[[#This Row],[test_id]],experiments_specs!A:J,7,FALSE)</f>
        <v>False</v>
      </c>
      <c r="H68" s="38" t="str">
        <f>VLOOKUP(Tabella13[[#This Row],[test_id]],experiments_specs!A:J,8,FALSE)</f>
        <v>False</v>
      </c>
      <c r="I68" s="38" t="str">
        <f>VLOOKUP(Tabella13[[#This Row],[test_id]],experiments_specs!A:J,9,FALSE)</f>
        <v>wup_similarity</v>
      </c>
      <c r="J68" s="38" t="str">
        <f>VLOOKUP(Tabella13[[#This Row],[test_id]],experiments_specs!A:J,10,FALSE)</f>
        <v>True</v>
      </c>
      <c r="K68" s="40" t="s">
        <v>12</v>
      </c>
      <c r="L68" s="36" t="s">
        <v>23</v>
      </c>
      <c r="M68" s="36">
        <v>2</v>
      </c>
      <c r="N68" s="36">
        <v>3.7723699999999999E-2</v>
      </c>
      <c r="O68" s="36">
        <v>0.42857139999999999</v>
      </c>
    </row>
    <row r="69" spans="1:15" ht="85" x14ac:dyDescent="0.2">
      <c r="A69" s="36" t="s">
        <v>1232</v>
      </c>
      <c r="B69" s="45" t="str">
        <f>VLOOKUP(Tabella13[[#This Row],[test_id]],experiments_specs!A:J,2,FALSE)</f>
        <v>NN,JJ,VB,VBD,VBG,VBN,VBP,VBZ</v>
      </c>
      <c r="C69" s="38">
        <f>VLOOKUP(Tabella13[[#This Row],[test_id]],experiments_specs!A:J,3,FALSE)</f>
        <v>0</v>
      </c>
      <c r="D69" s="38">
        <f>VLOOKUP(Tabella13[[#This Row],[test_id]],experiments_specs!A:J,4,FALSE)</f>
        <v>3</v>
      </c>
      <c r="E69" s="38" t="str">
        <f>VLOOKUP(Tabella13[[#This Row],[test_id]],experiments_specs!A:J,5,FALSE)</f>
        <v>True</v>
      </c>
      <c r="F69" s="38" t="str">
        <f>VLOOKUP(Tabella13[[#This Row],[test_id]],experiments_specs!A:J,6,FALSE)</f>
        <v>True</v>
      </c>
      <c r="G69" s="38" t="str">
        <f>VLOOKUP(Tabella13[[#This Row],[test_id]],experiments_specs!A:J,7,FALSE)</f>
        <v>False</v>
      </c>
      <c r="H69" s="38" t="str">
        <f>VLOOKUP(Tabella13[[#This Row],[test_id]],experiments_specs!A:J,8,FALSE)</f>
        <v>False</v>
      </c>
      <c r="I69" s="38" t="str">
        <f>VLOOKUP(Tabella13[[#This Row],[test_id]],experiments_specs!A:J,9,FALSE)</f>
        <v>wup_similarity</v>
      </c>
      <c r="J69" s="38" t="str">
        <f>VLOOKUP(Tabella13[[#This Row],[test_id]],experiments_specs!A:J,10,FALSE)</f>
        <v>True</v>
      </c>
      <c r="K69" s="40" t="s">
        <v>13</v>
      </c>
      <c r="L69" s="36" t="s">
        <v>327</v>
      </c>
      <c r="M69" s="36">
        <v>2</v>
      </c>
      <c r="N69" s="36">
        <v>2.4573600000000001E-2</v>
      </c>
      <c r="O69" s="36" t="s">
        <v>25</v>
      </c>
    </row>
    <row r="70" spans="1:15" ht="85" x14ac:dyDescent="0.2">
      <c r="A70" s="36" t="s">
        <v>1232</v>
      </c>
      <c r="B70" s="45" t="str">
        <f>VLOOKUP(Tabella13[[#This Row],[test_id]],experiments_specs!A:J,2,FALSE)</f>
        <v>NN,JJ,VB,VBD,VBG,VBN,VBP,VBZ</v>
      </c>
      <c r="C70" s="38">
        <f>VLOOKUP(Tabella13[[#This Row],[test_id]],experiments_specs!A:J,3,FALSE)</f>
        <v>0</v>
      </c>
      <c r="D70" s="38">
        <f>VLOOKUP(Tabella13[[#This Row],[test_id]],experiments_specs!A:J,4,FALSE)</f>
        <v>3</v>
      </c>
      <c r="E70" s="38" t="str">
        <f>VLOOKUP(Tabella13[[#This Row],[test_id]],experiments_specs!A:J,5,FALSE)</f>
        <v>True</v>
      </c>
      <c r="F70" s="38" t="str">
        <f>VLOOKUP(Tabella13[[#This Row],[test_id]],experiments_specs!A:J,6,FALSE)</f>
        <v>True</v>
      </c>
      <c r="G70" s="38" t="str">
        <f>VLOOKUP(Tabella13[[#This Row],[test_id]],experiments_specs!A:J,7,FALSE)</f>
        <v>False</v>
      </c>
      <c r="H70" s="38" t="str">
        <f>VLOOKUP(Tabella13[[#This Row],[test_id]],experiments_specs!A:J,8,FALSE)</f>
        <v>False</v>
      </c>
      <c r="I70" s="38" t="str">
        <f>VLOOKUP(Tabella13[[#This Row],[test_id]],experiments_specs!A:J,9,FALSE)</f>
        <v>wup_similarity</v>
      </c>
      <c r="J70" s="38" t="str">
        <f>VLOOKUP(Tabella13[[#This Row],[test_id]],experiments_specs!A:J,10,FALSE)</f>
        <v>True</v>
      </c>
      <c r="K70" s="40" t="s">
        <v>14</v>
      </c>
      <c r="L70" s="36" t="s">
        <v>1329</v>
      </c>
      <c r="M70" s="36" t="s">
        <v>1331</v>
      </c>
      <c r="N70" s="36">
        <v>1.1102799999999999E-2</v>
      </c>
      <c r="O70" s="36" t="s">
        <v>1430</v>
      </c>
    </row>
    <row r="71" spans="1:15" ht="85" x14ac:dyDescent="0.2">
      <c r="A71" s="36" t="s">
        <v>1232</v>
      </c>
      <c r="B71" s="45" t="str">
        <f>VLOOKUP(Tabella13[[#This Row],[test_id]],experiments_specs!A:J,2,FALSE)</f>
        <v>NN,JJ,VB,VBD,VBG,VBN,VBP,VBZ</v>
      </c>
      <c r="C71" s="38">
        <f>VLOOKUP(Tabella13[[#This Row],[test_id]],experiments_specs!A:J,3,FALSE)</f>
        <v>0</v>
      </c>
      <c r="D71" s="38">
        <f>VLOOKUP(Tabella13[[#This Row],[test_id]],experiments_specs!A:J,4,FALSE)</f>
        <v>3</v>
      </c>
      <c r="E71" s="38" t="str">
        <f>VLOOKUP(Tabella13[[#This Row],[test_id]],experiments_specs!A:J,5,FALSE)</f>
        <v>True</v>
      </c>
      <c r="F71" s="38" t="str">
        <f>VLOOKUP(Tabella13[[#This Row],[test_id]],experiments_specs!A:J,6,FALSE)</f>
        <v>True</v>
      </c>
      <c r="G71" s="38" t="str">
        <f>VLOOKUP(Tabella13[[#This Row],[test_id]],experiments_specs!A:J,7,FALSE)</f>
        <v>False</v>
      </c>
      <c r="H71" s="38" t="str">
        <f>VLOOKUP(Tabella13[[#This Row],[test_id]],experiments_specs!A:J,8,FALSE)</f>
        <v>False</v>
      </c>
      <c r="I71" s="38" t="str">
        <f>VLOOKUP(Tabella13[[#This Row],[test_id]],experiments_specs!A:J,9,FALSE)</f>
        <v>wup_similarity</v>
      </c>
      <c r="J71" s="38" t="str">
        <f>VLOOKUP(Tabella13[[#This Row],[test_id]],experiments_specs!A:J,10,FALSE)</f>
        <v>True</v>
      </c>
      <c r="K71" s="40" t="s">
        <v>15</v>
      </c>
      <c r="L71" s="36" t="s">
        <v>293</v>
      </c>
      <c r="M71" s="36">
        <v>1</v>
      </c>
      <c r="N71" s="36">
        <v>3.4921500000000001E-2</v>
      </c>
      <c r="O71" s="36">
        <v>0.90909090000000004</v>
      </c>
    </row>
    <row r="72" spans="1:15" ht="85" x14ac:dyDescent="0.2">
      <c r="A72" s="36" t="s">
        <v>1232</v>
      </c>
      <c r="B72" s="45" t="str">
        <f>VLOOKUP(Tabella13[[#This Row],[test_id]],experiments_specs!A:J,2,FALSE)</f>
        <v>NN,JJ,VB,VBD,VBG,VBN,VBP,VBZ</v>
      </c>
      <c r="C72" s="38">
        <f>VLOOKUP(Tabella13[[#This Row],[test_id]],experiments_specs!A:J,3,FALSE)</f>
        <v>0</v>
      </c>
      <c r="D72" s="38">
        <f>VLOOKUP(Tabella13[[#This Row],[test_id]],experiments_specs!A:J,4,FALSE)</f>
        <v>3</v>
      </c>
      <c r="E72" s="38" t="str">
        <f>VLOOKUP(Tabella13[[#This Row],[test_id]],experiments_specs!A:J,5,FALSE)</f>
        <v>True</v>
      </c>
      <c r="F72" s="38" t="str">
        <f>VLOOKUP(Tabella13[[#This Row],[test_id]],experiments_specs!A:J,6,FALSE)</f>
        <v>True</v>
      </c>
      <c r="G72" s="38" t="str">
        <f>VLOOKUP(Tabella13[[#This Row],[test_id]],experiments_specs!A:J,7,FALSE)</f>
        <v>False</v>
      </c>
      <c r="H72" s="38" t="str">
        <f>VLOOKUP(Tabella13[[#This Row],[test_id]],experiments_specs!A:J,8,FALSE)</f>
        <v>False</v>
      </c>
      <c r="I72" s="38" t="str">
        <f>VLOOKUP(Tabella13[[#This Row],[test_id]],experiments_specs!A:J,9,FALSE)</f>
        <v>wup_similarity</v>
      </c>
      <c r="J72" s="38" t="str">
        <f>VLOOKUP(Tabella13[[#This Row],[test_id]],experiments_specs!A:J,10,FALSE)</f>
        <v>True</v>
      </c>
      <c r="K72" s="40" t="s">
        <v>16</v>
      </c>
      <c r="L72" s="36" t="s">
        <v>1333</v>
      </c>
      <c r="M72" s="36" t="s">
        <v>1314</v>
      </c>
      <c r="N72" s="36">
        <v>2.4825900000000001E-2</v>
      </c>
      <c r="O72" s="36" t="s">
        <v>1432</v>
      </c>
    </row>
    <row r="73" spans="1:15" ht="85" x14ac:dyDescent="0.2">
      <c r="A73" s="36" t="s">
        <v>1232</v>
      </c>
      <c r="B73" s="45" t="str">
        <f>VLOOKUP(Tabella13[[#This Row],[test_id]],experiments_specs!A:J,2,FALSE)</f>
        <v>NN,JJ,VB,VBD,VBG,VBN,VBP,VBZ</v>
      </c>
      <c r="C73" s="38">
        <f>VLOOKUP(Tabella13[[#This Row],[test_id]],experiments_specs!A:J,3,FALSE)</f>
        <v>0</v>
      </c>
      <c r="D73" s="38">
        <f>VLOOKUP(Tabella13[[#This Row],[test_id]],experiments_specs!A:J,4,FALSE)</f>
        <v>3</v>
      </c>
      <c r="E73" s="38" t="str">
        <f>VLOOKUP(Tabella13[[#This Row],[test_id]],experiments_specs!A:J,5,FALSE)</f>
        <v>True</v>
      </c>
      <c r="F73" s="38" t="str">
        <f>VLOOKUP(Tabella13[[#This Row],[test_id]],experiments_specs!A:J,6,FALSE)</f>
        <v>True</v>
      </c>
      <c r="G73" s="38" t="str">
        <f>VLOOKUP(Tabella13[[#This Row],[test_id]],experiments_specs!A:J,7,FALSE)</f>
        <v>False</v>
      </c>
      <c r="H73" s="38" t="str">
        <f>VLOOKUP(Tabella13[[#This Row],[test_id]],experiments_specs!A:J,8,FALSE)</f>
        <v>False</v>
      </c>
      <c r="I73" s="38" t="str">
        <f>VLOOKUP(Tabella13[[#This Row],[test_id]],experiments_specs!A:J,9,FALSE)</f>
        <v>wup_similarity</v>
      </c>
      <c r="J73" s="38" t="str">
        <f>VLOOKUP(Tabella13[[#This Row],[test_id]],experiments_specs!A:J,10,FALSE)</f>
        <v>True</v>
      </c>
      <c r="K73" s="40" t="s">
        <v>17</v>
      </c>
      <c r="L73" s="36" t="s">
        <v>1335</v>
      </c>
      <c r="M73" s="36" t="s">
        <v>1314</v>
      </c>
      <c r="N73" s="36">
        <v>1.71802E-2</v>
      </c>
      <c r="O73" s="36" t="s">
        <v>1440</v>
      </c>
    </row>
    <row r="74" spans="1:15" ht="85" x14ac:dyDescent="0.2">
      <c r="A74" s="36" t="s">
        <v>1232</v>
      </c>
      <c r="B74" s="45" t="str">
        <f>VLOOKUP(Tabella13[[#This Row],[test_id]],experiments_specs!A:J,2,FALSE)</f>
        <v>NN,JJ,VB,VBD,VBG,VBN,VBP,VBZ</v>
      </c>
      <c r="C74" s="38">
        <f>VLOOKUP(Tabella13[[#This Row],[test_id]],experiments_specs!A:J,3,FALSE)</f>
        <v>0</v>
      </c>
      <c r="D74" s="38">
        <f>VLOOKUP(Tabella13[[#This Row],[test_id]],experiments_specs!A:J,4,FALSE)</f>
        <v>3</v>
      </c>
      <c r="E74" s="38" t="str">
        <f>VLOOKUP(Tabella13[[#This Row],[test_id]],experiments_specs!A:J,5,FALSE)</f>
        <v>True</v>
      </c>
      <c r="F74" s="38" t="str">
        <f>VLOOKUP(Tabella13[[#This Row],[test_id]],experiments_specs!A:J,6,FALSE)</f>
        <v>True</v>
      </c>
      <c r="G74" s="38" t="str">
        <f>VLOOKUP(Tabella13[[#This Row],[test_id]],experiments_specs!A:J,7,FALSE)</f>
        <v>False</v>
      </c>
      <c r="H74" s="38" t="str">
        <f>VLOOKUP(Tabella13[[#This Row],[test_id]],experiments_specs!A:J,8,FALSE)</f>
        <v>False</v>
      </c>
      <c r="I74" s="38" t="str">
        <f>VLOOKUP(Tabella13[[#This Row],[test_id]],experiments_specs!A:J,9,FALSE)</f>
        <v>wup_similarity</v>
      </c>
      <c r="J74" s="38" t="str">
        <f>VLOOKUP(Tabella13[[#This Row],[test_id]],experiments_specs!A:J,10,FALSE)</f>
        <v>True</v>
      </c>
      <c r="K74" s="40" t="s">
        <v>18</v>
      </c>
      <c r="L74" s="36" t="s">
        <v>45</v>
      </c>
      <c r="M74" s="36">
        <v>2</v>
      </c>
      <c r="N74" s="36">
        <v>1.2576199999999999E-2</v>
      </c>
      <c r="O74" s="36">
        <v>0.2105263</v>
      </c>
    </row>
    <row r="75" spans="1:15" ht="85" x14ac:dyDescent="0.2">
      <c r="A75" s="36" t="s">
        <v>1233</v>
      </c>
      <c r="B75" s="45" t="str">
        <f>VLOOKUP(Tabella13[[#This Row],[test_id]],experiments_specs!A:J,2,FALSE)</f>
        <v>NN,JJ</v>
      </c>
      <c r="C75" s="38">
        <f>VLOOKUP(Tabella13[[#This Row],[test_id]],experiments_specs!A:J,3,FALSE)</f>
        <v>0</v>
      </c>
      <c r="D75" s="38">
        <f>VLOOKUP(Tabella13[[#This Row],[test_id]],experiments_specs!A:J,4,FALSE)</f>
        <v>2</v>
      </c>
      <c r="E75" s="38" t="str">
        <f>VLOOKUP(Tabella13[[#This Row],[test_id]],experiments_specs!A:J,5,FALSE)</f>
        <v>False</v>
      </c>
      <c r="F75" s="38" t="str">
        <f>VLOOKUP(Tabella13[[#This Row],[test_id]],experiments_specs!A:J,6,FALSE)</f>
        <v>True</v>
      </c>
      <c r="G75" s="38" t="str">
        <f>VLOOKUP(Tabella13[[#This Row],[test_id]],experiments_specs!A:J,7,FALSE)</f>
        <v>True</v>
      </c>
      <c r="H75" s="38" t="str">
        <f>VLOOKUP(Tabella13[[#This Row],[test_id]],experiments_specs!A:J,8,FALSE)</f>
        <v>False</v>
      </c>
      <c r="I75" s="38" t="str">
        <f>VLOOKUP(Tabella13[[#This Row],[test_id]],experiments_specs!A:J,9,FALSE)</f>
        <v>wup_similarity</v>
      </c>
      <c r="J75" s="38" t="str">
        <f>VLOOKUP(Tabella13[[#This Row],[test_id]],experiments_specs!A:J,10,FALSE)</f>
        <v>False</v>
      </c>
      <c r="K75" s="40" t="s">
        <v>19</v>
      </c>
      <c r="L75" s="36" t="s">
        <v>1312</v>
      </c>
      <c r="M75" s="36" t="s">
        <v>1314</v>
      </c>
      <c r="N75" s="36">
        <v>2.8078999999999999E-3</v>
      </c>
      <c r="O75" s="36" t="s">
        <v>1434</v>
      </c>
    </row>
    <row r="76" spans="1:15" ht="85" x14ac:dyDescent="0.2">
      <c r="A76" s="36" t="s">
        <v>1233</v>
      </c>
      <c r="B76" s="45" t="str">
        <f>VLOOKUP(Tabella13[[#This Row],[test_id]],experiments_specs!A:J,2,FALSE)</f>
        <v>NN,JJ</v>
      </c>
      <c r="C76" s="38">
        <f>VLOOKUP(Tabella13[[#This Row],[test_id]],experiments_specs!A:J,3,FALSE)</f>
        <v>0</v>
      </c>
      <c r="D76" s="38">
        <f>VLOOKUP(Tabella13[[#This Row],[test_id]],experiments_specs!A:J,4,FALSE)</f>
        <v>2</v>
      </c>
      <c r="E76" s="38" t="str">
        <f>VLOOKUP(Tabella13[[#This Row],[test_id]],experiments_specs!A:J,5,FALSE)</f>
        <v>False</v>
      </c>
      <c r="F76" s="38" t="str">
        <f>VLOOKUP(Tabella13[[#This Row],[test_id]],experiments_specs!A:J,6,FALSE)</f>
        <v>True</v>
      </c>
      <c r="G76" s="38" t="str">
        <f>VLOOKUP(Tabella13[[#This Row],[test_id]],experiments_specs!A:J,7,FALSE)</f>
        <v>True</v>
      </c>
      <c r="H76" s="38" t="str">
        <f>VLOOKUP(Tabella13[[#This Row],[test_id]],experiments_specs!A:J,8,FALSE)</f>
        <v>False</v>
      </c>
      <c r="I76" s="38" t="str">
        <f>VLOOKUP(Tabella13[[#This Row],[test_id]],experiments_specs!A:J,9,FALSE)</f>
        <v>wup_similarity</v>
      </c>
      <c r="J76" s="38" t="str">
        <f>VLOOKUP(Tabella13[[#This Row],[test_id]],experiments_specs!A:J,10,FALSE)</f>
        <v>False</v>
      </c>
      <c r="K76" s="40" t="s">
        <v>12</v>
      </c>
      <c r="L76" s="36" t="s">
        <v>1336</v>
      </c>
      <c r="M76" s="36">
        <v>4</v>
      </c>
      <c r="N76" s="36">
        <v>4.0683000000000004E-3</v>
      </c>
      <c r="O76" s="36">
        <v>0.25</v>
      </c>
    </row>
    <row r="77" spans="1:15" ht="85" x14ac:dyDescent="0.2">
      <c r="A77" s="36" t="s">
        <v>1233</v>
      </c>
      <c r="B77" s="45" t="str">
        <f>VLOOKUP(Tabella13[[#This Row],[test_id]],experiments_specs!A:J,2,FALSE)</f>
        <v>NN,JJ</v>
      </c>
      <c r="C77" s="38">
        <f>VLOOKUP(Tabella13[[#This Row],[test_id]],experiments_specs!A:J,3,FALSE)</f>
        <v>0</v>
      </c>
      <c r="D77" s="38">
        <f>VLOOKUP(Tabella13[[#This Row],[test_id]],experiments_specs!A:J,4,FALSE)</f>
        <v>2</v>
      </c>
      <c r="E77" s="38" t="str">
        <f>VLOOKUP(Tabella13[[#This Row],[test_id]],experiments_specs!A:J,5,FALSE)</f>
        <v>False</v>
      </c>
      <c r="F77" s="38" t="str">
        <f>VLOOKUP(Tabella13[[#This Row],[test_id]],experiments_specs!A:J,6,FALSE)</f>
        <v>True</v>
      </c>
      <c r="G77" s="38" t="str">
        <f>VLOOKUP(Tabella13[[#This Row],[test_id]],experiments_specs!A:J,7,FALSE)</f>
        <v>True</v>
      </c>
      <c r="H77" s="38" t="str">
        <f>VLOOKUP(Tabella13[[#This Row],[test_id]],experiments_specs!A:J,8,FALSE)</f>
        <v>False</v>
      </c>
      <c r="I77" s="38" t="str">
        <f>VLOOKUP(Tabella13[[#This Row],[test_id]],experiments_specs!A:J,9,FALSE)</f>
        <v>wup_similarity</v>
      </c>
      <c r="J77" s="38" t="str">
        <f>VLOOKUP(Tabella13[[#This Row],[test_id]],experiments_specs!A:J,10,FALSE)</f>
        <v>False</v>
      </c>
      <c r="K77" s="40" t="s">
        <v>13</v>
      </c>
      <c r="L77" s="36" t="s">
        <v>1317</v>
      </c>
      <c r="M77" s="36">
        <v>3</v>
      </c>
      <c r="N77" s="36">
        <v>6.9794999999999996E-3</v>
      </c>
      <c r="O77" s="36" t="s">
        <v>25</v>
      </c>
    </row>
    <row r="78" spans="1:15" ht="85" x14ac:dyDescent="0.2">
      <c r="A78" s="36" t="s">
        <v>1233</v>
      </c>
      <c r="B78" s="45" t="str">
        <f>VLOOKUP(Tabella13[[#This Row],[test_id]],experiments_specs!A:J,2,FALSE)</f>
        <v>NN,JJ</v>
      </c>
      <c r="C78" s="38">
        <f>VLOOKUP(Tabella13[[#This Row],[test_id]],experiments_specs!A:J,3,FALSE)</f>
        <v>0</v>
      </c>
      <c r="D78" s="38">
        <f>VLOOKUP(Tabella13[[#This Row],[test_id]],experiments_specs!A:J,4,FALSE)</f>
        <v>2</v>
      </c>
      <c r="E78" s="38" t="str">
        <f>VLOOKUP(Tabella13[[#This Row],[test_id]],experiments_specs!A:J,5,FALSE)</f>
        <v>False</v>
      </c>
      <c r="F78" s="38" t="str">
        <f>VLOOKUP(Tabella13[[#This Row],[test_id]],experiments_specs!A:J,6,FALSE)</f>
        <v>True</v>
      </c>
      <c r="G78" s="38" t="str">
        <f>VLOOKUP(Tabella13[[#This Row],[test_id]],experiments_specs!A:J,7,FALSE)</f>
        <v>True</v>
      </c>
      <c r="H78" s="38" t="str">
        <f>VLOOKUP(Tabella13[[#This Row],[test_id]],experiments_specs!A:J,8,FALSE)</f>
        <v>False</v>
      </c>
      <c r="I78" s="38" t="str">
        <f>VLOOKUP(Tabella13[[#This Row],[test_id]],experiments_specs!A:J,9,FALSE)</f>
        <v>wup_similarity</v>
      </c>
      <c r="J78" s="38" t="str">
        <f>VLOOKUP(Tabella13[[#This Row],[test_id]],experiments_specs!A:J,10,FALSE)</f>
        <v>False</v>
      </c>
      <c r="K78" s="40" t="s">
        <v>14</v>
      </c>
      <c r="L78" s="36" t="s">
        <v>1319</v>
      </c>
      <c r="M78" s="36" t="s">
        <v>1314</v>
      </c>
      <c r="N78" s="36">
        <v>3.2247E-3</v>
      </c>
      <c r="O78" s="36" t="s">
        <v>1436</v>
      </c>
    </row>
    <row r="79" spans="1:15" ht="85" x14ac:dyDescent="0.2">
      <c r="A79" s="36" t="s">
        <v>1233</v>
      </c>
      <c r="B79" s="45" t="str">
        <f>VLOOKUP(Tabella13[[#This Row],[test_id]],experiments_specs!A:J,2,FALSE)</f>
        <v>NN,JJ</v>
      </c>
      <c r="C79" s="38">
        <f>VLOOKUP(Tabella13[[#This Row],[test_id]],experiments_specs!A:J,3,FALSE)</f>
        <v>0</v>
      </c>
      <c r="D79" s="38">
        <f>VLOOKUP(Tabella13[[#This Row],[test_id]],experiments_specs!A:J,4,FALSE)</f>
        <v>2</v>
      </c>
      <c r="E79" s="38" t="str">
        <f>VLOOKUP(Tabella13[[#This Row],[test_id]],experiments_specs!A:J,5,FALSE)</f>
        <v>False</v>
      </c>
      <c r="F79" s="38" t="str">
        <f>VLOOKUP(Tabella13[[#This Row],[test_id]],experiments_specs!A:J,6,FALSE)</f>
        <v>True</v>
      </c>
      <c r="G79" s="38" t="str">
        <f>VLOOKUP(Tabella13[[#This Row],[test_id]],experiments_specs!A:J,7,FALSE)</f>
        <v>True</v>
      </c>
      <c r="H79" s="38" t="str">
        <f>VLOOKUP(Tabella13[[#This Row],[test_id]],experiments_specs!A:J,8,FALSE)</f>
        <v>False</v>
      </c>
      <c r="I79" s="38" t="str">
        <f>VLOOKUP(Tabella13[[#This Row],[test_id]],experiments_specs!A:J,9,FALSE)</f>
        <v>wup_similarity</v>
      </c>
      <c r="J79" s="38" t="str">
        <f>VLOOKUP(Tabella13[[#This Row],[test_id]],experiments_specs!A:J,10,FALSE)</f>
        <v>False</v>
      </c>
      <c r="K79" s="40" t="s">
        <v>15</v>
      </c>
      <c r="L79" s="36" t="s">
        <v>293</v>
      </c>
      <c r="M79" s="36">
        <v>1</v>
      </c>
      <c r="N79" s="36">
        <v>4.5773999999999997E-3</v>
      </c>
      <c r="O79" s="36">
        <v>0.90909090000000004</v>
      </c>
    </row>
    <row r="80" spans="1:15" ht="85" x14ac:dyDescent="0.2">
      <c r="A80" s="36" t="s">
        <v>1233</v>
      </c>
      <c r="B80" s="45" t="str">
        <f>VLOOKUP(Tabella13[[#This Row],[test_id]],experiments_specs!A:J,2,FALSE)</f>
        <v>NN,JJ</v>
      </c>
      <c r="C80" s="38">
        <f>VLOOKUP(Tabella13[[#This Row],[test_id]],experiments_specs!A:J,3,FALSE)</f>
        <v>0</v>
      </c>
      <c r="D80" s="38">
        <f>VLOOKUP(Tabella13[[#This Row],[test_id]],experiments_specs!A:J,4,FALSE)</f>
        <v>2</v>
      </c>
      <c r="E80" s="38" t="str">
        <f>VLOOKUP(Tabella13[[#This Row],[test_id]],experiments_specs!A:J,5,FALSE)</f>
        <v>False</v>
      </c>
      <c r="F80" s="38" t="str">
        <f>VLOOKUP(Tabella13[[#This Row],[test_id]],experiments_specs!A:J,6,FALSE)</f>
        <v>True</v>
      </c>
      <c r="G80" s="38" t="str">
        <f>VLOOKUP(Tabella13[[#This Row],[test_id]],experiments_specs!A:J,7,FALSE)</f>
        <v>True</v>
      </c>
      <c r="H80" s="38" t="str">
        <f>VLOOKUP(Tabella13[[#This Row],[test_id]],experiments_specs!A:J,8,FALSE)</f>
        <v>False</v>
      </c>
      <c r="I80" s="38" t="str">
        <f>VLOOKUP(Tabella13[[#This Row],[test_id]],experiments_specs!A:J,9,FALSE)</f>
        <v>wup_similarity</v>
      </c>
      <c r="J80" s="38" t="str">
        <f>VLOOKUP(Tabella13[[#This Row],[test_id]],experiments_specs!A:J,10,FALSE)</f>
        <v>False</v>
      </c>
      <c r="K80" s="40" t="s">
        <v>16</v>
      </c>
      <c r="L80" s="36" t="s">
        <v>209</v>
      </c>
      <c r="M80" s="36">
        <v>2</v>
      </c>
      <c r="N80" s="36">
        <v>2.9521999999999999E-3</v>
      </c>
      <c r="O80" s="36">
        <v>0.55555549999999998</v>
      </c>
    </row>
    <row r="81" spans="1:15" ht="85" x14ac:dyDescent="0.2">
      <c r="A81" s="36" t="s">
        <v>1233</v>
      </c>
      <c r="B81" s="45" t="str">
        <f>VLOOKUP(Tabella13[[#This Row],[test_id]],experiments_specs!A:J,2,FALSE)</f>
        <v>NN,JJ</v>
      </c>
      <c r="C81" s="38">
        <f>VLOOKUP(Tabella13[[#This Row],[test_id]],experiments_specs!A:J,3,FALSE)</f>
        <v>0</v>
      </c>
      <c r="D81" s="38">
        <f>VLOOKUP(Tabella13[[#This Row],[test_id]],experiments_specs!A:J,4,FALSE)</f>
        <v>2</v>
      </c>
      <c r="E81" s="38" t="str">
        <f>VLOOKUP(Tabella13[[#This Row],[test_id]],experiments_specs!A:J,5,FALSE)</f>
        <v>False</v>
      </c>
      <c r="F81" s="38" t="str">
        <f>VLOOKUP(Tabella13[[#This Row],[test_id]],experiments_specs!A:J,6,FALSE)</f>
        <v>True</v>
      </c>
      <c r="G81" s="38" t="str">
        <f>VLOOKUP(Tabella13[[#This Row],[test_id]],experiments_specs!A:J,7,FALSE)</f>
        <v>True</v>
      </c>
      <c r="H81" s="38" t="str">
        <f>VLOOKUP(Tabella13[[#This Row],[test_id]],experiments_specs!A:J,8,FALSE)</f>
        <v>False</v>
      </c>
      <c r="I81" s="38" t="str">
        <f>VLOOKUP(Tabella13[[#This Row],[test_id]],experiments_specs!A:J,9,FALSE)</f>
        <v>wup_similarity</v>
      </c>
      <c r="J81" s="38" t="str">
        <f>VLOOKUP(Tabella13[[#This Row],[test_id]],experiments_specs!A:J,10,FALSE)</f>
        <v>False</v>
      </c>
      <c r="K81" s="40" t="s">
        <v>17</v>
      </c>
      <c r="L81" s="36" t="s">
        <v>219</v>
      </c>
      <c r="M81" s="36">
        <v>2</v>
      </c>
      <c r="N81" s="36">
        <v>2.7277E-3</v>
      </c>
      <c r="O81" s="36">
        <v>0.13333329999999999</v>
      </c>
    </row>
    <row r="82" spans="1:15" ht="85" x14ac:dyDescent="0.2">
      <c r="A82" s="36" t="s">
        <v>1233</v>
      </c>
      <c r="B82" s="45" t="str">
        <f>VLOOKUP(Tabella13[[#This Row],[test_id]],experiments_specs!A:J,2,FALSE)</f>
        <v>NN,JJ</v>
      </c>
      <c r="C82" s="38">
        <f>VLOOKUP(Tabella13[[#This Row],[test_id]],experiments_specs!A:J,3,FALSE)</f>
        <v>0</v>
      </c>
      <c r="D82" s="38">
        <f>VLOOKUP(Tabella13[[#This Row],[test_id]],experiments_specs!A:J,4,FALSE)</f>
        <v>2</v>
      </c>
      <c r="E82" s="38" t="str">
        <f>VLOOKUP(Tabella13[[#This Row],[test_id]],experiments_specs!A:J,5,FALSE)</f>
        <v>False</v>
      </c>
      <c r="F82" s="38" t="str">
        <f>VLOOKUP(Tabella13[[#This Row],[test_id]],experiments_specs!A:J,6,FALSE)</f>
        <v>True</v>
      </c>
      <c r="G82" s="38" t="str">
        <f>VLOOKUP(Tabella13[[#This Row],[test_id]],experiments_specs!A:J,7,FALSE)</f>
        <v>True</v>
      </c>
      <c r="H82" s="38" t="str">
        <f>VLOOKUP(Tabella13[[#This Row],[test_id]],experiments_specs!A:J,8,FALSE)</f>
        <v>False</v>
      </c>
      <c r="I82" s="38" t="str">
        <f>VLOOKUP(Tabella13[[#This Row],[test_id]],experiments_specs!A:J,9,FALSE)</f>
        <v>wup_similarity</v>
      </c>
      <c r="J82" s="38" t="str">
        <f>VLOOKUP(Tabella13[[#This Row],[test_id]],experiments_specs!A:J,10,FALSE)</f>
        <v>False</v>
      </c>
      <c r="K82" s="40" t="s">
        <v>18</v>
      </c>
      <c r="L82" s="36" t="s">
        <v>1323</v>
      </c>
      <c r="M82" s="36" t="s">
        <v>1314</v>
      </c>
      <c r="N82" s="36">
        <v>2.2725000000000002E-3</v>
      </c>
      <c r="O82" s="36" t="s">
        <v>1438</v>
      </c>
    </row>
    <row r="83" spans="1:15" ht="85" x14ac:dyDescent="0.2">
      <c r="A83" s="36" t="s">
        <v>1234</v>
      </c>
      <c r="B83" s="45" t="str">
        <f>VLOOKUP(Tabella13[[#This Row],[test_id]],experiments_specs!A:J,2,FALSE)</f>
        <v>NN,JJ</v>
      </c>
      <c r="C83" s="38">
        <f>VLOOKUP(Tabella13[[#This Row],[test_id]],experiments_specs!A:J,3,FALSE)</f>
        <v>0</v>
      </c>
      <c r="D83" s="38">
        <f>VLOOKUP(Tabella13[[#This Row],[test_id]],experiments_specs!A:J,4,FALSE)</f>
        <v>3</v>
      </c>
      <c r="E83" s="38" t="str">
        <f>VLOOKUP(Tabella13[[#This Row],[test_id]],experiments_specs!A:J,5,FALSE)</f>
        <v>False</v>
      </c>
      <c r="F83" s="38" t="str">
        <f>VLOOKUP(Tabella13[[#This Row],[test_id]],experiments_specs!A:J,6,FALSE)</f>
        <v>True</v>
      </c>
      <c r="G83" s="38" t="str">
        <f>VLOOKUP(Tabella13[[#This Row],[test_id]],experiments_specs!A:J,7,FALSE)</f>
        <v>True</v>
      </c>
      <c r="H83" s="38" t="str">
        <f>VLOOKUP(Tabella13[[#This Row],[test_id]],experiments_specs!A:J,8,FALSE)</f>
        <v>False</v>
      </c>
      <c r="I83" s="38" t="str">
        <f>VLOOKUP(Tabella13[[#This Row],[test_id]],experiments_specs!A:J,9,FALSE)</f>
        <v>wup_similarity</v>
      </c>
      <c r="J83" s="38" t="str">
        <f>VLOOKUP(Tabella13[[#This Row],[test_id]],experiments_specs!A:J,10,FALSE)</f>
        <v>False</v>
      </c>
      <c r="K83" s="40" t="s">
        <v>19</v>
      </c>
      <c r="L83" s="36" t="s">
        <v>1312</v>
      </c>
      <c r="M83" s="36" t="s">
        <v>1314</v>
      </c>
      <c r="N83" s="36">
        <v>2.8078999999999999E-3</v>
      </c>
      <c r="O83" s="36" t="s">
        <v>1434</v>
      </c>
    </row>
    <row r="84" spans="1:15" ht="85" x14ac:dyDescent="0.2">
      <c r="A84" s="36" t="s">
        <v>1234</v>
      </c>
      <c r="B84" s="45" t="str">
        <f>VLOOKUP(Tabella13[[#This Row],[test_id]],experiments_specs!A:J,2,FALSE)</f>
        <v>NN,JJ</v>
      </c>
      <c r="C84" s="38">
        <f>VLOOKUP(Tabella13[[#This Row],[test_id]],experiments_specs!A:J,3,FALSE)</f>
        <v>0</v>
      </c>
      <c r="D84" s="38">
        <f>VLOOKUP(Tabella13[[#This Row],[test_id]],experiments_specs!A:J,4,FALSE)</f>
        <v>3</v>
      </c>
      <c r="E84" s="38" t="str">
        <f>VLOOKUP(Tabella13[[#This Row],[test_id]],experiments_specs!A:J,5,FALSE)</f>
        <v>False</v>
      </c>
      <c r="F84" s="38" t="str">
        <f>VLOOKUP(Tabella13[[#This Row],[test_id]],experiments_specs!A:J,6,FALSE)</f>
        <v>True</v>
      </c>
      <c r="G84" s="38" t="str">
        <f>VLOOKUP(Tabella13[[#This Row],[test_id]],experiments_specs!A:J,7,FALSE)</f>
        <v>True</v>
      </c>
      <c r="H84" s="38" t="str">
        <f>VLOOKUP(Tabella13[[#This Row],[test_id]],experiments_specs!A:J,8,FALSE)</f>
        <v>False</v>
      </c>
      <c r="I84" s="38" t="str">
        <f>VLOOKUP(Tabella13[[#This Row],[test_id]],experiments_specs!A:J,9,FALSE)</f>
        <v>wup_similarity</v>
      </c>
      <c r="J84" s="38" t="str">
        <f>VLOOKUP(Tabella13[[#This Row],[test_id]],experiments_specs!A:J,10,FALSE)</f>
        <v>False</v>
      </c>
      <c r="K84" s="40" t="s">
        <v>12</v>
      </c>
      <c r="L84" s="36" t="s">
        <v>1336</v>
      </c>
      <c r="M84" s="36">
        <v>4</v>
      </c>
      <c r="N84" s="36">
        <v>4.0683000000000004E-3</v>
      </c>
      <c r="O84" s="36">
        <v>0.25</v>
      </c>
    </row>
    <row r="85" spans="1:15" ht="85" x14ac:dyDescent="0.2">
      <c r="A85" s="36" t="s">
        <v>1234</v>
      </c>
      <c r="B85" s="45" t="str">
        <f>VLOOKUP(Tabella13[[#This Row],[test_id]],experiments_specs!A:J,2,FALSE)</f>
        <v>NN,JJ</v>
      </c>
      <c r="C85" s="38">
        <f>VLOOKUP(Tabella13[[#This Row],[test_id]],experiments_specs!A:J,3,FALSE)</f>
        <v>0</v>
      </c>
      <c r="D85" s="38">
        <f>VLOOKUP(Tabella13[[#This Row],[test_id]],experiments_specs!A:J,4,FALSE)</f>
        <v>3</v>
      </c>
      <c r="E85" s="38" t="str">
        <f>VLOOKUP(Tabella13[[#This Row],[test_id]],experiments_specs!A:J,5,FALSE)</f>
        <v>False</v>
      </c>
      <c r="F85" s="38" t="str">
        <f>VLOOKUP(Tabella13[[#This Row],[test_id]],experiments_specs!A:J,6,FALSE)</f>
        <v>True</v>
      </c>
      <c r="G85" s="38" t="str">
        <f>VLOOKUP(Tabella13[[#This Row],[test_id]],experiments_specs!A:J,7,FALSE)</f>
        <v>True</v>
      </c>
      <c r="H85" s="38" t="str">
        <f>VLOOKUP(Tabella13[[#This Row],[test_id]],experiments_specs!A:J,8,FALSE)</f>
        <v>False</v>
      </c>
      <c r="I85" s="38" t="str">
        <f>VLOOKUP(Tabella13[[#This Row],[test_id]],experiments_specs!A:J,9,FALSE)</f>
        <v>wup_similarity</v>
      </c>
      <c r="J85" s="38" t="str">
        <f>VLOOKUP(Tabella13[[#This Row],[test_id]],experiments_specs!A:J,10,FALSE)</f>
        <v>False</v>
      </c>
      <c r="K85" s="40" t="s">
        <v>13</v>
      </c>
      <c r="L85" s="36" t="s">
        <v>1317</v>
      </c>
      <c r="M85" s="36">
        <v>3</v>
      </c>
      <c r="N85" s="36">
        <v>6.9794999999999996E-3</v>
      </c>
      <c r="O85" s="36" t="s">
        <v>25</v>
      </c>
    </row>
    <row r="86" spans="1:15" ht="85" x14ac:dyDescent="0.2">
      <c r="A86" s="36" t="s">
        <v>1234</v>
      </c>
      <c r="B86" s="45" t="str">
        <f>VLOOKUP(Tabella13[[#This Row],[test_id]],experiments_specs!A:J,2,FALSE)</f>
        <v>NN,JJ</v>
      </c>
      <c r="C86" s="38">
        <f>VLOOKUP(Tabella13[[#This Row],[test_id]],experiments_specs!A:J,3,FALSE)</f>
        <v>0</v>
      </c>
      <c r="D86" s="38">
        <f>VLOOKUP(Tabella13[[#This Row],[test_id]],experiments_specs!A:J,4,FALSE)</f>
        <v>3</v>
      </c>
      <c r="E86" s="38" t="str">
        <f>VLOOKUP(Tabella13[[#This Row],[test_id]],experiments_specs!A:J,5,FALSE)</f>
        <v>False</v>
      </c>
      <c r="F86" s="38" t="str">
        <f>VLOOKUP(Tabella13[[#This Row],[test_id]],experiments_specs!A:J,6,FALSE)</f>
        <v>True</v>
      </c>
      <c r="G86" s="38" t="str">
        <f>VLOOKUP(Tabella13[[#This Row],[test_id]],experiments_specs!A:J,7,FALSE)</f>
        <v>True</v>
      </c>
      <c r="H86" s="38" t="str">
        <f>VLOOKUP(Tabella13[[#This Row],[test_id]],experiments_specs!A:J,8,FALSE)</f>
        <v>False</v>
      </c>
      <c r="I86" s="38" t="str">
        <f>VLOOKUP(Tabella13[[#This Row],[test_id]],experiments_specs!A:J,9,FALSE)</f>
        <v>wup_similarity</v>
      </c>
      <c r="J86" s="38" t="str">
        <f>VLOOKUP(Tabella13[[#This Row],[test_id]],experiments_specs!A:J,10,FALSE)</f>
        <v>False</v>
      </c>
      <c r="K86" s="40" t="s">
        <v>14</v>
      </c>
      <c r="L86" s="36" t="s">
        <v>1319</v>
      </c>
      <c r="M86" s="36" t="s">
        <v>1314</v>
      </c>
      <c r="N86" s="36">
        <v>3.2247E-3</v>
      </c>
      <c r="O86" s="36" t="s">
        <v>1436</v>
      </c>
    </row>
    <row r="87" spans="1:15" ht="85" x14ac:dyDescent="0.2">
      <c r="A87" s="36" t="s">
        <v>1234</v>
      </c>
      <c r="B87" s="45" t="str">
        <f>VLOOKUP(Tabella13[[#This Row],[test_id]],experiments_specs!A:J,2,FALSE)</f>
        <v>NN,JJ</v>
      </c>
      <c r="C87" s="38">
        <f>VLOOKUP(Tabella13[[#This Row],[test_id]],experiments_specs!A:J,3,FALSE)</f>
        <v>0</v>
      </c>
      <c r="D87" s="38">
        <f>VLOOKUP(Tabella13[[#This Row],[test_id]],experiments_specs!A:J,4,FALSE)</f>
        <v>3</v>
      </c>
      <c r="E87" s="38" t="str">
        <f>VLOOKUP(Tabella13[[#This Row],[test_id]],experiments_specs!A:J,5,FALSE)</f>
        <v>False</v>
      </c>
      <c r="F87" s="38" t="str">
        <f>VLOOKUP(Tabella13[[#This Row],[test_id]],experiments_specs!A:J,6,FALSE)</f>
        <v>True</v>
      </c>
      <c r="G87" s="38" t="str">
        <f>VLOOKUP(Tabella13[[#This Row],[test_id]],experiments_specs!A:J,7,FALSE)</f>
        <v>True</v>
      </c>
      <c r="H87" s="38" t="str">
        <f>VLOOKUP(Tabella13[[#This Row],[test_id]],experiments_specs!A:J,8,FALSE)</f>
        <v>False</v>
      </c>
      <c r="I87" s="38" t="str">
        <f>VLOOKUP(Tabella13[[#This Row],[test_id]],experiments_specs!A:J,9,FALSE)</f>
        <v>wup_similarity</v>
      </c>
      <c r="J87" s="38" t="str">
        <f>VLOOKUP(Tabella13[[#This Row],[test_id]],experiments_specs!A:J,10,FALSE)</f>
        <v>False</v>
      </c>
      <c r="K87" s="40" t="s">
        <v>15</v>
      </c>
      <c r="L87" s="36" t="s">
        <v>293</v>
      </c>
      <c r="M87" s="36">
        <v>1</v>
      </c>
      <c r="N87" s="36">
        <v>4.5773999999999997E-3</v>
      </c>
      <c r="O87" s="36">
        <v>0.90909090000000004</v>
      </c>
    </row>
    <row r="88" spans="1:15" ht="85" x14ac:dyDescent="0.2">
      <c r="A88" s="36" t="s">
        <v>1234</v>
      </c>
      <c r="B88" s="45" t="str">
        <f>VLOOKUP(Tabella13[[#This Row],[test_id]],experiments_specs!A:J,2,FALSE)</f>
        <v>NN,JJ</v>
      </c>
      <c r="C88" s="38">
        <f>VLOOKUP(Tabella13[[#This Row],[test_id]],experiments_specs!A:J,3,FALSE)</f>
        <v>0</v>
      </c>
      <c r="D88" s="38">
        <f>VLOOKUP(Tabella13[[#This Row],[test_id]],experiments_specs!A:J,4,FALSE)</f>
        <v>3</v>
      </c>
      <c r="E88" s="38" t="str">
        <f>VLOOKUP(Tabella13[[#This Row],[test_id]],experiments_specs!A:J,5,FALSE)</f>
        <v>False</v>
      </c>
      <c r="F88" s="38" t="str">
        <f>VLOOKUP(Tabella13[[#This Row],[test_id]],experiments_specs!A:J,6,FALSE)</f>
        <v>True</v>
      </c>
      <c r="G88" s="38" t="str">
        <f>VLOOKUP(Tabella13[[#This Row],[test_id]],experiments_specs!A:J,7,FALSE)</f>
        <v>True</v>
      </c>
      <c r="H88" s="38" t="str">
        <f>VLOOKUP(Tabella13[[#This Row],[test_id]],experiments_specs!A:J,8,FALSE)</f>
        <v>False</v>
      </c>
      <c r="I88" s="38" t="str">
        <f>VLOOKUP(Tabella13[[#This Row],[test_id]],experiments_specs!A:J,9,FALSE)</f>
        <v>wup_similarity</v>
      </c>
      <c r="J88" s="38" t="str">
        <f>VLOOKUP(Tabella13[[#This Row],[test_id]],experiments_specs!A:J,10,FALSE)</f>
        <v>False</v>
      </c>
      <c r="K88" s="40" t="s">
        <v>16</v>
      </c>
      <c r="L88" s="36" t="s">
        <v>209</v>
      </c>
      <c r="M88" s="36">
        <v>2</v>
      </c>
      <c r="N88" s="36">
        <v>2.9521999999999999E-3</v>
      </c>
      <c r="O88" s="36">
        <v>0.55555549999999998</v>
      </c>
    </row>
    <row r="89" spans="1:15" ht="85" x14ac:dyDescent="0.2">
      <c r="A89" s="36" t="s">
        <v>1234</v>
      </c>
      <c r="B89" s="45" t="str">
        <f>VLOOKUP(Tabella13[[#This Row],[test_id]],experiments_specs!A:J,2,FALSE)</f>
        <v>NN,JJ</v>
      </c>
      <c r="C89" s="38">
        <f>VLOOKUP(Tabella13[[#This Row],[test_id]],experiments_specs!A:J,3,FALSE)</f>
        <v>0</v>
      </c>
      <c r="D89" s="38">
        <f>VLOOKUP(Tabella13[[#This Row],[test_id]],experiments_specs!A:J,4,FALSE)</f>
        <v>3</v>
      </c>
      <c r="E89" s="38" t="str">
        <f>VLOOKUP(Tabella13[[#This Row],[test_id]],experiments_specs!A:J,5,FALSE)</f>
        <v>False</v>
      </c>
      <c r="F89" s="38" t="str">
        <f>VLOOKUP(Tabella13[[#This Row],[test_id]],experiments_specs!A:J,6,FALSE)</f>
        <v>True</v>
      </c>
      <c r="G89" s="38" t="str">
        <f>VLOOKUP(Tabella13[[#This Row],[test_id]],experiments_specs!A:J,7,FALSE)</f>
        <v>True</v>
      </c>
      <c r="H89" s="38" t="str">
        <f>VLOOKUP(Tabella13[[#This Row],[test_id]],experiments_specs!A:J,8,FALSE)</f>
        <v>False</v>
      </c>
      <c r="I89" s="38" t="str">
        <f>VLOOKUP(Tabella13[[#This Row],[test_id]],experiments_specs!A:J,9,FALSE)</f>
        <v>wup_similarity</v>
      </c>
      <c r="J89" s="38" t="str">
        <f>VLOOKUP(Tabella13[[#This Row],[test_id]],experiments_specs!A:J,10,FALSE)</f>
        <v>False</v>
      </c>
      <c r="K89" s="40" t="s">
        <v>17</v>
      </c>
      <c r="L89" s="36" t="s">
        <v>219</v>
      </c>
      <c r="M89" s="36">
        <v>2</v>
      </c>
      <c r="N89" s="36">
        <v>2.7277E-3</v>
      </c>
      <c r="O89" s="36">
        <v>0.13333329999999999</v>
      </c>
    </row>
    <row r="90" spans="1:15" ht="85" x14ac:dyDescent="0.2">
      <c r="A90" s="36" t="s">
        <v>1234</v>
      </c>
      <c r="B90" s="45" t="str">
        <f>VLOOKUP(Tabella13[[#This Row],[test_id]],experiments_specs!A:J,2,FALSE)</f>
        <v>NN,JJ</v>
      </c>
      <c r="C90" s="38">
        <f>VLOOKUP(Tabella13[[#This Row],[test_id]],experiments_specs!A:J,3,FALSE)</f>
        <v>0</v>
      </c>
      <c r="D90" s="38">
        <f>VLOOKUP(Tabella13[[#This Row],[test_id]],experiments_specs!A:J,4,FALSE)</f>
        <v>3</v>
      </c>
      <c r="E90" s="38" t="str">
        <f>VLOOKUP(Tabella13[[#This Row],[test_id]],experiments_specs!A:J,5,FALSE)</f>
        <v>False</v>
      </c>
      <c r="F90" s="38" t="str">
        <f>VLOOKUP(Tabella13[[#This Row],[test_id]],experiments_specs!A:J,6,FALSE)</f>
        <v>True</v>
      </c>
      <c r="G90" s="38" t="str">
        <f>VLOOKUP(Tabella13[[#This Row],[test_id]],experiments_specs!A:J,7,FALSE)</f>
        <v>True</v>
      </c>
      <c r="H90" s="38" t="str">
        <f>VLOOKUP(Tabella13[[#This Row],[test_id]],experiments_specs!A:J,8,FALSE)</f>
        <v>False</v>
      </c>
      <c r="I90" s="38" t="str">
        <f>VLOOKUP(Tabella13[[#This Row],[test_id]],experiments_specs!A:J,9,FALSE)</f>
        <v>wup_similarity</v>
      </c>
      <c r="J90" s="38" t="str">
        <f>VLOOKUP(Tabella13[[#This Row],[test_id]],experiments_specs!A:J,10,FALSE)</f>
        <v>False</v>
      </c>
      <c r="K90" s="40" t="s">
        <v>18</v>
      </c>
      <c r="L90" s="36" t="s">
        <v>1323</v>
      </c>
      <c r="M90" s="36" t="s">
        <v>1314</v>
      </c>
      <c r="N90" s="36">
        <v>2.2725000000000002E-3</v>
      </c>
      <c r="O90" s="36" t="s">
        <v>1438</v>
      </c>
    </row>
    <row r="91" spans="1:15" ht="85" x14ac:dyDescent="0.2">
      <c r="A91" s="36" t="s">
        <v>1235</v>
      </c>
      <c r="B91" s="45" t="str">
        <f>VLOOKUP(Tabella13[[#This Row],[test_id]],experiments_specs!A:J,2,FALSE)</f>
        <v>NN,VB,VBD,VBG,VBN,VBP,VBZ</v>
      </c>
      <c r="C91" s="38">
        <f>VLOOKUP(Tabella13[[#This Row],[test_id]],experiments_specs!A:J,3,FALSE)</f>
        <v>0</v>
      </c>
      <c r="D91" s="38">
        <f>VLOOKUP(Tabella13[[#This Row],[test_id]],experiments_specs!A:J,4,FALSE)</f>
        <v>2</v>
      </c>
      <c r="E91" s="38" t="str">
        <f>VLOOKUP(Tabella13[[#This Row],[test_id]],experiments_specs!A:J,5,FALSE)</f>
        <v>False</v>
      </c>
      <c r="F91" s="38" t="str">
        <f>VLOOKUP(Tabella13[[#This Row],[test_id]],experiments_specs!A:J,6,FALSE)</f>
        <v>True</v>
      </c>
      <c r="G91" s="38" t="str">
        <f>VLOOKUP(Tabella13[[#This Row],[test_id]],experiments_specs!A:J,7,FALSE)</f>
        <v>True</v>
      </c>
      <c r="H91" s="38" t="str">
        <f>VLOOKUP(Tabella13[[#This Row],[test_id]],experiments_specs!A:J,8,FALSE)</f>
        <v>False</v>
      </c>
      <c r="I91" s="38" t="str">
        <f>VLOOKUP(Tabella13[[#This Row],[test_id]],experiments_specs!A:J,9,FALSE)</f>
        <v>wup_similarity</v>
      </c>
      <c r="J91" s="38" t="str">
        <f>VLOOKUP(Tabella13[[#This Row],[test_id]],experiments_specs!A:J,10,FALSE)</f>
        <v>False</v>
      </c>
      <c r="K91" s="40" t="s">
        <v>19</v>
      </c>
      <c r="L91" s="36" t="s">
        <v>226</v>
      </c>
      <c r="M91" s="36">
        <v>3</v>
      </c>
      <c r="N91" s="36">
        <v>2.5639E-3</v>
      </c>
      <c r="O91" s="36">
        <v>0.17391300000000001</v>
      </c>
    </row>
    <row r="92" spans="1:15" ht="85" x14ac:dyDescent="0.2">
      <c r="A92" s="36" t="s">
        <v>1235</v>
      </c>
      <c r="B92" s="45" t="str">
        <f>VLOOKUP(Tabella13[[#This Row],[test_id]],experiments_specs!A:J,2,FALSE)</f>
        <v>NN,VB,VBD,VBG,VBN,VBP,VBZ</v>
      </c>
      <c r="C92" s="38">
        <f>VLOOKUP(Tabella13[[#This Row],[test_id]],experiments_specs!A:J,3,FALSE)</f>
        <v>0</v>
      </c>
      <c r="D92" s="38">
        <f>VLOOKUP(Tabella13[[#This Row],[test_id]],experiments_specs!A:J,4,FALSE)</f>
        <v>2</v>
      </c>
      <c r="E92" s="38" t="str">
        <f>VLOOKUP(Tabella13[[#This Row],[test_id]],experiments_specs!A:J,5,FALSE)</f>
        <v>False</v>
      </c>
      <c r="F92" s="38" t="str">
        <f>VLOOKUP(Tabella13[[#This Row],[test_id]],experiments_specs!A:J,6,FALSE)</f>
        <v>True</v>
      </c>
      <c r="G92" s="38" t="str">
        <f>VLOOKUP(Tabella13[[#This Row],[test_id]],experiments_specs!A:J,7,FALSE)</f>
        <v>True</v>
      </c>
      <c r="H92" s="38" t="str">
        <f>VLOOKUP(Tabella13[[#This Row],[test_id]],experiments_specs!A:J,8,FALSE)</f>
        <v>False</v>
      </c>
      <c r="I92" s="38" t="str">
        <f>VLOOKUP(Tabella13[[#This Row],[test_id]],experiments_specs!A:J,9,FALSE)</f>
        <v>wup_similarity</v>
      </c>
      <c r="J92" s="38" t="str">
        <f>VLOOKUP(Tabella13[[#This Row],[test_id]],experiments_specs!A:J,10,FALSE)</f>
        <v>False</v>
      </c>
      <c r="K92" s="40" t="s">
        <v>12</v>
      </c>
      <c r="L92" s="36" t="s">
        <v>236</v>
      </c>
      <c r="M92" s="36">
        <v>2</v>
      </c>
      <c r="N92" s="36">
        <v>3.212E-3</v>
      </c>
      <c r="O92" s="36">
        <v>0.125</v>
      </c>
    </row>
    <row r="93" spans="1:15" ht="85" x14ac:dyDescent="0.2">
      <c r="A93" s="36" t="s">
        <v>1235</v>
      </c>
      <c r="B93" s="45" t="str">
        <f>VLOOKUP(Tabella13[[#This Row],[test_id]],experiments_specs!A:J,2,FALSE)</f>
        <v>NN,VB,VBD,VBG,VBN,VBP,VBZ</v>
      </c>
      <c r="C93" s="38">
        <f>VLOOKUP(Tabella13[[#This Row],[test_id]],experiments_specs!A:J,3,FALSE)</f>
        <v>0</v>
      </c>
      <c r="D93" s="38">
        <f>VLOOKUP(Tabella13[[#This Row],[test_id]],experiments_specs!A:J,4,FALSE)</f>
        <v>2</v>
      </c>
      <c r="E93" s="38" t="str">
        <f>VLOOKUP(Tabella13[[#This Row],[test_id]],experiments_specs!A:J,5,FALSE)</f>
        <v>False</v>
      </c>
      <c r="F93" s="38" t="str">
        <f>VLOOKUP(Tabella13[[#This Row],[test_id]],experiments_specs!A:J,6,FALSE)</f>
        <v>True</v>
      </c>
      <c r="G93" s="38" t="str">
        <f>VLOOKUP(Tabella13[[#This Row],[test_id]],experiments_specs!A:J,7,FALSE)</f>
        <v>True</v>
      </c>
      <c r="H93" s="38" t="str">
        <f>VLOOKUP(Tabella13[[#This Row],[test_id]],experiments_specs!A:J,8,FALSE)</f>
        <v>False</v>
      </c>
      <c r="I93" s="38" t="str">
        <f>VLOOKUP(Tabella13[[#This Row],[test_id]],experiments_specs!A:J,9,FALSE)</f>
        <v>wup_similarity</v>
      </c>
      <c r="J93" s="38" t="str">
        <f>VLOOKUP(Tabella13[[#This Row],[test_id]],experiments_specs!A:J,10,FALSE)</f>
        <v>False</v>
      </c>
      <c r="K93" s="40" t="s">
        <v>13</v>
      </c>
      <c r="L93" s="36" t="s">
        <v>1317</v>
      </c>
      <c r="M93" s="36">
        <v>3</v>
      </c>
      <c r="N93" s="36">
        <v>6.3826999999999998E-3</v>
      </c>
      <c r="O93" s="36" t="s">
        <v>25</v>
      </c>
    </row>
    <row r="94" spans="1:15" ht="85" x14ac:dyDescent="0.2">
      <c r="A94" s="36" t="s">
        <v>1235</v>
      </c>
      <c r="B94" s="45" t="str">
        <f>VLOOKUP(Tabella13[[#This Row],[test_id]],experiments_specs!A:J,2,FALSE)</f>
        <v>NN,VB,VBD,VBG,VBN,VBP,VBZ</v>
      </c>
      <c r="C94" s="38">
        <f>VLOOKUP(Tabella13[[#This Row],[test_id]],experiments_specs!A:J,3,FALSE)</f>
        <v>0</v>
      </c>
      <c r="D94" s="38">
        <f>VLOOKUP(Tabella13[[#This Row],[test_id]],experiments_specs!A:J,4,FALSE)</f>
        <v>2</v>
      </c>
      <c r="E94" s="38" t="str">
        <f>VLOOKUP(Tabella13[[#This Row],[test_id]],experiments_specs!A:J,5,FALSE)</f>
        <v>False</v>
      </c>
      <c r="F94" s="38" t="str">
        <f>VLOOKUP(Tabella13[[#This Row],[test_id]],experiments_specs!A:J,6,FALSE)</f>
        <v>True</v>
      </c>
      <c r="G94" s="38" t="str">
        <f>VLOOKUP(Tabella13[[#This Row],[test_id]],experiments_specs!A:J,7,FALSE)</f>
        <v>True</v>
      </c>
      <c r="H94" s="38" t="str">
        <f>VLOOKUP(Tabella13[[#This Row],[test_id]],experiments_specs!A:J,8,FALSE)</f>
        <v>False</v>
      </c>
      <c r="I94" s="38" t="str">
        <f>VLOOKUP(Tabella13[[#This Row],[test_id]],experiments_specs!A:J,9,FALSE)</f>
        <v>wup_similarity</v>
      </c>
      <c r="J94" s="38" t="str">
        <f>VLOOKUP(Tabella13[[#This Row],[test_id]],experiments_specs!A:J,10,FALSE)</f>
        <v>False</v>
      </c>
      <c r="K94" s="40" t="s">
        <v>14</v>
      </c>
      <c r="L94" s="36" t="s">
        <v>382</v>
      </c>
      <c r="M94" s="36">
        <v>2</v>
      </c>
      <c r="N94" s="36">
        <v>2.8861E-3</v>
      </c>
      <c r="O94" s="36">
        <v>0.625</v>
      </c>
    </row>
    <row r="95" spans="1:15" ht="85" x14ac:dyDescent="0.2">
      <c r="A95" s="36" t="s">
        <v>1235</v>
      </c>
      <c r="B95" s="45" t="str">
        <f>VLOOKUP(Tabella13[[#This Row],[test_id]],experiments_specs!A:J,2,FALSE)</f>
        <v>NN,VB,VBD,VBG,VBN,VBP,VBZ</v>
      </c>
      <c r="C95" s="38">
        <f>VLOOKUP(Tabella13[[#This Row],[test_id]],experiments_specs!A:J,3,FALSE)</f>
        <v>0</v>
      </c>
      <c r="D95" s="38">
        <f>VLOOKUP(Tabella13[[#This Row],[test_id]],experiments_specs!A:J,4,FALSE)</f>
        <v>2</v>
      </c>
      <c r="E95" s="38" t="str">
        <f>VLOOKUP(Tabella13[[#This Row],[test_id]],experiments_specs!A:J,5,FALSE)</f>
        <v>False</v>
      </c>
      <c r="F95" s="38" t="str">
        <f>VLOOKUP(Tabella13[[#This Row],[test_id]],experiments_specs!A:J,6,FALSE)</f>
        <v>True</v>
      </c>
      <c r="G95" s="38" t="str">
        <f>VLOOKUP(Tabella13[[#This Row],[test_id]],experiments_specs!A:J,7,FALSE)</f>
        <v>True</v>
      </c>
      <c r="H95" s="38" t="str">
        <f>VLOOKUP(Tabella13[[#This Row],[test_id]],experiments_specs!A:J,8,FALSE)</f>
        <v>False</v>
      </c>
      <c r="I95" s="38" t="str">
        <f>VLOOKUP(Tabella13[[#This Row],[test_id]],experiments_specs!A:J,9,FALSE)</f>
        <v>wup_similarity</v>
      </c>
      <c r="J95" s="38" t="str">
        <f>VLOOKUP(Tabella13[[#This Row],[test_id]],experiments_specs!A:J,10,FALSE)</f>
        <v>False</v>
      </c>
      <c r="K95" s="40" t="s">
        <v>15</v>
      </c>
      <c r="L95" s="36" t="s">
        <v>238</v>
      </c>
      <c r="M95" s="36">
        <v>2</v>
      </c>
      <c r="N95" s="36">
        <v>2.758E-3</v>
      </c>
      <c r="O95" s="36">
        <v>0.2</v>
      </c>
    </row>
    <row r="96" spans="1:15" ht="85" x14ac:dyDescent="0.2">
      <c r="A96" s="36" t="s">
        <v>1235</v>
      </c>
      <c r="B96" s="45" t="str">
        <f>VLOOKUP(Tabella13[[#This Row],[test_id]],experiments_specs!A:J,2,FALSE)</f>
        <v>NN,VB,VBD,VBG,VBN,VBP,VBZ</v>
      </c>
      <c r="C96" s="38">
        <f>VLOOKUP(Tabella13[[#This Row],[test_id]],experiments_specs!A:J,3,FALSE)</f>
        <v>0</v>
      </c>
      <c r="D96" s="38">
        <f>VLOOKUP(Tabella13[[#This Row],[test_id]],experiments_specs!A:J,4,FALSE)</f>
        <v>2</v>
      </c>
      <c r="E96" s="38" t="str">
        <f>VLOOKUP(Tabella13[[#This Row],[test_id]],experiments_specs!A:J,5,FALSE)</f>
        <v>False</v>
      </c>
      <c r="F96" s="38" t="str">
        <f>VLOOKUP(Tabella13[[#This Row],[test_id]],experiments_specs!A:J,6,FALSE)</f>
        <v>True</v>
      </c>
      <c r="G96" s="38" t="str">
        <f>VLOOKUP(Tabella13[[#This Row],[test_id]],experiments_specs!A:J,7,FALSE)</f>
        <v>True</v>
      </c>
      <c r="H96" s="38" t="str">
        <f>VLOOKUP(Tabella13[[#This Row],[test_id]],experiments_specs!A:J,8,FALSE)</f>
        <v>False</v>
      </c>
      <c r="I96" s="38" t="str">
        <f>VLOOKUP(Tabella13[[#This Row],[test_id]],experiments_specs!A:J,9,FALSE)</f>
        <v>wup_similarity</v>
      </c>
      <c r="J96" s="38" t="str">
        <f>VLOOKUP(Tabella13[[#This Row],[test_id]],experiments_specs!A:J,10,FALSE)</f>
        <v>False</v>
      </c>
      <c r="K96" s="40" t="s">
        <v>16</v>
      </c>
      <c r="L96" s="36" t="s">
        <v>209</v>
      </c>
      <c r="M96" s="36">
        <v>2</v>
      </c>
      <c r="N96" s="36">
        <v>3.2967000000000001E-3</v>
      </c>
      <c r="O96" s="36">
        <v>0.55555549999999998</v>
      </c>
    </row>
    <row r="97" spans="1:15" ht="85" x14ac:dyDescent="0.2">
      <c r="A97" s="36" t="s">
        <v>1235</v>
      </c>
      <c r="B97" s="45" t="str">
        <f>VLOOKUP(Tabella13[[#This Row],[test_id]],experiments_specs!A:J,2,FALSE)</f>
        <v>NN,VB,VBD,VBG,VBN,VBP,VBZ</v>
      </c>
      <c r="C97" s="38">
        <f>VLOOKUP(Tabella13[[#This Row],[test_id]],experiments_specs!A:J,3,FALSE)</f>
        <v>0</v>
      </c>
      <c r="D97" s="38">
        <f>VLOOKUP(Tabella13[[#This Row],[test_id]],experiments_specs!A:J,4,FALSE)</f>
        <v>2</v>
      </c>
      <c r="E97" s="38" t="str">
        <f>VLOOKUP(Tabella13[[#This Row],[test_id]],experiments_specs!A:J,5,FALSE)</f>
        <v>False</v>
      </c>
      <c r="F97" s="38" t="str">
        <f>VLOOKUP(Tabella13[[#This Row],[test_id]],experiments_specs!A:J,6,FALSE)</f>
        <v>True</v>
      </c>
      <c r="G97" s="38" t="str">
        <f>VLOOKUP(Tabella13[[#This Row],[test_id]],experiments_specs!A:J,7,FALSE)</f>
        <v>True</v>
      </c>
      <c r="H97" s="38" t="str">
        <f>VLOOKUP(Tabella13[[#This Row],[test_id]],experiments_specs!A:J,8,FALSE)</f>
        <v>False</v>
      </c>
      <c r="I97" s="38" t="str">
        <f>VLOOKUP(Tabella13[[#This Row],[test_id]],experiments_specs!A:J,9,FALSE)</f>
        <v>wup_similarity</v>
      </c>
      <c r="J97" s="38" t="str">
        <f>VLOOKUP(Tabella13[[#This Row],[test_id]],experiments_specs!A:J,10,FALSE)</f>
        <v>False</v>
      </c>
      <c r="K97" s="40" t="s">
        <v>17</v>
      </c>
      <c r="L97" s="36" t="s">
        <v>387</v>
      </c>
      <c r="M97" s="36">
        <v>2</v>
      </c>
      <c r="N97" s="36">
        <v>2.6592E-3</v>
      </c>
      <c r="O97" s="36">
        <v>0.22222220000000001</v>
      </c>
    </row>
    <row r="98" spans="1:15" ht="85" x14ac:dyDescent="0.2">
      <c r="A98" s="36" t="s">
        <v>1235</v>
      </c>
      <c r="B98" s="45" t="str">
        <f>VLOOKUP(Tabella13[[#This Row],[test_id]],experiments_specs!A:J,2,FALSE)</f>
        <v>NN,VB,VBD,VBG,VBN,VBP,VBZ</v>
      </c>
      <c r="C98" s="38">
        <f>VLOOKUP(Tabella13[[#This Row],[test_id]],experiments_specs!A:J,3,FALSE)</f>
        <v>0</v>
      </c>
      <c r="D98" s="38">
        <f>VLOOKUP(Tabella13[[#This Row],[test_id]],experiments_specs!A:J,4,FALSE)</f>
        <v>2</v>
      </c>
      <c r="E98" s="38" t="str">
        <f>VLOOKUP(Tabella13[[#This Row],[test_id]],experiments_specs!A:J,5,FALSE)</f>
        <v>False</v>
      </c>
      <c r="F98" s="38" t="str">
        <f>VLOOKUP(Tabella13[[#This Row],[test_id]],experiments_specs!A:J,6,FALSE)</f>
        <v>True</v>
      </c>
      <c r="G98" s="38" t="str">
        <f>VLOOKUP(Tabella13[[#This Row],[test_id]],experiments_specs!A:J,7,FALSE)</f>
        <v>True</v>
      </c>
      <c r="H98" s="38" t="str">
        <f>VLOOKUP(Tabella13[[#This Row],[test_id]],experiments_specs!A:J,8,FALSE)</f>
        <v>False</v>
      </c>
      <c r="I98" s="38" t="str">
        <f>VLOOKUP(Tabella13[[#This Row],[test_id]],experiments_specs!A:J,9,FALSE)</f>
        <v>wup_similarity</v>
      </c>
      <c r="J98" s="38" t="str">
        <f>VLOOKUP(Tabella13[[#This Row],[test_id]],experiments_specs!A:J,10,FALSE)</f>
        <v>False</v>
      </c>
      <c r="K98" s="40" t="s">
        <v>18</v>
      </c>
      <c r="L98" s="36" t="s">
        <v>1323</v>
      </c>
      <c r="M98" s="36" t="s">
        <v>1314</v>
      </c>
      <c r="N98" s="36">
        <v>1.5208999999999999E-3</v>
      </c>
      <c r="O98" s="36" t="s">
        <v>1438</v>
      </c>
    </row>
    <row r="99" spans="1:15" ht="85" x14ac:dyDescent="0.2">
      <c r="A99" s="36" t="s">
        <v>1236</v>
      </c>
      <c r="B99" s="45" t="str">
        <f>VLOOKUP(Tabella13[[#This Row],[test_id]],experiments_specs!A:J,2,FALSE)</f>
        <v>NN,VB,VBD,VBG,VBN,VBP,VBZ</v>
      </c>
      <c r="C99" s="38">
        <f>VLOOKUP(Tabella13[[#This Row],[test_id]],experiments_specs!A:J,3,FALSE)</f>
        <v>0</v>
      </c>
      <c r="D99" s="38">
        <f>VLOOKUP(Tabella13[[#This Row],[test_id]],experiments_specs!A:J,4,FALSE)</f>
        <v>3</v>
      </c>
      <c r="E99" s="38" t="str">
        <f>VLOOKUP(Tabella13[[#This Row],[test_id]],experiments_specs!A:J,5,FALSE)</f>
        <v>False</v>
      </c>
      <c r="F99" s="38" t="str">
        <f>VLOOKUP(Tabella13[[#This Row],[test_id]],experiments_specs!A:J,6,FALSE)</f>
        <v>True</v>
      </c>
      <c r="G99" s="38" t="str">
        <f>VLOOKUP(Tabella13[[#This Row],[test_id]],experiments_specs!A:J,7,FALSE)</f>
        <v>True</v>
      </c>
      <c r="H99" s="38" t="str">
        <f>VLOOKUP(Tabella13[[#This Row],[test_id]],experiments_specs!A:J,8,FALSE)</f>
        <v>False</v>
      </c>
      <c r="I99" s="38" t="str">
        <f>VLOOKUP(Tabella13[[#This Row],[test_id]],experiments_specs!A:J,9,FALSE)</f>
        <v>wup_similarity</v>
      </c>
      <c r="J99" s="38" t="str">
        <f>VLOOKUP(Tabella13[[#This Row],[test_id]],experiments_specs!A:J,10,FALSE)</f>
        <v>False</v>
      </c>
      <c r="K99" s="40" t="s">
        <v>19</v>
      </c>
      <c r="L99" s="36" t="s">
        <v>226</v>
      </c>
      <c r="M99" s="36">
        <v>3</v>
      </c>
      <c r="N99" s="36">
        <v>2.5639E-3</v>
      </c>
      <c r="O99" s="36">
        <v>0.17391300000000001</v>
      </c>
    </row>
    <row r="100" spans="1:15" ht="85" x14ac:dyDescent="0.2">
      <c r="A100" s="36" t="s">
        <v>1236</v>
      </c>
      <c r="B100" s="45" t="str">
        <f>VLOOKUP(Tabella13[[#This Row],[test_id]],experiments_specs!A:J,2,FALSE)</f>
        <v>NN,VB,VBD,VBG,VBN,VBP,VBZ</v>
      </c>
      <c r="C100" s="38">
        <f>VLOOKUP(Tabella13[[#This Row],[test_id]],experiments_specs!A:J,3,FALSE)</f>
        <v>0</v>
      </c>
      <c r="D100" s="38">
        <f>VLOOKUP(Tabella13[[#This Row],[test_id]],experiments_specs!A:J,4,FALSE)</f>
        <v>3</v>
      </c>
      <c r="E100" s="38" t="str">
        <f>VLOOKUP(Tabella13[[#This Row],[test_id]],experiments_specs!A:J,5,FALSE)</f>
        <v>False</v>
      </c>
      <c r="F100" s="38" t="str">
        <f>VLOOKUP(Tabella13[[#This Row],[test_id]],experiments_specs!A:J,6,FALSE)</f>
        <v>True</v>
      </c>
      <c r="G100" s="38" t="str">
        <f>VLOOKUP(Tabella13[[#This Row],[test_id]],experiments_specs!A:J,7,FALSE)</f>
        <v>True</v>
      </c>
      <c r="H100" s="38" t="str">
        <f>VLOOKUP(Tabella13[[#This Row],[test_id]],experiments_specs!A:J,8,FALSE)</f>
        <v>False</v>
      </c>
      <c r="I100" s="38" t="str">
        <f>VLOOKUP(Tabella13[[#This Row],[test_id]],experiments_specs!A:J,9,FALSE)</f>
        <v>wup_similarity</v>
      </c>
      <c r="J100" s="38" t="str">
        <f>VLOOKUP(Tabella13[[#This Row],[test_id]],experiments_specs!A:J,10,FALSE)</f>
        <v>False</v>
      </c>
      <c r="K100" s="40" t="s">
        <v>12</v>
      </c>
      <c r="L100" s="36" t="s">
        <v>236</v>
      </c>
      <c r="M100" s="36">
        <v>2</v>
      </c>
      <c r="N100" s="36">
        <v>3.212E-3</v>
      </c>
      <c r="O100" s="36">
        <v>0.125</v>
      </c>
    </row>
    <row r="101" spans="1:15" ht="85" x14ac:dyDescent="0.2">
      <c r="A101" s="36" t="s">
        <v>1236</v>
      </c>
      <c r="B101" s="45" t="str">
        <f>VLOOKUP(Tabella13[[#This Row],[test_id]],experiments_specs!A:J,2,FALSE)</f>
        <v>NN,VB,VBD,VBG,VBN,VBP,VBZ</v>
      </c>
      <c r="C101" s="38">
        <f>VLOOKUP(Tabella13[[#This Row],[test_id]],experiments_specs!A:J,3,FALSE)</f>
        <v>0</v>
      </c>
      <c r="D101" s="38">
        <f>VLOOKUP(Tabella13[[#This Row],[test_id]],experiments_specs!A:J,4,FALSE)</f>
        <v>3</v>
      </c>
      <c r="E101" s="38" t="str">
        <f>VLOOKUP(Tabella13[[#This Row],[test_id]],experiments_specs!A:J,5,FALSE)</f>
        <v>False</v>
      </c>
      <c r="F101" s="38" t="str">
        <f>VLOOKUP(Tabella13[[#This Row],[test_id]],experiments_specs!A:J,6,FALSE)</f>
        <v>True</v>
      </c>
      <c r="G101" s="38" t="str">
        <f>VLOOKUP(Tabella13[[#This Row],[test_id]],experiments_specs!A:J,7,FALSE)</f>
        <v>True</v>
      </c>
      <c r="H101" s="38" t="str">
        <f>VLOOKUP(Tabella13[[#This Row],[test_id]],experiments_specs!A:J,8,FALSE)</f>
        <v>False</v>
      </c>
      <c r="I101" s="38" t="str">
        <f>VLOOKUP(Tabella13[[#This Row],[test_id]],experiments_specs!A:J,9,FALSE)</f>
        <v>wup_similarity</v>
      </c>
      <c r="J101" s="38" t="str">
        <f>VLOOKUP(Tabella13[[#This Row],[test_id]],experiments_specs!A:J,10,FALSE)</f>
        <v>False</v>
      </c>
      <c r="K101" s="40" t="s">
        <v>13</v>
      </c>
      <c r="L101" s="36" t="s">
        <v>1317</v>
      </c>
      <c r="M101" s="36">
        <v>3</v>
      </c>
      <c r="N101" s="36">
        <v>6.3826999999999998E-3</v>
      </c>
      <c r="O101" s="36" t="s">
        <v>25</v>
      </c>
    </row>
    <row r="102" spans="1:15" ht="85" x14ac:dyDescent="0.2">
      <c r="A102" s="36" t="s">
        <v>1236</v>
      </c>
      <c r="B102" s="45" t="str">
        <f>VLOOKUP(Tabella13[[#This Row],[test_id]],experiments_specs!A:J,2,FALSE)</f>
        <v>NN,VB,VBD,VBG,VBN,VBP,VBZ</v>
      </c>
      <c r="C102" s="38">
        <f>VLOOKUP(Tabella13[[#This Row],[test_id]],experiments_specs!A:J,3,FALSE)</f>
        <v>0</v>
      </c>
      <c r="D102" s="38">
        <f>VLOOKUP(Tabella13[[#This Row],[test_id]],experiments_specs!A:J,4,FALSE)</f>
        <v>3</v>
      </c>
      <c r="E102" s="38" t="str">
        <f>VLOOKUP(Tabella13[[#This Row],[test_id]],experiments_specs!A:J,5,FALSE)</f>
        <v>False</v>
      </c>
      <c r="F102" s="38" t="str">
        <f>VLOOKUP(Tabella13[[#This Row],[test_id]],experiments_specs!A:J,6,FALSE)</f>
        <v>True</v>
      </c>
      <c r="G102" s="38" t="str">
        <f>VLOOKUP(Tabella13[[#This Row],[test_id]],experiments_specs!A:J,7,FALSE)</f>
        <v>True</v>
      </c>
      <c r="H102" s="38" t="str">
        <f>VLOOKUP(Tabella13[[#This Row],[test_id]],experiments_specs!A:J,8,FALSE)</f>
        <v>False</v>
      </c>
      <c r="I102" s="38" t="str">
        <f>VLOOKUP(Tabella13[[#This Row],[test_id]],experiments_specs!A:J,9,FALSE)</f>
        <v>wup_similarity</v>
      </c>
      <c r="J102" s="38" t="str">
        <f>VLOOKUP(Tabella13[[#This Row],[test_id]],experiments_specs!A:J,10,FALSE)</f>
        <v>False</v>
      </c>
      <c r="K102" s="40" t="s">
        <v>14</v>
      </c>
      <c r="L102" s="36" t="s">
        <v>382</v>
      </c>
      <c r="M102" s="36">
        <v>2</v>
      </c>
      <c r="N102" s="36">
        <v>2.8861E-3</v>
      </c>
      <c r="O102" s="36">
        <v>0.625</v>
      </c>
    </row>
    <row r="103" spans="1:15" ht="85" x14ac:dyDescent="0.2">
      <c r="A103" s="36" t="s">
        <v>1236</v>
      </c>
      <c r="B103" s="45" t="str">
        <f>VLOOKUP(Tabella13[[#This Row],[test_id]],experiments_specs!A:J,2,FALSE)</f>
        <v>NN,VB,VBD,VBG,VBN,VBP,VBZ</v>
      </c>
      <c r="C103" s="38">
        <f>VLOOKUP(Tabella13[[#This Row],[test_id]],experiments_specs!A:J,3,FALSE)</f>
        <v>0</v>
      </c>
      <c r="D103" s="38">
        <f>VLOOKUP(Tabella13[[#This Row],[test_id]],experiments_specs!A:J,4,FALSE)</f>
        <v>3</v>
      </c>
      <c r="E103" s="38" t="str">
        <f>VLOOKUP(Tabella13[[#This Row],[test_id]],experiments_specs!A:J,5,FALSE)</f>
        <v>False</v>
      </c>
      <c r="F103" s="38" t="str">
        <f>VLOOKUP(Tabella13[[#This Row],[test_id]],experiments_specs!A:J,6,FALSE)</f>
        <v>True</v>
      </c>
      <c r="G103" s="38" t="str">
        <f>VLOOKUP(Tabella13[[#This Row],[test_id]],experiments_specs!A:J,7,FALSE)</f>
        <v>True</v>
      </c>
      <c r="H103" s="38" t="str">
        <f>VLOOKUP(Tabella13[[#This Row],[test_id]],experiments_specs!A:J,8,FALSE)</f>
        <v>False</v>
      </c>
      <c r="I103" s="38" t="str">
        <f>VLOOKUP(Tabella13[[#This Row],[test_id]],experiments_specs!A:J,9,FALSE)</f>
        <v>wup_similarity</v>
      </c>
      <c r="J103" s="38" t="str">
        <f>VLOOKUP(Tabella13[[#This Row],[test_id]],experiments_specs!A:J,10,FALSE)</f>
        <v>False</v>
      </c>
      <c r="K103" s="40" t="s">
        <v>15</v>
      </c>
      <c r="L103" s="36" t="s">
        <v>238</v>
      </c>
      <c r="M103" s="36">
        <v>2</v>
      </c>
      <c r="N103" s="36">
        <v>2.758E-3</v>
      </c>
      <c r="O103" s="36">
        <v>0.2</v>
      </c>
    </row>
    <row r="104" spans="1:15" ht="85" x14ac:dyDescent="0.2">
      <c r="A104" s="36" t="s">
        <v>1236</v>
      </c>
      <c r="B104" s="45" t="str">
        <f>VLOOKUP(Tabella13[[#This Row],[test_id]],experiments_specs!A:J,2,FALSE)</f>
        <v>NN,VB,VBD,VBG,VBN,VBP,VBZ</v>
      </c>
      <c r="C104" s="38">
        <f>VLOOKUP(Tabella13[[#This Row],[test_id]],experiments_specs!A:J,3,FALSE)</f>
        <v>0</v>
      </c>
      <c r="D104" s="38">
        <f>VLOOKUP(Tabella13[[#This Row],[test_id]],experiments_specs!A:J,4,FALSE)</f>
        <v>3</v>
      </c>
      <c r="E104" s="38" t="str">
        <f>VLOOKUP(Tabella13[[#This Row],[test_id]],experiments_specs!A:J,5,FALSE)</f>
        <v>False</v>
      </c>
      <c r="F104" s="38" t="str">
        <f>VLOOKUP(Tabella13[[#This Row],[test_id]],experiments_specs!A:J,6,FALSE)</f>
        <v>True</v>
      </c>
      <c r="G104" s="38" t="str">
        <f>VLOOKUP(Tabella13[[#This Row],[test_id]],experiments_specs!A:J,7,FALSE)</f>
        <v>True</v>
      </c>
      <c r="H104" s="38" t="str">
        <f>VLOOKUP(Tabella13[[#This Row],[test_id]],experiments_specs!A:J,8,FALSE)</f>
        <v>False</v>
      </c>
      <c r="I104" s="38" t="str">
        <f>VLOOKUP(Tabella13[[#This Row],[test_id]],experiments_specs!A:J,9,FALSE)</f>
        <v>wup_similarity</v>
      </c>
      <c r="J104" s="38" t="str">
        <f>VLOOKUP(Tabella13[[#This Row],[test_id]],experiments_specs!A:J,10,FALSE)</f>
        <v>False</v>
      </c>
      <c r="K104" s="40" t="s">
        <v>16</v>
      </c>
      <c r="L104" s="36" t="s">
        <v>209</v>
      </c>
      <c r="M104" s="36">
        <v>2</v>
      </c>
      <c r="N104" s="36">
        <v>3.2967000000000001E-3</v>
      </c>
      <c r="O104" s="36">
        <v>0.55555549999999998</v>
      </c>
    </row>
    <row r="105" spans="1:15" ht="85" x14ac:dyDescent="0.2">
      <c r="A105" s="36" t="s">
        <v>1236</v>
      </c>
      <c r="B105" s="45" t="str">
        <f>VLOOKUP(Tabella13[[#This Row],[test_id]],experiments_specs!A:J,2,FALSE)</f>
        <v>NN,VB,VBD,VBG,VBN,VBP,VBZ</v>
      </c>
      <c r="C105" s="38">
        <f>VLOOKUP(Tabella13[[#This Row],[test_id]],experiments_specs!A:J,3,FALSE)</f>
        <v>0</v>
      </c>
      <c r="D105" s="38">
        <f>VLOOKUP(Tabella13[[#This Row],[test_id]],experiments_specs!A:J,4,FALSE)</f>
        <v>3</v>
      </c>
      <c r="E105" s="38" t="str">
        <f>VLOOKUP(Tabella13[[#This Row],[test_id]],experiments_specs!A:J,5,FALSE)</f>
        <v>False</v>
      </c>
      <c r="F105" s="38" t="str">
        <f>VLOOKUP(Tabella13[[#This Row],[test_id]],experiments_specs!A:J,6,FALSE)</f>
        <v>True</v>
      </c>
      <c r="G105" s="38" t="str">
        <f>VLOOKUP(Tabella13[[#This Row],[test_id]],experiments_specs!A:J,7,FALSE)</f>
        <v>True</v>
      </c>
      <c r="H105" s="38" t="str">
        <f>VLOOKUP(Tabella13[[#This Row],[test_id]],experiments_specs!A:J,8,FALSE)</f>
        <v>False</v>
      </c>
      <c r="I105" s="38" t="str">
        <f>VLOOKUP(Tabella13[[#This Row],[test_id]],experiments_specs!A:J,9,FALSE)</f>
        <v>wup_similarity</v>
      </c>
      <c r="J105" s="38" t="str">
        <f>VLOOKUP(Tabella13[[#This Row],[test_id]],experiments_specs!A:J,10,FALSE)</f>
        <v>False</v>
      </c>
      <c r="K105" s="40" t="s">
        <v>17</v>
      </c>
      <c r="L105" s="36" t="s">
        <v>387</v>
      </c>
      <c r="M105" s="36">
        <v>2</v>
      </c>
      <c r="N105" s="36">
        <v>2.6592E-3</v>
      </c>
      <c r="O105" s="36">
        <v>0.22222220000000001</v>
      </c>
    </row>
    <row r="106" spans="1:15" ht="85" x14ac:dyDescent="0.2">
      <c r="A106" s="36" t="s">
        <v>1236</v>
      </c>
      <c r="B106" s="45" t="str">
        <f>VLOOKUP(Tabella13[[#This Row],[test_id]],experiments_specs!A:J,2,FALSE)</f>
        <v>NN,VB,VBD,VBG,VBN,VBP,VBZ</v>
      </c>
      <c r="C106" s="38">
        <f>VLOOKUP(Tabella13[[#This Row],[test_id]],experiments_specs!A:J,3,FALSE)</f>
        <v>0</v>
      </c>
      <c r="D106" s="38">
        <f>VLOOKUP(Tabella13[[#This Row],[test_id]],experiments_specs!A:J,4,FALSE)</f>
        <v>3</v>
      </c>
      <c r="E106" s="38" t="str">
        <f>VLOOKUP(Tabella13[[#This Row],[test_id]],experiments_specs!A:J,5,FALSE)</f>
        <v>False</v>
      </c>
      <c r="F106" s="38" t="str">
        <f>VLOOKUP(Tabella13[[#This Row],[test_id]],experiments_specs!A:J,6,FALSE)</f>
        <v>True</v>
      </c>
      <c r="G106" s="38" t="str">
        <f>VLOOKUP(Tabella13[[#This Row],[test_id]],experiments_specs!A:J,7,FALSE)</f>
        <v>True</v>
      </c>
      <c r="H106" s="38" t="str">
        <f>VLOOKUP(Tabella13[[#This Row],[test_id]],experiments_specs!A:J,8,FALSE)</f>
        <v>False</v>
      </c>
      <c r="I106" s="38" t="str">
        <f>VLOOKUP(Tabella13[[#This Row],[test_id]],experiments_specs!A:J,9,FALSE)</f>
        <v>wup_similarity</v>
      </c>
      <c r="J106" s="38" t="str">
        <f>VLOOKUP(Tabella13[[#This Row],[test_id]],experiments_specs!A:J,10,FALSE)</f>
        <v>False</v>
      </c>
      <c r="K106" s="40" t="s">
        <v>18</v>
      </c>
      <c r="L106" s="36" t="s">
        <v>1323</v>
      </c>
      <c r="M106" s="36" t="s">
        <v>1314</v>
      </c>
      <c r="N106" s="36">
        <v>1.5208999999999999E-3</v>
      </c>
      <c r="O106" s="36" t="s">
        <v>1438</v>
      </c>
    </row>
    <row r="107" spans="1:15" ht="85" x14ac:dyDescent="0.2">
      <c r="A107" s="36" t="s">
        <v>1237</v>
      </c>
      <c r="B107" s="45" t="str">
        <f>VLOOKUP(Tabella13[[#This Row],[test_id]],experiments_specs!A:J,2,FALSE)</f>
        <v>NN,JJ,VB,VBD,VBG,VBN,VBP,VBZ</v>
      </c>
      <c r="C107" s="38">
        <f>VLOOKUP(Tabella13[[#This Row],[test_id]],experiments_specs!A:J,3,FALSE)</f>
        <v>0</v>
      </c>
      <c r="D107" s="38">
        <f>VLOOKUP(Tabella13[[#This Row],[test_id]],experiments_specs!A:J,4,FALSE)</f>
        <v>2</v>
      </c>
      <c r="E107" s="38" t="str">
        <f>VLOOKUP(Tabella13[[#This Row],[test_id]],experiments_specs!A:J,5,FALSE)</f>
        <v>False</v>
      </c>
      <c r="F107" s="38" t="str">
        <f>VLOOKUP(Tabella13[[#This Row],[test_id]],experiments_specs!A:J,6,FALSE)</f>
        <v>True</v>
      </c>
      <c r="G107" s="38" t="str">
        <f>VLOOKUP(Tabella13[[#This Row],[test_id]],experiments_specs!A:J,7,FALSE)</f>
        <v>True</v>
      </c>
      <c r="H107" s="38" t="str">
        <f>VLOOKUP(Tabella13[[#This Row],[test_id]],experiments_specs!A:J,8,FALSE)</f>
        <v>False</v>
      </c>
      <c r="I107" s="38" t="str">
        <f>VLOOKUP(Tabella13[[#This Row],[test_id]],experiments_specs!A:J,9,FALSE)</f>
        <v>wup_similarity</v>
      </c>
      <c r="J107" s="38" t="str">
        <f>VLOOKUP(Tabella13[[#This Row],[test_id]],experiments_specs!A:J,10,FALSE)</f>
        <v>False</v>
      </c>
      <c r="K107" s="40" t="s">
        <v>19</v>
      </c>
      <c r="L107" s="36" t="s">
        <v>1312</v>
      </c>
      <c r="M107" s="36" t="s">
        <v>1314</v>
      </c>
      <c r="N107" s="36">
        <v>2.2051000000000002E-3</v>
      </c>
      <c r="O107" s="36" t="s">
        <v>1434</v>
      </c>
    </row>
    <row r="108" spans="1:15" ht="85" x14ac:dyDescent="0.2">
      <c r="A108" s="36" t="s">
        <v>1237</v>
      </c>
      <c r="B108" s="45" t="str">
        <f>VLOOKUP(Tabella13[[#This Row],[test_id]],experiments_specs!A:J,2,FALSE)</f>
        <v>NN,JJ,VB,VBD,VBG,VBN,VBP,VBZ</v>
      </c>
      <c r="C108" s="38">
        <f>VLOOKUP(Tabella13[[#This Row],[test_id]],experiments_specs!A:J,3,FALSE)</f>
        <v>0</v>
      </c>
      <c r="D108" s="38">
        <f>VLOOKUP(Tabella13[[#This Row],[test_id]],experiments_specs!A:J,4,FALSE)</f>
        <v>2</v>
      </c>
      <c r="E108" s="38" t="str">
        <f>VLOOKUP(Tabella13[[#This Row],[test_id]],experiments_specs!A:J,5,FALSE)</f>
        <v>False</v>
      </c>
      <c r="F108" s="38" t="str">
        <f>VLOOKUP(Tabella13[[#This Row],[test_id]],experiments_specs!A:J,6,FALSE)</f>
        <v>True</v>
      </c>
      <c r="G108" s="38" t="str">
        <f>VLOOKUP(Tabella13[[#This Row],[test_id]],experiments_specs!A:J,7,FALSE)</f>
        <v>True</v>
      </c>
      <c r="H108" s="38" t="str">
        <f>VLOOKUP(Tabella13[[#This Row],[test_id]],experiments_specs!A:J,8,FALSE)</f>
        <v>False</v>
      </c>
      <c r="I108" s="38" t="str">
        <f>VLOOKUP(Tabella13[[#This Row],[test_id]],experiments_specs!A:J,9,FALSE)</f>
        <v>wup_similarity</v>
      </c>
      <c r="J108" s="38" t="str">
        <f>VLOOKUP(Tabella13[[#This Row],[test_id]],experiments_specs!A:J,10,FALSE)</f>
        <v>False</v>
      </c>
      <c r="K108" s="40" t="s">
        <v>12</v>
      </c>
      <c r="L108" s="36" t="s">
        <v>236</v>
      </c>
      <c r="M108" s="36">
        <v>2</v>
      </c>
      <c r="N108" s="36">
        <v>2.362E-3</v>
      </c>
      <c r="O108" s="36">
        <v>0.125</v>
      </c>
    </row>
    <row r="109" spans="1:15" ht="85" x14ac:dyDescent="0.2">
      <c r="A109" s="36" t="s">
        <v>1237</v>
      </c>
      <c r="B109" s="45" t="str">
        <f>VLOOKUP(Tabella13[[#This Row],[test_id]],experiments_specs!A:J,2,FALSE)</f>
        <v>NN,JJ,VB,VBD,VBG,VBN,VBP,VBZ</v>
      </c>
      <c r="C109" s="38">
        <f>VLOOKUP(Tabella13[[#This Row],[test_id]],experiments_specs!A:J,3,FALSE)</f>
        <v>0</v>
      </c>
      <c r="D109" s="38">
        <f>VLOOKUP(Tabella13[[#This Row],[test_id]],experiments_specs!A:J,4,FALSE)</f>
        <v>2</v>
      </c>
      <c r="E109" s="38" t="str">
        <f>VLOOKUP(Tabella13[[#This Row],[test_id]],experiments_specs!A:J,5,FALSE)</f>
        <v>False</v>
      </c>
      <c r="F109" s="38" t="str">
        <f>VLOOKUP(Tabella13[[#This Row],[test_id]],experiments_specs!A:J,6,FALSE)</f>
        <v>True</v>
      </c>
      <c r="G109" s="38" t="str">
        <f>VLOOKUP(Tabella13[[#This Row],[test_id]],experiments_specs!A:J,7,FALSE)</f>
        <v>True</v>
      </c>
      <c r="H109" s="38" t="str">
        <f>VLOOKUP(Tabella13[[#This Row],[test_id]],experiments_specs!A:J,8,FALSE)</f>
        <v>False</v>
      </c>
      <c r="I109" s="38" t="str">
        <f>VLOOKUP(Tabella13[[#This Row],[test_id]],experiments_specs!A:J,9,FALSE)</f>
        <v>wup_similarity</v>
      </c>
      <c r="J109" s="38" t="str">
        <f>VLOOKUP(Tabella13[[#This Row],[test_id]],experiments_specs!A:J,10,FALSE)</f>
        <v>False</v>
      </c>
      <c r="K109" s="40" t="s">
        <v>13</v>
      </c>
      <c r="L109" s="36" t="s">
        <v>1317</v>
      </c>
      <c r="M109" s="36">
        <v>3</v>
      </c>
      <c r="N109" s="36">
        <v>5.4206000000000002E-3</v>
      </c>
      <c r="O109" s="36" t="s">
        <v>25</v>
      </c>
    </row>
    <row r="110" spans="1:15" ht="85" x14ac:dyDescent="0.2">
      <c r="A110" s="36" t="s">
        <v>1237</v>
      </c>
      <c r="B110" s="45" t="str">
        <f>VLOOKUP(Tabella13[[#This Row],[test_id]],experiments_specs!A:J,2,FALSE)</f>
        <v>NN,JJ,VB,VBD,VBG,VBN,VBP,VBZ</v>
      </c>
      <c r="C110" s="38">
        <f>VLOOKUP(Tabella13[[#This Row],[test_id]],experiments_specs!A:J,3,FALSE)</f>
        <v>0</v>
      </c>
      <c r="D110" s="38">
        <f>VLOOKUP(Tabella13[[#This Row],[test_id]],experiments_specs!A:J,4,FALSE)</f>
        <v>2</v>
      </c>
      <c r="E110" s="38" t="str">
        <f>VLOOKUP(Tabella13[[#This Row],[test_id]],experiments_specs!A:J,5,FALSE)</f>
        <v>False</v>
      </c>
      <c r="F110" s="38" t="str">
        <f>VLOOKUP(Tabella13[[#This Row],[test_id]],experiments_specs!A:J,6,FALSE)</f>
        <v>True</v>
      </c>
      <c r="G110" s="38" t="str">
        <f>VLOOKUP(Tabella13[[#This Row],[test_id]],experiments_specs!A:J,7,FALSE)</f>
        <v>True</v>
      </c>
      <c r="H110" s="38" t="str">
        <f>VLOOKUP(Tabella13[[#This Row],[test_id]],experiments_specs!A:J,8,FALSE)</f>
        <v>False</v>
      </c>
      <c r="I110" s="38" t="str">
        <f>VLOOKUP(Tabella13[[#This Row],[test_id]],experiments_specs!A:J,9,FALSE)</f>
        <v>wup_similarity</v>
      </c>
      <c r="J110" s="38" t="str">
        <f>VLOOKUP(Tabella13[[#This Row],[test_id]],experiments_specs!A:J,10,FALSE)</f>
        <v>False</v>
      </c>
      <c r="K110" s="40" t="s">
        <v>14</v>
      </c>
      <c r="L110" s="36" t="s">
        <v>382</v>
      </c>
      <c r="M110" s="36">
        <v>2</v>
      </c>
      <c r="N110" s="36">
        <v>2.4215E-3</v>
      </c>
      <c r="O110" s="36">
        <v>0.625</v>
      </c>
    </row>
    <row r="111" spans="1:15" ht="85" x14ac:dyDescent="0.2">
      <c r="A111" s="36" t="s">
        <v>1237</v>
      </c>
      <c r="B111" s="45" t="str">
        <f>VLOOKUP(Tabella13[[#This Row],[test_id]],experiments_specs!A:J,2,FALSE)</f>
        <v>NN,JJ,VB,VBD,VBG,VBN,VBP,VBZ</v>
      </c>
      <c r="C111" s="38">
        <f>VLOOKUP(Tabella13[[#This Row],[test_id]],experiments_specs!A:J,3,FALSE)</f>
        <v>0</v>
      </c>
      <c r="D111" s="38">
        <f>VLOOKUP(Tabella13[[#This Row],[test_id]],experiments_specs!A:J,4,FALSE)</f>
        <v>2</v>
      </c>
      <c r="E111" s="38" t="str">
        <f>VLOOKUP(Tabella13[[#This Row],[test_id]],experiments_specs!A:J,5,FALSE)</f>
        <v>False</v>
      </c>
      <c r="F111" s="38" t="str">
        <f>VLOOKUP(Tabella13[[#This Row],[test_id]],experiments_specs!A:J,6,FALSE)</f>
        <v>True</v>
      </c>
      <c r="G111" s="38" t="str">
        <f>VLOOKUP(Tabella13[[#This Row],[test_id]],experiments_specs!A:J,7,FALSE)</f>
        <v>True</v>
      </c>
      <c r="H111" s="38" t="str">
        <f>VLOOKUP(Tabella13[[#This Row],[test_id]],experiments_specs!A:J,8,FALSE)</f>
        <v>False</v>
      </c>
      <c r="I111" s="38" t="str">
        <f>VLOOKUP(Tabella13[[#This Row],[test_id]],experiments_specs!A:J,9,FALSE)</f>
        <v>wup_similarity</v>
      </c>
      <c r="J111" s="38" t="str">
        <f>VLOOKUP(Tabella13[[#This Row],[test_id]],experiments_specs!A:J,10,FALSE)</f>
        <v>False</v>
      </c>
      <c r="K111" s="40" t="s">
        <v>15</v>
      </c>
      <c r="L111" s="36" t="s">
        <v>293</v>
      </c>
      <c r="M111" s="36">
        <v>1</v>
      </c>
      <c r="N111" s="36">
        <v>2.5755999999999999E-3</v>
      </c>
      <c r="O111" s="36">
        <v>0.90909090000000004</v>
      </c>
    </row>
    <row r="112" spans="1:15" ht="85" x14ac:dyDescent="0.2">
      <c r="A112" s="36" t="s">
        <v>1237</v>
      </c>
      <c r="B112" s="45" t="str">
        <f>VLOOKUP(Tabella13[[#This Row],[test_id]],experiments_specs!A:J,2,FALSE)</f>
        <v>NN,JJ,VB,VBD,VBG,VBN,VBP,VBZ</v>
      </c>
      <c r="C112" s="38">
        <f>VLOOKUP(Tabella13[[#This Row],[test_id]],experiments_specs!A:J,3,FALSE)</f>
        <v>0</v>
      </c>
      <c r="D112" s="38">
        <f>VLOOKUP(Tabella13[[#This Row],[test_id]],experiments_specs!A:J,4,FALSE)</f>
        <v>2</v>
      </c>
      <c r="E112" s="38" t="str">
        <f>VLOOKUP(Tabella13[[#This Row],[test_id]],experiments_specs!A:J,5,FALSE)</f>
        <v>False</v>
      </c>
      <c r="F112" s="38" t="str">
        <f>VLOOKUP(Tabella13[[#This Row],[test_id]],experiments_specs!A:J,6,FALSE)</f>
        <v>True</v>
      </c>
      <c r="G112" s="38" t="str">
        <f>VLOOKUP(Tabella13[[#This Row],[test_id]],experiments_specs!A:J,7,FALSE)</f>
        <v>True</v>
      </c>
      <c r="H112" s="38" t="str">
        <f>VLOOKUP(Tabella13[[#This Row],[test_id]],experiments_specs!A:J,8,FALSE)</f>
        <v>False</v>
      </c>
      <c r="I112" s="38" t="str">
        <f>VLOOKUP(Tabella13[[#This Row],[test_id]],experiments_specs!A:J,9,FALSE)</f>
        <v>wup_similarity</v>
      </c>
      <c r="J112" s="38" t="str">
        <f>VLOOKUP(Tabella13[[#This Row],[test_id]],experiments_specs!A:J,10,FALSE)</f>
        <v>False</v>
      </c>
      <c r="K112" s="40" t="s">
        <v>16</v>
      </c>
      <c r="L112" s="36" t="s">
        <v>209</v>
      </c>
      <c r="M112" s="36">
        <v>2</v>
      </c>
      <c r="N112" s="36">
        <v>2.8305000000000001E-3</v>
      </c>
      <c r="O112" s="36">
        <v>0.55555549999999998</v>
      </c>
    </row>
    <row r="113" spans="1:15" ht="85" x14ac:dyDescent="0.2">
      <c r="A113" s="36" t="s">
        <v>1237</v>
      </c>
      <c r="B113" s="45" t="str">
        <f>VLOOKUP(Tabella13[[#This Row],[test_id]],experiments_specs!A:J,2,FALSE)</f>
        <v>NN,JJ,VB,VBD,VBG,VBN,VBP,VBZ</v>
      </c>
      <c r="C113" s="38">
        <f>VLOOKUP(Tabella13[[#This Row],[test_id]],experiments_specs!A:J,3,FALSE)</f>
        <v>0</v>
      </c>
      <c r="D113" s="38">
        <f>VLOOKUP(Tabella13[[#This Row],[test_id]],experiments_specs!A:J,4,FALSE)</f>
        <v>2</v>
      </c>
      <c r="E113" s="38" t="str">
        <f>VLOOKUP(Tabella13[[#This Row],[test_id]],experiments_specs!A:J,5,FALSE)</f>
        <v>False</v>
      </c>
      <c r="F113" s="38" t="str">
        <f>VLOOKUP(Tabella13[[#This Row],[test_id]],experiments_specs!A:J,6,FALSE)</f>
        <v>True</v>
      </c>
      <c r="G113" s="38" t="str">
        <f>VLOOKUP(Tabella13[[#This Row],[test_id]],experiments_specs!A:J,7,FALSE)</f>
        <v>True</v>
      </c>
      <c r="H113" s="38" t="str">
        <f>VLOOKUP(Tabella13[[#This Row],[test_id]],experiments_specs!A:J,8,FALSE)</f>
        <v>False</v>
      </c>
      <c r="I113" s="38" t="str">
        <f>VLOOKUP(Tabella13[[#This Row],[test_id]],experiments_specs!A:J,9,FALSE)</f>
        <v>wup_similarity</v>
      </c>
      <c r="J113" s="38" t="str">
        <f>VLOOKUP(Tabella13[[#This Row],[test_id]],experiments_specs!A:J,10,FALSE)</f>
        <v>False</v>
      </c>
      <c r="K113" s="40" t="s">
        <v>17</v>
      </c>
      <c r="L113" s="36" t="s">
        <v>387</v>
      </c>
      <c r="M113" s="36">
        <v>2</v>
      </c>
      <c r="N113" s="36">
        <v>2.5416000000000002E-3</v>
      </c>
      <c r="O113" s="36">
        <v>0.22222220000000001</v>
      </c>
    </row>
    <row r="114" spans="1:15" ht="85" x14ac:dyDescent="0.2">
      <c r="A114" s="36" t="s">
        <v>1237</v>
      </c>
      <c r="B114" s="45" t="str">
        <f>VLOOKUP(Tabella13[[#This Row],[test_id]],experiments_specs!A:J,2,FALSE)</f>
        <v>NN,JJ,VB,VBD,VBG,VBN,VBP,VBZ</v>
      </c>
      <c r="C114" s="38">
        <f>VLOOKUP(Tabella13[[#This Row],[test_id]],experiments_specs!A:J,3,FALSE)</f>
        <v>0</v>
      </c>
      <c r="D114" s="38">
        <f>VLOOKUP(Tabella13[[#This Row],[test_id]],experiments_specs!A:J,4,FALSE)</f>
        <v>2</v>
      </c>
      <c r="E114" s="38" t="str">
        <f>VLOOKUP(Tabella13[[#This Row],[test_id]],experiments_specs!A:J,5,FALSE)</f>
        <v>False</v>
      </c>
      <c r="F114" s="38" t="str">
        <f>VLOOKUP(Tabella13[[#This Row],[test_id]],experiments_specs!A:J,6,FALSE)</f>
        <v>True</v>
      </c>
      <c r="G114" s="38" t="str">
        <f>VLOOKUP(Tabella13[[#This Row],[test_id]],experiments_specs!A:J,7,FALSE)</f>
        <v>True</v>
      </c>
      <c r="H114" s="38" t="str">
        <f>VLOOKUP(Tabella13[[#This Row],[test_id]],experiments_specs!A:J,8,FALSE)</f>
        <v>False</v>
      </c>
      <c r="I114" s="38" t="str">
        <f>VLOOKUP(Tabella13[[#This Row],[test_id]],experiments_specs!A:J,9,FALSE)</f>
        <v>wup_similarity</v>
      </c>
      <c r="J114" s="38" t="str">
        <f>VLOOKUP(Tabella13[[#This Row],[test_id]],experiments_specs!A:J,10,FALSE)</f>
        <v>False</v>
      </c>
      <c r="K114" s="40" t="s">
        <v>18</v>
      </c>
      <c r="L114" s="36" t="s">
        <v>1323</v>
      </c>
      <c r="M114" s="36" t="s">
        <v>1314</v>
      </c>
      <c r="N114" s="36">
        <v>1.2853000000000001E-3</v>
      </c>
      <c r="O114" s="36" t="s">
        <v>1438</v>
      </c>
    </row>
    <row r="115" spans="1:15" ht="85" x14ac:dyDescent="0.2">
      <c r="A115" s="36" t="s">
        <v>1238</v>
      </c>
      <c r="B115" s="45" t="str">
        <f>VLOOKUP(Tabella13[[#This Row],[test_id]],experiments_specs!A:J,2,FALSE)</f>
        <v>NN,JJ,VB,VBD,VBG,VBN,VBP,VBZ</v>
      </c>
      <c r="C115" s="38">
        <f>VLOOKUP(Tabella13[[#This Row],[test_id]],experiments_specs!A:J,3,FALSE)</f>
        <v>0</v>
      </c>
      <c r="D115" s="38">
        <f>VLOOKUP(Tabella13[[#This Row],[test_id]],experiments_specs!A:J,4,FALSE)</f>
        <v>3</v>
      </c>
      <c r="E115" s="38" t="str">
        <f>VLOOKUP(Tabella13[[#This Row],[test_id]],experiments_specs!A:J,5,FALSE)</f>
        <v>False</v>
      </c>
      <c r="F115" s="38" t="str">
        <f>VLOOKUP(Tabella13[[#This Row],[test_id]],experiments_specs!A:J,6,FALSE)</f>
        <v>True</v>
      </c>
      <c r="G115" s="38" t="str">
        <f>VLOOKUP(Tabella13[[#This Row],[test_id]],experiments_specs!A:J,7,FALSE)</f>
        <v>True</v>
      </c>
      <c r="H115" s="38" t="str">
        <f>VLOOKUP(Tabella13[[#This Row],[test_id]],experiments_specs!A:J,8,FALSE)</f>
        <v>False</v>
      </c>
      <c r="I115" s="38" t="str">
        <f>VLOOKUP(Tabella13[[#This Row],[test_id]],experiments_specs!A:J,9,FALSE)</f>
        <v>wup_similarity</v>
      </c>
      <c r="J115" s="38" t="str">
        <f>VLOOKUP(Tabella13[[#This Row],[test_id]],experiments_specs!A:J,10,FALSE)</f>
        <v>False</v>
      </c>
      <c r="K115" s="40" t="s">
        <v>19</v>
      </c>
      <c r="L115" s="36" t="s">
        <v>1312</v>
      </c>
      <c r="M115" s="36" t="s">
        <v>1314</v>
      </c>
      <c r="N115" s="36">
        <v>2.2051000000000002E-3</v>
      </c>
      <c r="O115" s="36" t="s">
        <v>1434</v>
      </c>
    </row>
    <row r="116" spans="1:15" ht="85" x14ac:dyDescent="0.2">
      <c r="A116" s="36" t="s">
        <v>1238</v>
      </c>
      <c r="B116" s="45" t="str">
        <f>VLOOKUP(Tabella13[[#This Row],[test_id]],experiments_specs!A:J,2,FALSE)</f>
        <v>NN,JJ,VB,VBD,VBG,VBN,VBP,VBZ</v>
      </c>
      <c r="C116" s="38">
        <f>VLOOKUP(Tabella13[[#This Row],[test_id]],experiments_specs!A:J,3,FALSE)</f>
        <v>0</v>
      </c>
      <c r="D116" s="38">
        <f>VLOOKUP(Tabella13[[#This Row],[test_id]],experiments_specs!A:J,4,FALSE)</f>
        <v>3</v>
      </c>
      <c r="E116" s="38" t="str">
        <f>VLOOKUP(Tabella13[[#This Row],[test_id]],experiments_specs!A:J,5,FALSE)</f>
        <v>False</v>
      </c>
      <c r="F116" s="38" t="str">
        <f>VLOOKUP(Tabella13[[#This Row],[test_id]],experiments_specs!A:J,6,FALSE)</f>
        <v>True</v>
      </c>
      <c r="G116" s="38" t="str">
        <f>VLOOKUP(Tabella13[[#This Row],[test_id]],experiments_specs!A:J,7,FALSE)</f>
        <v>True</v>
      </c>
      <c r="H116" s="38" t="str">
        <f>VLOOKUP(Tabella13[[#This Row],[test_id]],experiments_specs!A:J,8,FALSE)</f>
        <v>False</v>
      </c>
      <c r="I116" s="38" t="str">
        <f>VLOOKUP(Tabella13[[#This Row],[test_id]],experiments_specs!A:J,9,FALSE)</f>
        <v>wup_similarity</v>
      </c>
      <c r="J116" s="38" t="str">
        <f>VLOOKUP(Tabella13[[#This Row],[test_id]],experiments_specs!A:J,10,FALSE)</f>
        <v>False</v>
      </c>
      <c r="K116" s="40" t="s">
        <v>12</v>
      </c>
      <c r="L116" s="36" t="s">
        <v>236</v>
      </c>
      <c r="M116" s="36">
        <v>2</v>
      </c>
      <c r="N116" s="36">
        <v>2.362E-3</v>
      </c>
      <c r="O116" s="36">
        <v>0.125</v>
      </c>
    </row>
    <row r="117" spans="1:15" ht="85" x14ac:dyDescent="0.2">
      <c r="A117" s="36" t="s">
        <v>1238</v>
      </c>
      <c r="B117" s="45" t="str">
        <f>VLOOKUP(Tabella13[[#This Row],[test_id]],experiments_specs!A:J,2,FALSE)</f>
        <v>NN,JJ,VB,VBD,VBG,VBN,VBP,VBZ</v>
      </c>
      <c r="C117" s="38">
        <f>VLOOKUP(Tabella13[[#This Row],[test_id]],experiments_specs!A:J,3,FALSE)</f>
        <v>0</v>
      </c>
      <c r="D117" s="38">
        <f>VLOOKUP(Tabella13[[#This Row],[test_id]],experiments_specs!A:J,4,FALSE)</f>
        <v>3</v>
      </c>
      <c r="E117" s="38" t="str">
        <f>VLOOKUP(Tabella13[[#This Row],[test_id]],experiments_specs!A:J,5,FALSE)</f>
        <v>False</v>
      </c>
      <c r="F117" s="38" t="str">
        <f>VLOOKUP(Tabella13[[#This Row],[test_id]],experiments_specs!A:J,6,FALSE)</f>
        <v>True</v>
      </c>
      <c r="G117" s="38" t="str">
        <f>VLOOKUP(Tabella13[[#This Row],[test_id]],experiments_specs!A:J,7,FALSE)</f>
        <v>True</v>
      </c>
      <c r="H117" s="38" t="str">
        <f>VLOOKUP(Tabella13[[#This Row],[test_id]],experiments_specs!A:J,8,FALSE)</f>
        <v>False</v>
      </c>
      <c r="I117" s="38" t="str">
        <f>VLOOKUP(Tabella13[[#This Row],[test_id]],experiments_specs!A:J,9,FALSE)</f>
        <v>wup_similarity</v>
      </c>
      <c r="J117" s="38" t="str">
        <f>VLOOKUP(Tabella13[[#This Row],[test_id]],experiments_specs!A:J,10,FALSE)</f>
        <v>False</v>
      </c>
      <c r="K117" s="40" t="s">
        <v>13</v>
      </c>
      <c r="L117" s="36" t="s">
        <v>1317</v>
      </c>
      <c r="M117" s="36">
        <v>3</v>
      </c>
      <c r="N117" s="36">
        <v>5.4206000000000002E-3</v>
      </c>
      <c r="O117" s="36" t="s">
        <v>25</v>
      </c>
    </row>
    <row r="118" spans="1:15" ht="85" x14ac:dyDescent="0.2">
      <c r="A118" s="36" t="s">
        <v>1238</v>
      </c>
      <c r="B118" s="45" t="str">
        <f>VLOOKUP(Tabella13[[#This Row],[test_id]],experiments_specs!A:J,2,FALSE)</f>
        <v>NN,JJ,VB,VBD,VBG,VBN,VBP,VBZ</v>
      </c>
      <c r="C118" s="38">
        <f>VLOOKUP(Tabella13[[#This Row],[test_id]],experiments_specs!A:J,3,FALSE)</f>
        <v>0</v>
      </c>
      <c r="D118" s="38">
        <f>VLOOKUP(Tabella13[[#This Row],[test_id]],experiments_specs!A:J,4,FALSE)</f>
        <v>3</v>
      </c>
      <c r="E118" s="38" t="str">
        <f>VLOOKUP(Tabella13[[#This Row],[test_id]],experiments_specs!A:J,5,FALSE)</f>
        <v>False</v>
      </c>
      <c r="F118" s="38" t="str">
        <f>VLOOKUP(Tabella13[[#This Row],[test_id]],experiments_specs!A:J,6,FALSE)</f>
        <v>True</v>
      </c>
      <c r="G118" s="38" t="str">
        <f>VLOOKUP(Tabella13[[#This Row],[test_id]],experiments_specs!A:J,7,FALSE)</f>
        <v>True</v>
      </c>
      <c r="H118" s="38" t="str">
        <f>VLOOKUP(Tabella13[[#This Row],[test_id]],experiments_specs!A:J,8,FALSE)</f>
        <v>False</v>
      </c>
      <c r="I118" s="38" t="str">
        <f>VLOOKUP(Tabella13[[#This Row],[test_id]],experiments_specs!A:J,9,FALSE)</f>
        <v>wup_similarity</v>
      </c>
      <c r="J118" s="38" t="str">
        <f>VLOOKUP(Tabella13[[#This Row],[test_id]],experiments_specs!A:J,10,FALSE)</f>
        <v>False</v>
      </c>
      <c r="K118" s="40" t="s">
        <v>14</v>
      </c>
      <c r="L118" s="36" t="s">
        <v>382</v>
      </c>
      <c r="M118" s="36">
        <v>2</v>
      </c>
      <c r="N118" s="36">
        <v>2.4215E-3</v>
      </c>
      <c r="O118" s="36">
        <v>0.625</v>
      </c>
    </row>
    <row r="119" spans="1:15" ht="85" x14ac:dyDescent="0.2">
      <c r="A119" s="36" t="s">
        <v>1238</v>
      </c>
      <c r="B119" s="45" t="str">
        <f>VLOOKUP(Tabella13[[#This Row],[test_id]],experiments_specs!A:J,2,FALSE)</f>
        <v>NN,JJ,VB,VBD,VBG,VBN,VBP,VBZ</v>
      </c>
      <c r="C119" s="38">
        <f>VLOOKUP(Tabella13[[#This Row],[test_id]],experiments_specs!A:J,3,FALSE)</f>
        <v>0</v>
      </c>
      <c r="D119" s="38">
        <f>VLOOKUP(Tabella13[[#This Row],[test_id]],experiments_specs!A:J,4,FALSE)</f>
        <v>3</v>
      </c>
      <c r="E119" s="38" t="str">
        <f>VLOOKUP(Tabella13[[#This Row],[test_id]],experiments_specs!A:J,5,FALSE)</f>
        <v>False</v>
      </c>
      <c r="F119" s="38" t="str">
        <f>VLOOKUP(Tabella13[[#This Row],[test_id]],experiments_specs!A:J,6,FALSE)</f>
        <v>True</v>
      </c>
      <c r="G119" s="38" t="str">
        <f>VLOOKUP(Tabella13[[#This Row],[test_id]],experiments_specs!A:J,7,FALSE)</f>
        <v>True</v>
      </c>
      <c r="H119" s="38" t="str">
        <f>VLOOKUP(Tabella13[[#This Row],[test_id]],experiments_specs!A:J,8,FALSE)</f>
        <v>False</v>
      </c>
      <c r="I119" s="38" t="str">
        <f>VLOOKUP(Tabella13[[#This Row],[test_id]],experiments_specs!A:J,9,FALSE)</f>
        <v>wup_similarity</v>
      </c>
      <c r="J119" s="38" t="str">
        <f>VLOOKUP(Tabella13[[#This Row],[test_id]],experiments_specs!A:J,10,FALSE)</f>
        <v>False</v>
      </c>
      <c r="K119" s="40" t="s">
        <v>15</v>
      </c>
      <c r="L119" s="36" t="s">
        <v>293</v>
      </c>
      <c r="M119" s="36">
        <v>1</v>
      </c>
      <c r="N119" s="36">
        <v>2.5755999999999999E-3</v>
      </c>
      <c r="O119" s="36">
        <v>0.90909090000000004</v>
      </c>
    </row>
    <row r="120" spans="1:15" ht="85" x14ac:dyDescent="0.2">
      <c r="A120" s="36" t="s">
        <v>1238</v>
      </c>
      <c r="B120" s="45" t="str">
        <f>VLOOKUP(Tabella13[[#This Row],[test_id]],experiments_specs!A:J,2,FALSE)</f>
        <v>NN,JJ,VB,VBD,VBG,VBN,VBP,VBZ</v>
      </c>
      <c r="C120" s="38">
        <f>VLOOKUP(Tabella13[[#This Row],[test_id]],experiments_specs!A:J,3,FALSE)</f>
        <v>0</v>
      </c>
      <c r="D120" s="38">
        <f>VLOOKUP(Tabella13[[#This Row],[test_id]],experiments_specs!A:J,4,FALSE)</f>
        <v>3</v>
      </c>
      <c r="E120" s="38" t="str">
        <f>VLOOKUP(Tabella13[[#This Row],[test_id]],experiments_specs!A:J,5,FALSE)</f>
        <v>False</v>
      </c>
      <c r="F120" s="38" t="str">
        <f>VLOOKUP(Tabella13[[#This Row],[test_id]],experiments_specs!A:J,6,FALSE)</f>
        <v>True</v>
      </c>
      <c r="G120" s="38" t="str">
        <f>VLOOKUP(Tabella13[[#This Row],[test_id]],experiments_specs!A:J,7,FALSE)</f>
        <v>True</v>
      </c>
      <c r="H120" s="38" t="str">
        <f>VLOOKUP(Tabella13[[#This Row],[test_id]],experiments_specs!A:J,8,FALSE)</f>
        <v>False</v>
      </c>
      <c r="I120" s="38" t="str">
        <f>VLOOKUP(Tabella13[[#This Row],[test_id]],experiments_specs!A:J,9,FALSE)</f>
        <v>wup_similarity</v>
      </c>
      <c r="J120" s="38" t="str">
        <f>VLOOKUP(Tabella13[[#This Row],[test_id]],experiments_specs!A:J,10,FALSE)</f>
        <v>False</v>
      </c>
      <c r="K120" s="40" t="s">
        <v>16</v>
      </c>
      <c r="L120" s="36" t="s">
        <v>209</v>
      </c>
      <c r="M120" s="36">
        <v>2</v>
      </c>
      <c r="N120" s="36">
        <v>2.8305000000000001E-3</v>
      </c>
      <c r="O120" s="36">
        <v>0.55555549999999998</v>
      </c>
    </row>
    <row r="121" spans="1:15" ht="85" x14ac:dyDescent="0.2">
      <c r="A121" s="36" t="s">
        <v>1238</v>
      </c>
      <c r="B121" s="45" t="str">
        <f>VLOOKUP(Tabella13[[#This Row],[test_id]],experiments_specs!A:J,2,FALSE)</f>
        <v>NN,JJ,VB,VBD,VBG,VBN,VBP,VBZ</v>
      </c>
      <c r="C121" s="38">
        <f>VLOOKUP(Tabella13[[#This Row],[test_id]],experiments_specs!A:J,3,FALSE)</f>
        <v>0</v>
      </c>
      <c r="D121" s="38">
        <f>VLOOKUP(Tabella13[[#This Row],[test_id]],experiments_specs!A:J,4,FALSE)</f>
        <v>3</v>
      </c>
      <c r="E121" s="38" t="str">
        <f>VLOOKUP(Tabella13[[#This Row],[test_id]],experiments_specs!A:J,5,FALSE)</f>
        <v>False</v>
      </c>
      <c r="F121" s="38" t="str">
        <f>VLOOKUP(Tabella13[[#This Row],[test_id]],experiments_specs!A:J,6,FALSE)</f>
        <v>True</v>
      </c>
      <c r="G121" s="38" t="str">
        <f>VLOOKUP(Tabella13[[#This Row],[test_id]],experiments_specs!A:J,7,FALSE)</f>
        <v>True</v>
      </c>
      <c r="H121" s="38" t="str">
        <f>VLOOKUP(Tabella13[[#This Row],[test_id]],experiments_specs!A:J,8,FALSE)</f>
        <v>False</v>
      </c>
      <c r="I121" s="38" t="str">
        <f>VLOOKUP(Tabella13[[#This Row],[test_id]],experiments_specs!A:J,9,FALSE)</f>
        <v>wup_similarity</v>
      </c>
      <c r="J121" s="38" t="str">
        <f>VLOOKUP(Tabella13[[#This Row],[test_id]],experiments_specs!A:J,10,FALSE)</f>
        <v>False</v>
      </c>
      <c r="K121" s="40" t="s">
        <v>17</v>
      </c>
      <c r="L121" s="36" t="s">
        <v>387</v>
      </c>
      <c r="M121" s="36">
        <v>2</v>
      </c>
      <c r="N121" s="36">
        <v>2.5416000000000002E-3</v>
      </c>
      <c r="O121" s="36">
        <v>0.22222220000000001</v>
      </c>
    </row>
    <row r="122" spans="1:15" ht="85" x14ac:dyDescent="0.2">
      <c r="A122" s="36" t="s">
        <v>1238</v>
      </c>
      <c r="B122" s="45" t="str">
        <f>VLOOKUP(Tabella13[[#This Row],[test_id]],experiments_specs!A:J,2,FALSE)</f>
        <v>NN,JJ,VB,VBD,VBG,VBN,VBP,VBZ</v>
      </c>
      <c r="C122" s="38">
        <f>VLOOKUP(Tabella13[[#This Row],[test_id]],experiments_specs!A:J,3,FALSE)</f>
        <v>0</v>
      </c>
      <c r="D122" s="38">
        <f>VLOOKUP(Tabella13[[#This Row],[test_id]],experiments_specs!A:J,4,FALSE)</f>
        <v>3</v>
      </c>
      <c r="E122" s="38" t="str">
        <f>VLOOKUP(Tabella13[[#This Row],[test_id]],experiments_specs!A:J,5,FALSE)</f>
        <v>False</v>
      </c>
      <c r="F122" s="38" t="str">
        <f>VLOOKUP(Tabella13[[#This Row],[test_id]],experiments_specs!A:J,6,FALSE)</f>
        <v>True</v>
      </c>
      <c r="G122" s="38" t="str">
        <f>VLOOKUP(Tabella13[[#This Row],[test_id]],experiments_specs!A:J,7,FALSE)</f>
        <v>True</v>
      </c>
      <c r="H122" s="38" t="str">
        <f>VLOOKUP(Tabella13[[#This Row],[test_id]],experiments_specs!A:J,8,FALSE)</f>
        <v>False</v>
      </c>
      <c r="I122" s="38" t="str">
        <f>VLOOKUP(Tabella13[[#This Row],[test_id]],experiments_specs!A:J,9,FALSE)</f>
        <v>wup_similarity</v>
      </c>
      <c r="J122" s="38" t="str">
        <f>VLOOKUP(Tabella13[[#This Row],[test_id]],experiments_specs!A:J,10,FALSE)</f>
        <v>False</v>
      </c>
      <c r="K122" s="40" t="s">
        <v>18</v>
      </c>
      <c r="L122" s="36" t="s">
        <v>1323</v>
      </c>
      <c r="M122" s="36" t="s">
        <v>1314</v>
      </c>
      <c r="N122" s="36">
        <v>1.2853000000000001E-3</v>
      </c>
      <c r="O122" s="36" t="s">
        <v>1438</v>
      </c>
    </row>
    <row r="123" spans="1:15" ht="85" x14ac:dyDescent="0.2">
      <c r="A123" s="36" t="s">
        <v>1239</v>
      </c>
      <c r="B123" s="45" t="str">
        <f>VLOOKUP(Tabella13[[#This Row],[test_id]],experiments_specs!A:J,2,FALSE)</f>
        <v>NN,JJ</v>
      </c>
      <c r="C123" s="38">
        <f>VLOOKUP(Tabella13[[#This Row],[test_id]],experiments_specs!A:J,3,FALSE)</f>
        <v>0</v>
      </c>
      <c r="D123" s="38">
        <f>VLOOKUP(Tabella13[[#This Row],[test_id]],experiments_specs!A:J,4,FALSE)</f>
        <v>2</v>
      </c>
      <c r="E123" s="38" t="str">
        <f>VLOOKUP(Tabella13[[#This Row],[test_id]],experiments_specs!A:J,5,FALSE)</f>
        <v>True</v>
      </c>
      <c r="F123" s="38" t="str">
        <f>VLOOKUP(Tabella13[[#This Row],[test_id]],experiments_specs!A:J,6,FALSE)</f>
        <v>True</v>
      </c>
      <c r="G123" s="38" t="str">
        <f>VLOOKUP(Tabella13[[#This Row],[test_id]],experiments_specs!A:J,7,FALSE)</f>
        <v>True</v>
      </c>
      <c r="H123" s="38" t="str">
        <f>VLOOKUP(Tabella13[[#This Row],[test_id]],experiments_specs!A:J,8,FALSE)</f>
        <v>False</v>
      </c>
      <c r="I123" s="38" t="str">
        <f>VLOOKUP(Tabella13[[#This Row],[test_id]],experiments_specs!A:J,9,FALSE)</f>
        <v>wup_similarity</v>
      </c>
      <c r="J123" s="38" t="str">
        <f>VLOOKUP(Tabella13[[#This Row],[test_id]],experiments_specs!A:J,10,FALSE)</f>
        <v>False</v>
      </c>
      <c r="K123" s="40" t="s">
        <v>19</v>
      </c>
      <c r="L123" s="36" t="s">
        <v>1312</v>
      </c>
      <c r="M123" s="36" t="s">
        <v>1314</v>
      </c>
      <c r="N123" s="36">
        <v>2.6177499999999999E-2</v>
      </c>
      <c r="O123" s="36" t="s">
        <v>1434</v>
      </c>
    </row>
    <row r="124" spans="1:15" ht="85" x14ac:dyDescent="0.2">
      <c r="A124" s="36" t="s">
        <v>1239</v>
      </c>
      <c r="B124" s="45" t="str">
        <f>VLOOKUP(Tabella13[[#This Row],[test_id]],experiments_specs!A:J,2,FALSE)</f>
        <v>NN,JJ</v>
      </c>
      <c r="C124" s="38">
        <f>VLOOKUP(Tabella13[[#This Row],[test_id]],experiments_specs!A:J,3,FALSE)</f>
        <v>0</v>
      </c>
      <c r="D124" s="38">
        <f>VLOOKUP(Tabella13[[#This Row],[test_id]],experiments_specs!A:J,4,FALSE)</f>
        <v>2</v>
      </c>
      <c r="E124" s="38" t="str">
        <f>VLOOKUP(Tabella13[[#This Row],[test_id]],experiments_specs!A:J,5,FALSE)</f>
        <v>True</v>
      </c>
      <c r="F124" s="38" t="str">
        <f>VLOOKUP(Tabella13[[#This Row],[test_id]],experiments_specs!A:J,6,FALSE)</f>
        <v>True</v>
      </c>
      <c r="G124" s="38" t="str">
        <f>VLOOKUP(Tabella13[[#This Row],[test_id]],experiments_specs!A:J,7,FALSE)</f>
        <v>True</v>
      </c>
      <c r="H124" s="38" t="str">
        <f>VLOOKUP(Tabella13[[#This Row],[test_id]],experiments_specs!A:J,8,FALSE)</f>
        <v>False</v>
      </c>
      <c r="I124" s="38" t="str">
        <f>VLOOKUP(Tabella13[[#This Row],[test_id]],experiments_specs!A:J,9,FALSE)</f>
        <v>wup_similarity</v>
      </c>
      <c r="J124" s="38" t="str">
        <f>VLOOKUP(Tabella13[[#This Row],[test_id]],experiments_specs!A:J,10,FALSE)</f>
        <v>False</v>
      </c>
      <c r="K124" s="40" t="s">
        <v>12</v>
      </c>
      <c r="L124" s="36" t="s">
        <v>23</v>
      </c>
      <c r="M124" s="36">
        <v>2</v>
      </c>
      <c r="N124" s="36">
        <v>2.3063199999999999E-2</v>
      </c>
      <c r="O124" s="36">
        <v>0.42857139999999999</v>
      </c>
    </row>
    <row r="125" spans="1:15" ht="85" x14ac:dyDescent="0.2">
      <c r="A125" s="36" t="s">
        <v>1239</v>
      </c>
      <c r="B125" s="45" t="str">
        <f>VLOOKUP(Tabella13[[#This Row],[test_id]],experiments_specs!A:J,2,FALSE)</f>
        <v>NN,JJ</v>
      </c>
      <c r="C125" s="38">
        <f>VLOOKUP(Tabella13[[#This Row],[test_id]],experiments_specs!A:J,3,FALSE)</f>
        <v>0</v>
      </c>
      <c r="D125" s="38">
        <f>VLOOKUP(Tabella13[[#This Row],[test_id]],experiments_specs!A:J,4,FALSE)</f>
        <v>2</v>
      </c>
      <c r="E125" s="38" t="str">
        <f>VLOOKUP(Tabella13[[#This Row],[test_id]],experiments_specs!A:J,5,FALSE)</f>
        <v>True</v>
      </c>
      <c r="F125" s="38" t="str">
        <f>VLOOKUP(Tabella13[[#This Row],[test_id]],experiments_specs!A:J,6,FALSE)</f>
        <v>True</v>
      </c>
      <c r="G125" s="38" t="str">
        <f>VLOOKUP(Tabella13[[#This Row],[test_id]],experiments_specs!A:J,7,FALSE)</f>
        <v>True</v>
      </c>
      <c r="H125" s="38" t="str">
        <f>VLOOKUP(Tabella13[[#This Row],[test_id]],experiments_specs!A:J,8,FALSE)</f>
        <v>False</v>
      </c>
      <c r="I125" s="38" t="str">
        <f>VLOOKUP(Tabella13[[#This Row],[test_id]],experiments_specs!A:J,9,FALSE)</f>
        <v>wup_similarity</v>
      </c>
      <c r="J125" s="38" t="str">
        <f>VLOOKUP(Tabella13[[#This Row],[test_id]],experiments_specs!A:J,10,FALSE)</f>
        <v>False</v>
      </c>
      <c r="K125" s="40" t="s">
        <v>13</v>
      </c>
      <c r="L125" s="36" t="s">
        <v>398</v>
      </c>
      <c r="M125" s="36">
        <v>2</v>
      </c>
      <c r="N125" s="36">
        <v>1.8916800000000001E-2</v>
      </c>
      <c r="O125" s="36">
        <v>0.4</v>
      </c>
    </row>
    <row r="126" spans="1:15" ht="85" x14ac:dyDescent="0.2">
      <c r="A126" s="36" t="s">
        <v>1239</v>
      </c>
      <c r="B126" s="45" t="str">
        <f>VLOOKUP(Tabella13[[#This Row],[test_id]],experiments_specs!A:J,2,FALSE)</f>
        <v>NN,JJ</v>
      </c>
      <c r="C126" s="38">
        <f>VLOOKUP(Tabella13[[#This Row],[test_id]],experiments_specs!A:J,3,FALSE)</f>
        <v>0</v>
      </c>
      <c r="D126" s="38">
        <f>VLOOKUP(Tabella13[[#This Row],[test_id]],experiments_specs!A:J,4,FALSE)</f>
        <v>2</v>
      </c>
      <c r="E126" s="38" t="str">
        <f>VLOOKUP(Tabella13[[#This Row],[test_id]],experiments_specs!A:J,5,FALSE)</f>
        <v>True</v>
      </c>
      <c r="F126" s="38" t="str">
        <f>VLOOKUP(Tabella13[[#This Row],[test_id]],experiments_specs!A:J,6,FALSE)</f>
        <v>True</v>
      </c>
      <c r="G126" s="38" t="str">
        <f>VLOOKUP(Tabella13[[#This Row],[test_id]],experiments_specs!A:J,7,FALSE)</f>
        <v>True</v>
      </c>
      <c r="H126" s="38" t="str">
        <f>VLOOKUP(Tabella13[[#This Row],[test_id]],experiments_specs!A:J,8,FALSE)</f>
        <v>False</v>
      </c>
      <c r="I126" s="38" t="str">
        <f>VLOOKUP(Tabella13[[#This Row],[test_id]],experiments_specs!A:J,9,FALSE)</f>
        <v>wup_similarity</v>
      </c>
      <c r="J126" s="38" t="str">
        <f>VLOOKUP(Tabella13[[#This Row],[test_id]],experiments_specs!A:J,10,FALSE)</f>
        <v>False</v>
      </c>
      <c r="K126" s="40" t="s">
        <v>14</v>
      </c>
      <c r="L126" s="36" t="s">
        <v>1338</v>
      </c>
      <c r="M126" s="36" t="s">
        <v>1340</v>
      </c>
      <c r="N126" s="36">
        <v>1.17564E-2</v>
      </c>
      <c r="O126" s="36" t="s">
        <v>1442</v>
      </c>
    </row>
    <row r="127" spans="1:15" ht="85" x14ac:dyDescent="0.2">
      <c r="A127" s="36" t="s">
        <v>1239</v>
      </c>
      <c r="B127" s="45" t="str">
        <f>VLOOKUP(Tabella13[[#This Row],[test_id]],experiments_specs!A:J,2,FALSE)</f>
        <v>NN,JJ</v>
      </c>
      <c r="C127" s="38">
        <f>VLOOKUP(Tabella13[[#This Row],[test_id]],experiments_specs!A:J,3,FALSE)</f>
        <v>0</v>
      </c>
      <c r="D127" s="38">
        <f>VLOOKUP(Tabella13[[#This Row],[test_id]],experiments_specs!A:J,4,FALSE)</f>
        <v>2</v>
      </c>
      <c r="E127" s="38" t="str">
        <f>VLOOKUP(Tabella13[[#This Row],[test_id]],experiments_specs!A:J,5,FALSE)</f>
        <v>True</v>
      </c>
      <c r="F127" s="38" t="str">
        <f>VLOOKUP(Tabella13[[#This Row],[test_id]],experiments_specs!A:J,6,FALSE)</f>
        <v>True</v>
      </c>
      <c r="G127" s="38" t="str">
        <f>VLOOKUP(Tabella13[[#This Row],[test_id]],experiments_specs!A:J,7,FALSE)</f>
        <v>True</v>
      </c>
      <c r="H127" s="38" t="str">
        <f>VLOOKUP(Tabella13[[#This Row],[test_id]],experiments_specs!A:J,8,FALSE)</f>
        <v>False</v>
      </c>
      <c r="I127" s="38" t="str">
        <f>VLOOKUP(Tabella13[[#This Row],[test_id]],experiments_specs!A:J,9,FALSE)</f>
        <v>wup_similarity</v>
      </c>
      <c r="J127" s="38" t="str">
        <f>VLOOKUP(Tabella13[[#This Row],[test_id]],experiments_specs!A:J,10,FALSE)</f>
        <v>False</v>
      </c>
      <c r="K127" s="40" t="s">
        <v>15</v>
      </c>
      <c r="L127" s="36" t="s">
        <v>293</v>
      </c>
      <c r="M127" s="36">
        <v>1</v>
      </c>
      <c r="N127" s="36">
        <v>3.8410899999999998E-2</v>
      </c>
      <c r="O127" s="36">
        <v>0.90909090000000004</v>
      </c>
    </row>
    <row r="128" spans="1:15" ht="85" x14ac:dyDescent="0.2">
      <c r="A128" s="36" t="s">
        <v>1239</v>
      </c>
      <c r="B128" s="45" t="str">
        <f>VLOOKUP(Tabella13[[#This Row],[test_id]],experiments_specs!A:J,2,FALSE)</f>
        <v>NN,JJ</v>
      </c>
      <c r="C128" s="38">
        <f>VLOOKUP(Tabella13[[#This Row],[test_id]],experiments_specs!A:J,3,FALSE)</f>
        <v>0</v>
      </c>
      <c r="D128" s="38">
        <f>VLOOKUP(Tabella13[[#This Row],[test_id]],experiments_specs!A:J,4,FALSE)</f>
        <v>2</v>
      </c>
      <c r="E128" s="38" t="str">
        <f>VLOOKUP(Tabella13[[#This Row],[test_id]],experiments_specs!A:J,5,FALSE)</f>
        <v>True</v>
      </c>
      <c r="F128" s="38" t="str">
        <f>VLOOKUP(Tabella13[[#This Row],[test_id]],experiments_specs!A:J,6,FALSE)</f>
        <v>True</v>
      </c>
      <c r="G128" s="38" t="str">
        <f>VLOOKUP(Tabella13[[#This Row],[test_id]],experiments_specs!A:J,7,FALSE)</f>
        <v>True</v>
      </c>
      <c r="H128" s="38" t="str">
        <f>VLOOKUP(Tabella13[[#This Row],[test_id]],experiments_specs!A:J,8,FALSE)</f>
        <v>False</v>
      </c>
      <c r="I128" s="38" t="str">
        <f>VLOOKUP(Tabella13[[#This Row],[test_id]],experiments_specs!A:J,9,FALSE)</f>
        <v>wup_similarity</v>
      </c>
      <c r="J128" s="38" t="str">
        <f>VLOOKUP(Tabella13[[#This Row],[test_id]],experiments_specs!A:J,10,FALSE)</f>
        <v>False</v>
      </c>
      <c r="K128" s="40" t="s">
        <v>16</v>
      </c>
      <c r="L128" s="36" t="s">
        <v>1333</v>
      </c>
      <c r="M128" s="36" t="s">
        <v>1314</v>
      </c>
      <c r="N128" s="36">
        <v>1.7010299999999999E-2</v>
      </c>
      <c r="O128" s="36" t="s">
        <v>1432</v>
      </c>
    </row>
    <row r="129" spans="1:15" ht="85" x14ac:dyDescent="0.2">
      <c r="A129" s="36" t="s">
        <v>1239</v>
      </c>
      <c r="B129" s="45" t="str">
        <f>VLOOKUP(Tabella13[[#This Row],[test_id]],experiments_specs!A:J,2,FALSE)</f>
        <v>NN,JJ</v>
      </c>
      <c r="C129" s="38">
        <f>VLOOKUP(Tabella13[[#This Row],[test_id]],experiments_specs!A:J,3,FALSE)</f>
        <v>0</v>
      </c>
      <c r="D129" s="38">
        <f>VLOOKUP(Tabella13[[#This Row],[test_id]],experiments_specs!A:J,4,FALSE)</f>
        <v>2</v>
      </c>
      <c r="E129" s="38" t="str">
        <f>VLOOKUP(Tabella13[[#This Row],[test_id]],experiments_specs!A:J,5,FALSE)</f>
        <v>True</v>
      </c>
      <c r="F129" s="38" t="str">
        <f>VLOOKUP(Tabella13[[#This Row],[test_id]],experiments_specs!A:J,6,FALSE)</f>
        <v>True</v>
      </c>
      <c r="G129" s="38" t="str">
        <f>VLOOKUP(Tabella13[[#This Row],[test_id]],experiments_specs!A:J,7,FALSE)</f>
        <v>True</v>
      </c>
      <c r="H129" s="38" t="str">
        <f>VLOOKUP(Tabella13[[#This Row],[test_id]],experiments_specs!A:J,8,FALSE)</f>
        <v>False</v>
      </c>
      <c r="I129" s="38" t="str">
        <f>VLOOKUP(Tabella13[[#This Row],[test_id]],experiments_specs!A:J,9,FALSE)</f>
        <v>wup_similarity</v>
      </c>
      <c r="J129" s="38" t="str">
        <f>VLOOKUP(Tabella13[[#This Row],[test_id]],experiments_specs!A:J,10,FALSE)</f>
        <v>False</v>
      </c>
      <c r="K129" s="40" t="s">
        <v>17</v>
      </c>
      <c r="L129" s="36" t="s">
        <v>1335</v>
      </c>
      <c r="M129" s="36" t="s">
        <v>1314</v>
      </c>
      <c r="N129" s="36">
        <v>1.88982E-2</v>
      </c>
      <c r="O129" s="36" t="s">
        <v>1440</v>
      </c>
    </row>
    <row r="130" spans="1:15" ht="85" x14ac:dyDescent="0.2">
      <c r="A130" s="36" t="s">
        <v>1239</v>
      </c>
      <c r="B130" s="45" t="str">
        <f>VLOOKUP(Tabella13[[#This Row],[test_id]],experiments_specs!A:J,2,FALSE)</f>
        <v>NN,JJ</v>
      </c>
      <c r="C130" s="38">
        <f>VLOOKUP(Tabella13[[#This Row],[test_id]],experiments_specs!A:J,3,FALSE)</f>
        <v>0</v>
      </c>
      <c r="D130" s="38">
        <f>VLOOKUP(Tabella13[[#This Row],[test_id]],experiments_specs!A:J,4,FALSE)</f>
        <v>2</v>
      </c>
      <c r="E130" s="38" t="str">
        <f>VLOOKUP(Tabella13[[#This Row],[test_id]],experiments_specs!A:J,5,FALSE)</f>
        <v>True</v>
      </c>
      <c r="F130" s="38" t="str">
        <f>VLOOKUP(Tabella13[[#This Row],[test_id]],experiments_specs!A:J,6,FALSE)</f>
        <v>True</v>
      </c>
      <c r="G130" s="38" t="str">
        <f>VLOOKUP(Tabella13[[#This Row],[test_id]],experiments_specs!A:J,7,FALSE)</f>
        <v>True</v>
      </c>
      <c r="H130" s="38" t="str">
        <f>VLOOKUP(Tabella13[[#This Row],[test_id]],experiments_specs!A:J,8,FALSE)</f>
        <v>False</v>
      </c>
      <c r="I130" s="38" t="str">
        <f>VLOOKUP(Tabella13[[#This Row],[test_id]],experiments_specs!A:J,9,FALSE)</f>
        <v>wup_similarity</v>
      </c>
      <c r="J130" s="38" t="str">
        <f>VLOOKUP(Tabella13[[#This Row],[test_id]],experiments_specs!A:J,10,FALSE)</f>
        <v>False</v>
      </c>
      <c r="K130" s="40" t="s">
        <v>18</v>
      </c>
      <c r="L130" s="36" t="s">
        <v>45</v>
      </c>
      <c r="M130" s="36">
        <v>2</v>
      </c>
      <c r="N130" s="36">
        <v>1.30895E-2</v>
      </c>
      <c r="O130" s="36">
        <v>0.2105263</v>
      </c>
    </row>
    <row r="131" spans="1:15" ht="85" x14ac:dyDescent="0.2">
      <c r="A131" s="36" t="s">
        <v>1240</v>
      </c>
      <c r="B131" s="45" t="str">
        <f>VLOOKUP(Tabella13[[#This Row],[test_id]],experiments_specs!A:J,2,FALSE)</f>
        <v>NN,JJ</v>
      </c>
      <c r="C131" s="38">
        <f>VLOOKUP(Tabella13[[#This Row],[test_id]],experiments_specs!A:J,3,FALSE)</f>
        <v>0</v>
      </c>
      <c r="D131" s="38">
        <f>VLOOKUP(Tabella13[[#This Row],[test_id]],experiments_specs!A:J,4,FALSE)</f>
        <v>3</v>
      </c>
      <c r="E131" s="38" t="str">
        <f>VLOOKUP(Tabella13[[#This Row],[test_id]],experiments_specs!A:J,5,FALSE)</f>
        <v>True</v>
      </c>
      <c r="F131" s="38" t="str">
        <f>VLOOKUP(Tabella13[[#This Row],[test_id]],experiments_specs!A:J,6,FALSE)</f>
        <v>True</v>
      </c>
      <c r="G131" s="38" t="str">
        <f>VLOOKUP(Tabella13[[#This Row],[test_id]],experiments_specs!A:J,7,FALSE)</f>
        <v>True</v>
      </c>
      <c r="H131" s="38" t="str">
        <f>VLOOKUP(Tabella13[[#This Row],[test_id]],experiments_specs!A:J,8,FALSE)</f>
        <v>False</v>
      </c>
      <c r="I131" s="38" t="str">
        <f>VLOOKUP(Tabella13[[#This Row],[test_id]],experiments_specs!A:J,9,FALSE)</f>
        <v>wup_similarity</v>
      </c>
      <c r="J131" s="38" t="str">
        <f>VLOOKUP(Tabella13[[#This Row],[test_id]],experiments_specs!A:J,10,FALSE)</f>
        <v>False</v>
      </c>
      <c r="K131" s="40" t="s">
        <v>19</v>
      </c>
      <c r="L131" s="36" t="s">
        <v>1312</v>
      </c>
      <c r="M131" s="36" t="s">
        <v>1314</v>
      </c>
      <c r="N131" s="36">
        <v>2.6177499999999999E-2</v>
      </c>
      <c r="O131" s="36" t="s">
        <v>1434</v>
      </c>
    </row>
    <row r="132" spans="1:15" ht="85" x14ac:dyDescent="0.2">
      <c r="A132" s="36" t="s">
        <v>1240</v>
      </c>
      <c r="B132" s="45" t="str">
        <f>VLOOKUP(Tabella13[[#This Row],[test_id]],experiments_specs!A:J,2,FALSE)</f>
        <v>NN,JJ</v>
      </c>
      <c r="C132" s="38">
        <f>VLOOKUP(Tabella13[[#This Row],[test_id]],experiments_specs!A:J,3,FALSE)</f>
        <v>0</v>
      </c>
      <c r="D132" s="38">
        <f>VLOOKUP(Tabella13[[#This Row],[test_id]],experiments_specs!A:J,4,FALSE)</f>
        <v>3</v>
      </c>
      <c r="E132" s="38" t="str">
        <f>VLOOKUP(Tabella13[[#This Row],[test_id]],experiments_specs!A:J,5,FALSE)</f>
        <v>True</v>
      </c>
      <c r="F132" s="38" t="str">
        <f>VLOOKUP(Tabella13[[#This Row],[test_id]],experiments_specs!A:J,6,FALSE)</f>
        <v>True</v>
      </c>
      <c r="G132" s="38" t="str">
        <f>VLOOKUP(Tabella13[[#This Row],[test_id]],experiments_specs!A:J,7,FALSE)</f>
        <v>True</v>
      </c>
      <c r="H132" s="38" t="str">
        <f>VLOOKUP(Tabella13[[#This Row],[test_id]],experiments_specs!A:J,8,FALSE)</f>
        <v>False</v>
      </c>
      <c r="I132" s="38" t="str">
        <f>VLOOKUP(Tabella13[[#This Row],[test_id]],experiments_specs!A:J,9,FALSE)</f>
        <v>wup_similarity</v>
      </c>
      <c r="J132" s="38" t="str">
        <f>VLOOKUP(Tabella13[[#This Row],[test_id]],experiments_specs!A:J,10,FALSE)</f>
        <v>False</v>
      </c>
      <c r="K132" s="40" t="s">
        <v>12</v>
      </c>
      <c r="L132" s="36" t="s">
        <v>23</v>
      </c>
      <c r="M132" s="36">
        <v>2</v>
      </c>
      <c r="N132" s="36">
        <v>2.3063199999999999E-2</v>
      </c>
      <c r="O132" s="36">
        <v>0.42857139999999999</v>
      </c>
    </row>
    <row r="133" spans="1:15" ht="85" x14ac:dyDescent="0.2">
      <c r="A133" s="36" t="s">
        <v>1240</v>
      </c>
      <c r="B133" s="45" t="str">
        <f>VLOOKUP(Tabella13[[#This Row],[test_id]],experiments_specs!A:J,2,FALSE)</f>
        <v>NN,JJ</v>
      </c>
      <c r="C133" s="38">
        <f>VLOOKUP(Tabella13[[#This Row],[test_id]],experiments_specs!A:J,3,FALSE)</f>
        <v>0</v>
      </c>
      <c r="D133" s="38">
        <f>VLOOKUP(Tabella13[[#This Row],[test_id]],experiments_specs!A:J,4,FALSE)</f>
        <v>3</v>
      </c>
      <c r="E133" s="38" t="str">
        <f>VLOOKUP(Tabella13[[#This Row],[test_id]],experiments_specs!A:J,5,FALSE)</f>
        <v>True</v>
      </c>
      <c r="F133" s="38" t="str">
        <f>VLOOKUP(Tabella13[[#This Row],[test_id]],experiments_specs!A:J,6,FALSE)</f>
        <v>True</v>
      </c>
      <c r="G133" s="38" t="str">
        <f>VLOOKUP(Tabella13[[#This Row],[test_id]],experiments_specs!A:J,7,FALSE)</f>
        <v>True</v>
      </c>
      <c r="H133" s="38" t="str">
        <f>VLOOKUP(Tabella13[[#This Row],[test_id]],experiments_specs!A:J,8,FALSE)</f>
        <v>False</v>
      </c>
      <c r="I133" s="38" t="str">
        <f>VLOOKUP(Tabella13[[#This Row],[test_id]],experiments_specs!A:J,9,FALSE)</f>
        <v>wup_similarity</v>
      </c>
      <c r="J133" s="38" t="str">
        <f>VLOOKUP(Tabella13[[#This Row],[test_id]],experiments_specs!A:J,10,FALSE)</f>
        <v>False</v>
      </c>
      <c r="K133" s="40" t="s">
        <v>13</v>
      </c>
      <c r="L133" s="36" t="s">
        <v>398</v>
      </c>
      <c r="M133" s="36">
        <v>2</v>
      </c>
      <c r="N133" s="36">
        <v>1.8916800000000001E-2</v>
      </c>
      <c r="O133" s="36">
        <v>0.4</v>
      </c>
    </row>
    <row r="134" spans="1:15" ht="85" x14ac:dyDescent="0.2">
      <c r="A134" s="36" t="s">
        <v>1240</v>
      </c>
      <c r="B134" s="45" t="str">
        <f>VLOOKUP(Tabella13[[#This Row],[test_id]],experiments_specs!A:J,2,FALSE)</f>
        <v>NN,JJ</v>
      </c>
      <c r="C134" s="38">
        <f>VLOOKUP(Tabella13[[#This Row],[test_id]],experiments_specs!A:J,3,FALSE)</f>
        <v>0</v>
      </c>
      <c r="D134" s="38">
        <f>VLOOKUP(Tabella13[[#This Row],[test_id]],experiments_specs!A:J,4,FALSE)</f>
        <v>3</v>
      </c>
      <c r="E134" s="38" t="str">
        <f>VLOOKUP(Tabella13[[#This Row],[test_id]],experiments_specs!A:J,5,FALSE)</f>
        <v>True</v>
      </c>
      <c r="F134" s="38" t="str">
        <f>VLOOKUP(Tabella13[[#This Row],[test_id]],experiments_specs!A:J,6,FALSE)</f>
        <v>True</v>
      </c>
      <c r="G134" s="38" t="str">
        <f>VLOOKUP(Tabella13[[#This Row],[test_id]],experiments_specs!A:J,7,FALSE)</f>
        <v>True</v>
      </c>
      <c r="H134" s="38" t="str">
        <f>VLOOKUP(Tabella13[[#This Row],[test_id]],experiments_specs!A:J,8,FALSE)</f>
        <v>False</v>
      </c>
      <c r="I134" s="38" t="str">
        <f>VLOOKUP(Tabella13[[#This Row],[test_id]],experiments_specs!A:J,9,FALSE)</f>
        <v>wup_similarity</v>
      </c>
      <c r="J134" s="38" t="str">
        <f>VLOOKUP(Tabella13[[#This Row],[test_id]],experiments_specs!A:J,10,FALSE)</f>
        <v>False</v>
      </c>
      <c r="K134" s="40" t="s">
        <v>14</v>
      </c>
      <c r="L134" s="36" t="s">
        <v>1338</v>
      </c>
      <c r="M134" s="36" t="s">
        <v>1340</v>
      </c>
      <c r="N134" s="36">
        <v>1.17564E-2</v>
      </c>
      <c r="O134" s="36" t="s">
        <v>1442</v>
      </c>
    </row>
    <row r="135" spans="1:15" ht="85" x14ac:dyDescent="0.2">
      <c r="A135" s="36" t="s">
        <v>1240</v>
      </c>
      <c r="B135" s="45" t="str">
        <f>VLOOKUP(Tabella13[[#This Row],[test_id]],experiments_specs!A:J,2,FALSE)</f>
        <v>NN,JJ</v>
      </c>
      <c r="C135" s="38">
        <f>VLOOKUP(Tabella13[[#This Row],[test_id]],experiments_specs!A:J,3,FALSE)</f>
        <v>0</v>
      </c>
      <c r="D135" s="38">
        <f>VLOOKUP(Tabella13[[#This Row],[test_id]],experiments_specs!A:J,4,FALSE)</f>
        <v>3</v>
      </c>
      <c r="E135" s="38" t="str">
        <f>VLOOKUP(Tabella13[[#This Row],[test_id]],experiments_specs!A:J,5,FALSE)</f>
        <v>True</v>
      </c>
      <c r="F135" s="38" t="str">
        <f>VLOOKUP(Tabella13[[#This Row],[test_id]],experiments_specs!A:J,6,FALSE)</f>
        <v>True</v>
      </c>
      <c r="G135" s="38" t="str">
        <f>VLOOKUP(Tabella13[[#This Row],[test_id]],experiments_specs!A:J,7,FALSE)</f>
        <v>True</v>
      </c>
      <c r="H135" s="38" t="str">
        <f>VLOOKUP(Tabella13[[#This Row],[test_id]],experiments_specs!A:J,8,FALSE)</f>
        <v>False</v>
      </c>
      <c r="I135" s="38" t="str">
        <f>VLOOKUP(Tabella13[[#This Row],[test_id]],experiments_specs!A:J,9,FALSE)</f>
        <v>wup_similarity</v>
      </c>
      <c r="J135" s="38" t="str">
        <f>VLOOKUP(Tabella13[[#This Row],[test_id]],experiments_specs!A:J,10,FALSE)</f>
        <v>False</v>
      </c>
      <c r="K135" s="40" t="s">
        <v>15</v>
      </c>
      <c r="L135" s="36" t="s">
        <v>293</v>
      </c>
      <c r="M135" s="36">
        <v>1</v>
      </c>
      <c r="N135" s="36">
        <v>3.8410899999999998E-2</v>
      </c>
      <c r="O135" s="36">
        <v>0.90909090000000004</v>
      </c>
    </row>
    <row r="136" spans="1:15" ht="85" x14ac:dyDescent="0.2">
      <c r="A136" s="36" t="s">
        <v>1240</v>
      </c>
      <c r="B136" s="45" t="str">
        <f>VLOOKUP(Tabella13[[#This Row],[test_id]],experiments_specs!A:J,2,FALSE)</f>
        <v>NN,JJ</v>
      </c>
      <c r="C136" s="38">
        <f>VLOOKUP(Tabella13[[#This Row],[test_id]],experiments_specs!A:J,3,FALSE)</f>
        <v>0</v>
      </c>
      <c r="D136" s="38">
        <f>VLOOKUP(Tabella13[[#This Row],[test_id]],experiments_specs!A:J,4,FALSE)</f>
        <v>3</v>
      </c>
      <c r="E136" s="38" t="str">
        <f>VLOOKUP(Tabella13[[#This Row],[test_id]],experiments_specs!A:J,5,FALSE)</f>
        <v>True</v>
      </c>
      <c r="F136" s="38" t="str">
        <f>VLOOKUP(Tabella13[[#This Row],[test_id]],experiments_specs!A:J,6,FALSE)</f>
        <v>True</v>
      </c>
      <c r="G136" s="38" t="str">
        <f>VLOOKUP(Tabella13[[#This Row],[test_id]],experiments_specs!A:J,7,FALSE)</f>
        <v>True</v>
      </c>
      <c r="H136" s="38" t="str">
        <f>VLOOKUP(Tabella13[[#This Row],[test_id]],experiments_specs!A:J,8,FALSE)</f>
        <v>False</v>
      </c>
      <c r="I136" s="38" t="str">
        <f>VLOOKUP(Tabella13[[#This Row],[test_id]],experiments_specs!A:J,9,FALSE)</f>
        <v>wup_similarity</v>
      </c>
      <c r="J136" s="38" t="str">
        <f>VLOOKUP(Tabella13[[#This Row],[test_id]],experiments_specs!A:J,10,FALSE)</f>
        <v>False</v>
      </c>
      <c r="K136" s="40" t="s">
        <v>16</v>
      </c>
      <c r="L136" s="36" t="s">
        <v>1333</v>
      </c>
      <c r="M136" s="36" t="s">
        <v>1314</v>
      </c>
      <c r="N136" s="36">
        <v>1.7010299999999999E-2</v>
      </c>
      <c r="O136" s="36" t="s">
        <v>1432</v>
      </c>
    </row>
    <row r="137" spans="1:15" ht="85" x14ac:dyDescent="0.2">
      <c r="A137" s="36" t="s">
        <v>1240</v>
      </c>
      <c r="B137" s="45" t="str">
        <f>VLOOKUP(Tabella13[[#This Row],[test_id]],experiments_specs!A:J,2,FALSE)</f>
        <v>NN,JJ</v>
      </c>
      <c r="C137" s="38">
        <f>VLOOKUP(Tabella13[[#This Row],[test_id]],experiments_specs!A:J,3,FALSE)</f>
        <v>0</v>
      </c>
      <c r="D137" s="38">
        <f>VLOOKUP(Tabella13[[#This Row],[test_id]],experiments_specs!A:J,4,FALSE)</f>
        <v>3</v>
      </c>
      <c r="E137" s="38" t="str">
        <f>VLOOKUP(Tabella13[[#This Row],[test_id]],experiments_specs!A:J,5,FALSE)</f>
        <v>True</v>
      </c>
      <c r="F137" s="38" t="str">
        <f>VLOOKUP(Tabella13[[#This Row],[test_id]],experiments_specs!A:J,6,FALSE)</f>
        <v>True</v>
      </c>
      <c r="G137" s="38" t="str">
        <f>VLOOKUP(Tabella13[[#This Row],[test_id]],experiments_specs!A:J,7,FALSE)</f>
        <v>True</v>
      </c>
      <c r="H137" s="38" t="str">
        <f>VLOOKUP(Tabella13[[#This Row],[test_id]],experiments_specs!A:J,8,FALSE)</f>
        <v>False</v>
      </c>
      <c r="I137" s="38" t="str">
        <f>VLOOKUP(Tabella13[[#This Row],[test_id]],experiments_specs!A:J,9,FALSE)</f>
        <v>wup_similarity</v>
      </c>
      <c r="J137" s="38" t="str">
        <f>VLOOKUP(Tabella13[[#This Row],[test_id]],experiments_specs!A:J,10,FALSE)</f>
        <v>False</v>
      </c>
      <c r="K137" s="40" t="s">
        <v>17</v>
      </c>
      <c r="L137" s="36" t="s">
        <v>1335</v>
      </c>
      <c r="M137" s="36" t="s">
        <v>1314</v>
      </c>
      <c r="N137" s="36">
        <v>1.88982E-2</v>
      </c>
      <c r="O137" s="36" t="s">
        <v>1440</v>
      </c>
    </row>
    <row r="138" spans="1:15" ht="85" x14ac:dyDescent="0.2">
      <c r="A138" s="36" t="s">
        <v>1240</v>
      </c>
      <c r="B138" s="45" t="str">
        <f>VLOOKUP(Tabella13[[#This Row],[test_id]],experiments_specs!A:J,2,FALSE)</f>
        <v>NN,JJ</v>
      </c>
      <c r="C138" s="38">
        <f>VLOOKUP(Tabella13[[#This Row],[test_id]],experiments_specs!A:J,3,FALSE)</f>
        <v>0</v>
      </c>
      <c r="D138" s="38">
        <f>VLOOKUP(Tabella13[[#This Row],[test_id]],experiments_specs!A:J,4,FALSE)</f>
        <v>3</v>
      </c>
      <c r="E138" s="38" t="str">
        <f>VLOOKUP(Tabella13[[#This Row],[test_id]],experiments_specs!A:J,5,FALSE)</f>
        <v>True</v>
      </c>
      <c r="F138" s="38" t="str">
        <f>VLOOKUP(Tabella13[[#This Row],[test_id]],experiments_specs!A:J,6,FALSE)</f>
        <v>True</v>
      </c>
      <c r="G138" s="38" t="str">
        <f>VLOOKUP(Tabella13[[#This Row],[test_id]],experiments_specs!A:J,7,FALSE)</f>
        <v>True</v>
      </c>
      <c r="H138" s="38" t="str">
        <f>VLOOKUP(Tabella13[[#This Row],[test_id]],experiments_specs!A:J,8,FALSE)</f>
        <v>False</v>
      </c>
      <c r="I138" s="38" t="str">
        <f>VLOOKUP(Tabella13[[#This Row],[test_id]],experiments_specs!A:J,9,FALSE)</f>
        <v>wup_similarity</v>
      </c>
      <c r="J138" s="38" t="str">
        <f>VLOOKUP(Tabella13[[#This Row],[test_id]],experiments_specs!A:J,10,FALSE)</f>
        <v>False</v>
      </c>
      <c r="K138" s="40" t="s">
        <v>18</v>
      </c>
      <c r="L138" s="36" t="s">
        <v>45</v>
      </c>
      <c r="M138" s="36">
        <v>2</v>
      </c>
      <c r="N138" s="36">
        <v>1.30895E-2</v>
      </c>
      <c r="O138" s="36">
        <v>0.2105263</v>
      </c>
    </row>
    <row r="139" spans="1:15" ht="85" x14ac:dyDescent="0.2">
      <c r="A139" s="36" t="s">
        <v>1241</v>
      </c>
      <c r="B139" s="45" t="str">
        <f>VLOOKUP(Tabella13[[#This Row],[test_id]],experiments_specs!A:J,2,FALSE)</f>
        <v>NN,VB,VBD,VBG,VBN,VBP,VBZ</v>
      </c>
      <c r="C139" s="38">
        <f>VLOOKUP(Tabella13[[#This Row],[test_id]],experiments_specs!A:J,3,FALSE)</f>
        <v>0</v>
      </c>
      <c r="D139" s="38">
        <f>VLOOKUP(Tabella13[[#This Row],[test_id]],experiments_specs!A:J,4,FALSE)</f>
        <v>2</v>
      </c>
      <c r="E139" s="38" t="str">
        <f>VLOOKUP(Tabella13[[#This Row],[test_id]],experiments_specs!A:J,5,FALSE)</f>
        <v>True</v>
      </c>
      <c r="F139" s="38" t="str">
        <f>VLOOKUP(Tabella13[[#This Row],[test_id]],experiments_specs!A:J,6,FALSE)</f>
        <v>True</v>
      </c>
      <c r="G139" s="38" t="str">
        <f>VLOOKUP(Tabella13[[#This Row],[test_id]],experiments_specs!A:J,7,FALSE)</f>
        <v>True</v>
      </c>
      <c r="H139" s="38" t="str">
        <f>VLOOKUP(Tabella13[[#This Row],[test_id]],experiments_specs!A:J,8,FALSE)</f>
        <v>False</v>
      </c>
      <c r="I139" s="38" t="str">
        <f>VLOOKUP(Tabella13[[#This Row],[test_id]],experiments_specs!A:J,9,FALSE)</f>
        <v>wup_similarity</v>
      </c>
      <c r="J139" s="38" t="str">
        <f>VLOOKUP(Tabella13[[#This Row],[test_id]],experiments_specs!A:J,10,FALSE)</f>
        <v>False</v>
      </c>
      <c r="K139" s="40" t="s">
        <v>19</v>
      </c>
      <c r="L139" s="36" t="s">
        <v>226</v>
      </c>
      <c r="M139" s="36">
        <v>4</v>
      </c>
      <c r="N139" s="36">
        <v>2.5359400000000001E-2</v>
      </c>
      <c r="O139" s="36">
        <v>0.17391300000000001</v>
      </c>
    </row>
    <row r="140" spans="1:15" ht="85" x14ac:dyDescent="0.2">
      <c r="A140" s="36" t="s">
        <v>1241</v>
      </c>
      <c r="B140" s="45" t="str">
        <f>VLOOKUP(Tabella13[[#This Row],[test_id]],experiments_specs!A:J,2,FALSE)</f>
        <v>NN,VB,VBD,VBG,VBN,VBP,VBZ</v>
      </c>
      <c r="C140" s="38">
        <f>VLOOKUP(Tabella13[[#This Row],[test_id]],experiments_specs!A:J,3,FALSE)</f>
        <v>0</v>
      </c>
      <c r="D140" s="38">
        <f>VLOOKUP(Tabella13[[#This Row],[test_id]],experiments_specs!A:J,4,FALSE)</f>
        <v>2</v>
      </c>
      <c r="E140" s="38" t="str">
        <f>VLOOKUP(Tabella13[[#This Row],[test_id]],experiments_specs!A:J,5,FALSE)</f>
        <v>True</v>
      </c>
      <c r="F140" s="38" t="str">
        <f>VLOOKUP(Tabella13[[#This Row],[test_id]],experiments_specs!A:J,6,FALSE)</f>
        <v>True</v>
      </c>
      <c r="G140" s="38" t="str">
        <f>VLOOKUP(Tabella13[[#This Row],[test_id]],experiments_specs!A:J,7,FALSE)</f>
        <v>True</v>
      </c>
      <c r="H140" s="38" t="str">
        <f>VLOOKUP(Tabella13[[#This Row],[test_id]],experiments_specs!A:J,8,FALSE)</f>
        <v>False</v>
      </c>
      <c r="I140" s="38" t="str">
        <f>VLOOKUP(Tabella13[[#This Row],[test_id]],experiments_specs!A:J,9,FALSE)</f>
        <v>wup_similarity</v>
      </c>
      <c r="J140" s="38" t="str">
        <f>VLOOKUP(Tabella13[[#This Row],[test_id]],experiments_specs!A:J,10,FALSE)</f>
        <v>False</v>
      </c>
      <c r="K140" s="40" t="s">
        <v>12</v>
      </c>
      <c r="L140" s="36" t="s">
        <v>23</v>
      </c>
      <c r="M140" s="36">
        <v>2</v>
      </c>
      <c r="N140" s="36">
        <v>1.9219400000000001E-2</v>
      </c>
      <c r="O140" s="36">
        <v>0.42857139999999999</v>
      </c>
    </row>
    <row r="141" spans="1:15" ht="85" x14ac:dyDescent="0.2">
      <c r="A141" s="36" t="s">
        <v>1241</v>
      </c>
      <c r="B141" s="45" t="str">
        <f>VLOOKUP(Tabella13[[#This Row],[test_id]],experiments_specs!A:J,2,FALSE)</f>
        <v>NN,VB,VBD,VBG,VBN,VBP,VBZ</v>
      </c>
      <c r="C141" s="38">
        <f>VLOOKUP(Tabella13[[#This Row],[test_id]],experiments_specs!A:J,3,FALSE)</f>
        <v>0</v>
      </c>
      <c r="D141" s="38">
        <f>VLOOKUP(Tabella13[[#This Row],[test_id]],experiments_specs!A:J,4,FALSE)</f>
        <v>2</v>
      </c>
      <c r="E141" s="38" t="str">
        <f>VLOOKUP(Tabella13[[#This Row],[test_id]],experiments_specs!A:J,5,FALSE)</f>
        <v>True</v>
      </c>
      <c r="F141" s="38" t="str">
        <f>VLOOKUP(Tabella13[[#This Row],[test_id]],experiments_specs!A:J,6,FALSE)</f>
        <v>True</v>
      </c>
      <c r="G141" s="38" t="str">
        <f>VLOOKUP(Tabella13[[#This Row],[test_id]],experiments_specs!A:J,7,FALSE)</f>
        <v>True</v>
      </c>
      <c r="H141" s="38" t="str">
        <f>VLOOKUP(Tabella13[[#This Row],[test_id]],experiments_specs!A:J,8,FALSE)</f>
        <v>False</v>
      </c>
      <c r="I141" s="38" t="str">
        <f>VLOOKUP(Tabella13[[#This Row],[test_id]],experiments_specs!A:J,9,FALSE)</f>
        <v>wup_similarity</v>
      </c>
      <c r="J141" s="38" t="str">
        <f>VLOOKUP(Tabella13[[#This Row],[test_id]],experiments_specs!A:J,10,FALSE)</f>
        <v>False</v>
      </c>
      <c r="K141" s="40" t="s">
        <v>13</v>
      </c>
      <c r="L141" s="36" t="s">
        <v>398</v>
      </c>
      <c r="M141" s="36">
        <v>2</v>
      </c>
      <c r="N141" s="36">
        <v>2.2401399999999998E-2</v>
      </c>
      <c r="O141" s="36">
        <v>0.4</v>
      </c>
    </row>
    <row r="142" spans="1:15" ht="85" x14ac:dyDescent="0.2">
      <c r="A142" s="36" t="s">
        <v>1241</v>
      </c>
      <c r="B142" s="45" t="str">
        <f>VLOOKUP(Tabella13[[#This Row],[test_id]],experiments_specs!A:J,2,FALSE)</f>
        <v>NN,VB,VBD,VBG,VBN,VBP,VBZ</v>
      </c>
      <c r="C142" s="38">
        <f>VLOOKUP(Tabella13[[#This Row],[test_id]],experiments_specs!A:J,3,FALSE)</f>
        <v>0</v>
      </c>
      <c r="D142" s="38">
        <f>VLOOKUP(Tabella13[[#This Row],[test_id]],experiments_specs!A:J,4,FALSE)</f>
        <v>2</v>
      </c>
      <c r="E142" s="38" t="str">
        <f>VLOOKUP(Tabella13[[#This Row],[test_id]],experiments_specs!A:J,5,FALSE)</f>
        <v>True</v>
      </c>
      <c r="F142" s="38" t="str">
        <f>VLOOKUP(Tabella13[[#This Row],[test_id]],experiments_specs!A:J,6,FALSE)</f>
        <v>True</v>
      </c>
      <c r="G142" s="38" t="str">
        <f>VLOOKUP(Tabella13[[#This Row],[test_id]],experiments_specs!A:J,7,FALSE)</f>
        <v>True</v>
      </c>
      <c r="H142" s="38" t="str">
        <f>VLOOKUP(Tabella13[[#This Row],[test_id]],experiments_specs!A:J,8,FALSE)</f>
        <v>False</v>
      </c>
      <c r="I142" s="38" t="str">
        <f>VLOOKUP(Tabella13[[#This Row],[test_id]],experiments_specs!A:J,9,FALSE)</f>
        <v>wup_similarity</v>
      </c>
      <c r="J142" s="38" t="str">
        <f>VLOOKUP(Tabella13[[#This Row],[test_id]],experiments_specs!A:J,10,FALSE)</f>
        <v>False</v>
      </c>
      <c r="K142" s="40" t="s">
        <v>14</v>
      </c>
      <c r="L142" s="36" t="s">
        <v>1338</v>
      </c>
      <c r="M142" s="36" t="s">
        <v>1340</v>
      </c>
      <c r="N142" s="36">
        <v>1.00359E-2</v>
      </c>
      <c r="O142" s="36" t="s">
        <v>1442</v>
      </c>
    </row>
    <row r="143" spans="1:15" ht="85" x14ac:dyDescent="0.2">
      <c r="A143" s="36" t="s">
        <v>1241</v>
      </c>
      <c r="B143" s="45" t="str">
        <f>VLOOKUP(Tabella13[[#This Row],[test_id]],experiments_specs!A:J,2,FALSE)</f>
        <v>NN,VB,VBD,VBG,VBN,VBP,VBZ</v>
      </c>
      <c r="C143" s="38">
        <f>VLOOKUP(Tabella13[[#This Row],[test_id]],experiments_specs!A:J,3,FALSE)</f>
        <v>0</v>
      </c>
      <c r="D143" s="38">
        <f>VLOOKUP(Tabella13[[#This Row],[test_id]],experiments_specs!A:J,4,FALSE)</f>
        <v>2</v>
      </c>
      <c r="E143" s="38" t="str">
        <f>VLOOKUP(Tabella13[[#This Row],[test_id]],experiments_specs!A:J,5,FALSE)</f>
        <v>True</v>
      </c>
      <c r="F143" s="38" t="str">
        <f>VLOOKUP(Tabella13[[#This Row],[test_id]],experiments_specs!A:J,6,FALSE)</f>
        <v>True</v>
      </c>
      <c r="G143" s="38" t="str">
        <f>VLOOKUP(Tabella13[[#This Row],[test_id]],experiments_specs!A:J,7,FALSE)</f>
        <v>True</v>
      </c>
      <c r="H143" s="38" t="str">
        <f>VLOOKUP(Tabella13[[#This Row],[test_id]],experiments_specs!A:J,8,FALSE)</f>
        <v>False</v>
      </c>
      <c r="I143" s="38" t="str">
        <f>VLOOKUP(Tabella13[[#This Row],[test_id]],experiments_specs!A:J,9,FALSE)</f>
        <v>wup_similarity</v>
      </c>
      <c r="J143" s="38" t="str">
        <f>VLOOKUP(Tabella13[[#This Row],[test_id]],experiments_specs!A:J,10,FALSE)</f>
        <v>False</v>
      </c>
      <c r="K143" s="40" t="s">
        <v>15</v>
      </c>
      <c r="L143" s="36" t="s">
        <v>410</v>
      </c>
      <c r="M143" s="36">
        <v>2</v>
      </c>
      <c r="N143" s="36">
        <v>1.23401E-2</v>
      </c>
      <c r="O143" s="36">
        <v>0.22222220000000001</v>
      </c>
    </row>
    <row r="144" spans="1:15" ht="85" x14ac:dyDescent="0.2">
      <c r="A144" s="36" t="s">
        <v>1241</v>
      </c>
      <c r="B144" s="45" t="str">
        <f>VLOOKUP(Tabella13[[#This Row],[test_id]],experiments_specs!A:J,2,FALSE)</f>
        <v>NN,VB,VBD,VBG,VBN,VBP,VBZ</v>
      </c>
      <c r="C144" s="38">
        <f>VLOOKUP(Tabella13[[#This Row],[test_id]],experiments_specs!A:J,3,FALSE)</f>
        <v>0</v>
      </c>
      <c r="D144" s="38">
        <f>VLOOKUP(Tabella13[[#This Row],[test_id]],experiments_specs!A:J,4,FALSE)</f>
        <v>2</v>
      </c>
      <c r="E144" s="38" t="str">
        <f>VLOOKUP(Tabella13[[#This Row],[test_id]],experiments_specs!A:J,5,FALSE)</f>
        <v>True</v>
      </c>
      <c r="F144" s="38" t="str">
        <f>VLOOKUP(Tabella13[[#This Row],[test_id]],experiments_specs!A:J,6,FALSE)</f>
        <v>True</v>
      </c>
      <c r="G144" s="38" t="str">
        <f>VLOOKUP(Tabella13[[#This Row],[test_id]],experiments_specs!A:J,7,FALSE)</f>
        <v>True</v>
      </c>
      <c r="H144" s="38" t="str">
        <f>VLOOKUP(Tabella13[[#This Row],[test_id]],experiments_specs!A:J,8,FALSE)</f>
        <v>False</v>
      </c>
      <c r="I144" s="38" t="str">
        <f>VLOOKUP(Tabella13[[#This Row],[test_id]],experiments_specs!A:J,9,FALSE)</f>
        <v>wup_similarity</v>
      </c>
      <c r="J144" s="38" t="str">
        <f>VLOOKUP(Tabella13[[#This Row],[test_id]],experiments_specs!A:J,10,FALSE)</f>
        <v>False</v>
      </c>
      <c r="K144" s="40" t="s">
        <v>16</v>
      </c>
      <c r="L144" s="36" t="s">
        <v>1333</v>
      </c>
      <c r="M144" s="36" t="s">
        <v>1314</v>
      </c>
      <c r="N144" s="36">
        <v>1.91366E-2</v>
      </c>
      <c r="O144" s="36" t="s">
        <v>1432</v>
      </c>
    </row>
    <row r="145" spans="1:15" ht="85" x14ac:dyDescent="0.2">
      <c r="A145" s="36" t="s">
        <v>1241</v>
      </c>
      <c r="B145" s="45" t="str">
        <f>VLOOKUP(Tabella13[[#This Row],[test_id]],experiments_specs!A:J,2,FALSE)</f>
        <v>NN,VB,VBD,VBG,VBN,VBP,VBZ</v>
      </c>
      <c r="C145" s="38">
        <f>VLOOKUP(Tabella13[[#This Row],[test_id]],experiments_specs!A:J,3,FALSE)</f>
        <v>0</v>
      </c>
      <c r="D145" s="38">
        <f>VLOOKUP(Tabella13[[#This Row],[test_id]],experiments_specs!A:J,4,FALSE)</f>
        <v>2</v>
      </c>
      <c r="E145" s="38" t="str">
        <f>VLOOKUP(Tabella13[[#This Row],[test_id]],experiments_specs!A:J,5,FALSE)</f>
        <v>True</v>
      </c>
      <c r="F145" s="38" t="str">
        <f>VLOOKUP(Tabella13[[#This Row],[test_id]],experiments_specs!A:J,6,FALSE)</f>
        <v>True</v>
      </c>
      <c r="G145" s="38" t="str">
        <f>VLOOKUP(Tabella13[[#This Row],[test_id]],experiments_specs!A:J,7,FALSE)</f>
        <v>True</v>
      </c>
      <c r="H145" s="38" t="str">
        <f>VLOOKUP(Tabella13[[#This Row],[test_id]],experiments_specs!A:J,8,FALSE)</f>
        <v>False</v>
      </c>
      <c r="I145" s="38" t="str">
        <f>VLOOKUP(Tabella13[[#This Row],[test_id]],experiments_specs!A:J,9,FALSE)</f>
        <v>wup_similarity</v>
      </c>
      <c r="J145" s="38" t="str">
        <f>VLOOKUP(Tabella13[[#This Row],[test_id]],experiments_specs!A:J,10,FALSE)</f>
        <v>False</v>
      </c>
      <c r="K145" s="40" t="s">
        <v>17</v>
      </c>
      <c r="L145" s="36" t="s">
        <v>1341</v>
      </c>
      <c r="M145" s="36">
        <v>3</v>
      </c>
      <c r="N145" s="36">
        <v>2.4315900000000001E-2</v>
      </c>
      <c r="O145" s="36">
        <v>0.2</v>
      </c>
    </row>
    <row r="146" spans="1:15" ht="85" x14ac:dyDescent="0.2">
      <c r="A146" s="36" t="s">
        <v>1241</v>
      </c>
      <c r="B146" s="45" t="str">
        <f>VLOOKUP(Tabella13[[#This Row],[test_id]],experiments_specs!A:J,2,FALSE)</f>
        <v>NN,VB,VBD,VBG,VBN,VBP,VBZ</v>
      </c>
      <c r="C146" s="38">
        <f>VLOOKUP(Tabella13[[#This Row],[test_id]],experiments_specs!A:J,3,FALSE)</f>
        <v>0</v>
      </c>
      <c r="D146" s="38">
        <f>VLOOKUP(Tabella13[[#This Row],[test_id]],experiments_specs!A:J,4,FALSE)</f>
        <v>2</v>
      </c>
      <c r="E146" s="38" t="str">
        <f>VLOOKUP(Tabella13[[#This Row],[test_id]],experiments_specs!A:J,5,FALSE)</f>
        <v>True</v>
      </c>
      <c r="F146" s="38" t="str">
        <f>VLOOKUP(Tabella13[[#This Row],[test_id]],experiments_specs!A:J,6,FALSE)</f>
        <v>True</v>
      </c>
      <c r="G146" s="38" t="str">
        <f>VLOOKUP(Tabella13[[#This Row],[test_id]],experiments_specs!A:J,7,FALSE)</f>
        <v>True</v>
      </c>
      <c r="H146" s="38" t="str">
        <f>VLOOKUP(Tabella13[[#This Row],[test_id]],experiments_specs!A:J,8,FALSE)</f>
        <v>False</v>
      </c>
      <c r="I146" s="38" t="str">
        <f>VLOOKUP(Tabella13[[#This Row],[test_id]],experiments_specs!A:J,9,FALSE)</f>
        <v>wup_similarity</v>
      </c>
      <c r="J146" s="38" t="str">
        <f>VLOOKUP(Tabella13[[#This Row],[test_id]],experiments_specs!A:J,10,FALSE)</f>
        <v>False</v>
      </c>
      <c r="K146" s="40" t="s">
        <v>18</v>
      </c>
      <c r="L146" s="36" t="s">
        <v>45</v>
      </c>
      <c r="M146" s="36">
        <v>2</v>
      </c>
      <c r="N146" s="36">
        <v>1.00217E-2</v>
      </c>
      <c r="O146" s="36">
        <v>0.2105263</v>
      </c>
    </row>
    <row r="147" spans="1:15" ht="85" x14ac:dyDescent="0.2">
      <c r="A147" s="36" t="s">
        <v>1242</v>
      </c>
      <c r="B147" s="45" t="str">
        <f>VLOOKUP(Tabella13[[#This Row],[test_id]],experiments_specs!A:J,2,FALSE)</f>
        <v>NN,VB,VBD,VBG,VBN,VBP,VBZ</v>
      </c>
      <c r="C147" s="38">
        <f>VLOOKUP(Tabella13[[#This Row],[test_id]],experiments_specs!A:J,3,FALSE)</f>
        <v>0</v>
      </c>
      <c r="D147" s="38">
        <f>VLOOKUP(Tabella13[[#This Row],[test_id]],experiments_specs!A:J,4,FALSE)</f>
        <v>3</v>
      </c>
      <c r="E147" s="38" t="str">
        <f>VLOOKUP(Tabella13[[#This Row],[test_id]],experiments_specs!A:J,5,FALSE)</f>
        <v>True</v>
      </c>
      <c r="F147" s="38" t="str">
        <f>VLOOKUP(Tabella13[[#This Row],[test_id]],experiments_specs!A:J,6,FALSE)</f>
        <v>True</v>
      </c>
      <c r="G147" s="38" t="str">
        <f>VLOOKUP(Tabella13[[#This Row],[test_id]],experiments_specs!A:J,7,FALSE)</f>
        <v>True</v>
      </c>
      <c r="H147" s="38" t="str">
        <f>VLOOKUP(Tabella13[[#This Row],[test_id]],experiments_specs!A:J,8,FALSE)</f>
        <v>False</v>
      </c>
      <c r="I147" s="38" t="str">
        <f>VLOOKUP(Tabella13[[#This Row],[test_id]],experiments_specs!A:J,9,FALSE)</f>
        <v>wup_similarity</v>
      </c>
      <c r="J147" s="38" t="str">
        <f>VLOOKUP(Tabella13[[#This Row],[test_id]],experiments_specs!A:J,10,FALSE)</f>
        <v>False</v>
      </c>
      <c r="K147" s="40" t="s">
        <v>19</v>
      </c>
      <c r="L147" s="36" t="s">
        <v>226</v>
      </c>
      <c r="M147" s="36">
        <v>4</v>
      </c>
      <c r="N147" s="36">
        <v>2.5359400000000001E-2</v>
      </c>
      <c r="O147" s="36">
        <v>0.17391300000000001</v>
      </c>
    </row>
    <row r="148" spans="1:15" ht="85" x14ac:dyDescent="0.2">
      <c r="A148" s="36" t="s">
        <v>1242</v>
      </c>
      <c r="B148" s="45" t="str">
        <f>VLOOKUP(Tabella13[[#This Row],[test_id]],experiments_specs!A:J,2,FALSE)</f>
        <v>NN,VB,VBD,VBG,VBN,VBP,VBZ</v>
      </c>
      <c r="C148" s="38">
        <f>VLOOKUP(Tabella13[[#This Row],[test_id]],experiments_specs!A:J,3,FALSE)</f>
        <v>0</v>
      </c>
      <c r="D148" s="38">
        <f>VLOOKUP(Tabella13[[#This Row],[test_id]],experiments_specs!A:J,4,FALSE)</f>
        <v>3</v>
      </c>
      <c r="E148" s="38" t="str">
        <f>VLOOKUP(Tabella13[[#This Row],[test_id]],experiments_specs!A:J,5,FALSE)</f>
        <v>True</v>
      </c>
      <c r="F148" s="38" t="str">
        <f>VLOOKUP(Tabella13[[#This Row],[test_id]],experiments_specs!A:J,6,FALSE)</f>
        <v>True</v>
      </c>
      <c r="G148" s="38" t="str">
        <f>VLOOKUP(Tabella13[[#This Row],[test_id]],experiments_specs!A:J,7,FALSE)</f>
        <v>True</v>
      </c>
      <c r="H148" s="38" t="str">
        <f>VLOOKUP(Tabella13[[#This Row],[test_id]],experiments_specs!A:J,8,FALSE)</f>
        <v>False</v>
      </c>
      <c r="I148" s="38" t="str">
        <f>VLOOKUP(Tabella13[[#This Row],[test_id]],experiments_specs!A:J,9,FALSE)</f>
        <v>wup_similarity</v>
      </c>
      <c r="J148" s="38" t="str">
        <f>VLOOKUP(Tabella13[[#This Row],[test_id]],experiments_specs!A:J,10,FALSE)</f>
        <v>False</v>
      </c>
      <c r="K148" s="40" t="s">
        <v>12</v>
      </c>
      <c r="L148" s="36" t="s">
        <v>23</v>
      </c>
      <c r="M148" s="36">
        <v>2</v>
      </c>
      <c r="N148" s="36">
        <v>1.9219400000000001E-2</v>
      </c>
      <c r="O148" s="36">
        <v>0.42857139999999999</v>
      </c>
    </row>
    <row r="149" spans="1:15" ht="85" x14ac:dyDescent="0.2">
      <c r="A149" s="36" t="s">
        <v>1242</v>
      </c>
      <c r="B149" s="45" t="str">
        <f>VLOOKUP(Tabella13[[#This Row],[test_id]],experiments_specs!A:J,2,FALSE)</f>
        <v>NN,VB,VBD,VBG,VBN,VBP,VBZ</v>
      </c>
      <c r="C149" s="38">
        <f>VLOOKUP(Tabella13[[#This Row],[test_id]],experiments_specs!A:J,3,FALSE)</f>
        <v>0</v>
      </c>
      <c r="D149" s="38">
        <f>VLOOKUP(Tabella13[[#This Row],[test_id]],experiments_specs!A:J,4,FALSE)</f>
        <v>3</v>
      </c>
      <c r="E149" s="38" t="str">
        <f>VLOOKUP(Tabella13[[#This Row],[test_id]],experiments_specs!A:J,5,FALSE)</f>
        <v>True</v>
      </c>
      <c r="F149" s="38" t="str">
        <f>VLOOKUP(Tabella13[[#This Row],[test_id]],experiments_specs!A:J,6,FALSE)</f>
        <v>True</v>
      </c>
      <c r="G149" s="38" t="str">
        <f>VLOOKUP(Tabella13[[#This Row],[test_id]],experiments_specs!A:J,7,FALSE)</f>
        <v>True</v>
      </c>
      <c r="H149" s="38" t="str">
        <f>VLOOKUP(Tabella13[[#This Row],[test_id]],experiments_specs!A:J,8,FALSE)</f>
        <v>False</v>
      </c>
      <c r="I149" s="38" t="str">
        <f>VLOOKUP(Tabella13[[#This Row],[test_id]],experiments_specs!A:J,9,FALSE)</f>
        <v>wup_similarity</v>
      </c>
      <c r="J149" s="38" t="str">
        <f>VLOOKUP(Tabella13[[#This Row],[test_id]],experiments_specs!A:J,10,FALSE)</f>
        <v>False</v>
      </c>
      <c r="K149" s="40" t="s">
        <v>13</v>
      </c>
      <c r="L149" s="36" t="s">
        <v>398</v>
      </c>
      <c r="M149" s="36">
        <v>2</v>
      </c>
      <c r="N149" s="36">
        <v>2.2401399999999998E-2</v>
      </c>
      <c r="O149" s="36">
        <v>0.4</v>
      </c>
    </row>
    <row r="150" spans="1:15" ht="85" x14ac:dyDescent="0.2">
      <c r="A150" s="36" t="s">
        <v>1242</v>
      </c>
      <c r="B150" s="45" t="str">
        <f>VLOOKUP(Tabella13[[#This Row],[test_id]],experiments_specs!A:J,2,FALSE)</f>
        <v>NN,VB,VBD,VBG,VBN,VBP,VBZ</v>
      </c>
      <c r="C150" s="38">
        <f>VLOOKUP(Tabella13[[#This Row],[test_id]],experiments_specs!A:J,3,FALSE)</f>
        <v>0</v>
      </c>
      <c r="D150" s="38">
        <f>VLOOKUP(Tabella13[[#This Row],[test_id]],experiments_specs!A:J,4,FALSE)</f>
        <v>3</v>
      </c>
      <c r="E150" s="38" t="str">
        <f>VLOOKUP(Tabella13[[#This Row],[test_id]],experiments_specs!A:J,5,FALSE)</f>
        <v>True</v>
      </c>
      <c r="F150" s="38" t="str">
        <f>VLOOKUP(Tabella13[[#This Row],[test_id]],experiments_specs!A:J,6,FALSE)</f>
        <v>True</v>
      </c>
      <c r="G150" s="38" t="str">
        <f>VLOOKUP(Tabella13[[#This Row],[test_id]],experiments_specs!A:J,7,FALSE)</f>
        <v>True</v>
      </c>
      <c r="H150" s="38" t="str">
        <f>VLOOKUP(Tabella13[[#This Row],[test_id]],experiments_specs!A:J,8,FALSE)</f>
        <v>False</v>
      </c>
      <c r="I150" s="38" t="str">
        <f>VLOOKUP(Tabella13[[#This Row],[test_id]],experiments_specs!A:J,9,FALSE)</f>
        <v>wup_similarity</v>
      </c>
      <c r="J150" s="38" t="str">
        <f>VLOOKUP(Tabella13[[#This Row],[test_id]],experiments_specs!A:J,10,FALSE)</f>
        <v>False</v>
      </c>
      <c r="K150" s="40" t="s">
        <v>14</v>
      </c>
      <c r="L150" s="36" t="s">
        <v>1338</v>
      </c>
      <c r="M150" s="36" t="s">
        <v>1340</v>
      </c>
      <c r="N150" s="36">
        <v>1.00359E-2</v>
      </c>
      <c r="O150" s="36" t="s">
        <v>1442</v>
      </c>
    </row>
    <row r="151" spans="1:15" ht="85" x14ac:dyDescent="0.2">
      <c r="A151" s="36" t="s">
        <v>1242</v>
      </c>
      <c r="B151" s="45" t="str">
        <f>VLOOKUP(Tabella13[[#This Row],[test_id]],experiments_specs!A:J,2,FALSE)</f>
        <v>NN,VB,VBD,VBG,VBN,VBP,VBZ</v>
      </c>
      <c r="C151" s="38">
        <f>VLOOKUP(Tabella13[[#This Row],[test_id]],experiments_specs!A:J,3,FALSE)</f>
        <v>0</v>
      </c>
      <c r="D151" s="38">
        <f>VLOOKUP(Tabella13[[#This Row],[test_id]],experiments_specs!A:J,4,FALSE)</f>
        <v>3</v>
      </c>
      <c r="E151" s="38" t="str">
        <f>VLOOKUP(Tabella13[[#This Row],[test_id]],experiments_specs!A:J,5,FALSE)</f>
        <v>True</v>
      </c>
      <c r="F151" s="38" t="str">
        <f>VLOOKUP(Tabella13[[#This Row],[test_id]],experiments_specs!A:J,6,FALSE)</f>
        <v>True</v>
      </c>
      <c r="G151" s="38" t="str">
        <f>VLOOKUP(Tabella13[[#This Row],[test_id]],experiments_specs!A:J,7,FALSE)</f>
        <v>True</v>
      </c>
      <c r="H151" s="38" t="str">
        <f>VLOOKUP(Tabella13[[#This Row],[test_id]],experiments_specs!A:J,8,FALSE)</f>
        <v>False</v>
      </c>
      <c r="I151" s="38" t="str">
        <f>VLOOKUP(Tabella13[[#This Row],[test_id]],experiments_specs!A:J,9,FALSE)</f>
        <v>wup_similarity</v>
      </c>
      <c r="J151" s="38" t="str">
        <f>VLOOKUP(Tabella13[[#This Row],[test_id]],experiments_specs!A:J,10,FALSE)</f>
        <v>False</v>
      </c>
      <c r="K151" s="40" t="s">
        <v>15</v>
      </c>
      <c r="L151" s="36" t="s">
        <v>410</v>
      </c>
      <c r="M151" s="36">
        <v>2</v>
      </c>
      <c r="N151" s="36">
        <v>1.23401E-2</v>
      </c>
      <c r="O151" s="36">
        <v>0.22222220000000001</v>
      </c>
    </row>
    <row r="152" spans="1:15" ht="85" x14ac:dyDescent="0.2">
      <c r="A152" s="36" t="s">
        <v>1242</v>
      </c>
      <c r="B152" s="45" t="str">
        <f>VLOOKUP(Tabella13[[#This Row],[test_id]],experiments_specs!A:J,2,FALSE)</f>
        <v>NN,VB,VBD,VBG,VBN,VBP,VBZ</v>
      </c>
      <c r="C152" s="38">
        <f>VLOOKUP(Tabella13[[#This Row],[test_id]],experiments_specs!A:J,3,FALSE)</f>
        <v>0</v>
      </c>
      <c r="D152" s="38">
        <f>VLOOKUP(Tabella13[[#This Row],[test_id]],experiments_specs!A:J,4,FALSE)</f>
        <v>3</v>
      </c>
      <c r="E152" s="38" t="str">
        <f>VLOOKUP(Tabella13[[#This Row],[test_id]],experiments_specs!A:J,5,FALSE)</f>
        <v>True</v>
      </c>
      <c r="F152" s="38" t="str">
        <f>VLOOKUP(Tabella13[[#This Row],[test_id]],experiments_specs!A:J,6,FALSE)</f>
        <v>True</v>
      </c>
      <c r="G152" s="38" t="str">
        <f>VLOOKUP(Tabella13[[#This Row],[test_id]],experiments_specs!A:J,7,FALSE)</f>
        <v>True</v>
      </c>
      <c r="H152" s="38" t="str">
        <f>VLOOKUP(Tabella13[[#This Row],[test_id]],experiments_specs!A:J,8,FALSE)</f>
        <v>False</v>
      </c>
      <c r="I152" s="38" t="str">
        <f>VLOOKUP(Tabella13[[#This Row],[test_id]],experiments_specs!A:J,9,FALSE)</f>
        <v>wup_similarity</v>
      </c>
      <c r="J152" s="38" t="str">
        <f>VLOOKUP(Tabella13[[#This Row],[test_id]],experiments_specs!A:J,10,FALSE)</f>
        <v>False</v>
      </c>
      <c r="K152" s="40" t="s">
        <v>16</v>
      </c>
      <c r="L152" s="36" t="s">
        <v>1333</v>
      </c>
      <c r="M152" s="36" t="s">
        <v>1314</v>
      </c>
      <c r="N152" s="36">
        <v>1.91366E-2</v>
      </c>
      <c r="O152" s="36" t="s">
        <v>1432</v>
      </c>
    </row>
    <row r="153" spans="1:15" ht="85" x14ac:dyDescent="0.2">
      <c r="A153" s="36" t="s">
        <v>1242</v>
      </c>
      <c r="B153" s="45" t="str">
        <f>VLOOKUP(Tabella13[[#This Row],[test_id]],experiments_specs!A:J,2,FALSE)</f>
        <v>NN,VB,VBD,VBG,VBN,VBP,VBZ</v>
      </c>
      <c r="C153" s="38">
        <f>VLOOKUP(Tabella13[[#This Row],[test_id]],experiments_specs!A:J,3,FALSE)</f>
        <v>0</v>
      </c>
      <c r="D153" s="38">
        <f>VLOOKUP(Tabella13[[#This Row],[test_id]],experiments_specs!A:J,4,FALSE)</f>
        <v>3</v>
      </c>
      <c r="E153" s="38" t="str">
        <f>VLOOKUP(Tabella13[[#This Row],[test_id]],experiments_specs!A:J,5,FALSE)</f>
        <v>True</v>
      </c>
      <c r="F153" s="38" t="str">
        <f>VLOOKUP(Tabella13[[#This Row],[test_id]],experiments_specs!A:J,6,FALSE)</f>
        <v>True</v>
      </c>
      <c r="G153" s="38" t="str">
        <f>VLOOKUP(Tabella13[[#This Row],[test_id]],experiments_specs!A:J,7,FALSE)</f>
        <v>True</v>
      </c>
      <c r="H153" s="38" t="str">
        <f>VLOOKUP(Tabella13[[#This Row],[test_id]],experiments_specs!A:J,8,FALSE)</f>
        <v>False</v>
      </c>
      <c r="I153" s="38" t="str">
        <f>VLOOKUP(Tabella13[[#This Row],[test_id]],experiments_specs!A:J,9,FALSE)</f>
        <v>wup_similarity</v>
      </c>
      <c r="J153" s="38" t="str">
        <f>VLOOKUP(Tabella13[[#This Row],[test_id]],experiments_specs!A:J,10,FALSE)</f>
        <v>False</v>
      </c>
      <c r="K153" s="40" t="s">
        <v>17</v>
      </c>
      <c r="L153" s="36" t="s">
        <v>1341</v>
      </c>
      <c r="M153" s="36">
        <v>3</v>
      </c>
      <c r="N153" s="36">
        <v>2.4315900000000001E-2</v>
      </c>
      <c r="O153" s="36">
        <v>0.2</v>
      </c>
    </row>
    <row r="154" spans="1:15" ht="85" x14ac:dyDescent="0.2">
      <c r="A154" s="36" t="s">
        <v>1242</v>
      </c>
      <c r="B154" s="45" t="str">
        <f>VLOOKUP(Tabella13[[#This Row],[test_id]],experiments_specs!A:J,2,FALSE)</f>
        <v>NN,VB,VBD,VBG,VBN,VBP,VBZ</v>
      </c>
      <c r="C154" s="38">
        <f>VLOOKUP(Tabella13[[#This Row],[test_id]],experiments_specs!A:J,3,FALSE)</f>
        <v>0</v>
      </c>
      <c r="D154" s="38">
        <f>VLOOKUP(Tabella13[[#This Row],[test_id]],experiments_specs!A:J,4,FALSE)</f>
        <v>3</v>
      </c>
      <c r="E154" s="38" t="str">
        <f>VLOOKUP(Tabella13[[#This Row],[test_id]],experiments_specs!A:J,5,FALSE)</f>
        <v>True</v>
      </c>
      <c r="F154" s="38" t="str">
        <f>VLOOKUP(Tabella13[[#This Row],[test_id]],experiments_specs!A:J,6,FALSE)</f>
        <v>True</v>
      </c>
      <c r="G154" s="38" t="str">
        <f>VLOOKUP(Tabella13[[#This Row],[test_id]],experiments_specs!A:J,7,FALSE)</f>
        <v>True</v>
      </c>
      <c r="H154" s="38" t="str">
        <f>VLOOKUP(Tabella13[[#This Row],[test_id]],experiments_specs!A:J,8,FALSE)</f>
        <v>False</v>
      </c>
      <c r="I154" s="38" t="str">
        <f>VLOOKUP(Tabella13[[#This Row],[test_id]],experiments_specs!A:J,9,FALSE)</f>
        <v>wup_similarity</v>
      </c>
      <c r="J154" s="38" t="str">
        <f>VLOOKUP(Tabella13[[#This Row],[test_id]],experiments_specs!A:J,10,FALSE)</f>
        <v>False</v>
      </c>
      <c r="K154" s="40" t="s">
        <v>18</v>
      </c>
      <c r="L154" s="36" t="s">
        <v>45</v>
      </c>
      <c r="M154" s="36">
        <v>2</v>
      </c>
      <c r="N154" s="36">
        <v>1.00217E-2</v>
      </c>
      <c r="O154" s="36">
        <v>0.2105263</v>
      </c>
    </row>
    <row r="155" spans="1:15" ht="85" x14ac:dyDescent="0.2">
      <c r="A155" s="36" t="s">
        <v>1243</v>
      </c>
      <c r="B155" s="45" t="str">
        <f>VLOOKUP(Tabella13[[#This Row],[test_id]],experiments_specs!A:J,2,FALSE)</f>
        <v>NN,JJ,VB,VBD,VBG,VBN,VBP,VBZ</v>
      </c>
      <c r="C155" s="38">
        <f>VLOOKUP(Tabella13[[#This Row],[test_id]],experiments_specs!A:J,3,FALSE)</f>
        <v>0</v>
      </c>
      <c r="D155" s="38">
        <f>VLOOKUP(Tabella13[[#This Row],[test_id]],experiments_specs!A:J,4,FALSE)</f>
        <v>2</v>
      </c>
      <c r="E155" s="38" t="str">
        <f>VLOOKUP(Tabella13[[#This Row],[test_id]],experiments_specs!A:J,5,FALSE)</f>
        <v>True</v>
      </c>
      <c r="F155" s="38" t="str">
        <f>VLOOKUP(Tabella13[[#This Row],[test_id]],experiments_specs!A:J,6,FALSE)</f>
        <v>True</v>
      </c>
      <c r="G155" s="38" t="str">
        <f>VLOOKUP(Tabella13[[#This Row],[test_id]],experiments_specs!A:J,7,FALSE)</f>
        <v>True</v>
      </c>
      <c r="H155" s="38" t="str">
        <f>VLOOKUP(Tabella13[[#This Row],[test_id]],experiments_specs!A:J,8,FALSE)</f>
        <v>False</v>
      </c>
      <c r="I155" s="38" t="str">
        <f>VLOOKUP(Tabella13[[#This Row],[test_id]],experiments_specs!A:J,9,FALSE)</f>
        <v>wup_similarity</v>
      </c>
      <c r="J155" s="38" t="str">
        <f>VLOOKUP(Tabella13[[#This Row],[test_id]],experiments_specs!A:J,10,FALSE)</f>
        <v>False</v>
      </c>
      <c r="K155" s="40" t="s">
        <v>19</v>
      </c>
      <c r="L155" s="36" t="s">
        <v>1312</v>
      </c>
      <c r="M155" s="36" t="s">
        <v>1314</v>
      </c>
      <c r="N155" s="36">
        <v>1.97927E-2</v>
      </c>
      <c r="O155" s="36" t="s">
        <v>1434</v>
      </c>
    </row>
    <row r="156" spans="1:15" ht="85" x14ac:dyDescent="0.2">
      <c r="A156" s="36" t="s">
        <v>1243</v>
      </c>
      <c r="B156" s="45" t="str">
        <f>VLOOKUP(Tabella13[[#This Row],[test_id]],experiments_specs!A:J,2,FALSE)</f>
        <v>NN,JJ,VB,VBD,VBG,VBN,VBP,VBZ</v>
      </c>
      <c r="C156" s="38">
        <f>VLOOKUP(Tabella13[[#This Row],[test_id]],experiments_specs!A:J,3,FALSE)</f>
        <v>0</v>
      </c>
      <c r="D156" s="38">
        <f>VLOOKUP(Tabella13[[#This Row],[test_id]],experiments_specs!A:J,4,FALSE)</f>
        <v>2</v>
      </c>
      <c r="E156" s="38" t="str">
        <f>VLOOKUP(Tabella13[[#This Row],[test_id]],experiments_specs!A:J,5,FALSE)</f>
        <v>True</v>
      </c>
      <c r="F156" s="38" t="str">
        <f>VLOOKUP(Tabella13[[#This Row],[test_id]],experiments_specs!A:J,6,FALSE)</f>
        <v>True</v>
      </c>
      <c r="G156" s="38" t="str">
        <f>VLOOKUP(Tabella13[[#This Row],[test_id]],experiments_specs!A:J,7,FALSE)</f>
        <v>True</v>
      </c>
      <c r="H156" s="38" t="str">
        <f>VLOOKUP(Tabella13[[#This Row],[test_id]],experiments_specs!A:J,8,FALSE)</f>
        <v>False</v>
      </c>
      <c r="I156" s="38" t="str">
        <f>VLOOKUP(Tabella13[[#This Row],[test_id]],experiments_specs!A:J,9,FALSE)</f>
        <v>wup_similarity</v>
      </c>
      <c r="J156" s="38" t="str">
        <f>VLOOKUP(Tabella13[[#This Row],[test_id]],experiments_specs!A:J,10,FALSE)</f>
        <v>False</v>
      </c>
      <c r="K156" s="40" t="s">
        <v>12</v>
      </c>
      <c r="L156" s="36" t="s">
        <v>23</v>
      </c>
      <c r="M156" s="36">
        <v>2</v>
      </c>
      <c r="N156" s="36">
        <v>1.44145E-2</v>
      </c>
      <c r="O156" s="36">
        <v>0.42857139999999999</v>
      </c>
    </row>
    <row r="157" spans="1:15" ht="85" x14ac:dyDescent="0.2">
      <c r="A157" s="36" t="s">
        <v>1243</v>
      </c>
      <c r="B157" s="45" t="str">
        <f>VLOOKUP(Tabella13[[#This Row],[test_id]],experiments_specs!A:J,2,FALSE)</f>
        <v>NN,JJ,VB,VBD,VBG,VBN,VBP,VBZ</v>
      </c>
      <c r="C157" s="38">
        <f>VLOOKUP(Tabella13[[#This Row],[test_id]],experiments_specs!A:J,3,FALSE)</f>
        <v>0</v>
      </c>
      <c r="D157" s="38">
        <f>VLOOKUP(Tabella13[[#This Row],[test_id]],experiments_specs!A:J,4,FALSE)</f>
        <v>2</v>
      </c>
      <c r="E157" s="38" t="str">
        <f>VLOOKUP(Tabella13[[#This Row],[test_id]],experiments_specs!A:J,5,FALSE)</f>
        <v>True</v>
      </c>
      <c r="F157" s="38" t="str">
        <f>VLOOKUP(Tabella13[[#This Row],[test_id]],experiments_specs!A:J,6,FALSE)</f>
        <v>True</v>
      </c>
      <c r="G157" s="38" t="str">
        <f>VLOOKUP(Tabella13[[#This Row],[test_id]],experiments_specs!A:J,7,FALSE)</f>
        <v>True</v>
      </c>
      <c r="H157" s="38" t="str">
        <f>VLOOKUP(Tabella13[[#This Row],[test_id]],experiments_specs!A:J,8,FALSE)</f>
        <v>False</v>
      </c>
      <c r="I157" s="38" t="str">
        <f>VLOOKUP(Tabella13[[#This Row],[test_id]],experiments_specs!A:J,9,FALSE)</f>
        <v>wup_similarity</v>
      </c>
      <c r="J157" s="38" t="str">
        <f>VLOOKUP(Tabella13[[#This Row],[test_id]],experiments_specs!A:J,10,FALSE)</f>
        <v>False</v>
      </c>
      <c r="K157" s="40" t="s">
        <v>13</v>
      </c>
      <c r="L157" s="36" t="s">
        <v>398</v>
      </c>
      <c r="M157" s="36">
        <v>2</v>
      </c>
      <c r="N157" s="36">
        <v>1.7025100000000001E-2</v>
      </c>
      <c r="O157" s="36">
        <v>0.4</v>
      </c>
    </row>
    <row r="158" spans="1:15" ht="85" x14ac:dyDescent="0.2">
      <c r="A158" s="36" t="s">
        <v>1243</v>
      </c>
      <c r="B158" s="45" t="str">
        <f>VLOOKUP(Tabella13[[#This Row],[test_id]],experiments_specs!A:J,2,FALSE)</f>
        <v>NN,JJ,VB,VBD,VBG,VBN,VBP,VBZ</v>
      </c>
      <c r="C158" s="38">
        <f>VLOOKUP(Tabella13[[#This Row],[test_id]],experiments_specs!A:J,3,FALSE)</f>
        <v>0</v>
      </c>
      <c r="D158" s="38">
        <f>VLOOKUP(Tabella13[[#This Row],[test_id]],experiments_specs!A:J,4,FALSE)</f>
        <v>2</v>
      </c>
      <c r="E158" s="38" t="str">
        <f>VLOOKUP(Tabella13[[#This Row],[test_id]],experiments_specs!A:J,5,FALSE)</f>
        <v>True</v>
      </c>
      <c r="F158" s="38" t="str">
        <f>VLOOKUP(Tabella13[[#This Row],[test_id]],experiments_specs!A:J,6,FALSE)</f>
        <v>True</v>
      </c>
      <c r="G158" s="38" t="str">
        <f>VLOOKUP(Tabella13[[#This Row],[test_id]],experiments_specs!A:J,7,FALSE)</f>
        <v>True</v>
      </c>
      <c r="H158" s="38" t="str">
        <f>VLOOKUP(Tabella13[[#This Row],[test_id]],experiments_specs!A:J,8,FALSE)</f>
        <v>False</v>
      </c>
      <c r="I158" s="38" t="str">
        <f>VLOOKUP(Tabella13[[#This Row],[test_id]],experiments_specs!A:J,9,FALSE)</f>
        <v>wup_similarity</v>
      </c>
      <c r="J158" s="38" t="str">
        <f>VLOOKUP(Tabella13[[#This Row],[test_id]],experiments_specs!A:J,10,FALSE)</f>
        <v>False</v>
      </c>
      <c r="K158" s="40" t="s">
        <v>14</v>
      </c>
      <c r="L158" s="36" t="s">
        <v>1338</v>
      </c>
      <c r="M158" s="36" t="s">
        <v>1340</v>
      </c>
      <c r="N158" s="36">
        <v>8.5724000000000009E-3</v>
      </c>
      <c r="O158" s="36" t="s">
        <v>1442</v>
      </c>
    </row>
    <row r="159" spans="1:15" ht="85" x14ac:dyDescent="0.2">
      <c r="A159" s="36" t="s">
        <v>1243</v>
      </c>
      <c r="B159" s="45" t="str">
        <f>VLOOKUP(Tabella13[[#This Row],[test_id]],experiments_specs!A:J,2,FALSE)</f>
        <v>NN,JJ,VB,VBD,VBG,VBN,VBP,VBZ</v>
      </c>
      <c r="C159" s="38">
        <f>VLOOKUP(Tabella13[[#This Row],[test_id]],experiments_specs!A:J,3,FALSE)</f>
        <v>0</v>
      </c>
      <c r="D159" s="38">
        <f>VLOOKUP(Tabella13[[#This Row],[test_id]],experiments_specs!A:J,4,FALSE)</f>
        <v>2</v>
      </c>
      <c r="E159" s="38" t="str">
        <f>VLOOKUP(Tabella13[[#This Row],[test_id]],experiments_specs!A:J,5,FALSE)</f>
        <v>True</v>
      </c>
      <c r="F159" s="38" t="str">
        <f>VLOOKUP(Tabella13[[#This Row],[test_id]],experiments_specs!A:J,6,FALSE)</f>
        <v>True</v>
      </c>
      <c r="G159" s="38" t="str">
        <f>VLOOKUP(Tabella13[[#This Row],[test_id]],experiments_specs!A:J,7,FALSE)</f>
        <v>True</v>
      </c>
      <c r="H159" s="38" t="str">
        <f>VLOOKUP(Tabella13[[#This Row],[test_id]],experiments_specs!A:J,8,FALSE)</f>
        <v>False</v>
      </c>
      <c r="I159" s="38" t="str">
        <f>VLOOKUP(Tabella13[[#This Row],[test_id]],experiments_specs!A:J,9,FALSE)</f>
        <v>wup_similarity</v>
      </c>
      <c r="J159" s="38" t="str">
        <f>VLOOKUP(Tabella13[[#This Row],[test_id]],experiments_specs!A:J,10,FALSE)</f>
        <v>False</v>
      </c>
      <c r="K159" s="40" t="s">
        <v>15</v>
      </c>
      <c r="L159" s="36" t="s">
        <v>293</v>
      </c>
      <c r="M159" s="36">
        <v>1</v>
      </c>
      <c r="N159" s="36">
        <v>2.20863E-2</v>
      </c>
      <c r="O159" s="36">
        <v>0.90909090000000004</v>
      </c>
    </row>
    <row r="160" spans="1:15" ht="85" x14ac:dyDescent="0.2">
      <c r="A160" s="36" t="s">
        <v>1243</v>
      </c>
      <c r="B160" s="45" t="str">
        <f>VLOOKUP(Tabella13[[#This Row],[test_id]],experiments_specs!A:J,2,FALSE)</f>
        <v>NN,JJ,VB,VBD,VBG,VBN,VBP,VBZ</v>
      </c>
      <c r="C160" s="38">
        <f>VLOOKUP(Tabella13[[#This Row],[test_id]],experiments_specs!A:J,3,FALSE)</f>
        <v>0</v>
      </c>
      <c r="D160" s="38">
        <f>VLOOKUP(Tabella13[[#This Row],[test_id]],experiments_specs!A:J,4,FALSE)</f>
        <v>2</v>
      </c>
      <c r="E160" s="38" t="str">
        <f>VLOOKUP(Tabella13[[#This Row],[test_id]],experiments_specs!A:J,5,FALSE)</f>
        <v>True</v>
      </c>
      <c r="F160" s="38" t="str">
        <f>VLOOKUP(Tabella13[[#This Row],[test_id]],experiments_specs!A:J,6,FALSE)</f>
        <v>True</v>
      </c>
      <c r="G160" s="38" t="str">
        <f>VLOOKUP(Tabella13[[#This Row],[test_id]],experiments_specs!A:J,7,FALSE)</f>
        <v>True</v>
      </c>
      <c r="H160" s="38" t="str">
        <f>VLOOKUP(Tabella13[[#This Row],[test_id]],experiments_specs!A:J,8,FALSE)</f>
        <v>False</v>
      </c>
      <c r="I160" s="38" t="str">
        <f>VLOOKUP(Tabella13[[#This Row],[test_id]],experiments_specs!A:J,9,FALSE)</f>
        <v>wup_similarity</v>
      </c>
      <c r="J160" s="38" t="str">
        <f>VLOOKUP(Tabella13[[#This Row],[test_id]],experiments_specs!A:J,10,FALSE)</f>
        <v>False</v>
      </c>
      <c r="K160" s="40" t="s">
        <v>16</v>
      </c>
      <c r="L160" s="36" t="s">
        <v>1333</v>
      </c>
      <c r="M160" s="36" t="s">
        <v>1314</v>
      </c>
      <c r="N160" s="36">
        <v>1.76645E-2</v>
      </c>
      <c r="O160" s="36" t="s">
        <v>1432</v>
      </c>
    </row>
    <row r="161" spans="1:15" ht="85" x14ac:dyDescent="0.2">
      <c r="A161" s="36" t="s">
        <v>1243</v>
      </c>
      <c r="B161" s="45" t="str">
        <f>VLOOKUP(Tabella13[[#This Row],[test_id]],experiments_specs!A:J,2,FALSE)</f>
        <v>NN,JJ,VB,VBD,VBG,VBN,VBP,VBZ</v>
      </c>
      <c r="C161" s="38">
        <f>VLOOKUP(Tabella13[[#This Row],[test_id]],experiments_specs!A:J,3,FALSE)</f>
        <v>0</v>
      </c>
      <c r="D161" s="38">
        <f>VLOOKUP(Tabella13[[#This Row],[test_id]],experiments_specs!A:J,4,FALSE)</f>
        <v>2</v>
      </c>
      <c r="E161" s="38" t="str">
        <f>VLOOKUP(Tabella13[[#This Row],[test_id]],experiments_specs!A:J,5,FALSE)</f>
        <v>True</v>
      </c>
      <c r="F161" s="38" t="str">
        <f>VLOOKUP(Tabella13[[#This Row],[test_id]],experiments_specs!A:J,6,FALSE)</f>
        <v>True</v>
      </c>
      <c r="G161" s="38" t="str">
        <f>VLOOKUP(Tabella13[[#This Row],[test_id]],experiments_specs!A:J,7,FALSE)</f>
        <v>True</v>
      </c>
      <c r="H161" s="38" t="str">
        <f>VLOOKUP(Tabella13[[#This Row],[test_id]],experiments_specs!A:J,8,FALSE)</f>
        <v>False</v>
      </c>
      <c r="I161" s="38" t="str">
        <f>VLOOKUP(Tabella13[[#This Row],[test_id]],experiments_specs!A:J,9,FALSE)</f>
        <v>wup_similarity</v>
      </c>
      <c r="J161" s="38" t="str">
        <f>VLOOKUP(Tabella13[[#This Row],[test_id]],experiments_specs!A:J,10,FALSE)</f>
        <v>False</v>
      </c>
      <c r="K161" s="40" t="s">
        <v>17</v>
      </c>
      <c r="L161" s="36" t="s">
        <v>1341</v>
      </c>
      <c r="M161" s="36">
        <v>3</v>
      </c>
      <c r="N161" s="36">
        <v>2.1834699999999999E-2</v>
      </c>
      <c r="O161" s="36">
        <v>0.2</v>
      </c>
    </row>
    <row r="162" spans="1:15" ht="85" x14ac:dyDescent="0.2">
      <c r="A162" s="36" t="s">
        <v>1243</v>
      </c>
      <c r="B162" s="45" t="str">
        <f>VLOOKUP(Tabella13[[#This Row],[test_id]],experiments_specs!A:J,2,FALSE)</f>
        <v>NN,JJ,VB,VBD,VBG,VBN,VBP,VBZ</v>
      </c>
      <c r="C162" s="38">
        <f>VLOOKUP(Tabella13[[#This Row],[test_id]],experiments_specs!A:J,3,FALSE)</f>
        <v>0</v>
      </c>
      <c r="D162" s="38">
        <f>VLOOKUP(Tabella13[[#This Row],[test_id]],experiments_specs!A:J,4,FALSE)</f>
        <v>2</v>
      </c>
      <c r="E162" s="38" t="str">
        <f>VLOOKUP(Tabella13[[#This Row],[test_id]],experiments_specs!A:J,5,FALSE)</f>
        <v>True</v>
      </c>
      <c r="F162" s="38" t="str">
        <f>VLOOKUP(Tabella13[[#This Row],[test_id]],experiments_specs!A:J,6,FALSE)</f>
        <v>True</v>
      </c>
      <c r="G162" s="38" t="str">
        <f>VLOOKUP(Tabella13[[#This Row],[test_id]],experiments_specs!A:J,7,FALSE)</f>
        <v>True</v>
      </c>
      <c r="H162" s="38" t="str">
        <f>VLOOKUP(Tabella13[[#This Row],[test_id]],experiments_specs!A:J,8,FALSE)</f>
        <v>False</v>
      </c>
      <c r="I162" s="38" t="str">
        <f>VLOOKUP(Tabella13[[#This Row],[test_id]],experiments_specs!A:J,9,FALSE)</f>
        <v>wup_similarity</v>
      </c>
      <c r="J162" s="38" t="str">
        <f>VLOOKUP(Tabella13[[#This Row],[test_id]],experiments_specs!A:J,10,FALSE)</f>
        <v>False</v>
      </c>
      <c r="K162" s="40" t="s">
        <v>18</v>
      </c>
      <c r="L162" s="36" t="s">
        <v>45</v>
      </c>
      <c r="M162" s="36">
        <v>2</v>
      </c>
      <c r="N162" s="36">
        <v>8.1188000000000007E-3</v>
      </c>
      <c r="O162" s="36">
        <v>0.2105263</v>
      </c>
    </row>
    <row r="163" spans="1:15" ht="85" x14ac:dyDescent="0.2">
      <c r="A163" s="36" t="s">
        <v>1244</v>
      </c>
      <c r="B163" s="45" t="str">
        <f>VLOOKUP(Tabella13[[#This Row],[test_id]],experiments_specs!A:J,2,FALSE)</f>
        <v>NN,JJ,VB,VBD,VBG,VBN,VBP,VBZ</v>
      </c>
      <c r="C163" s="38">
        <f>VLOOKUP(Tabella13[[#This Row],[test_id]],experiments_specs!A:J,3,FALSE)</f>
        <v>0</v>
      </c>
      <c r="D163" s="38">
        <f>VLOOKUP(Tabella13[[#This Row],[test_id]],experiments_specs!A:J,4,FALSE)</f>
        <v>3</v>
      </c>
      <c r="E163" s="38" t="str">
        <f>VLOOKUP(Tabella13[[#This Row],[test_id]],experiments_specs!A:J,5,FALSE)</f>
        <v>True</v>
      </c>
      <c r="F163" s="38" t="str">
        <f>VLOOKUP(Tabella13[[#This Row],[test_id]],experiments_specs!A:J,6,FALSE)</f>
        <v>True</v>
      </c>
      <c r="G163" s="38" t="str">
        <f>VLOOKUP(Tabella13[[#This Row],[test_id]],experiments_specs!A:J,7,FALSE)</f>
        <v>True</v>
      </c>
      <c r="H163" s="38" t="str">
        <f>VLOOKUP(Tabella13[[#This Row],[test_id]],experiments_specs!A:J,8,FALSE)</f>
        <v>False</v>
      </c>
      <c r="I163" s="38" t="str">
        <f>VLOOKUP(Tabella13[[#This Row],[test_id]],experiments_specs!A:J,9,FALSE)</f>
        <v>wup_similarity</v>
      </c>
      <c r="J163" s="38" t="str">
        <f>VLOOKUP(Tabella13[[#This Row],[test_id]],experiments_specs!A:J,10,FALSE)</f>
        <v>False</v>
      </c>
      <c r="K163" s="40" t="s">
        <v>19</v>
      </c>
      <c r="L163" s="36" t="s">
        <v>1312</v>
      </c>
      <c r="M163" s="36" t="s">
        <v>1314</v>
      </c>
      <c r="N163" s="36">
        <v>1.97927E-2</v>
      </c>
      <c r="O163" s="36" t="s">
        <v>1434</v>
      </c>
    </row>
    <row r="164" spans="1:15" ht="85" x14ac:dyDescent="0.2">
      <c r="A164" s="36" t="s">
        <v>1244</v>
      </c>
      <c r="B164" s="45" t="str">
        <f>VLOOKUP(Tabella13[[#This Row],[test_id]],experiments_specs!A:J,2,FALSE)</f>
        <v>NN,JJ,VB,VBD,VBG,VBN,VBP,VBZ</v>
      </c>
      <c r="C164" s="38">
        <f>VLOOKUP(Tabella13[[#This Row],[test_id]],experiments_specs!A:J,3,FALSE)</f>
        <v>0</v>
      </c>
      <c r="D164" s="38">
        <f>VLOOKUP(Tabella13[[#This Row],[test_id]],experiments_specs!A:J,4,FALSE)</f>
        <v>3</v>
      </c>
      <c r="E164" s="38" t="str">
        <f>VLOOKUP(Tabella13[[#This Row],[test_id]],experiments_specs!A:J,5,FALSE)</f>
        <v>True</v>
      </c>
      <c r="F164" s="38" t="str">
        <f>VLOOKUP(Tabella13[[#This Row],[test_id]],experiments_specs!A:J,6,FALSE)</f>
        <v>True</v>
      </c>
      <c r="G164" s="38" t="str">
        <f>VLOOKUP(Tabella13[[#This Row],[test_id]],experiments_specs!A:J,7,FALSE)</f>
        <v>True</v>
      </c>
      <c r="H164" s="38" t="str">
        <f>VLOOKUP(Tabella13[[#This Row],[test_id]],experiments_specs!A:J,8,FALSE)</f>
        <v>False</v>
      </c>
      <c r="I164" s="38" t="str">
        <f>VLOOKUP(Tabella13[[#This Row],[test_id]],experiments_specs!A:J,9,FALSE)</f>
        <v>wup_similarity</v>
      </c>
      <c r="J164" s="38" t="str">
        <f>VLOOKUP(Tabella13[[#This Row],[test_id]],experiments_specs!A:J,10,FALSE)</f>
        <v>False</v>
      </c>
      <c r="K164" s="40" t="s">
        <v>12</v>
      </c>
      <c r="L164" s="36" t="s">
        <v>23</v>
      </c>
      <c r="M164" s="36">
        <v>2</v>
      </c>
      <c r="N164" s="36">
        <v>1.44145E-2</v>
      </c>
      <c r="O164" s="36">
        <v>0.42857139999999999</v>
      </c>
    </row>
    <row r="165" spans="1:15" ht="85" x14ac:dyDescent="0.2">
      <c r="A165" s="36" t="s">
        <v>1244</v>
      </c>
      <c r="B165" s="45" t="str">
        <f>VLOOKUP(Tabella13[[#This Row],[test_id]],experiments_specs!A:J,2,FALSE)</f>
        <v>NN,JJ,VB,VBD,VBG,VBN,VBP,VBZ</v>
      </c>
      <c r="C165" s="38">
        <f>VLOOKUP(Tabella13[[#This Row],[test_id]],experiments_specs!A:J,3,FALSE)</f>
        <v>0</v>
      </c>
      <c r="D165" s="38">
        <f>VLOOKUP(Tabella13[[#This Row],[test_id]],experiments_specs!A:J,4,FALSE)</f>
        <v>3</v>
      </c>
      <c r="E165" s="38" t="str">
        <f>VLOOKUP(Tabella13[[#This Row],[test_id]],experiments_specs!A:J,5,FALSE)</f>
        <v>True</v>
      </c>
      <c r="F165" s="38" t="str">
        <f>VLOOKUP(Tabella13[[#This Row],[test_id]],experiments_specs!A:J,6,FALSE)</f>
        <v>True</v>
      </c>
      <c r="G165" s="38" t="str">
        <f>VLOOKUP(Tabella13[[#This Row],[test_id]],experiments_specs!A:J,7,FALSE)</f>
        <v>True</v>
      </c>
      <c r="H165" s="38" t="str">
        <f>VLOOKUP(Tabella13[[#This Row],[test_id]],experiments_specs!A:J,8,FALSE)</f>
        <v>False</v>
      </c>
      <c r="I165" s="38" t="str">
        <f>VLOOKUP(Tabella13[[#This Row],[test_id]],experiments_specs!A:J,9,FALSE)</f>
        <v>wup_similarity</v>
      </c>
      <c r="J165" s="38" t="str">
        <f>VLOOKUP(Tabella13[[#This Row],[test_id]],experiments_specs!A:J,10,FALSE)</f>
        <v>False</v>
      </c>
      <c r="K165" s="40" t="s">
        <v>13</v>
      </c>
      <c r="L165" s="36" t="s">
        <v>398</v>
      </c>
      <c r="M165" s="36">
        <v>2</v>
      </c>
      <c r="N165" s="36">
        <v>1.7025100000000001E-2</v>
      </c>
      <c r="O165" s="36">
        <v>0.4</v>
      </c>
    </row>
    <row r="166" spans="1:15" ht="85" x14ac:dyDescent="0.2">
      <c r="A166" s="36" t="s">
        <v>1244</v>
      </c>
      <c r="B166" s="45" t="str">
        <f>VLOOKUP(Tabella13[[#This Row],[test_id]],experiments_specs!A:J,2,FALSE)</f>
        <v>NN,JJ,VB,VBD,VBG,VBN,VBP,VBZ</v>
      </c>
      <c r="C166" s="38">
        <f>VLOOKUP(Tabella13[[#This Row],[test_id]],experiments_specs!A:J,3,FALSE)</f>
        <v>0</v>
      </c>
      <c r="D166" s="38">
        <f>VLOOKUP(Tabella13[[#This Row],[test_id]],experiments_specs!A:J,4,FALSE)</f>
        <v>3</v>
      </c>
      <c r="E166" s="38" t="str">
        <f>VLOOKUP(Tabella13[[#This Row],[test_id]],experiments_specs!A:J,5,FALSE)</f>
        <v>True</v>
      </c>
      <c r="F166" s="38" t="str">
        <f>VLOOKUP(Tabella13[[#This Row],[test_id]],experiments_specs!A:J,6,FALSE)</f>
        <v>True</v>
      </c>
      <c r="G166" s="38" t="str">
        <f>VLOOKUP(Tabella13[[#This Row],[test_id]],experiments_specs!A:J,7,FALSE)</f>
        <v>True</v>
      </c>
      <c r="H166" s="38" t="str">
        <f>VLOOKUP(Tabella13[[#This Row],[test_id]],experiments_specs!A:J,8,FALSE)</f>
        <v>False</v>
      </c>
      <c r="I166" s="38" t="str">
        <f>VLOOKUP(Tabella13[[#This Row],[test_id]],experiments_specs!A:J,9,FALSE)</f>
        <v>wup_similarity</v>
      </c>
      <c r="J166" s="38" t="str">
        <f>VLOOKUP(Tabella13[[#This Row],[test_id]],experiments_specs!A:J,10,FALSE)</f>
        <v>False</v>
      </c>
      <c r="K166" s="40" t="s">
        <v>14</v>
      </c>
      <c r="L166" s="36" t="s">
        <v>1338</v>
      </c>
      <c r="M166" s="36" t="s">
        <v>1340</v>
      </c>
      <c r="N166" s="36">
        <v>8.5724000000000009E-3</v>
      </c>
      <c r="O166" s="36" t="s">
        <v>1442</v>
      </c>
    </row>
    <row r="167" spans="1:15" ht="85" x14ac:dyDescent="0.2">
      <c r="A167" s="36" t="s">
        <v>1244</v>
      </c>
      <c r="B167" s="45" t="str">
        <f>VLOOKUP(Tabella13[[#This Row],[test_id]],experiments_specs!A:J,2,FALSE)</f>
        <v>NN,JJ,VB,VBD,VBG,VBN,VBP,VBZ</v>
      </c>
      <c r="C167" s="38">
        <f>VLOOKUP(Tabella13[[#This Row],[test_id]],experiments_specs!A:J,3,FALSE)</f>
        <v>0</v>
      </c>
      <c r="D167" s="38">
        <f>VLOOKUP(Tabella13[[#This Row],[test_id]],experiments_specs!A:J,4,FALSE)</f>
        <v>3</v>
      </c>
      <c r="E167" s="38" t="str">
        <f>VLOOKUP(Tabella13[[#This Row],[test_id]],experiments_specs!A:J,5,FALSE)</f>
        <v>True</v>
      </c>
      <c r="F167" s="38" t="str">
        <f>VLOOKUP(Tabella13[[#This Row],[test_id]],experiments_specs!A:J,6,FALSE)</f>
        <v>True</v>
      </c>
      <c r="G167" s="38" t="str">
        <f>VLOOKUP(Tabella13[[#This Row],[test_id]],experiments_specs!A:J,7,FALSE)</f>
        <v>True</v>
      </c>
      <c r="H167" s="38" t="str">
        <f>VLOOKUP(Tabella13[[#This Row],[test_id]],experiments_specs!A:J,8,FALSE)</f>
        <v>False</v>
      </c>
      <c r="I167" s="38" t="str">
        <f>VLOOKUP(Tabella13[[#This Row],[test_id]],experiments_specs!A:J,9,FALSE)</f>
        <v>wup_similarity</v>
      </c>
      <c r="J167" s="38" t="str">
        <f>VLOOKUP(Tabella13[[#This Row],[test_id]],experiments_specs!A:J,10,FALSE)</f>
        <v>False</v>
      </c>
      <c r="K167" s="40" t="s">
        <v>15</v>
      </c>
      <c r="L167" s="36" t="s">
        <v>293</v>
      </c>
      <c r="M167" s="36">
        <v>1</v>
      </c>
      <c r="N167" s="36">
        <v>2.20863E-2</v>
      </c>
      <c r="O167" s="36">
        <v>0.90909090000000004</v>
      </c>
    </row>
    <row r="168" spans="1:15" ht="85" x14ac:dyDescent="0.2">
      <c r="A168" s="36" t="s">
        <v>1244</v>
      </c>
      <c r="B168" s="45" t="str">
        <f>VLOOKUP(Tabella13[[#This Row],[test_id]],experiments_specs!A:J,2,FALSE)</f>
        <v>NN,JJ,VB,VBD,VBG,VBN,VBP,VBZ</v>
      </c>
      <c r="C168" s="38">
        <f>VLOOKUP(Tabella13[[#This Row],[test_id]],experiments_specs!A:J,3,FALSE)</f>
        <v>0</v>
      </c>
      <c r="D168" s="38">
        <f>VLOOKUP(Tabella13[[#This Row],[test_id]],experiments_specs!A:J,4,FALSE)</f>
        <v>3</v>
      </c>
      <c r="E168" s="38" t="str">
        <f>VLOOKUP(Tabella13[[#This Row],[test_id]],experiments_specs!A:J,5,FALSE)</f>
        <v>True</v>
      </c>
      <c r="F168" s="38" t="str">
        <f>VLOOKUP(Tabella13[[#This Row],[test_id]],experiments_specs!A:J,6,FALSE)</f>
        <v>True</v>
      </c>
      <c r="G168" s="38" t="str">
        <f>VLOOKUP(Tabella13[[#This Row],[test_id]],experiments_specs!A:J,7,FALSE)</f>
        <v>True</v>
      </c>
      <c r="H168" s="38" t="str">
        <f>VLOOKUP(Tabella13[[#This Row],[test_id]],experiments_specs!A:J,8,FALSE)</f>
        <v>False</v>
      </c>
      <c r="I168" s="38" t="str">
        <f>VLOOKUP(Tabella13[[#This Row],[test_id]],experiments_specs!A:J,9,FALSE)</f>
        <v>wup_similarity</v>
      </c>
      <c r="J168" s="38" t="str">
        <f>VLOOKUP(Tabella13[[#This Row],[test_id]],experiments_specs!A:J,10,FALSE)</f>
        <v>False</v>
      </c>
      <c r="K168" s="40" t="s">
        <v>16</v>
      </c>
      <c r="L168" s="36" t="s">
        <v>1333</v>
      </c>
      <c r="M168" s="36" t="s">
        <v>1314</v>
      </c>
      <c r="N168" s="36">
        <v>1.76645E-2</v>
      </c>
      <c r="O168" s="36" t="s">
        <v>1432</v>
      </c>
    </row>
    <row r="169" spans="1:15" ht="85" x14ac:dyDescent="0.2">
      <c r="A169" s="36" t="s">
        <v>1244</v>
      </c>
      <c r="B169" s="45" t="str">
        <f>VLOOKUP(Tabella13[[#This Row],[test_id]],experiments_specs!A:J,2,FALSE)</f>
        <v>NN,JJ,VB,VBD,VBG,VBN,VBP,VBZ</v>
      </c>
      <c r="C169" s="38">
        <f>VLOOKUP(Tabella13[[#This Row],[test_id]],experiments_specs!A:J,3,FALSE)</f>
        <v>0</v>
      </c>
      <c r="D169" s="38">
        <f>VLOOKUP(Tabella13[[#This Row],[test_id]],experiments_specs!A:J,4,FALSE)</f>
        <v>3</v>
      </c>
      <c r="E169" s="38" t="str">
        <f>VLOOKUP(Tabella13[[#This Row],[test_id]],experiments_specs!A:J,5,FALSE)</f>
        <v>True</v>
      </c>
      <c r="F169" s="38" t="str">
        <f>VLOOKUP(Tabella13[[#This Row],[test_id]],experiments_specs!A:J,6,FALSE)</f>
        <v>True</v>
      </c>
      <c r="G169" s="38" t="str">
        <f>VLOOKUP(Tabella13[[#This Row],[test_id]],experiments_specs!A:J,7,FALSE)</f>
        <v>True</v>
      </c>
      <c r="H169" s="38" t="str">
        <f>VLOOKUP(Tabella13[[#This Row],[test_id]],experiments_specs!A:J,8,FALSE)</f>
        <v>False</v>
      </c>
      <c r="I169" s="38" t="str">
        <f>VLOOKUP(Tabella13[[#This Row],[test_id]],experiments_specs!A:J,9,FALSE)</f>
        <v>wup_similarity</v>
      </c>
      <c r="J169" s="38" t="str">
        <f>VLOOKUP(Tabella13[[#This Row],[test_id]],experiments_specs!A:J,10,FALSE)</f>
        <v>False</v>
      </c>
      <c r="K169" s="40" t="s">
        <v>17</v>
      </c>
      <c r="L169" s="36" t="s">
        <v>1341</v>
      </c>
      <c r="M169" s="36">
        <v>3</v>
      </c>
      <c r="N169" s="36">
        <v>2.1834699999999999E-2</v>
      </c>
      <c r="O169" s="36">
        <v>0.2</v>
      </c>
    </row>
    <row r="170" spans="1:15" ht="85" x14ac:dyDescent="0.2">
      <c r="A170" s="36" t="s">
        <v>1244</v>
      </c>
      <c r="B170" s="45" t="str">
        <f>VLOOKUP(Tabella13[[#This Row],[test_id]],experiments_specs!A:J,2,FALSE)</f>
        <v>NN,JJ,VB,VBD,VBG,VBN,VBP,VBZ</v>
      </c>
      <c r="C170" s="38">
        <f>VLOOKUP(Tabella13[[#This Row],[test_id]],experiments_specs!A:J,3,FALSE)</f>
        <v>0</v>
      </c>
      <c r="D170" s="38">
        <f>VLOOKUP(Tabella13[[#This Row],[test_id]],experiments_specs!A:J,4,FALSE)</f>
        <v>3</v>
      </c>
      <c r="E170" s="38" t="str">
        <f>VLOOKUP(Tabella13[[#This Row],[test_id]],experiments_specs!A:J,5,FALSE)</f>
        <v>True</v>
      </c>
      <c r="F170" s="38" t="str">
        <f>VLOOKUP(Tabella13[[#This Row],[test_id]],experiments_specs!A:J,6,FALSE)</f>
        <v>True</v>
      </c>
      <c r="G170" s="38" t="str">
        <f>VLOOKUP(Tabella13[[#This Row],[test_id]],experiments_specs!A:J,7,FALSE)</f>
        <v>True</v>
      </c>
      <c r="H170" s="38" t="str">
        <f>VLOOKUP(Tabella13[[#This Row],[test_id]],experiments_specs!A:J,8,FALSE)</f>
        <v>False</v>
      </c>
      <c r="I170" s="38" t="str">
        <f>VLOOKUP(Tabella13[[#This Row],[test_id]],experiments_specs!A:J,9,FALSE)</f>
        <v>wup_similarity</v>
      </c>
      <c r="J170" s="38" t="str">
        <f>VLOOKUP(Tabella13[[#This Row],[test_id]],experiments_specs!A:J,10,FALSE)</f>
        <v>False</v>
      </c>
      <c r="K170" s="40" t="s">
        <v>18</v>
      </c>
      <c r="L170" s="36" t="s">
        <v>45</v>
      </c>
      <c r="M170" s="36">
        <v>2</v>
      </c>
      <c r="N170" s="36">
        <v>8.1188000000000007E-3</v>
      </c>
      <c r="O170" s="36">
        <v>0.2105263</v>
      </c>
    </row>
    <row r="171" spans="1:15" ht="85" x14ac:dyDescent="0.2">
      <c r="A171" s="36" t="s">
        <v>1245</v>
      </c>
      <c r="B171" s="45" t="str">
        <f>VLOOKUP(Tabella13[[#This Row],[test_id]],experiments_specs!A:J,2,FALSE)</f>
        <v>NN,JJ</v>
      </c>
      <c r="C171" s="38">
        <f>VLOOKUP(Tabella13[[#This Row],[test_id]],experiments_specs!A:J,3,FALSE)</f>
        <v>0</v>
      </c>
      <c r="D171" s="38">
        <f>VLOOKUP(Tabella13[[#This Row],[test_id]],experiments_specs!A:J,4,FALSE)</f>
        <v>2</v>
      </c>
      <c r="E171" s="38" t="str">
        <f>VLOOKUP(Tabella13[[#This Row],[test_id]],experiments_specs!A:J,5,FALSE)</f>
        <v>False</v>
      </c>
      <c r="F171" s="38" t="str">
        <f>VLOOKUP(Tabella13[[#This Row],[test_id]],experiments_specs!A:J,6,FALSE)</f>
        <v>True</v>
      </c>
      <c r="G171" s="38" t="str">
        <f>VLOOKUP(Tabella13[[#This Row],[test_id]],experiments_specs!A:J,7,FALSE)</f>
        <v>True</v>
      </c>
      <c r="H171" s="38" t="str">
        <f>VLOOKUP(Tabella13[[#This Row],[test_id]],experiments_specs!A:J,8,FALSE)</f>
        <v>False</v>
      </c>
      <c r="I171" s="38" t="str">
        <f>VLOOKUP(Tabella13[[#This Row],[test_id]],experiments_specs!A:J,9,FALSE)</f>
        <v>wup_similarity</v>
      </c>
      <c r="J171" s="38" t="str">
        <f>VLOOKUP(Tabella13[[#This Row],[test_id]],experiments_specs!A:J,10,FALSE)</f>
        <v>True</v>
      </c>
      <c r="K171" s="40" t="s">
        <v>19</v>
      </c>
      <c r="L171" s="36" t="s">
        <v>1312</v>
      </c>
      <c r="M171" s="36" t="s">
        <v>1314</v>
      </c>
      <c r="N171" s="36">
        <v>2.8078999999999999E-3</v>
      </c>
      <c r="O171" s="36" t="s">
        <v>1434</v>
      </c>
    </row>
    <row r="172" spans="1:15" ht="85" x14ac:dyDescent="0.2">
      <c r="A172" s="36" t="s">
        <v>1245</v>
      </c>
      <c r="B172" s="45" t="str">
        <f>VLOOKUP(Tabella13[[#This Row],[test_id]],experiments_specs!A:J,2,FALSE)</f>
        <v>NN,JJ</v>
      </c>
      <c r="C172" s="38">
        <f>VLOOKUP(Tabella13[[#This Row],[test_id]],experiments_specs!A:J,3,FALSE)</f>
        <v>0</v>
      </c>
      <c r="D172" s="38">
        <f>VLOOKUP(Tabella13[[#This Row],[test_id]],experiments_specs!A:J,4,FALSE)</f>
        <v>2</v>
      </c>
      <c r="E172" s="38" t="str">
        <f>VLOOKUP(Tabella13[[#This Row],[test_id]],experiments_specs!A:J,5,FALSE)</f>
        <v>False</v>
      </c>
      <c r="F172" s="38" t="str">
        <f>VLOOKUP(Tabella13[[#This Row],[test_id]],experiments_specs!A:J,6,FALSE)</f>
        <v>True</v>
      </c>
      <c r="G172" s="38" t="str">
        <f>VLOOKUP(Tabella13[[#This Row],[test_id]],experiments_specs!A:J,7,FALSE)</f>
        <v>True</v>
      </c>
      <c r="H172" s="38" t="str">
        <f>VLOOKUP(Tabella13[[#This Row],[test_id]],experiments_specs!A:J,8,FALSE)</f>
        <v>False</v>
      </c>
      <c r="I172" s="38" t="str">
        <f>VLOOKUP(Tabella13[[#This Row],[test_id]],experiments_specs!A:J,9,FALSE)</f>
        <v>wup_similarity</v>
      </c>
      <c r="J172" s="38" t="str">
        <f>VLOOKUP(Tabella13[[#This Row],[test_id]],experiments_specs!A:J,10,FALSE)</f>
        <v>True</v>
      </c>
      <c r="K172" s="40" t="s">
        <v>12</v>
      </c>
      <c r="L172" s="36" t="s">
        <v>1336</v>
      </c>
      <c r="M172" s="36">
        <v>4</v>
      </c>
      <c r="N172" s="36">
        <v>4.0683000000000004E-3</v>
      </c>
      <c r="O172" s="36">
        <v>0.25</v>
      </c>
    </row>
    <row r="173" spans="1:15" ht="85" x14ac:dyDescent="0.2">
      <c r="A173" s="36" t="s">
        <v>1245</v>
      </c>
      <c r="B173" s="45" t="str">
        <f>VLOOKUP(Tabella13[[#This Row],[test_id]],experiments_specs!A:J,2,FALSE)</f>
        <v>NN,JJ</v>
      </c>
      <c r="C173" s="38">
        <f>VLOOKUP(Tabella13[[#This Row],[test_id]],experiments_specs!A:J,3,FALSE)</f>
        <v>0</v>
      </c>
      <c r="D173" s="38">
        <f>VLOOKUP(Tabella13[[#This Row],[test_id]],experiments_specs!A:J,4,FALSE)</f>
        <v>2</v>
      </c>
      <c r="E173" s="38" t="str">
        <f>VLOOKUP(Tabella13[[#This Row],[test_id]],experiments_specs!A:J,5,FALSE)</f>
        <v>False</v>
      </c>
      <c r="F173" s="38" t="str">
        <f>VLOOKUP(Tabella13[[#This Row],[test_id]],experiments_specs!A:J,6,FALSE)</f>
        <v>True</v>
      </c>
      <c r="G173" s="38" t="str">
        <f>VLOOKUP(Tabella13[[#This Row],[test_id]],experiments_specs!A:J,7,FALSE)</f>
        <v>True</v>
      </c>
      <c r="H173" s="38" t="str">
        <f>VLOOKUP(Tabella13[[#This Row],[test_id]],experiments_specs!A:J,8,FALSE)</f>
        <v>False</v>
      </c>
      <c r="I173" s="38" t="str">
        <f>VLOOKUP(Tabella13[[#This Row],[test_id]],experiments_specs!A:J,9,FALSE)</f>
        <v>wup_similarity</v>
      </c>
      <c r="J173" s="38" t="str">
        <f>VLOOKUP(Tabella13[[#This Row],[test_id]],experiments_specs!A:J,10,FALSE)</f>
        <v>True</v>
      </c>
      <c r="K173" s="40" t="s">
        <v>13</v>
      </c>
      <c r="L173" s="36" t="s">
        <v>1317</v>
      </c>
      <c r="M173" s="36">
        <v>3</v>
      </c>
      <c r="N173" s="36">
        <v>6.9794999999999996E-3</v>
      </c>
      <c r="O173" s="36" t="s">
        <v>25</v>
      </c>
    </row>
    <row r="174" spans="1:15" ht="85" x14ac:dyDescent="0.2">
      <c r="A174" s="36" t="s">
        <v>1245</v>
      </c>
      <c r="B174" s="45" t="str">
        <f>VLOOKUP(Tabella13[[#This Row],[test_id]],experiments_specs!A:J,2,FALSE)</f>
        <v>NN,JJ</v>
      </c>
      <c r="C174" s="38">
        <f>VLOOKUP(Tabella13[[#This Row],[test_id]],experiments_specs!A:J,3,FALSE)</f>
        <v>0</v>
      </c>
      <c r="D174" s="38">
        <f>VLOOKUP(Tabella13[[#This Row],[test_id]],experiments_specs!A:J,4,FALSE)</f>
        <v>2</v>
      </c>
      <c r="E174" s="38" t="str">
        <f>VLOOKUP(Tabella13[[#This Row],[test_id]],experiments_specs!A:J,5,FALSE)</f>
        <v>False</v>
      </c>
      <c r="F174" s="38" t="str">
        <f>VLOOKUP(Tabella13[[#This Row],[test_id]],experiments_specs!A:J,6,FALSE)</f>
        <v>True</v>
      </c>
      <c r="G174" s="38" t="str">
        <f>VLOOKUP(Tabella13[[#This Row],[test_id]],experiments_specs!A:J,7,FALSE)</f>
        <v>True</v>
      </c>
      <c r="H174" s="38" t="str">
        <f>VLOOKUP(Tabella13[[#This Row],[test_id]],experiments_specs!A:J,8,FALSE)</f>
        <v>False</v>
      </c>
      <c r="I174" s="38" t="str">
        <f>VLOOKUP(Tabella13[[#This Row],[test_id]],experiments_specs!A:J,9,FALSE)</f>
        <v>wup_similarity</v>
      </c>
      <c r="J174" s="38" t="str">
        <f>VLOOKUP(Tabella13[[#This Row],[test_id]],experiments_specs!A:J,10,FALSE)</f>
        <v>True</v>
      </c>
      <c r="K174" s="40" t="s">
        <v>14</v>
      </c>
      <c r="L174" s="36" t="s">
        <v>1319</v>
      </c>
      <c r="M174" s="36" t="s">
        <v>1314</v>
      </c>
      <c r="N174" s="36">
        <v>3.2247E-3</v>
      </c>
      <c r="O174" s="36" t="s">
        <v>1436</v>
      </c>
    </row>
    <row r="175" spans="1:15" ht="85" x14ac:dyDescent="0.2">
      <c r="A175" s="36" t="s">
        <v>1245</v>
      </c>
      <c r="B175" s="45" t="str">
        <f>VLOOKUP(Tabella13[[#This Row],[test_id]],experiments_specs!A:J,2,FALSE)</f>
        <v>NN,JJ</v>
      </c>
      <c r="C175" s="38">
        <f>VLOOKUP(Tabella13[[#This Row],[test_id]],experiments_specs!A:J,3,FALSE)</f>
        <v>0</v>
      </c>
      <c r="D175" s="38">
        <f>VLOOKUP(Tabella13[[#This Row],[test_id]],experiments_specs!A:J,4,FALSE)</f>
        <v>2</v>
      </c>
      <c r="E175" s="38" t="str">
        <f>VLOOKUP(Tabella13[[#This Row],[test_id]],experiments_specs!A:J,5,FALSE)</f>
        <v>False</v>
      </c>
      <c r="F175" s="38" t="str">
        <f>VLOOKUP(Tabella13[[#This Row],[test_id]],experiments_specs!A:J,6,FALSE)</f>
        <v>True</v>
      </c>
      <c r="G175" s="38" t="str">
        <f>VLOOKUP(Tabella13[[#This Row],[test_id]],experiments_specs!A:J,7,FALSE)</f>
        <v>True</v>
      </c>
      <c r="H175" s="38" t="str">
        <f>VLOOKUP(Tabella13[[#This Row],[test_id]],experiments_specs!A:J,8,FALSE)</f>
        <v>False</v>
      </c>
      <c r="I175" s="38" t="str">
        <f>VLOOKUP(Tabella13[[#This Row],[test_id]],experiments_specs!A:J,9,FALSE)</f>
        <v>wup_similarity</v>
      </c>
      <c r="J175" s="38" t="str">
        <f>VLOOKUP(Tabella13[[#This Row],[test_id]],experiments_specs!A:J,10,FALSE)</f>
        <v>True</v>
      </c>
      <c r="K175" s="40" t="s">
        <v>15</v>
      </c>
      <c r="L175" s="36" t="s">
        <v>293</v>
      </c>
      <c r="M175" s="36">
        <v>1</v>
      </c>
      <c r="N175" s="36">
        <v>4.5773999999999997E-3</v>
      </c>
      <c r="O175" s="36">
        <v>0.90909090000000004</v>
      </c>
    </row>
    <row r="176" spans="1:15" ht="85" x14ac:dyDescent="0.2">
      <c r="A176" s="36" t="s">
        <v>1245</v>
      </c>
      <c r="B176" s="45" t="str">
        <f>VLOOKUP(Tabella13[[#This Row],[test_id]],experiments_specs!A:J,2,FALSE)</f>
        <v>NN,JJ</v>
      </c>
      <c r="C176" s="38">
        <f>VLOOKUP(Tabella13[[#This Row],[test_id]],experiments_specs!A:J,3,FALSE)</f>
        <v>0</v>
      </c>
      <c r="D176" s="38">
        <f>VLOOKUP(Tabella13[[#This Row],[test_id]],experiments_specs!A:J,4,FALSE)</f>
        <v>2</v>
      </c>
      <c r="E176" s="38" t="str">
        <f>VLOOKUP(Tabella13[[#This Row],[test_id]],experiments_specs!A:J,5,FALSE)</f>
        <v>False</v>
      </c>
      <c r="F176" s="38" t="str">
        <f>VLOOKUP(Tabella13[[#This Row],[test_id]],experiments_specs!A:J,6,FALSE)</f>
        <v>True</v>
      </c>
      <c r="G176" s="38" t="str">
        <f>VLOOKUP(Tabella13[[#This Row],[test_id]],experiments_specs!A:J,7,FALSE)</f>
        <v>True</v>
      </c>
      <c r="H176" s="38" t="str">
        <f>VLOOKUP(Tabella13[[#This Row],[test_id]],experiments_specs!A:J,8,FALSE)</f>
        <v>False</v>
      </c>
      <c r="I176" s="38" t="str">
        <f>VLOOKUP(Tabella13[[#This Row],[test_id]],experiments_specs!A:J,9,FALSE)</f>
        <v>wup_similarity</v>
      </c>
      <c r="J176" s="38" t="str">
        <f>VLOOKUP(Tabella13[[#This Row],[test_id]],experiments_specs!A:J,10,FALSE)</f>
        <v>True</v>
      </c>
      <c r="K176" s="40" t="s">
        <v>16</v>
      </c>
      <c r="L176" s="36" t="s">
        <v>209</v>
      </c>
      <c r="M176" s="36">
        <v>2</v>
      </c>
      <c r="N176" s="36">
        <v>2.9521999999999999E-3</v>
      </c>
      <c r="O176" s="36">
        <v>0.55555549999999998</v>
      </c>
    </row>
    <row r="177" spans="1:15" ht="85" x14ac:dyDescent="0.2">
      <c r="A177" s="36" t="s">
        <v>1245</v>
      </c>
      <c r="B177" s="45" t="str">
        <f>VLOOKUP(Tabella13[[#This Row],[test_id]],experiments_specs!A:J,2,FALSE)</f>
        <v>NN,JJ</v>
      </c>
      <c r="C177" s="38">
        <f>VLOOKUP(Tabella13[[#This Row],[test_id]],experiments_specs!A:J,3,FALSE)</f>
        <v>0</v>
      </c>
      <c r="D177" s="38">
        <f>VLOOKUP(Tabella13[[#This Row],[test_id]],experiments_specs!A:J,4,FALSE)</f>
        <v>2</v>
      </c>
      <c r="E177" s="38" t="str">
        <f>VLOOKUP(Tabella13[[#This Row],[test_id]],experiments_specs!A:J,5,FALSE)</f>
        <v>False</v>
      </c>
      <c r="F177" s="38" t="str">
        <f>VLOOKUP(Tabella13[[#This Row],[test_id]],experiments_specs!A:J,6,FALSE)</f>
        <v>True</v>
      </c>
      <c r="G177" s="38" t="str">
        <f>VLOOKUP(Tabella13[[#This Row],[test_id]],experiments_specs!A:J,7,FALSE)</f>
        <v>True</v>
      </c>
      <c r="H177" s="38" t="str">
        <f>VLOOKUP(Tabella13[[#This Row],[test_id]],experiments_specs!A:J,8,FALSE)</f>
        <v>False</v>
      </c>
      <c r="I177" s="38" t="str">
        <f>VLOOKUP(Tabella13[[#This Row],[test_id]],experiments_specs!A:J,9,FALSE)</f>
        <v>wup_similarity</v>
      </c>
      <c r="J177" s="38" t="str">
        <f>VLOOKUP(Tabella13[[#This Row],[test_id]],experiments_specs!A:J,10,FALSE)</f>
        <v>True</v>
      </c>
      <c r="K177" s="40" t="s">
        <v>17</v>
      </c>
      <c r="L177" s="36" t="s">
        <v>219</v>
      </c>
      <c r="M177" s="36">
        <v>2</v>
      </c>
      <c r="N177" s="36">
        <v>2.7277E-3</v>
      </c>
      <c r="O177" s="36">
        <v>0.13333329999999999</v>
      </c>
    </row>
    <row r="178" spans="1:15" ht="85" x14ac:dyDescent="0.2">
      <c r="A178" s="36" t="s">
        <v>1245</v>
      </c>
      <c r="B178" s="45" t="str">
        <f>VLOOKUP(Tabella13[[#This Row],[test_id]],experiments_specs!A:J,2,FALSE)</f>
        <v>NN,JJ</v>
      </c>
      <c r="C178" s="38">
        <f>VLOOKUP(Tabella13[[#This Row],[test_id]],experiments_specs!A:J,3,FALSE)</f>
        <v>0</v>
      </c>
      <c r="D178" s="38">
        <f>VLOOKUP(Tabella13[[#This Row],[test_id]],experiments_specs!A:J,4,FALSE)</f>
        <v>2</v>
      </c>
      <c r="E178" s="38" t="str">
        <f>VLOOKUP(Tabella13[[#This Row],[test_id]],experiments_specs!A:J,5,FALSE)</f>
        <v>False</v>
      </c>
      <c r="F178" s="38" t="str">
        <f>VLOOKUP(Tabella13[[#This Row],[test_id]],experiments_specs!A:J,6,FALSE)</f>
        <v>True</v>
      </c>
      <c r="G178" s="38" t="str">
        <f>VLOOKUP(Tabella13[[#This Row],[test_id]],experiments_specs!A:J,7,FALSE)</f>
        <v>True</v>
      </c>
      <c r="H178" s="38" t="str">
        <f>VLOOKUP(Tabella13[[#This Row],[test_id]],experiments_specs!A:J,8,FALSE)</f>
        <v>False</v>
      </c>
      <c r="I178" s="38" t="str">
        <f>VLOOKUP(Tabella13[[#This Row],[test_id]],experiments_specs!A:J,9,FALSE)</f>
        <v>wup_similarity</v>
      </c>
      <c r="J178" s="38" t="str">
        <f>VLOOKUP(Tabella13[[#This Row],[test_id]],experiments_specs!A:J,10,FALSE)</f>
        <v>True</v>
      </c>
      <c r="K178" s="40" t="s">
        <v>18</v>
      </c>
      <c r="L178" s="36" t="s">
        <v>1323</v>
      </c>
      <c r="M178" s="36" t="s">
        <v>1314</v>
      </c>
      <c r="N178" s="36">
        <v>2.2725000000000002E-3</v>
      </c>
      <c r="O178" s="36" t="s">
        <v>1438</v>
      </c>
    </row>
    <row r="179" spans="1:15" ht="85" x14ac:dyDescent="0.2">
      <c r="A179" s="36" t="s">
        <v>1246</v>
      </c>
      <c r="B179" s="45" t="str">
        <f>VLOOKUP(Tabella13[[#This Row],[test_id]],experiments_specs!A:J,2,FALSE)</f>
        <v>NN,JJ</v>
      </c>
      <c r="C179" s="38">
        <f>VLOOKUP(Tabella13[[#This Row],[test_id]],experiments_specs!A:J,3,FALSE)</f>
        <v>0</v>
      </c>
      <c r="D179" s="38">
        <f>VLOOKUP(Tabella13[[#This Row],[test_id]],experiments_specs!A:J,4,FALSE)</f>
        <v>3</v>
      </c>
      <c r="E179" s="38" t="str">
        <f>VLOOKUP(Tabella13[[#This Row],[test_id]],experiments_specs!A:J,5,FALSE)</f>
        <v>True</v>
      </c>
      <c r="F179" s="38" t="str">
        <f>VLOOKUP(Tabella13[[#This Row],[test_id]],experiments_specs!A:J,6,FALSE)</f>
        <v>True</v>
      </c>
      <c r="G179" s="38" t="str">
        <f>VLOOKUP(Tabella13[[#This Row],[test_id]],experiments_specs!A:J,7,FALSE)</f>
        <v>True</v>
      </c>
      <c r="H179" s="38" t="str">
        <f>VLOOKUP(Tabella13[[#This Row],[test_id]],experiments_specs!A:J,8,FALSE)</f>
        <v>False</v>
      </c>
      <c r="I179" s="38" t="str">
        <f>VLOOKUP(Tabella13[[#This Row],[test_id]],experiments_specs!A:J,9,FALSE)</f>
        <v>wup_similarity</v>
      </c>
      <c r="J179" s="38" t="str">
        <f>VLOOKUP(Tabella13[[#This Row],[test_id]],experiments_specs!A:J,10,FALSE)</f>
        <v>True</v>
      </c>
      <c r="K179" s="40" t="s">
        <v>19</v>
      </c>
      <c r="L179" s="36" t="s">
        <v>1312</v>
      </c>
      <c r="M179" s="36" t="s">
        <v>1314</v>
      </c>
      <c r="N179" s="36">
        <v>2.7982799999999999E-2</v>
      </c>
      <c r="O179" s="36" t="s">
        <v>1434</v>
      </c>
    </row>
    <row r="180" spans="1:15" ht="85" x14ac:dyDescent="0.2">
      <c r="A180" s="36" t="s">
        <v>1246</v>
      </c>
      <c r="B180" s="45" t="str">
        <f>VLOOKUP(Tabella13[[#This Row],[test_id]],experiments_specs!A:J,2,FALSE)</f>
        <v>NN,JJ</v>
      </c>
      <c r="C180" s="38">
        <f>VLOOKUP(Tabella13[[#This Row],[test_id]],experiments_specs!A:J,3,FALSE)</f>
        <v>0</v>
      </c>
      <c r="D180" s="38">
        <f>VLOOKUP(Tabella13[[#This Row],[test_id]],experiments_specs!A:J,4,FALSE)</f>
        <v>3</v>
      </c>
      <c r="E180" s="38" t="str">
        <f>VLOOKUP(Tabella13[[#This Row],[test_id]],experiments_specs!A:J,5,FALSE)</f>
        <v>True</v>
      </c>
      <c r="F180" s="38" t="str">
        <f>VLOOKUP(Tabella13[[#This Row],[test_id]],experiments_specs!A:J,6,FALSE)</f>
        <v>True</v>
      </c>
      <c r="G180" s="38" t="str">
        <f>VLOOKUP(Tabella13[[#This Row],[test_id]],experiments_specs!A:J,7,FALSE)</f>
        <v>True</v>
      </c>
      <c r="H180" s="38" t="str">
        <f>VLOOKUP(Tabella13[[#This Row],[test_id]],experiments_specs!A:J,8,FALSE)</f>
        <v>False</v>
      </c>
      <c r="I180" s="38" t="str">
        <f>VLOOKUP(Tabella13[[#This Row],[test_id]],experiments_specs!A:J,9,FALSE)</f>
        <v>wup_similarity</v>
      </c>
      <c r="J180" s="38" t="str">
        <f>VLOOKUP(Tabella13[[#This Row],[test_id]],experiments_specs!A:J,10,FALSE)</f>
        <v>True</v>
      </c>
      <c r="K180" s="40" t="s">
        <v>12</v>
      </c>
      <c r="L180" s="36" t="s">
        <v>23</v>
      </c>
      <c r="M180" s="36">
        <v>2</v>
      </c>
      <c r="N180" s="36">
        <v>3.1449900000000003E-2</v>
      </c>
      <c r="O180" s="36">
        <v>0.42857139999999999</v>
      </c>
    </row>
    <row r="181" spans="1:15" ht="85" x14ac:dyDescent="0.2">
      <c r="A181" s="36" t="s">
        <v>1246</v>
      </c>
      <c r="B181" s="45" t="str">
        <f>VLOOKUP(Tabella13[[#This Row],[test_id]],experiments_specs!A:J,2,FALSE)</f>
        <v>NN,JJ</v>
      </c>
      <c r="C181" s="38">
        <f>VLOOKUP(Tabella13[[#This Row],[test_id]],experiments_specs!A:J,3,FALSE)</f>
        <v>0</v>
      </c>
      <c r="D181" s="38">
        <f>VLOOKUP(Tabella13[[#This Row],[test_id]],experiments_specs!A:J,4,FALSE)</f>
        <v>3</v>
      </c>
      <c r="E181" s="38" t="str">
        <f>VLOOKUP(Tabella13[[#This Row],[test_id]],experiments_specs!A:J,5,FALSE)</f>
        <v>True</v>
      </c>
      <c r="F181" s="38" t="str">
        <f>VLOOKUP(Tabella13[[#This Row],[test_id]],experiments_specs!A:J,6,FALSE)</f>
        <v>True</v>
      </c>
      <c r="G181" s="38" t="str">
        <f>VLOOKUP(Tabella13[[#This Row],[test_id]],experiments_specs!A:J,7,FALSE)</f>
        <v>True</v>
      </c>
      <c r="H181" s="38" t="str">
        <f>VLOOKUP(Tabella13[[#This Row],[test_id]],experiments_specs!A:J,8,FALSE)</f>
        <v>False</v>
      </c>
      <c r="I181" s="38" t="str">
        <f>VLOOKUP(Tabella13[[#This Row],[test_id]],experiments_specs!A:J,9,FALSE)</f>
        <v>wup_similarity</v>
      </c>
      <c r="J181" s="38" t="str">
        <f>VLOOKUP(Tabella13[[#This Row],[test_id]],experiments_specs!A:J,10,FALSE)</f>
        <v>True</v>
      </c>
      <c r="K181" s="40" t="s">
        <v>13</v>
      </c>
      <c r="L181" s="36" t="s">
        <v>327</v>
      </c>
      <c r="M181" s="36">
        <v>2</v>
      </c>
      <c r="N181" s="36">
        <v>2.4573600000000001E-2</v>
      </c>
      <c r="O181" s="36" t="s">
        <v>25</v>
      </c>
    </row>
    <row r="182" spans="1:15" ht="85" x14ac:dyDescent="0.2">
      <c r="A182" s="36" t="s">
        <v>1246</v>
      </c>
      <c r="B182" s="45" t="str">
        <f>VLOOKUP(Tabella13[[#This Row],[test_id]],experiments_specs!A:J,2,FALSE)</f>
        <v>NN,JJ</v>
      </c>
      <c r="C182" s="38">
        <f>VLOOKUP(Tabella13[[#This Row],[test_id]],experiments_specs!A:J,3,FALSE)</f>
        <v>0</v>
      </c>
      <c r="D182" s="38">
        <f>VLOOKUP(Tabella13[[#This Row],[test_id]],experiments_specs!A:J,4,FALSE)</f>
        <v>3</v>
      </c>
      <c r="E182" s="38" t="str">
        <f>VLOOKUP(Tabella13[[#This Row],[test_id]],experiments_specs!A:J,5,FALSE)</f>
        <v>True</v>
      </c>
      <c r="F182" s="38" t="str">
        <f>VLOOKUP(Tabella13[[#This Row],[test_id]],experiments_specs!A:J,6,FALSE)</f>
        <v>True</v>
      </c>
      <c r="G182" s="38" t="str">
        <f>VLOOKUP(Tabella13[[#This Row],[test_id]],experiments_specs!A:J,7,FALSE)</f>
        <v>True</v>
      </c>
      <c r="H182" s="38" t="str">
        <f>VLOOKUP(Tabella13[[#This Row],[test_id]],experiments_specs!A:J,8,FALSE)</f>
        <v>False</v>
      </c>
      <c r="I182" s="38" t="str">
        <f>VLOOKUP(Tabella13[[#This Row],[test_id]],experiments_specs!A:J,9,FALSE)</f>
        <v>wup_similarity</v>
      </c>
      <c r="J182" s="38" t="str">
        <f>VLOOKUP(Tabella13[[#This Row],[test_id]],experiments_specs!A:J,10,FALSE)</f>
        <v>True</v>
      </c>
      <c r="K182" s="40" t="s">
        <v>14</v>
      </c>
      <c r="L182" s="36" t="s">
        <v>1338</v>
      </c>
      <c r="M182" s="36" t="s">
        <v>1340</v>
      </c>
      <c r="N182" s="36">
        <v>1.24689E-2</v>
      </c>
      <c r="O182" s="36" t="s">
        <v>1442</v>
      </c>
    </row>
    <row r="183" spans="1:15" ht="85" x14ac:dyDescent="0.2">
      <c r="A183" s="36" t="s">
        <v>1246</v>
      </c>
      <c r="B183" s="45" t="str">
        <f>VLOOKUP(Tabella13[[#This Row],[test_id]],experiments_specs!A:J,2,FALSE)</f>
        <v>NN,JJ</v>
      </c>
      <c r="C183" s="38">
        <f>VLOOKUP(Tabella13[[#This Row],[test_id]],experiments_specs!A:J,3,FALSE)</f>
        <v>0</v>
      </c>
      <c r="D183" s="38">
        <f>VLOOKUP(Tabella13[[#This Row],[test_id]],experiments_specs!A:J,4,FALSE)</f>
        <v>3</v>
      </c>
      <c r="E183" s="38" t="str">
        <f>VLOOKUP(Tabella13[[#This Row],[test_id]],experiments_specs!A:J,5,FALSE)</f>
        <v>True</v>
      </c>
      <c r="F183" s="38" t="str">
        <f>VLOOKUP(Tabella13[[#This Row],[test_id]],experiments_specs!A:J,6,FALSE)</f>
        <v>True</v>
      </c>
      <c r="G183" s="38" t="str">
        <f>VLOOKUP(Tabella13[[#This Row],[test_id]],experiments_specs!A:J,7,FALSE)</f>
        <v>True</v>
      </c>
      <c r="H183" s="38" t="str">
        <f>VLOOKUP(Tabella13[[#This Row],[test_id]],experiments_specs!A:J,8,FALSE)</f>
        <v>False</v>
      </c>
      <c r="I183" s="38" t="str">
        <f>VLOOKUP(Tabella13[[#This Row],[test_id]],experiments_specs!A:J,9,FALSE)</f>
        <v>wup_similarity</v>
      </c>
      <c r="J183" s="38" t="str">
        <f>VLOOKUP(Tabella13[[#This Row],[test_id]],experiments_specs!A:J,10,FALSE)</f>
        <v>True</v>
      </c>
      <c r="K183" s="40" t="s">
        <v>15</v>
      </c>
      <c r="L183" s="36" t="s">
        <v>293</v>
      </c>
      <c r="M183" s="36">
        <v>1</v>
      </c>
      <c r="N183" s="36">
        <v>4.4172599999999999E-2</v>
      </c>
      <c r="O183" s="36">
        <v>0.90909090000000004</v>
      </c>
    </row>
    <row r="184" spans="1:15" ht="85" x14ac:dyDescent="0.2">
      <c r="A184" s="36" t="s">
        <v>1246</v>
      </c>
      <c r="B184" s="45" t="str">
        <f>VLOOKUP(Tabella13[[#This Row],[test_id]],experiments_specs!A:J,2,FALSE)</f>
        <v>NN,JJ</v>
      </c>
      <c r="C184" s="38">
        <f>VLOOKUP(Tabella13[[#This Row],[test_id]],experiments_specs!A:J,3,FALSE)</f>
        <v>0</v>
      </c>
      <c r="D184" s="38">
        <f>VLOOKUP(Tabella13[[#This Row],[test_id]],experiments_specs!A:J,4,FALSE)</f>
        <v>3</v>
      </c>
      <c r="E184" s="38" t="str">
        <f>VLOOKUP(Tabella13[[#This Row],[test_id]],experiments_specs!A:J,5,FALSE)</f>
        <v>True</v>
      </c>
      <c r="F184" s="38" t="str">
        <f>VLOOKUP(Tabella13[[#This Row],[test_id]],experiments_specs!A:J,6,FALSE)</f>
        <v>True</v>
      </c>
      <c r="G184" s="38" t="str">
        <f>VLOOKUP(Tabella13[[#This Row],[test_id]],experiments_specs!A:J,7,FALSE)</f>
        <v>True</v>
      </c>
      <c r="H184" s="38" t="str">
        <f>VLOOKUP(Tabella13[[#This Row],[test_id]],experiments_specs!A:J,8,FALSE)</f>
        <v>False</v>
      </c>
      <c r="I184" s="38" t="str">
        <f>VLOOKUP(Tabella13[[#This Row],[test_id]],experiments_specs!A:J,9,FALSE)</f>
        <v>wup_similarity</v>
      </c>
      <c r="J184" s="38" t="str">
        <f>VLOOKUP(Tabella13[[#This Row],[test_id]],experiments_specs!A:J,10,FALSE)</f>
        <v>True</v>
      </c>
      <c r="K184" s="40" t="s">
        <v>16</v>
      </c>
      <c r="L184" s="36" t="s">
        <v>1333</v>
      </c>
      <c r="M184" s="36" t="s">
        <v>1314</v>
      </c>
      <c r="N184" s="36">
        <v>1.91366E-2</v>
      </c>
      <c r="O184" s="36" t="s">
        <v>1432</v>
      </c>
    </row>
    <row r="185" spans="1:15" ht="85" x14ac:dyDescent="0.2">
      <c r="A185" s="36" t="s">
        <v>1246</v>
      </c>
      <c r="B185" s="45" t="str">
        <f>VLOOKUP(Tabella13[[#This Row],[test_id]],experiments_specs!A:J,2,FALSE)</f>
        <v>NN,JJ</v>
      </c>
      <c r="C185" s="38">
        <f>VLOOKUP(Tabella13[[#This Row],[test_id]],experiments_specs!A:J,3,FALSE)</f>
        <v>0</v>
      </c>
      <c r="D185" s="38">
        <f>VLOOKUP(Tabella13[[#This Row],[test_id]],experiments_specs!A:J,4,FALSE)</f>
        <v>3</v>
      </c>
      <c r="E185" s="38" t="str">
        <f>VLOOKUP(Tabella13[[#This Row],[test_id]],experiments_specs!A:J,5,FALSE)</f>
        <v>True</v>
      </c>
      <c r="F185" s="38" t="str">
        <f>VLOOKUP(Tabella13[[#This Row],[test_id]],experiments_specs!A:J,6,FALSE)</f>
        <v>True</v>
      </c>
      <c r="G185" s="38" t="str">
        <f>VLOOKUP(Tabella13[[#This Row],[test_id]],experiments_specs!A:J,7,FALSE)</f>
        <v>True</v>
      </c>
      <c r="H185" s="38" t="str">
        <f>VLOOKUP(Tabella13[[#This Row],[test_id]],experiments_specs!A:J,8,FALSE)</f>
        <v>False</v>
      </c>
      <c r="I185" s="38" t="str">
        <f>VLOOKUP(Tabella13[[#This Row],[test_id]],experiments_specs!A:J,9,FALSE)</f>
        <v>wup_similarity</v>
      </c>
      <c r="J185" s="38" t="str">
        <f>VLOOKUP(Tabella13[[#This Row],[test_id]],experiments_specs!A:J,10,FALSE)</f>
        <v>True</v>
      </c>
      <c r="K185" s="40" t="s">
        <v>17</v>
      </c>
      <c r="L185" s="36" t="s">
        <v>1335</v>
      </c>
      <c r="M185" s="36" t="s">
        <v>1314</v>
      </c>
      <c r="N185" s="36">
        <v>2.0997999999999999E-2</v>
      </c>
      <c r="O185" s="36" t="s">
        <v>1440</v>
      </c>
    </row>
    <row r="186" spans="1:15" ht="85" x14ac:dyDescent="0.2">
      <c r="A186" s="36" t="s">
        <v>1246</v>
      </c>
      <c r="B186" s="45" t="str">
        <f>VLOOKUP(Tabella13[[#This Row],[test_id]],experiments_specs!A:J,2,FALSE)</f>
        <v>NN,JJ</v>
      </c>
      <c r="C186" s="38">
        <f>VLOOKUP(Tabella13[[#This Row],[test_id]],experiments_specs!A:J,3,FALSE)</f>
        <v>0</v>
      </c>
      <c r="D186" s="38">
        <f>VLOOKUP(Tabella13[[#This Row],[test_id]],experiments_specs!A:J,4,FALSE)</f>
        <v>3</v>
      </c>
      <c r="E186" s="38" t="str">
        <f>VLOOKUP(Tabella13[[#This Row],[test_id]],experiments_specs!A:J,5,FALSE)</f>
        <v>True</v>
      </c>
      <c r="F186" s="38" t="str">
        <f>VLOOKUP(Tabella13[[#This Row],[test_id]],experiments_specs!A:J,6,FALSE)</f>
        <v>True</v>
      </c>
      <c r="G186" s="38" t="str">
        <f>VLOOKUP(Tabella13[[#This Row],[test_id]],experiments_specs!A:J,7,FALSE)</f>
        <v>True</v>
      </c>
      <c r="H186" s="38" t="str">
        <f>VLOOKUP(Tabella13[[#This Row],[test_id]],experiments_specs!A:J,8,FALSE)</f>
        <v>False</v>
      </c>
      <c r="I186" s="38" t="str">
        <f>VLOOKUP(Tabella13[[#This Row],[test_id]],experiments_specs!A:J,9,FALSE)</f>
        <v>wup_similarity</v>
      </c>
      <c r="J186" s="38" t="str">
        <f>VLOOKUP(Tabella13[[#This Row],[test_id]],experiments_specs!A:J,10,FALSE)</f>
        <v>True</v>
      </c>
      <c r="K186" s="40" t="s">
        <v>18</v>
      </c>
      <c r="L186" s="36" t="s">
        <v>45</v>
      </c>
      <c r="M186" s="36">
        <v>2</v>
      </c>
      <c r="N186" s="36">
        <v>1.7334800000000001E-2</v>
      </c>
      <c r="O186" s="36">
        <v>0.2105263</v>
      </c>
    </row>
    <row r="187" spans="1:15" ht="85" x14ac:dyDescent="0.2">
      <c r="A187" s="36" t="s">
        <v>1247</v>
      </c>
      <c r="B187" s="45" t="str">
        <f>VLOOKUP(Tabella13[[#This Row],[test_id]],experiments_specs!A:J,2,FALSE)</f>
        <v>NN,VB,VBD,VBG,VBN,VBP,VBZ</v>
      </c>
      <c r="C187" s="38">
        <f>VLOOKUP(Tabella13[[#This Row],[test_id]],experiments_specs!A:J,3,FALSE)</f>
        <v>0</v>
      </c>
      <c r="D187" s="38">
        <f>VLOOKUP(Tabella13[[#This Row],[test_id]],experiments_specs!A:J,4,FALSE)</f>
        <v>2</v>
      </c>
      <c r="E187" s="38" t="str">
        <f>VLOOKUP(Tabella13[[#This Row],[test_id]],experiments_specs!A:J,5,FALSE)</f>
        <v>True</v>
      </c>
      <c r="F187" s="38" t="str">
        <f>VLOOKUP(Tabella13[[#This Row],[test_id]],experiments_specs!A:J,6,FALSE)</f>
        <v>True</v>
      </c>
      <c r="G187" s="38" t="str">
        <f>VLOOKUP(Tabella13[[#This Row],[test_id]],experiments_specs!A:J,7,FALSE)</f>
        <v>True</v>
      </c>
      <c r="H187" s="38" t="str">
        <f>VLOOKUP(Tabella13[[#This Row],[test_id]],experiments_specs!A:J,8,FALSE)</f>
        <v>False</v>
      </c>
      <c r="I187" s="38" t="str">
        <f>VLOOKUP(Tabella13[[#This Row],[test_id]],experiments_specs!A:J,9,FALSE)</f>
        <v>wup_similarity</v>
      </c>
      <c r="J187" s="38" t="str">
        <f>VLOOKUP(Tabella13[[#This Row],[test_id]],experiments_specs!A:J,10,FALSE)</f>
        <v>True</v>
      </c>
      <c r="K187" s="40" t="s">
        <v>19</v>
      </c>
      <c r="L187" s="36" t="s">
        <v>226</v>
      </c>
      <c r="M187" s="36">
        <v>4</v>
      </c>
      <c r="N187" s="36">
        <v>3.52827E-2</v>
      </c>
      <c r="O187" s="36">
        <v>0.17391300000000001</v>
      </c>
    </row>
    <row r="188" spans="1:15" ht="85" x14ac:dyDescent="0.2">
      <c r="A188" s="36" t="s">
        <v>1247</v>
      </c>
      <c r="B188" s="45" t="str">
        <f>VLOOKUP(Tabella13[[#This Row],[test_id]],experiments_specs!A:J,2,FALSE)</f>
        <v>NN,VB,VBD,VBG,VBN,VBP,VBZ</v>
      </c>
      <c r="C188" s="38">
        <f>VLOOKUP(Tabella13[[#This Row],[test_id]],experiments_specs!A:J,3,FALSE)</f>
        <v>0</v>
      </c>
      <c r="D188" s="38">
        <f>VLOOKUP(Tabella13[[#This Row],[test_id]],experiments_specs!A:J,4,FALSE)</f>
        <v>2</v>
      </c>
      <c r="E188" s="38" t="str">
        <f>VLOOKUP(Tabella13[[#This Row],[test_id]],experiments_specs!A:J,5,FALSE)</f>
        <v>True</v>
      </c>
      <c r="F188" s="38" t="str">
        <f>VLOOKUP(Tabella13[[#This Row],[test_id]],experiments_specs!A:J,6,FALSE)</f>
        <v>True</v>
      </c>
      <c r="G188" s="38" t="str">
        <f>VLOOKUP(Tabella13[[#This Row],[test_id]],experiments_specs!A:J,7,FALSE)</f>
        <v>True</v>
      </c>
      <c r="H188" s="38" t="str">
        <f>VLOOKUP(Tabella13[[#This Row],[test_id]],experiments_specs!A:J,8,FALSE)</f>
        <v>False</v>
      </c>
      <c r="I188" s="38" t="str">
        <f>VLOOKUP(Tabella13[[#This Row],[test_id]],experiments_specs!A:J,9,FALSE)</f>
        <v>wup_similarity</v>
      </c>
      <c r="J188" s="38" t="str">
        <f>VLOOKUP(Tabella13[[#This Row],[test_id]],experiments_specs!A:J,10,FALSE)</f>
        <v>True</v>
      </c>
      <c r="K188" s="40" t="s">
        <v>12</v>
      </c>
      <c r="L188" s="36" t="s">
        <v>23</v>
      </c>
      <c r="M188" s="36">
        <v>2</v>
      </c>
      <c r="N188" s="36">
        <v>2.76759E-2</v>
      </c>
      <c r="O188" s="36">
        <v>0.42857139999999999</v>
      </c>
    </row>
    <row r="189" spans="1:15" ht="85" x14ac:dyDescent="0.2">
      <c r="A189" s="36" t="s">
        <v>1247</v>
      </c>
      <c r="B189" s="45" t="str">
        <f>VLOOKUP(Tabella13[[#This Row],[test_id]],experiments_specs!A:J,2,FALSE)</f>
        <v>NN,VB,VBD,VBG,VBN,VBP,VBZ</v>
      </c>
      <c r="C189" s="38">
        <f>VLOOKUP(Tabella13[[#This Row],[test_id]],experiments_specs!A:J,3,FALSE)</f>
        <v>0</v>
      </c>
      <c r="D189" s="38">
        <f>VLOOKUP(Tabella13[[#This Row],[test_id]],experiments_specs!A:J,4,FALSE)</f>
        <v>2</v>
      </c>
      <c r="E189" s="38" t="str">
        <f>VLOOKUP(Tabella13[[#This Row],[test_id]],experiments_specs!A:J,5,FALSE)</f>
        <v>True</v>
      </c>
      <c r="F189" s="38" t="str">
        <f>VLOOKUP(Tabella13[[#This Row],[test_id]],experiments_specs!A:J,6,FALSE)</f>
        <v>True</v>
      </c>
      <c r="G189" s="38" t="str">
        <f>VLOOKUP(Tabella13[[#This Row],[test_id]],experiments_specs!A:J,7,FALSE)</f>
        <v>True</v>
      </c>
      <c r="H189" s="38" t="str">
        <f>VLOOKUP(Tabella13[[#This Row],[test_id]],experiments_specs!A:J,8,FALSE)</f>
        <v>False</v>
      </c>
      <c r="I189" s="38" t="str">
        <f>VLOOKUP(Tabella13[[#This Row],[test_id]],experiments_specs!A:J,9,FALSE)</f>
        <v>wup_similarity</v>
      </c>
      <c r="J189" s="38" t="str">
        <f>VLOOKUP(Tabella13[[#This Row],[test_id]],experiments_specs!A:J,10,FALSE)</f>
        <v>True</v>
      </c>
      <c r="K189" s="40" t="s">
        <v>13</v>
      </c>
      <c r="L189" s="36" t="s">
        <v>327</v>
      </c>
      <c r="M189" s="36">
        <v>2</v>
      </c>
      <c r="N189" s="36">
        <v>2.4573600000000001E-2</v>
      </c>
      <c r="O189" s="36" t="s">
        <v>25</v>
      </c>
    </row>
    <row r="190" spans="1:15" ht="85" x14ac:dyDescent="0.2">
      <c r="A190" s="36" t="s">
        <v>1247</v>
      </c>
      <c r="B190" s="45" t="str">
        <f>VLOOKUP(Tabella13[[#This Row],[test_id]],experiments_specs!A:J,2,FALSE)</f>
        <v>NN,VB,VBD,VBG,VBN,VBP,VBZ</v>
      </c>
      <c r="C190" s="38">
        <f>VLOOKUP(Tabella13[[#This Row],[test_id]],experiments_specs!A:J,3,FALSE)</f>
        <v>0</v>
      </c>
      <c r="D190" s="38">
        <f>VLOOKUP(Tabella13[[#This Row],[test_id]],experiments_specs!A:J,4,FALSE)</f>
        <v>2</v>
      </c>
      <c r="E190" s="38" t="str">
        <f>VLOOKUP(Tabella13[[#This Row],[test_id]],experiments_specs!A:J,5,FALSE)</f>
        <v>True</v>
      </c>
      <c r="F190" s="38" t="str">
        <f>VLOOKUP(Tabella13[[#This Row],[test_id]],experiments_specs!A:J,6,FALSE)</f>
        <v>True</v>
      </c>
      <c r="G190" s="38" t="str">
        <f>VLOOKUP(Tabella13[[#This Row],[test_id]],experiments_specs!A:J,7,FALSE)</f>
        <v>True</v>
      </c>
      <c r="H190" s="38" t="str">
        <f>VLOOKUP(Tabella13[[#This Row],[test_id]],experiments_specs!A:J,8,FALSE)</f>
        <v>False</v>
      </c>
      <c r="I190" s="38" t="str">
        <f>VLOOKUP(Tabella13[[#This Row],[test_id]],experiments_specs!A:J,9,FALSE)</f>
        <v>wup_similarity</v>
      </c>
      <c r="J190" s="38" t="str">
        <f>VLOOKUP(Tabella13[[#This Row],[test_id]],experiments_specs!A:J,10,FALSE)</f>
        <v>True</v>
      </c>
      <c r="K190" s="40" t="s">
        <v>14</v>
      </c>
      <c r="L190" s="36" t="s">
        <v>1338</v>
      </c>
      <c r="M190" s="36" t="s">
        <v>1340</v>
      </c>
      <c r="N190" s="36">
        <v>1.21022E-2</v>
      </c>
      <c r="O190" s="36" t="s">
        <v>1442</v>
      </c>
    </row>
    <row r="191" spans="1:15" ht="85" x14ac:dyDescent="0.2">
      <c r="A191" s="36" t="s">
        <v>1247</v>
      </c>
      <c r="B191" s="45" t="str">
        <f>VLOOKUP(Tabella13[[#This Row],[test_id]],experiments_specs!A:J,2,FALSE)</f>
        <v>NN,VB,VBD,VBG,VBN,VBP,VBZ</v>
      </c>
      <c r="C191" s="38">
        <f>VLOOKUP(Tabella13[[#This Row],[test_id]],experiments_specs!A:J,3,FALSE)</f>
        <v>0</v>
      </c>
      <c r="D191" s="38">
        <f>VLOOKUP(Tabella13[[#This Row],[test_id]],experiments_specs!A:J,4,FALSE)</f>
        <v>2</v>
      </c>
      <c r="E191" s="38" t="str">
        <f>VLOOKUP(Tabella13[[#This Row],[test_id]],experiments_specs!A:J,5,FALSE)</f>
        <v>True</v>
      </c>
      <c r="F191" s="38" t="str">
        <f>VLOOKUP(Tabella13[[#This Row],[test_id]],experiments_specs!A:J,6,FALSE)</f>
        <v>True</v>
      </c>
      <c r="G191" s="38" t="str">
        <f>VLOOKUP(Tabella13[[#This Row],[test_id]],experiments_specs!A:J,7,FALSE)</f>
        <v>True</v>
      </c>
      <c r="H191" s="38" t="str">
        <f>VLOOKUP(Tabella13[[#This Row],[test_id]],experiments_specs!A:J,8,FALSE)</f>
        <v>False</v>
      </c>
      <c r="I191" s="38" t="str">
        <f>VLOOKUP(Tabella13[[#This Row],[test_id]],experiments_specs!A:J,9,FALSE)</f>
        <v>wup_similarity</v>
      </c>
      <c r="J191" s="38" t="str">
        <f>VLOOKUP(Tabella13[[#This Row],[test_id]],experiments_specs!A:J,10,FALSE)</f>
        <v>True</v>
      </c>
      <c r="K191" s="40" t="s">
        <v>15</v>
      </c>
      <c r="L191" s="36" t="s">
        <v>27</v>
      </c>
      <c r="M191" s="36">
        <v>2</v>
      </c>
      <c r="N191" s="36">
        <v>1.7352599999999999E-2</v>
      </c>
      <c r="O191" s="36">
        <v>0.1666666</v>
      </c>
    </row>
    <row r="192" spans="1:15" ht="85" x14ac:dyDescent="0.2">
      <c r="A192" s="36" t="s">
        <v>1247</v>
      </c>
      <c r="B192" s="45" t="str">
        <f>VLOOKUP(Tabella13[[#This Row],[test_id]],experiments_specs!A:J,2,FALSE)</f>
        <v>NN,VB,VBD,VBG,VBN,VBP,VBZ</v>
      </c>
      <c r="C192" s="38">
        <f>VLOOKUP(Tabella13[[#This Row],[test_id]],experiments_specs!A:J,3,FALSE)</f>
        <v>0</v>
      </c>
      <c r="D192" s="38">
        <f>VLOOKUP(Tabella13[[#This Row],[test_id]],experiments_specs!A:J,4,FALSE)</f>
        <v>2</v>
      </c>
      <c r="E192" s="38" t="str">
        <f>VLOOKUP(Tabella13[[#This Row],[test_id]],experiments_specs!A:J,5,FALSE)</f>
        <v>True</v>
      </c>
      <c r="F192" s="38" t="str">
        <f>VLOOKUP(Tabella13[[#This Row],[test_id]],experiments_specs!A:J,6,FALSE)</f>
        <v>True</v>
      </c>
      <c r="G192" s="38" t="str">
        <f>VLOOKUP(Tabella13[[#This Row],[test_id]],experiments_specs!A:J,7,FALSE)</f>
        <v>True</v>
      </c>
      <c r="H192" s="38" t="str">
        <f>VLOOKUP(Tabella13[[#This Row],[test_id]],experiments_specs!A:J,8,FALSE)</f>
        <v>False</v>
      </c>
      <c r="I192" s="38" t="str">
        <f>VLOOKUP(Tabella13[[#This Row],[test_id]],experiments_specs!A:J,9,FALSE)</f>
        <v>wup_similarity</v>
      </c>
      <c r="J192" s="38" t="str">
        <f>VLOOKUP(Tabella13[[#This Row],[test_id]],experiments_specs!A:J,10,FALSE)</f>
        <v>True</v>
      </c>
      <c r="K192" s="40" t="s">
        <v>16</v>
      </c>
      <c r="L192" s="36" t="s">
        <v>1333</v>
      </c>
      <c r="M192" s="36" t="s">
        <v>1314</v>
      </c>
      <c r="N192" s="36">
        <v>2.55155E-2</v>
      </c>
      <c r="O192" s="36" t="s">
        <v>1432</v>
      </c>
    </row>
    <row r="193" spans="1:15" ht="85" x14ac:dyDescent="0.2">
      <c r="A193" s="36" t="s">
        <v>1247</v>
      </c>
      <c r="B193" s="45" t="str">
        <f>VLOOKUP(Tabella13[[#This Row],[test_id]],experiments_specs!A:J,2,FALSE)</f>
        <v>NN,VB,VBD,VBG,VBN,VBP,VBZ</v>
      </c>
      <c r="C193" s="38">
        <f>VLOOKUP(Tabella13[[#This Row],[test_id]],experiments_specs!A:J,3,FALSE)</f>
        <v>0</v>
      </c>
      <c r="D193" s="38">
        <f>VLOOKUP(Tabella13[[#This Row],[test_id]],experiments_specs!A:J,4,FALSE)</f>
        <v>2</v>
      </c>
      <c r="E193" s="38" t="str">
        <f>VLOOKUP(Tabella13[[#This Row],[test_id]],experiments_specs!A:J,5,FALSE)</f>
        <v>True</v>
      </c>
      <c r="F193" s="38" t="str">
        <f>VLOOKUP(Tabella13[[#This Row],[test_id]],experiments_specs!A:J,6,FALSE)</f>
        <v>True</v>
      </c>
      <c r="G193" s="38" t="str">
        <f>VLOOKUP(Tabella13[[#This Row],[test_id]],experiments_specs!A:J,7,FALSE)</f>
        <v>True</v>
      </c>
      <c r="H193" s="38" t="str">
        <f>VLOOKUP(Tabella13[[#This Row],[test_id]],experiments_specs!A:J,8,FALSE)</f>
        <v>False</v>
      </c>
      <c r="I193" s="38" t="str">
        <f>VLOOKUP(Tabella13[[#This Row],[test_id]],experiments_specs!A:J,9,FALSE)</f>
        <v>wup_similarity</v>
      </c>
      <c r="J193" s="38" t="str">
        <f>VLOOKUP(Tabella13[[#This Row],[test_id]],experiments_specs!A:J,10,FALSE)</f>
        <v>True</v>
      </c>
      <c r="K193" s="40" t="s">
        <v>17</v>
      </c>
      <c r="L193" s="36" t="s">
        <v>1335</v>
      </c>
      <c r="M193" s="36" t="s">
        <v>1314</v>
      </c>
      <c r="N193" s="36">
        <v>1.88982E-2</v>
      </c>
      <c r="O193" s="36" t="s">
        <v>1440</v>
      </c>
    </row>
    <row r="194" spans="1:15" ht="85" x14ac:dyDescent="0.2">
      <c r="A194" s="36" t="s">
        <v>1247</v>
      </c>
      <c r="B194" s="45" t="str">
        <f>VLOOKUP(Tabella13[[#This Row],[test_id]],experiments_specs!A:J,2,FALSE)</f>
        <v>NN,VB,VBD,VBG,VBN,VBP,VBZ</v>
      </c>
      <c r="C194" s="38">
        <f>VLOOKUP(Tabella13[[#This Row],[test_id]],experiments_specs!A:J,3,FALSE)</f>
        <v>0</v>
      </c>
      <c r="D194" s="38">
        <f>VLOOKUP(Tabella13[[#This Row],[test_id]],experiments_specs!A:J,4,FALSE)</f>
        <v>2</v>
      </c>
      <c r="E194" s="38" t="str">
        <f>VLOOKUP(Tabella13[[#This Row],[test_id]],experiments_specs!A:J,5,FALSE)</f>
        <v>True</v>
      </c>
      <c r="F194" s="38" t="str">
        <f>VLOOKUP(Tabella13[[#This Row],[test_id]],experiments_specs!A:J,6,FALSE)</f>
        <v>True</v>
      </c>
      <c r="G194" s="38" t="str">
        <f>VLOOKUP(Tabella13[[#This Row],[test_id]],experiments_specs!A:J,7,FALSE)</f>
        <v>True</v>
      </c>
      <c r="H194" s="38" t="str">
        <f>VLOOKUP(Tabella13[[#This Row],[test_id]],experiments_specs!A:J,8,FALSE)</f>
        <v>False</v>
      </c>
      <c r="I194" s="38" t="str">
        <f>VLOOKUP(Tabella13[[#This Row],[test_id]],experiments_specs!A:J,9,FALSE)</f>
        <v>wup_similarity</v>
      </c>
      <c r="J194" s="38" t="str">
        <f>VLOOKUP(Tabella13[[#This Row],[test_id]],experiments_specs!A:J,10,FALSE)</f>
        <v>True</v>
      </c>
      <c r="K194" s="40" t="s">
        <v>18</v>
      </c>
      <c r="L194" s="36" t="s">
        <v>45</v>
      </c>
      <c r="M194" s="36">
        <v>2</v>
      </c>
      <c r="N194" s="36">
        <v>1.3362199999999999E-2</v>
      </c>
      <c r="O194" s="36">
        <v>0.2105263</v>
      </c>
    </row>
    <row r="195" spans="1:15" ht="85" x14ac:dyDescent="0.2">
      <c r="A195" s="36" t="s">
        <v>1248</v>
      </c>
      <c r="B195" s="45" t="str">
        <f>VLOOKUP(Tabella13[[#This Row],[test_id]],experiments_specs!A:J,2,FALSE)</f>
        <v>NN,VB,VBD,VBG,VBN,VBP,VBZ</v>
      </c>
      <c r="C195" s="38">
        <f>VLOOKUP(Tabella13[[#This Row],[test_id]],experiments_specs!A:J,3,FALSE)</f>
        <v>0</v>
      </c>
      <c r="D195" s="38">
        <f>VLOOKUP(Tabella13[[#This Row],[test_id]],experiments_specs!A:J,4,FALSE)</f>
        <v>3</v>
      </c>
      <c r="E195" s="38" t="str">
        <f>VLOOKUP(Tabella13[[#This Row],[test_id]],experiments_specs!A:J,5,FALSE)</f>
        <v>True</v>
      </c>
      <c r="F195" s="38" t="str">
        <f>VLOOKUP(Tabella13[[#This Row],[test_id]],experiments_specs!A:J,6,FALSE)</f>
        <v>True</v>
      </c>
      <c r="G195" s="38" t="str">
        <f>VLOOKUP(Tabella13[[#This Row],[test_id]],experiments_specs!A:J,7,FALSE)</f>
        <v>True</v>
      </c>
      <c r="H195" s="38" t="str">
        <f>VLOOKUP(Tabella13[[#This Row],[test_id]],experiments_specs!A:J,8,FALSE)</f>
        <v>False</v>
      </c>
      <c r="I195" s="38" t="str">
        <f>VLOOKUP(Tabella13[[#This Row],[test_id]],experiments_specs!A:J,9,FALSE)</f>
        <v>wup_similarity</v>
      </c>
      <c r="J195" s="38" t="str">
        <f>VLOOKUP(Tabella13[[#This Row],[test_id]],experiments_specs!A:J,10,FALSE)</f>
        <v>True</v>
      </c>
      <c r="K195" s="40" t="s">
        <v>19</v>
      </c>
      <c r="L195" s="36" t="s">
        <v>226</v>
      </c>
      <c r="M195" s="36">
        <v>4</v>
      </c>
      <c r="N195" s="36">
        <v>3.52827E-2</v>
      </c>
      <c r="O195" s="36">
        <v>0.17391300000000001</v>
      </c>
    </row>
    <row r="196" spans="1:15" ht="85" x14ac:dyDescent="0.2">
      <c r="A196" s="36" t="s">
        <v>1248</v>
      </c>
      <c r="B196" s="45" t="str">
        <f>VLOOKUP(Tabella13[[#This Row],[test_id]],experiments_specs!A:J,2,FALSE)</f>
        <v>NN,VB,VBD,VBG,VBN,VBP,VBZ</v>
      </c>
      <c r="C196" s="38">
        <f>VLOOKUP(Tabella13[[#This Row],[test_id]],experiments_specs!A:J,3,FALSE)</f>
        <v>0</v>
      </c>
      <c r="D196" s="38">
        <f>VLOOKUP(Tabella13[[#This Row],[test_id]],experiments_specs!A:J,4,FALSE)</f>
        <v>3</v>
      </c>
      <c r="E196" s="38" t="str">
        <f>VLOOKUP(Tabella13[[#This Row],[test_id]],experiments_specs!A:J,5,FALSE)</f>
        <v>True</v>
      </c>
      <c r="F196" s="38" t="str">
        <f>VLOOKUP(Tabella13[[#This Row],[test_id]],experiments_specs!A:J,6,FALSE)</f>
        <v>True</v>
      </c>
      <c r="G196" s="38" t="str">
        <f>VLOOKUP(Tabella13[[#This Row],[test_id]],experiments_specs!A:J,7,FALSE)</f>
        <v>True</v>
      </c>
      <c r="H196" s="38" t="str">
        <f>VLOOKUP(Tabella13[[#This Row],[test_id]],experiments_specs!A:J,8,FALSE)</f>
        <v>False</v>
      </c>
      <c r="I196" s="38" t="str">
        <f>VLOOKUP(Tabella13[[#This Row],[test_id]],experiments_specs!A:J,9,FALSE)</f>
        <v>wup_similarity</v>
      </c>
      <c r="J196" s="38" t="str">
        <f>VLOOKUP(Tabella13[[#This Row],[test_id]],experiments_specs!A:J,10,FALSE)</f>
        <v>True</v>
      </c>
      <c r="K196" s="40" t="s">
        <v>12</v>
      </c>
      <c r="L196" s="36" t="s">
        <v>23</v>
      </c>
      <c r="M196" s="36">
        <v>2</v>
      </c>
      <c r="N196" s="36">
        <v>2.76759E-2</v>
      </c>
      <c r="O196" s="36">
        <v>0.42857139999999999</v>
      </c>
    </row>
    <row r="197" spans="1:15" ht="85" x14ac:dyDescent="0.2">
      <c r="A197" s="36" t="s">
        <v>1248</v>
      </c>
      <c r="B197" s="45" t="str">
        <f>VLOOKUP(Tabella13[[#This Row],[test_id]],experiments_specs!A:J,2,FALSE)</f>
        <v>NN,VB,VBD,VBG,VBN,VBP,VBZ</v>
      </c>
      <c r="C197" s="38">
        <f>VLOOKUP(Tabella13[[#This Row],[test_id]],experiments_specs!A:J,3,FALSE)</f>
        <v>0</v>
      </c>
      <c r="D197" s="38">
        <f>VLOOKUP(Tabella13[[#This Row],[test_id]],experiments_specs!A:J,4,FALSE)</f>
        <v>3</v>
      </c>
      <c r="E197" s="38" t="str">
        <f>VLOOKUP(Tabella13[[#This Row],[test_id]],experiments_specs!A:J,5,FALSE)</f>
        <v>True</v>
      </c>
      <c r="F197" s="38" t="str">
        <f>VLOOKUP(Tabella13[[#This Row],[test_id]],experiments_specs!A:J,6,FALSE)</f>
        <v>True</v>
      </c>
      <c r="G197" s="38" t="str">
        <f>VLOOKUP(Tabella13[[#This Row],[test_id]],experiments_specs!A:J,7,FALSE)</f>
        <v>True</v>
      </c>
      <c r="H197" s="38" t="str">
        <f>VLOOKUP(Tabella13[[#This Row],[test_id]],experiments_specs!A:J,8,FALSE)</f>
        <v>False</v>
      </c>
      <c r="I197" s="38" t="str">
        <f>VLOOKUP(Tabella13[[#This Row],[test_id]],experiments_specs!A:J,9,FALSE)</f>
        <v>wup_similarity</v>
      </c>
      <c r="J197" s="38" t="str">
        <f>VLOOKUP(Tabella13[[#This Row],[test_id]],experiments_specs!A:J,10,FALSE)</f>
        <v>True</v>
      </c>
      <c r="K197" s="40" t="s">
        <v>13</v>
      </c>
      <c r="L197" s="36" t="s">
        <v>327</v>
      </c>
      <c r="M197" s="36">
        <v>2</v>
      </c>
      <c r="N197" s="36">
        <v>2.4573600000000001E-2</v>
      </c>
      <c r="O197" s="36" t="s">
        <v>25</v>
      </c>
    </row>
    <row r="198" spans="1:15" ht="85" x14ac:dyDescent="0.2">
      <c r="A198" s="36" t="s">
        <v>1248</v>
      </c>
      <c r="B198" s="45" t="str">
        <f>VLOOKUP(Tabella13[[#This Row],[test_id]],experiments_specs!A:J,2,FALSE)</f>
        <v>NN,VB,VBD,VBG,VBN,VBP,VBZ</v>
      </c>
      <c r="C198" s="38">
        <f>VLOOKUP(Tabella13[[#This Row],[test_id]],experiments_specs!A:J,3,FALSE)</f>
        <v>0</v>
      </c>
      <c r="D198" s="38">
        <f>VLOOKUP(Tabella13[[#This Row],[test_id]],experiments_specs!A:J,4,FALSE)</f>
        <v>3</v>
      </c>
      <c r="E198" s="38" t="str">
        <f>VLOOKUP(Tabella13[[#This Row],[test_id]],experiments_specs!A:J,5,FALSE)</f>
        <v>True</v>
      </c>
      <c r="F198" s="38" t="str">
        <f>VLOOKUP(Tabella13[[#This Row],[test_id]],experiments_specs!A:J,6,FALSE)</f>
        <v>True</v>
      </c>
      <c r="G198" s="38" t="str">
        <f>VLOOKUP(Tabella13[[#This Row],[test_id]],experiments_specs!A:J,7,FALSE)</f>
        <v>True</v>
      </c>
      <c r="H198" s="38" t="str">
        <f>VLOOKUP(Tabella13[[#This Row],[test_id]],experiments_specs!A:J,8,FALSE)</f>
        <v>False</v>
      </c>
      <c r="I198" s="38" t="str">
        <f>VLOOKUP(Tabella13[[#This Row],[test_id]],experiments_specs!A:J,9,FALSE)</f>
        <v>wup_similarity</v>
      </c>
      <c r="J198" s="38" t="str">
        <f>VLOOKUP(Tabella13[[#This Row],[test_id]],experiments_specs!A:J,10,FALSE)</f>
        <v>True</v>
      </c>
      <c r="K198" s="40" t="s">
        <v>14</v>
      </c>
      <c r="L198" s="36" t="s">
        <v>1338</v>
      </c>
      <c r="M198" s="36" t="s">
        <v>1340</v>
      </c>
      <c r="N198" s="36">
        <v>1.21022E-2</v>
      </c>
      <c r="O198" s="36" t="s">
        <v>1442</v>
      </c>
    </row>
    <row r="199" spans="1:15" ht="85" x14ac:dyDescent="0.2">
      <c r="A199" s="36" t="s">
        <v>1248</v>
      </c>
      <c r="B199" s="45" t="str">
        <f>VLOOKUP(Tabella13[[#This Row],[test_id]],experiments_specs!A:J,2,FALSE)</f>
        <v>NN,VB,VBD,VBG,VBN,VBP,VBZ</v>
      </c>
      <c r="C199" s="38">
        <f>VLOOKUP(Tabella13[[#This Row],[test_id]],experiments_specs!A:J,3,FALSE)</f>
        <v>0</v>
      </c>
      <c r="D199" s="38">
        <f>VLOOKUP(Tabella13[[#This Row],[test_id]],experiments_specs!A:J,4,FALSE)</f>
        <v>3</v>
      </c>
      <c r="E199" s="38" t="str">
        <f>VLOOKUP(Tabella13[[#This Row],[test_id]],experiments_specs!A:J,5,FALSE)</f>
        <v>True</v>
      </c>
      <c r="F199" s="38" t="str">
        <f>VLOOKUP(Tabella13[[#This Row],[test_id]],experiments_specs!A:J,6,FALSE)</f>
        <v>True</v>
      </c>
      <c r="G199" s="38" t="str">
        <f>VLOOKUP(Tabella13[[#This Row],[test_id]],experiments_specs!A:J,7,FALSE)</f>
        <v>True</v>
      </c>
      <c r="H199" s="38" t="str">
        <f>VLOOKUP(Tabella13[[#This Row],[test_id]],experiments_specs!A:J,8,FALSE)</f>
        <v>False</v>
      </c>
      <c r="I199" s="38" t="str">
        <f>VLOOKUP(Tabella13[[#This Row],[test_id]],experiments_specs!A:J,9,FALSE)</f>
        <v>wup_similarity</v>
      </c>
      <c r="J199" s="38" t="str">
        <f>VLOOKUP(Tabella13[[#This Row],[test_id]],experiments_specs!A:J,10,FALSE)</f>
        <v>True</v>
      </c>
      <c r="K199" s="40" t="s">
        <v>15</v>
      </c>
      <c r="L199" s="36" t="s">
        <v>27</v>
      </c>
      <c r="M199" s="36">
        <v>2</v>
      </c>
      <c r="N199" s="36">
        <v>1.7352599999999999E-2</v>
      </c>
      <c r="O199" s="36">
        <v>0.1666666</v>
      </c>
    </row>
    <row r="200" spans="1:15" ht="85" x14ac:dyDescent="0.2">
      <c r="A200" s="36" t="s">
        <v>1248</v>
      </c>
      <c r="B200" s="45" t="str">
        <f>VLOOKUP(Tabella13[[#This Row],[test_id]],experiments_specs!A:J,2,FALSE)</f>
        <v>NN,VB,VBD,VBG,VBN,VBP,VBZ</v>
      </c>
      <c r="C200" s="38">
        <f>VLOOKUP(Tabella13[[#This Row],[test_id]],experiments_specs!A:J,3,FALSE)</f>
        <v>0</v>
      </c>
      <c r="D200" s="38">
        <f>VLOOKUP(Tabella13[[#This Row],[test_id]],experiments_specs!A:J,4,FALSE)</f>
        <v>3</v>
      </c>
      <c r="E200" s="38" t="str">
        <f>VLOOKUP(Tabella13[[#This Row],[test_id]],experiments_specs!A:J,5,FALSE)</f>
        <v>True</v>
      </c>
      <c r="F200" s="38" t="str">
        <f>VLOOKUP(Tabella13[[#This Row],[test_id]],experiments_specs!A:J,6,FALSE)</f>
        <v>True</v>
      </c>
      <c r="G200" s="38" t="str">
        <f>VLOOKUP(Tabella13[[#This Row],[test_id]],experiments_specs!A:J,7,FALSE)</f>
        <v>True</v>
      </c>
      <c r="H200" s="38" t="str">
        <f>VLOOKUP(Tabella13[[#This Row],[test_id]],experiments_specs!A:J,8,FALSE)</f>
        <v>False</v>
      </c>
      <c r="I200" s="38" t="str">
        <f>VLOOKUP(Tabella13[[#This Row],[test_id]],experiments_specs!A:J,9,FALSE)</f>
        <v>wup_similarity</v>
      </c>
      <c r="J200" s="38" t="str">
        <f>VLOOKUP(Tabella13[[#This Row],[test_id]],experiments_specs!A:J,10,FALSE)</f>
        <v>True</v>
      </c>
      <c r="K200" s="40" t="s">
        <v>16</v>
      </c>
      <c r="L200" s="36" t="s">
        <v>1333</v>
      </c>
      <c r="M200" s="36" t="s">
        <v>1314</v>
      </c>
      <c r="N200" s="36">
        <v>2.55155E-2</v>
      </c>
      <c r="O200" s="36" t="s">
        <v>1432</v>
      </c>
    </row>
    <row r="201" spans="1:15" ht="85" x14ac:dyDescent="0.2">
      <c r="A201" s="36" t="s">
        <v>1248</v>
      </c>
      <c r="B201" s="45" t="str">
        <f>VLOOKUP(Tabella13[[#This Row],[test_id]],experiments_specs!A:J,2,FALSE)</f>
        <v>NN,VB,VBD,VBG,VBN,VBP,VBZ</v>
      </c>
      <c r="C201" s="38">
        <f>VLOOKUP(Tabella13[[#This Row],[test_id]],experiments_specs!A:J,3,FALSE)</f>
        <v>0</v>
      </c>
      <c r="D201" s="38">
        <f>VLOOKUP(Tabella13[[#This Row],[test_id]],experiments_specs!A:J,4,FALSE)</f>
        <v>3</v>
      </c>
      <c r="E201" s="38" t="str">
        <f>VLOOKUP(Tabella13[[#This Row],[test_id]],experiments_specs!A:J,5,FALSE)</f>
        <v>True</v>
      </c>
      <c r="F201" s="38" t="str">
        <f>VLOOKUP(Tabella13[[#This Row],[test_id]],experiments_specs!A:J,6,FALSE)</f>
        <v>True</v>
      </c>
      <c r="G201" s="38" t="str">
        <f>VLOOKUP(Tabella13[[#This Row],[test_id]],experiments_specs!A:J,7,FALSE)</f>
        <v>True</v>
      </c>
      <c r="H201" s="38" t="str">
        <f>VLOOKUP(Tabella13[[#This Row],[test_id]],experiments_specs!A:J,8,FALSE)</f>
        <v>False</v>
      </c>
      <c r="I201" s="38" t="str">
        <f>VLOOKUP(Tabella13[[#This Row],[test_id]],experiments_specs!A:J,9,FALSE)</f>
        <v>wup_similarity</v>
      </c>
      <c r="J201" s="38" t="str">
        <f>VLOOKUP(Tabella13[[#This Row],[test_id]],experiments_specs!A:J,10,FALSE)</f>
        <v>True</v>
      </c>
      <c r="K201" s="40" t="s">
        <v>17</v>
      </c>
      <c r="L201" s="36" t="s">
        <v>1335</v>
      </c>
      <c r="M201" s="36" t="s">
        <v>1314</v>
      </c>
      <c r="N201" s="36">
        <v>1.88982E-2</v>
      </c>
      <c r="O201" s="36" t="s">
        <v>1440</v>
      </c>
    </row>
    <row r="202" spans="1:15" ht="85" x14ac:dyDescent="0.2">
      <c r="A202" s="36" t="s">
        <v>1248</v>
      </c>
      <c r="B202" s="45" t="str">
        <f>VLOOKUP(Tabella13[[#This Row],[test_id]],experiments_specs!A:J,2,FALSE)</f>
        <v>NN,VB,VBD,VBG,VBN,VBP,VBZ</v>
      </c>
      <c r="C202" s="38">
        <f>VLOOKUP(Tabella13[[#This Row],[test_id]],experiments_specs!A:J,3,FALSE)</f>
        <v>0</v>
      </c>
      <c r="D202" s="38">
        <f>VLOOKUP(Tabella13[[#This Row],[test_id]],experiments_specs!A:J,4,FALSE)</f>
        <v>3</v>
      </c>
      <c r="E202" s="38" t="str">
        <f>VLOOKUP(Tabella13[[#This Row],[test_id]],experiments_specs!A:J,5,FALSE)</f>
        <v>True</v>
      </c>
      <c r="F202" s="38" t="str">
        <f>VLOOKUP(Tabella13[[#This Row],[test_id]],experiments_specs!A:J,6,FALSE)</f>
        <v>True</v>
      </c>
      <c r="G202" s="38" t="str">
        <f>VLOOKUP(Tabella13[[#This Row],[test_id]],experiments_specs!A:J,7,FALSE)</f>
        <v>True</v>
      </c>
      <c r="H202" s="38" t="str">
        <f>VLOOKUP(Tabella13[[#This Row],[test_id]],experiments_specs!A:J,8,FALSE)</f>
        <v>False</v>
      </c>
      <c r="I202" s="38" t="str">
        <f>VLOOKUP(Tabella13[[#This Row],[test_id]],experiments_specs!A:J,9,FALSE)</f>
        <v>wup_similarity</v>
      </c>
      <c r="J202" s="38" t="str">
        <f>VLOOKUP(Tabella13[[#This Row],[test_id]],experiments_specs!A:J,10,FALSE)</f>
        <v>True</v>
      </c>
      <c r="K202" s="40" t="s">
        <v>18</v>
      </c>
      <c r="L202" s="36" t="s">
        <v>45</v>
      </c>
      <c r="M202" s="36">
        <v>2</v>
      </c>
      <c r="N202" s="36">
        <v>1.3362199999999999E-2</v>
      </c>
      <c r="O202" s="36">
        <v>0.2105263</v>
      </c>
    </row>
    <row r="203" spans="1:15" ht="85" x14ac:dyDescent="0.2">
      <c r="A203" s="36" t="s">
        <v>1249</v>
      </c>
      <c r="B203" s="45" t="str">
        <f>VLOOKUP(Tabella13[[#This Row],[test_id]],experiments_specs!A:J,2,FALSE)</f>
        <v>NN,JJ,VB,VBD,VBG,VBN,VBP,VBZ</v>
      </c>
      <c r="C203" s="38">
        <f>VLOOKUP(Tabella13[[#This Row],[test_id]],experiments_specs!A:J,3,FALSE)</f>
        <v>0</v>
      </c>
      <c r="D203" s="38">
        <f>VLOOKUP(Tabella13[[#This Row],[test_id]],experiments_specs!A:J,4,FALSE)</f>
        <v>2</v>
      </c>
      <c r="E203" s="38" t="str">
        <f>VLOOKUP(Tabella13[[#This Row],[test_id]],experiments_specs!A:J,5,FALSE)</f>
        <v>True</v>
      </c>
      <c r="F203" s="38" t="str">
        <f>VLOOKUP(Tabella13[[#This Row],[test_id]],experiments_specs!A:J,6,FALSE)</f>
        <v>True</v>
      </c>
      <c r="G203" s="38" t="str">
        <f>VLOOKUP(Tabella13[[#This Row],[test_id]],experiments_specs!A:J,7,FALSE)</f>
        <v>True</v>
      </c>
      <c r="H203" s="38" t="str">
        <f>VLOOKUP(Tabella13[[#This Row],[test_id]],experiments_specs!A:J,8,FALSE)</f>
        <v>False</v>
      </c>
      <c r="I203" s="38" t="str">
        <f>VLOOKUP(Tabella13[[#This Row],[test_id]],experiments_specs!A:J,9,FALSE)</f>
        <v>wup_similarity</v>
      </c>
      <c r="J203" s="38" t="str">
        <f>VLOOKUP(Tabella13[[#This Row],[test_id]],experiments_specs!A:J,10,FALSE)</f>
        <v>True</v>
      </c>
      <c r="K203" s="40" t="s">
        <v>19</v>
      </c>
      <c r="L203" s="36" t="s">
        <v>1312</v>
      </c>
      <c r="M203" s="36" t="s">
        <v>1314</v>
      </c>
      <c r="N203" s="36">
        <v>2.7050000000000001E-2</v>
      </c>
      <c r="O203" s="36" t="s">
        <v>1434</v>
      </c>
    </row>
    <row r="204" spans="1:15" ht="85" x14ac:dyDescent="0.2">
      <c r="A204" s="36" t="s">
        <v>1249</v>
      </c>
      <c r="B204" s="45" t="str">
        <f>VLOOKUP(Tabella13[[#This Row],[test_id]],experiments_specs!A:J,2,FALSE)</f>
        <v>NN,JJ,VB,VBD,VBG,VBN,VBP,VBZ</v>
      </c>
      <c r="C204" s="38">
        <f>VLOOKUP(Tabella13[[#This Row],[test_id]],experiments_specs!A:J,3,FALSE)</f>
        <v>0</v>
      </c>
      <c r="D204" s="38">
        <f>VLOOKUP(Tabella13[[#This Row],[test_id]],experiments_specs!A:J,4,FALSE)</f>
        <v>2</v>
      </c>
      <c r="E204" s="38" t="str">
        <f>VLOOKUP(Tabella13[[#This Row],[test_id]],experiments_specs!A:J,5,FALSE)</f>
        <v>True</v>
      </c>
      <c r="F204" s="38" t="str">
        <f>VLOOKUP(Tabella13[[#This Row],[test_id]],experiments_specs!A:J,6,FALSE)</f>
        <v>True</v>
      </c>
      <c r="G204" s="38" t="str">
        <f>VLOOKUP(Tabella13[[#This Row],[test_id]],experiments_specs!A:J,7,FALSE)</f>
        <v>True</v>
      </c>
      <c r="H204" s="38" t="str">
        <f>VLOOKUP(Tabella13[[#This Row],[test_id]],experiments_specs!A:J,8,FALSE)</f>
        <v>False</v>
      </c>
      <c r="I204" s="38" t="str">
        <f>VLOOKUP(Tabella13[[#This Row],[test_id]],experiments_specs!A:J,9,FALSE)</f>
        <v>wup_similarity</v>
      </c>
      <c r="J204" s="38" t="str">
        <f>VLOOKUP(Tabella13[[#This Row],[test_id]],experiments_specs!A:J,10,FALSE)</f>
        <v>True</v>
      </c>
      <c r="K204" s="40" t="s">
        <v>12</v>
      </c>
      <c r="L204" s="36" t="s">
        <v>23</v>
      </c>
      <c r="M204" s="36">
        <v>2</v>
      </c>
      <c r="N204" s="36">
        <v>2.3858500000000001E-2</v>
      </c>
      <c r="O204" s="36">
        <v>0.42857139999999999</v>
      </c>
    </row>
    <row r="205" spans="1:15" ht="85" x14ac:dyDescent="0.2">
      <c r="A205" s="36" t="s">
        <v>1249</v>
      </c>
      <c r="B205" s="45" t="str">
        <f>VLOOKUP(Tabella13[[#This Row],[test_id]],experiments_specs!A:J,2,FALSE)</f>
        <v>NN,JJ,VB,VBD,VBG,VBN,VBP,VBZ</v>
      </c>
      <c r="C205" s="38">
        <f>VLOOKUP(Tabella13[[#This Row],[test_id]],experiments_specs!A:J,3,FALSE)</f>
        <v>0</v>
      </c>
      <c r="D205" s="38">
        <f>VLOOKUP(Tabella13[[#This Row],[test_id]],experiments_specs!A:J,4,FALSE)</f>
        <v>2</v>
      </c>
      <c r="E205" s="38" t="str">
        <f>VLOOKUP(Tabella13[[#This Row],[test_id]],experiments_specs!A:J,5,FALSE)</f>
        <v>True</v>
      </c>
      <c r="F205" s="38" t="str">
        <f>VLOOKUP(Tabella13[[#This Row],[test_id]],experiments_specs!A:J,6,FALSE)</f>
        <v>True</v>
      </c>
      <c r="G205" s="38" t="str">
        <f>VLOOKUP(Tabella13[[#This Row],[test_id]],experiments_specs!A:J,7,FALSE)</f>
        <v>True</v>
      </c>
      <c r="H205" s="38" t="str">
        <f>VLOOKUP(Tabella13[[#This Row],[test_id]],experiments_specs!A:J,8,FALSE)</f>
        <v>False</v>
      </c>
      <c r="I205" s="38" t="str">
        <f>VLOOKUP(Tabella13[[#This Row],[test_id]],experiments_specs!A:J,9,FALSE)</f>
        <v>wup_similarity</v>
      </c>
      <c r="J205" s="38" t="str">
        <f>VLOOKUP(Tabella13[[#This Row],[test_id]],experiments_specs!A:J,10,FALSE)</f>
        <v>True</v>
      </c>
      <c r="K205" s="40" t="s">
        <v>13</v>
      </c>
      <c r="L205" s="36" t="s">
        <v>327</v>
      </c>
      <c r="M205" s="36">
        <v>2</v>
      </c>
      <c r="N205" s="36">
        <v>2.4573600000000001E-2</v>
      </c>
      <c r="O205" s="36" t="s">
        <v>25</v>
      </c>
    </row>
    <row r="206" spans="1:15" ht="85" x14ac:dyDescent="0.2">
      <c r="A206" s="36" t="s">
        <v>1249</v>
      </c>
      <c r="B206" s="45" t="str">
        <f>VLOOKUP(Tabella13[[#This Row],[test_id]],experiments_specs!A:J,2,FALSE)</f>
        <v>NN,JJ,VB,VBD,VBG,VBN,VBP,VBZ</v>
      </c>
      <c r="C206" s="38">
        <f>VLOOKUP(Tabella13[[#This Row],[test_id]],experiments_specs!A:J,3,FALSE)</f>
        <v>0</v>
      </c>
      <c r="D206" s="38">
        <f>VLOOKUP(Tabella13[[#This Row],[test_id]],experiments_specs!A:J,4,FALSE)</f>
        <v>2</v>
      </c>
      <c r="E206" s="38" t="str">
        <f>VLOOKUP(Tabella13[[#This Row],[test_id]],experiments_specs!A:J,5,FALSE)</f>
        <v>True</v>
      </c>
      <c r="F206" s="38" t="str">
        <f>VLOOKUP(Tabella13[[#This Row],[test_id]],experiments_specs!A:J,6,FALSE)</f>
        <v>True</v>
      </c>
      <c r="G206" s="38" t="str">
        <f>VLOOKUP(Tabella13[[#This Row],[test_id]],experiments_specs!A:J,7,FALSE)</f>
        <v>True</v>
      </c>
      <c r="H206" s="38" t="str">
        <f>VLOOKUP(Tabella13[[#This Row],[test_id]],experiments_specs!A:J,8,FALSE)</f>
        <v>False</v>
      </c>
      <c r="I206" s="38" t="str">
        <f>VLOOKUP(Tabella13[[#This Row],[test_id]],experiments_specs!A:J,9,FALSE)</f>
        <v>wup_similarity</v>
      </c>
      <c r="J206" s="38" t="str">
        <f>VLOOKUP(Tabella13[[#This Row],[test_id]],experiments_specs!A:J,10,FALSE)</f>
        <v>True</v>
      </c>
      <c r="K206" s="40" t="s">
        <v>14</v>
      </c>
      <c r="L206" s="36" t="s">
        <v>1338</v>
      </c>
      <c r="M206" s="36" t="s">
        <v>1340</v>
      </c>
      <c r="N206" s="36">
        <v>1.05506E-2</v>
      </c>
      <c r="O206" s="36" t="s">
        <v>1442</v>
      </c>
    </row>
    <row r="207" spans="1:15" ht="85" x14ac:dyDescent="0.2">
      <c r="A207" s="36" t="s">
        <v>1249</v>
      </c>
      <c r="B207" s="45" t="str">
        <f>VLOOKUP(Tabella13[[#This Row],[test_id]],experiments_specs!A:J,2,FALSE)</f>
        <v>NN,JJ,VB,VBD,VBG,VBN,VBP,VBZ</v>
      </c>
      <c r="C207" s="38">
        <f>VLOOKUP(Tabella13[[#This Row],[test_id]],experiments_specs!A:J,3,FALSE)</f>
        <v>0</v>
      </c>
      <c r="D207" s="38">
        <f>VLOOKUP(Tabella13[[#This Row],[test_id]],experiments_specs!A:J,4,FALSE)</f>
        <v>2</v>
      </c>
      <c r="E207" s="38" t="str">
        <f>VLOOKUP(Tabella13[[#This Row],[test_id]],experiments_specs!A:J,5,FALSE)</f>
        <v>True</v>
      </c>
      <c r="F207" s="38" t="str">
        <f>VLOOKUP(Tabella13[[#This Row],[test_id]],experiments_specs!A:J,6,FALSE)</f>
        <v>True</v>
      </c>
      <c r="G207" s="38" t="str">
        <f>VLOOKUP(Tabella13[[#This Row],[test_id]],experiments_specs!A:J,7,FALSE)</f>
        <v>True</v>
      </c>
      <c r="H207" s="38" t="str">
        <f>VLOOKUP(Tabella13[[#This Row],[test_id]],experiments_specs!A:J,8,FALSE)</f>
        <v>False</v>
      </c>
      <c r="I207" s="38" t="str">
        <f>VLOOKUP(Tabella13[[#This Row],[test_id]],experiments_specs!A:J,9,FALSE)</f>
        <v>wup_similarity</v>
      </c>
      <c r="J207" s="38" t="str">
        <f>VLOOKUP(Tabella13[[#This Row],[test_id]],experiments_specs!A:J,10,FALSE)</f>
        <v>True</v>
      </c>
      <c r="K207" s="40" t="s">
        <v>15</v>
      </c>
      <c r="L207" s="36" t="s">
        <v>293</v>
      </c>
      <c r="M207" s="36">
        <v>1</v>
      </c>
      <c r="N207" s="36">
        <v>3.6810500000000003E-2</v>
      </c>
      <c r="O207" s="36">
        <v>0.90909090000000004</v>
      </c>
    </row>
    <row r="208" spans="1:15" ht="85" x14ac:dyDescent="0.2">
      <c r="A208" s="36" t="s">
        <v>1249</v>
      </c>
      <c r="B208" s="45" t="str">
        <f>VLOOKUP(Tabella13[[#This Row],[test_id]],experiments_specs!A:J,2,FALSE)</f>
        <v>NN,JJ,VB,VBD,VBG,VBN,VBP,VBZ</v>
      </c>
      <c r="C208" s="38">
        <f>VLOOKUP(Tabella13[[#This Row],[test_id]],experiments_specs!A:J,3,FALSE)</f>
        <v>0</v>
      </c>
      <c r="D208" s="38">
        <f>VLOOKUP(Tabella13[[#This Row],[test_id]],experiments_specs!A:J,4,FALSE)</f>
        <v>2</v>
      </c>
      <c r="E208" s="38" t="str">
        <f>VLOOKUP(Tabella13[[#This Row],[test_id]],experiments_specs!A:J,5,FALSE)</f>
        <v>True</v>
      </c>
      <c r="F208" s="38" t="str">
        <f>VLOOKUP(Tabella13[[#This Row],[test_id]],experiments_specs!A:J,6,FALSE)</f>
        <v>True</v>
      </c>
      <c r="G208" s="38" t="str">
        <f>VLOOKUP(Tabella13[[#This Row],[test_id]],experiments_specs!A:J,7,FALSE)</f>
        <v>True</v>
      </c>
      <c r="H208" s="38" t="str">
        <f>VLOOKUP(Tabella13[[#This Row],[test_id]],experiments_specs!A:J,8,FALSE)</f>
        <v>False</v>
      </c>
      <c r="I208" s="38" t="str">
        <f>VLOOKUP(Tabella13[[#This Row],[test_id]],experiments_specs!A:J,9,FALSE)</f>
        <v>wup_similarity</v>
      </c>
      <c r="J208" s="38" t="str">
        <f>VLOOKUP(Tabella13[[#This Row],[test_id]],experiments_specs!A:J,10,FALSE)</f>
        <v>True</v>
      </c>
      <c r="K208" s="40" t="s">
        <v>16</v>
      </c>
      <c r="L208" s="36" t="s">
        <v>1333</v>
      </c>
      <c r="M208" s="36" t="s">
        <v>1314</v>
      </c>
      <c r="N208" s="36">
        <v>2.4825900000000001E-2</v>
      </c>
      <c r="O208" s="36" t="s">
        <v>1432</v>
      </c>
    </row>
    <row r="209" spans="1:15" ht="85" x14ac:dyDescent="0.2">
      <c r="A209" s="36" t="s">
        <v>1249</v>
      </c>
      <c r="B209" s="45" t="str">
        <f>VLOOKUP(Tabella13[[#This Row],[test_id]],experiments_specs!A:J,2,FALSE)</f>
        <v>NN,JJ,VB,VBD,VBG,VBN,VBP,VBZ</v>
      </c>
      <c r="C209" s="38">
        <f>VLOOKUP(Tabella13[[#This Row],[test_id]],experiments_specs!A:J,3,FALSE)</f>
        <v>0</v>
      </c>
      <c r="D209" s="38">
        <f>VLOOKUP(Tabella13[[#This Row],[test_id]],experiments_specs!A:J,4,FALSE)</f>
        <v>2</v>
      </c>
      <c r="E209" s="38" t="str">
        <f>VLOOKUP(Tabella13[[#This Row],[test_id]],experiments_specs!A:J,5,FALSE)</f>
        <v>True</v>
      </c>
      <c r="F209" s="38" t="str">
        <f>VLOOKUP(Tabella13[[#This Row],[test_id]],experiments_specs!A:J,6,FALSE)</f>
        <v>True</v>
      </c>
      <c r="G209" s="38" t="str">
        <f>VLOOKUP(Tabella13[[#This Row],[test_id]],experiments_specs!A:J,7,FALSE)</f>
        <v>True</v>
      </c>
      <c r="H209" s="38" t="str">
        <f>VLOOKUP(Tabella13[[#This Row],[test_id]],experiments_specs!A:J,8,FALSE)</f>
        <v>False</v>
      </c>
      <c r="I209" s="38" t="str">
        <f>VLOOKUP(Tabella13[[#This Row],[test_id]],experiments_specs!A:J,9,FALSE)</f>
        <v>wup_similarity</v>
      </c>
      <c r="J209" s="38" t="str">
        <f>VLOOKUP(Tabella13[[#This Row],[test_id]],experiments_specs!A:J,10,FALSE)</f>
        <v>True</v>
      </c>
      <c r="K209" s="40" t="s">
        <v>17</v>
      </c>
      <c r="L209" s="36" t="s">
        <v>1335</v>
      </c>
      <c r="M209" s="36" t="s">
        <v>1314</v>
      </c>
      <c r="N209" s="36">
        <v>1.71802E-2</v>
      </c>
      <c r="O209" s="36" t="s">
        <v>1440</v>
      </c>
    </row>
    <row r="210" spans="1:15" ht="85" x14ac:dyDescent="0.2">
      <c r="A210" s="36" t="s">
        <v>1249</v>
      </c>
      <c r="B210" s="45" t="str">
        <f>VLOOKUP(Tabella13[[#This Row],[test_id]],experiments_specs!A:J,2,FALSE)</f>
        <v>NN,JJ,VB,VBD,VBG,VBN,VBP,VBZ</v>
      </c>
      <c r="C210" s="38">
        <f>VLOOKUP(Tabella13[[#This Row],[test_id]],experiments_specs!A:J,3,FALSE)</f>
        <v>0</v>
      </c>
      <c r="D210" s="38">
        <f>VLOOKUP(Tabella13[[#This Row],[test_id]],experiments_specs!A:J,4,FALSE)</f>
        <v>2</v>
      </c>
      <c r="E210" s="38" t="str">
        <f>VLOOKUP(Tabella13[[#This Row],[test_id]],experiments_specs!A:J,5,FALSE)</f>
        <v>True</v>
      </c>
      <c r="F210" s="38" t="str">
        <f>VLOOKUP(Tabella13[[#This Row],[test_id]],experiments_specs!A:J,6,FALSE)</f>
        <v>True</v>
      </c>
      <c r="G210" s="38" t="str">
        <f>VLOOKUP(Tabella13[[#This Row],[test_id]],experiments_specs!A:J,7,FALSE)</f>
        <v>True</v>
      </c>
      <c r="H210" s="38" t="str">
        <f>VLOOKUP(Tabella13[[#This Row],[test_id]],experiments_specs!A:J,8,FALSE)</f>
        <v>False</v>
      </c>
      <c r="I210" s="38" t="str">
        <f>VLOOKUP(Tabella13[[#This Row],[test_id]],experiments_specs!A:J,9,FALSE)</f>
        <v>wup_similarity</v>
      </c>
      <c r="J210" s="38" t="str">
        <f>VLOOKUP(Tabella13[[#This Row],[test_id]],experiments_specs!A:J,10,FALSE)</f>
        <v>True</v>
      </c>
      <c r="K210" s="40" t="s">
        <v>18</v>
      </c>
      <c r="L210" s="36" t="s">
        <v>45</v>
      </c>
      <c r="M210" s="36">
        <v>2</v>
      </c>
      <c r="N210" s="36">
        <v>1.2576199999999999E-2</v>
      </c>
      <c r="O210" s="36">
        <v>0.2105263</v>
      </c>
    </row>
    <row r="211" spans="1:15" ht="85" x14ac:dyDescent="0.2">
      <c r="A211" s="36" t="s">
        <v>1250</v>
      </c>
      <c r="B211" s="45" t="str">
        <f>VLOOKUP(Tabella13[[#This Row],[test_id]],experiments_specs!A:J,2,FALSE)</f>
        <v>NN,JJ,VB,VBD,VBG,VBN,VBP,VBZ</v>
      </c>
      <c r="C211" s="38">
        <f>VLOOKUP(Tabella13[[#This Row],[test_id]],experiments_specs!A:J,3,FALSE)</f>
        <v>0</v>
      </c>
      <c r="D211" s="38">
        <f>VLOOKUP(Tabella13[[#This Row],[test_id]],experiments_specs!A:J,4,FALSE)</f>
        <v>3</v>
      </c>
      <c r="E211" s="38" t="str">
        <f>VLOOKUP(Tabella13[[#This Row],[test_id]],experiments_specs!A:J,5,FALSE)</f>
        <v>True</v>
      </c>
      <c r="F211" s="38" t="str">
        <f>VLOOKUP(Tabella13[[#This Row],[test_id]],experiments_specs!A:J,6,FALSE)</f>
        <v>True</v>
      </c>
      <c r="G211" s="38" t="str">
        <f>VLOOKUP(Tabella13[[#This Row],[test_id]],experiments_specs!A:J,7,FALSE)</f>
        <v>True</v>
      </c>
      <c r="H211" s="38" t="str">
        <f>VLOOKUP(Tabella13[[#This Row],[test_id]],experiments_specs!A:J,8,FALSE)</f>
        <v>False</v>
      </c>
      <c r="I211" s="38" t="str">
        <f>VLOOKUP(Tabella13[[#This Row],[test_id]],experiments_specs!A:J,9,FALSE)</f>
        <v>wup_similarity</v>
      </c>
      <c r="J211" s="38" t="str">
        <f>VLOOKUP(Tabella13[[#This Row],[test_id]],experiments_specs!A:J,10,FALSE)</f>
        <v>True</v>
      </c>
      <c r="K211" s="40" t="s">
        <v>19</v>
      </c>
      <c r="L211" s="36" t="s">
        <v>1312</v>
      </c>
      <c r="M211" s="36" t="s">
        <v>1314</v>
      </c>
      <c r="N211" s="36">
        <v>2.7050000000000001E-2</v>
      </c>
      <c r="O211" s="36" t="s">
        <v>1434</v>
      </c>
    </row>
    <row r="212" spans="1:15" ht="85" x14ac:dyDescent="0.2">
      <c r="A212" s="36" t="s">
        <v>1250</v>
      </c>
      <c r="B212" s="45" t="str">
        <f>VLOOKUP(Tabella13[[#This Row],[test_id]],experiments_specs!A:J,2,FALSE)</f>
        <v>NN,JJ,VB,VBD,VBG,VBN,VBP,VBZ</v>
      </c>
      <c r="C212" s="38">
        <f>VLOOKUP(Tabella13[[#This Row],[test_id]],experiments_specs!A:J,3,FALSE)</f>
        <v>0</v>
      </c>
      <c r="D212" s="38">
        <f>VLOOKUP(Tabella13[[#This Row],[test_id]],experiments_specs!A:J,4,FALSE)</f>
        <v>3</v>
      </c>
      <c r="E212" s="38" t="str">
        <f>VLOOKUP(Tabella13[[#This Row],[test_id]],experiments_specs!A:J,5,FALSE)</f>
        <v>True</v>
      </c>
      <c r="F212" s="38" t="str">
        <f>VLOOKUP(Tabella13[[#This Row],[test_id]],experiments_specs!A:J,6,FALSE)</f>
        <v>True</v>
      </c>
      <c r="G212" s="38" t="str">
        <f>VLOOKUP(Tabella13[[#This Row],[test_id]],experiments_specs!A:J,7,FALSE)</f>
        <v>True</v>
      </c>
      <c r="H212" s="38" t="str">
        <f>VLOOKUP(Tabella13[[#This Row],[test_id]],experiments_specs!A:J,8,FALSE)</f>
        <v>False</v>
      </c>
      <c r="I212" s="38" t="str">
        <f>VLOOKUP(Tabella13[[#This Row],[test_id]],experiments_specs!A:J,9,FALSE)</f>
        <v>wup_similarity</v>
      </c>
      <c r="J212" s="38" t="str">
        <f>VLOOKUP(Tabella13[[#This Row],[test_id]],experiments_specs!A:J,10,FALSE)</f>
        <v>True</v>
      </c>
      <c r="K212" s="40" t="s">
        <v>12</v>
      </c>
      <c r="L212" s="36" t="s">
        <v>23</v>
      </c>
      <c r="M212" s="36">
        <v>2</v>
      </c>
      <c r="N212" s="36">
        <v>2.3858500000000001E-2</v>
      </c>
      <c r="O212" s="36">
        <v>0.42857139999999999</v>
      </c>
    </row>
    <row r="213" spans="1:15" ht="85" x14ac:dyDescent="0.2">
      <c r="A213" s="36" t="s">
        <v>1250</v>
      </c>
      <c r="B213" s="45" t="str">
        <f>VLOOKUP(Tabella13[[#This Row],[test_id]],experiments_specs!A:J,2,FALSE)</f>
        <v>NN,JJ,VB,VBD,VBG,VBN,VBP,VBZ</v>
      </c>
      <c r="C213" s="38">
        <f>VLOOKUP(Tabella13[[#This Row],[test_id]],experiments_specs!A:J,3,FALSE)</f>
        <v>0</v>
      </c>
      <c r="D213" s="38">
        <f>VLOOKUP(Tabella13[[#This Row],[test_id]],experiments_specs!A:J,4,FALSE)</f>
        <v>3</v>
      </c>
      <c r="E213" s="38" t="str">
        <f>VLOOKUP(Tabella13[[#This Row],[test_id]],experiments_specs!A:J,5,FALSE)</f>
        <v>True</v>
      </c>
      <c r="F213" s="38" t="str">
        <f>VLOOKUP(Tabella13[[#This Row],[test_id]],experiments_specs!A:J,6,FALSE)</f>
        <v>True</v>
      </c>
      <c r="G213" s="38" t="str">
        <f>VLOOKUP(Tabella13[[#This Row],[test_id]],experiments_specs!A:J,7,FALSE)</f>
        <v>True</v>
      </c>
      <c r="H213" s="38" t="str">
        <f>VLOOKUP(Tabella13[[#This Row],[test_id]],experiments_specs!A:J,8,FALSE)</f>
        <v>False</v>
      </c>
      <c r="I213" s="38" t="str">
        <f>VLOOKUP(Tabella13[[#This Row],[test_id]],experiments_specs!A:J,9,FALSE)</f>
        <v>wup_similarity</v>
      </c>
      <c r="J213" s="38" t="str">
        <f>VLOOKUP(Tabella13[[#This Row],[test_id]],experiments_specs!A:J,10,FALSE)</f>
        <v>True</v>
      </c>
      <c r="K213" s="40" t="s">
        <v>13</v>
      </c>
      <c r="L213" s="36" t="s">
        <v>327</v>
      </c>
      <c r="M213" s="36">
        <v>2</v>
      </c>
      <c r="N213" s="36">
        <v>2.4573600000000001E-2</v>
      </c>
      <c r="O213" s="36" t="s">
        <v>25</v>
      </c>
    </row>
    <row r="214" spans="1:15" ht="85" x14ac:dyDescent="0.2">
      <c r="A214" s="36" t="s">
        <v>1250</v>
      </c>
      <c r="B214" s="45" t="str">
        <f>VLOOKUP(Tabella13[[#This Row],[test_id]],experiments_specs!A:J,2,FALSE)</f>
        <v>NN,JJ,VB,VBD,VBG,VBN,VBP,VBZ</v>
      </c>
      <c r="C214" s="38">
        <f>VLOOKUP(Tabella13[[#This Row],[test_id]],experiments_specs!A:J,3,FALSE)</f>
        <v>0</v>
      </c>
      <c r="D214" s="38">
        <f>VLOOKUP(Tabella13[[#This Row],[test_id]],experiments_specs!A:J,4,FALSE)</f>
        <v>3</v>
      </c>
      <c r="E214" s="38" t="str">
        <f>VLOOKUP(Tabella13[[#This Row],[test_id]],experiments_specs!A:J,5,FALSE)</f>
        <v>True</v>
      </c>
      <c r="F214" s="38" t="str">
        <f>VLOOKUP(Tabella13[[#This Row],[test_id]],experiments_specs!A:J,6,FALSE)</f>
        <v>True</v>
      </c>
      <c r="G214" s="38" t="str">
        <f>VLOOKUP(Tabella13[[#This Row],[test_id]],experiments_specs!A:J,7,FALSE)</f>
        <v>True</v>
      </c>
      <c r="H214" s="38" t="str">
        <f>VLOOKUP(Tabella13[[#This Row],[test_id]],experiments_specs!A:J,8,FALSE)</f>
        <v>False</v>
      </c>
      <c r="I214" s="38" t="str">
        <f>VLOOKUP(Tabella13[[#This Row],[test_id]],experiments_specs!A:J,9,FALSE)</f>
        <v>wup_similarity</v>
      </c>
      <c r="J214" s="38" t="str">
        <f>VLOOKUP(Tabella13[[#This Row],[test_id]],experiments_specs!A:J,10,FALSE)</f>
        <v>True</v>
      </c>
      <c r="K214" s="40" t="s">
        <v>14</v>
      </c>
      <c r="L214" s="36" t="s">
        <v>1338</v>
      </c>
      <c r="M214" s="36" t="s">
        <v>1340</v>
      </c>
      <c r="N214" s="36">
        <v>1.05506E-2</v>
      </c>
      <c r="O214" s="36" t="s">
        <v>1442</v>
      </c>
    </row>
    <row r="215" spans="1:15" ht="85" x14ac:dyDescent="0.2">
      <c r="A215" s="36" t="s">
        <v>1250</v>
      </c>
      <c r="B215" s="45" t="str">
        <f>VLOOKUP(Tabella13[[#This Row],[test_id]],experiments_specs!A:J,2,FALSE)</f>
        <v>NN,JJ,VB,VBD,VBG,VBN,VBP,VBZ</v>
      </c>
      <c r="C215" s="38">
        <f>VLOOKUP(Tabella13[[#This Row],[test_id]],experiments_specs!A:J,3,FALSE)</f>
        <v>0</v>
      </c>
      <c r="D215" s="38">
        <f>VLOOKUP(Tabella13[[#This Row],[test_id]],experiments_specs!A:J,4,FALSE)</f>
        <v>3</v>
      </c>
      <c r="E215" s="38" t="str">
        <f>VLOOKUP(Tabella13[[#This Row],[test_id]],experiments_specs!A:J,5,FALSE)</f>
        <v>True</v>
      </c>
      <c r="F215" s="38" t="str">
        <f>VLOOKUP(Tabella13[[#This Row],[test_id]],experiments_specs!A:J,6,FALSE)</f>
        <v>True</v>
      </c>
      <c r="G215" s="38" t="str">
        <f>VLOOKUP(Tabella13[[#This Row],[test_id]],experiments_specs!A:J,7,FALSE)</f>
        <v>True</v>
      </c>
      <c r="H215" s="38" t="str">
        <f>VLOOKUP(Tabella13[[#This Row],[test_id]],experiments_specs!A:J,8,FALSE)</f>
        <v>False</v>
      </c>
      <c r="I215" s="38" t="str">
        <f>VLOOKUP(Tabella13[[#This Row],[test_id]],experiments_specs!A:J,9,FALSE)</f>
        <v>wup_similarity</v>
      </c>
      <c r="J215" s="38" t="str">
        <f>VLOOKUP(Tabella13[[#This Row],[test_id]],experiments_specs!A:J,10,FALSE)</f>
        <v>True</v>
      </c>
      <c r="K215" s="40" t="s">
        <v>15</v>
      </c>
      <c r="L215" s="36" t="s">
        <v>293</v>
      </c>
      <c r="M215" s="36">
        <v>1</v>
      </c>
      <c r="N215" s="36">
        <v>3.6810500000000003E-2</v>
      </c>
      <c r="O215" s="36">
        <v>0.90909090000000004</v>
      </c>
    </row>
    <row r="216" spans="1:15" ht="85" x14ac:dyDescent="0.2">
      <c r="A216" s="36" t="s">
        <v>1250</v>
      </c>
      <c r="B216" s="45" t="str">
        <f>VLOOKUP(Tabella13[[#This Row],[test_id]],experiments_specs!A:J,2,FALSE)</f>
        <v>NN,JJ,VB,VBD,VBG,VBN,VBP,VBZ</v>
      </c>
      <c r="C216" s="38">
        <f>VLOOKUP(Tabella13[[#This Row],[test_id]],experiments_specs!A:J,3,FALSE)</f>
        <v>0</v>
      </c>
      <c r="D216" s="38">
        <f>VLOOKUP(Tabella13[[#This Row],[test_id]],experiments_specs!A:J,4,FALSE)</f>
        <v>3</v>
      </c>
      <c r="E216" s="38" t="str">
        <f>VLOOKUP(Tabella13[[#This Row],[test_id]],experiments_specs!A:J,5,FALSE)</f>
        <v>True</v>
      </c>
      <c r="F216" s="38" t="str">
        <f>VLOOKUP(Tabella13[[#This Row],[test_id]],experiments_specs!A:J,6,FALSE)</f>
        <v>True</v>
      </c>
      <c r="G216" s="38" t="str">
        <f>VLOOKUP(Tabella13[[#This Row],[test_id]],experiments_specs!A:J,7,FALSE)</f>
        <v>True</v>
      </c>
      <c r="H216" s="38" t="str">
        <f>VLOOKUP(Tabella13[[#This Row],[test_id]],experiments_specs!A:J,8,FALSE)</f>
        <v>False</v>
      </c>
      <c r="I216" s="38" t="str">
        <f>VLOOKUP(Tabella13[[#This Row],[test_id]],experiments_specs!A:J,9,FALSE)</f>
        <v>wup_similarity</v>
      </c>
      <c r="J216" s="38" t="str">
        <f>VLOOKUP(Tabella13[[#This Row],[test_id]],experiments_specs!A:J,10,FALSE)</f>
        <v>True</v>
      </c>
      <c r="K216" s="40" t="s">
        <v>16</v>
      </c>
      <c r="L216" s="36" t="s">
        <v>1333</v>
      </c>
      <c r="M216" s="36" t="s">
        <v>1314</v>
      </c>
      <c r="N216" s="36">
        <v>2.4825900000000001E-2</v>
      </c>
      <c r="O216" s="36" t="s">
        <v>1432</v>
      </c>
    </row>
    <row r="217" spans="1:15" ht="85" x14ac:dyDescent="0.2">
      <c r="A217" s="36" t="s">
        <v>1250</v>
      </c>
      <c r="B217" s="45" t="str">
        <f>VLOOKUP(Tabella13[[#This Row],[test_id]],experiments_specs!A:J,2,FALSE)</f>
        <v>NN,JJ,VB,VBD,VBG,VBN,VBP,VBZ</v>
      </c>
      <c r="C217" s="38">
        <f>VLOOKUP(Tabella13[[#This Row],[test_id]],experiments_specs!A:J,3,FALSE)</f>
        <v>0</v>
      </c>
      <c r="D217" s="38">
        <f>VLOOKUP(Tabella13[[#This Row],[test_id]],experiments_specs!A:J,4,FALSE)</f>
        <v>3</v>
      </c>
      <c r="E217" s="38" t="str">
        <f>VLOOKUP(Tabella13[[#This Row],[test_id]],experiments_specs!A:J,5,FALSE)</f>
        <v>True</v>
      </c>
      <c r="F217" s="38" t="str">
        <f>VLOOKUP(Tabella13[[#This Row],[test_id]],experiments_specs!A:J,6,FALSE)</f>
        <v>True</v>
      </c>
      <c r="G217" s="38" t="str">
        <f>VLOOKUP(Tabella13[[#This Row],[test_id]],experiments_specs!A:J,7,FALSE)</f>
        <v>True</v>
      </c>
      <c r="H217" s="38" t="str">
        <f>VLOOKUP(Tabella13[[#This Row],[test_id]],experiments_specs!A:J,8,FALSE)</f>
        <v>False</v>
      </c>
      <c r="I217" s="38" t="str">
        <f>VLOOKUP(Tabella13[[#This Row],[test_id]],experiments_specs!A:J,9,FALSE)</f>
        <v>wup_similarity</v>
      </c>
      <c r="J217" s="38" t="str">
        <f>VLOOKUP(Tabella13[[#This Row],[test_id]],experiments_specs!A:J,10,FALSE)</f>
        <v>True</v>
      </c>
      <c r="K217" s="40" t="s">
        <v>17</v>
      </c>
      <c r="L217" s="36" t="s">
        <v>1335</v>
      </c>
      <c r="M217" s="36" t="s">
        <v>1314</v>
      </c>
      <c r="N217" s="36">
        <v>1.71802E-2</v>
      </c>
      <c r="O217" s="36" t="s">
        <v>1440</v>
      </c>
    </row>
    <row r="218" spans="1:15" ht="85" x14ac:dyDescent="0.2">
      <c r="A218" s="36" t="s">
        <v>1250</v>
      </c>
      <c r="B218" s="45" t="str">
        <f>VLOOKUP(Tabella13[[#This Row],[test_id]],experiments_specs!A:J,2,FALSE)</f>
        <v>NN,JJ,VB,VBD,VBG,VBN,VBP,VBZ</v>
      </c>
      <c r="C218" s="38">
        <f>VLOOKUP(Tabella13[[#This Row],[test_id]],experiments_specs!A:J,3,FALSE)</f>
        <v>0</v>
      </c>
      <c r="D218" s="38">
        <f>VLOOKUP(Tabella13[[#This Row],[test_id]],experiments_specs!A:J,4,FALSE)</f>
        <v>3</v>
      </c>
      <c r="E218" s="38" t="str">
        <f>VLOOKUP(Tabella13[[#This Row],[test_id]],experiments_specs!A:J,5,FALSE)</f>
        <v>True</v>
      </c>
      <c r="F218" s="38" t="str">
        <f>VLOOKUP(Tabella13[[#This Row],[test_id]],experiments_specs!A:J,6,FALSE)</f>
        <v>True</v>
      </c>
      <c r="G218" s="38" t="str">
        <f>VLOOKUP(Tabella13[[#This Row],[test_id]],experiments_specs!A:J,7,FALSE)</f>
        <v>True</v>
      </c>
      <c r="H218" s="38" t="str">
        <f>VLOOKUP(Tabella13[[#This Row],[test_id]],experiments_specs!A:J,8,FALSE)</f>
        <v>False</v>
      </c>
      <c r="I218" s="38" t="str">
        <f>VLOOKUP(Tabella13[[#This Row],[test_id]],experiments_specs!A:J,9,FALSE)</f>
        <v>wup_similarity</v>
      </c>
      <c r="J218" s="38" t="str">
        <f>VLOOKUP(Tabella13[[#This Row],[test_id]],experiments_specs!A:J,10,FALSE)</f>
        <v>True</v>
      </c>
      <c r="K218" s="40" t="s">
        <v>18</v>
      </c>
      <c r="L218" s="36" t="s">
        <v>45</v>
      </c>
      <c r="M218" s="36">
        <v>2</v>
      </c>
      <c r="N218" s="36">
        <v>1.2576199999999999E-2</v>
      </c>
      <c r="O218" s="36">
        <v>0.2105263</v>
      </c>
    </row>
    <row r="219" spans="1:15" ht="85" x14ac:dyDescent="0.2">
      <c r="A219" s="36" t="s">
        <v>1251</v>
      </c>
      <c r="B219" s="45" t="str">
        <f>VLOOKUP(Tabella13[[#This Row],[test_id]],experiments_specs!A:J,2,FALSE)</f>
        <v>NN,JJ</v>
      </c>
      <c r="C219" s="38">
        <f>VLOOKUP(Tabella13[[#This Row],[test_id]],experiments_specs!A:J,3,FALSE)</f>
        <v>0</v>
      </c>
      <c r="D219" s="38">
        <f>VLOOKUP(Tabella13[[#This Row],[test_id]],experiments_specs!A:J,4,FALSE)</f>
        <v>2</v>
      </c>
      <c r="E219" s="38" t="str">
        <f>VLOOKUP(Tabella13[[#This Row],[test_id]],experiments_specs!A:J,5,FALSE)</f>
        <v>False</v>
      </c>
      <c r="F219" s="38" t="str">
        <f>VLOOKUP(Tabella13[[#This Row],[test_id]],experiments_specs!A:J,6,FALSE)</f>
        <v>True</v>
      </c>
      <c r="G219" s="38" t="str">
        <f>VLOOKUP(Tabella13[[#This Row],[test_id]],experiments_specs!A:J,7,FALSE)</f>
        <v>True</v>
      </c>
      <c r="H219" s="38" t="str">
        <f>VLOOKUP(Tabella13[[#This Row],[test_id]],experiments_specs!A:J,8,FALSE)</f>
        <v>True</v>
      </c>
      <c r="I219" s="38" t="str">
        <f>VLOOKUP(Tabella13[[#This Row],[test_id]],experiments_specs!A:J,9,FALSE)</f>
        <v>wup_similarity</v>
      </c>
      <c r="J219" s="38" t="str">
        <f>VLOOKUP(Tabella13[[#This Row],[test_id]],experiments_specs!A:J,10,FALSE)</f>
        <v>False</v>
      </c>
      <c r="K219" s="40" t="s">
        <v>19</v>
      </c>
      <c r="L219" s="36" t="s">
        <v>1312</v>
      </c>
      <c r="M219" s="36" t="s">
        <v>1314</v>
      </c>
      <c r="N219" s="36">
        <v>2.6365999999999998E-3</v>
      </c>
      <c r="O219" s="36" t="s">
        <v>1434</v>
      </c>
    </row>
    <row r="220" spans="1:15" ht="85" x14ac:dyDescent="0.2">
      <c r="A220" s="36" t="s">
        <v>1251</v>
      </c>
      <c r="B220" s="45" t="str">
        <f>VLOOKUP(Tabella13[[#This Row],[test_id]],experiments_specs!A:J,2,FALSE)</f>
        <v>NN,JJ</v>
      </c>
      <c r="C220" s="38">
        <f>VLOOKUP(Tabella13[[#This Row],[test_id]],experiments_specs!A:J,3,FALSE)</f>
        <v>0</v>
      </c>
      <c r="D220" s="38">
        <f>VLOOKUP(Tabella13[[#This Row],[test_id]],experiments_specs!A:J,4,FALSE)</f>
        <v>2</v>
      </c>
      <c r="E220" s="38" t="str">
        <f>VLOOKUP(Tabella13[[#This Row],[test_id]],experiments_specs!A:J,5,FALSE)</f>
        <v>False</v>
      </c>
      <c r="F220" s="38" t="str">
        <f>VLOOKUP(Tabella13[[#This Row],[test_id]],experiments_specs!A:J,6,FALSE)</f>
        <v>True</v>
      </c>
      <c r="G220" s="38" t="str">
        <f>VLOOKUP(Tabella13[[#This Row],[test_id]],experiments_specs!A:J,7,FALSE)</f>
        <v>True</v>
      </c>
      <c r="H220" s="38" t="str">
        <f>VLOOKUP(Tabella13[[#This Row],[test_id]],experiments_specs!A:J,8,FALSE)</f>
        <v>True</v>
      </c>
      <c r="I220" s="38" t="str">
        <f>VLOOKUP(Tabella13[[#This Row],[test_id]],experiments_specs!A:J,9,FALSE)</f>
        <v>wup_similarity</v>
      </c>
      <c r="J220" s="38" t="str">
        <f>VLOOKUP(Tabella13[[#This Row],[test_id]],experiments_specs!A:J,10,FALSE)</f>
        <v>False</v>
      </c>
      <c r="K220" s="40" t="s">
        <v>12</v>
      </c>
      <c r="L220" s="36" t="s">
        <v>1343</v>
      </c>
      <c r="M220" s="36" t="s">
        <v>1314</v>
      </c>
      <c r="N220" s="36">
        <v>3.7929000000000001E-3</v>
      </c>
      <c r="O220" s="36" t="s">
        <v>1444</v>
      </c>
    </row>
    <row r="221" spans="1:15" ht="85" x14ac:dyDescent="0.2">
      <c r="A221" s="36" t="s">
        <v>1251</v>
      </c>
      <c r="B221" s="45" t="str">
        <f>VLOOKUP(Tabella13[[#This Row],[test_id]],experiments_specs!A:J,2,FALSE)</f>
        <v>NN,JJ</v>
      </c>
      <c r="C221" s="38">
        <f>VLOOKUP(Tabella13[[#This Row],[test_id]],experiments_specs!A:J,3,FALSE)</f>
        <v>0</v>
      </c>
      <c r="D221" s="38">
        <f>VLOOKUP(Tabella13[[#This Row],[test_id]],experiments_specs!A:J,4,FALSE)</f>
        <v>2</v>
      </c>
      <c r="E221" s="38" t="str">
        <f>VLOOKUP(Tabella13[[#This Row],[test_id]],experiments_specs!A:J,5,FALSE)</f>
        <v>False</v>
      </c>
      <c r="F221" s="38" t="str">
        <f>VLOOKUP(Tabella13[[#This Row],[test_id]],experiments_specs!A:J,6,FALSE)</f>
        <v>True</v>
      </c>
      <c r="G221" s="38" t="str">
        <f>VLOOKUP(Tabella13[[#This Row],[test_id]],experiments_specs!A:J,7,FALSE)</f>
        <v>True</v>
      </c>
      <c r="H221" s="38" t="str">
        <f>VLOOKUP(Tabella13[[#This Row],[test_id]],experiments_specs!A:J,8,FALSE)</f>
        <v>True</v>
      </c>
      <c r="I221" s="38" t="str">
        <f>VLOOKUP(Tabella13[[#This Row],[test_id]],experiments_specs!A:J,9,FALSE)</f>
        <v>wup_similarity</v>
      </c>
      <c r="J221" s="38" t="str">
        <f>VLOOKUP(Tabella13[[#This Row],[test_id]],experiments_specs!A:J,10,FALSE)</f>
        <v>False</v>
      </c>
      <c r="K221" s="40" t="s">
        <v>13</v>
      </c>
      <c r="L221" s="36" t="s">
        <v>426</v>
      </c>
      <c r="M221" s="36">
        <v>2</v>
      </c>
      <c r="N221" s="36">
        <v>1.0024699999999999E-2</v>
      </c>
      <c r="O221" s="36" t="s">
        <v>25</v>
      </c>
    </row>
    <row r="222" spans="1:15" ht="85" x14ac:dyDescent="0.2">
      <c r="A222" s="36" t="s">
        <v>1251</v>
      </c>
      <c r="B222" s="45" t="str">
        <f>VLOOKUP(Tabella13[[#This Row],[test_id]],experiments_specs!A:J,2,FALSE)</f>
        <v>NN,JJ</v>
      </c>
      <c r="C222" s="38">
        <f>VLOOKUP(Tabella13[[#This Row],[test_id]],experiments_specs!A:J,3,FALSE)</f>
        <v>0</v>
      </c>
      <c r="D222" s="38">
        <f>VLOOKUP(Tabella13[[#This Row],[test_id]],experiments_specs!A:J,4,FALSE)</f>
        <v>2</v>
      </c>
      <c r="E222" s="38" t="str">
        <f>VLOOKUP(Tabella13[[#This Row],[test_id]],experiments_specs!A:J,5,FALSE)</f>
        <v>False</v>
      </c>
      <c r="F222" s="38" t="str">
        <f>VLOOKUP(Tabella13[[#This Row],[test_id]],experiments_specs!A:J,6,FALSE)</f>
        <v>True</v>
      </c>
      <c r="G222" s="38" t="str">
        <f>VLOOKUP(Tabella13[[#This Row],[test_id]],experiments_specs!A:J,7,FALSE)</f>
        <v>True</v>
      </c>
      <c r="H222" s="38" t="str">
        <f>VLOOKUP(Tabella13[[#This Row],[test_id]],experiments_specs!A:J,8,FALSE)</f>
        <v>True</v>
      </c>
      <c r="I222" s="38" t="str">
        <f>VLOOKUP(Tabella13[[#This Row],[test_id]],experiments_specs!A:J,9,FALSE)</f>
        <v>wup_similarity</v>
      </c>
      <c r="J222" s="38" t="str">
        <f>VLOOKUP(Tabella13[[#This Row],[test_id]],experiments_specs!A:J,10,FALSE)</f>
        <v>False</v>
      </c>
      <c r="K222" s="40" t="s">
        <v>14</v>
      </c>
      <c r="L222" s="36" t="s">
        <v>1345</v>
      </c>
      <c r="M222" s="36" t="s">
        <v>1314</v>
      </c>
      <c r="N222" s="36">
        <v>4.8367999999999996E-3</v>
      </c>
      <c r="O222" s="36" t="s">
        <v>1347</v>
      </c>
    </row>
    <row r="223" spans="1:15" ht="85" x14ac:dyDescent="0.2">
      <c r="A223" s="36" t="s">
        <v>1251</v>
      </c>
      <c r="B223" s="45" t="str">
        <f>VLOOKUP(Tabella13[[#This Row],[test_id]],experiments_specs!A:J,2,FALSE)</f>
        <v>NN,JJ</v>
      </c>
      <c r="C223" s="38">
        <f>VLOOKUP(Tabella13[[#This Row],[test_id]],experiments_specs!A:J,3,FALSE)</f>
        <v>0</v>
      </c>
      <c r="D223" s="38">
        <f>VLOOKUP(Tabella13[[#This Row],[test_id]],experiments_specs!A:J,4,FALSE)</f>
        <v>2</v>
      </c>
      <c r="E223" s="38" t="str">
        <f>VLOOKUP(Tabella13[[#This Row],[test_id]],experiments_specs!A:J,5,FALSE)</f>
        <v>False</v>
      </c>
      <c r="F223" s="38" t="str">
        <f>VLOOKUP(Tabella13[[#This Row],[test_id]],experiments_specs!A:J,6,FALSE)</f>
        <v>True</v>
      </c>
      <c r="G223" s="38" t="str">
        <f>VLOOKUP(Tabella13[[#This Row],[test_id]],experiments_specs!A:J,7,FALSE)</f>
        <v>True</v>
      </c>
      <c r="H223" s="38" t="str">
        <f>VLOOKUP(Tabella13[[#This Row],[test_id]],experiments_specs!A:J,8,FALSE)</f>
        <v>True</v>
      </c>
      <c r="I223" s="38" t="str">
        <f>VLOOKUP(Tabella13[[#This Row],[test_id]],experiments_specs!A:J,9,FALSE)</f>
        <v>wup_similarity</v>
      </c>
      <c r="J223" s="38" t="str">
        <f>VLOOKUP(Tabella13[[#This Row],[test_id]],experiments_specs!A:J,10,FALSE)</f>
        <v>False</v>
      </c>
      <c r="K223" s="40" t="s">
        <v>15</v>
      </c>
      <c r="L223" s="36" t="s">
        <v>1348</v>
      </c>
      <c r="M223" s="36">
        <v>2</v>
      </c>
      <c r="N223" s="36">
        <v>5.4532000000000001E-3</v>
      </c>
      <c r="O223" s="36">
        <v>0.83333330000000005</v>
      </c>
    </row>
    <row r="224" spans="1:15" ht="85" x14ac:dyDescent="0.2">
      <c r="A224" s="36" t="s">
        <v>1251</v>
      </c>
      <c r="B224" s="45" t="str">
        <f>VLOOKUP(Tabella13[[#This Row],[test_id]],experiments_specs!A:J,2,FALSE)</f>
        <v>NN,JJ</v>
      </c>
      <c r="C224" s="38">
        <f>VLOOKUP(Tabella13[[#This Row],[test_id]],experiments_specs!A:J,3,FALSE)</f>
        <v>0</v>
      </c>
      <c r="D224" s="38">
        <f>VLOOKUP(Tabella13[[#This Row],[test_id]],experiments_specs!A:J,4,FALSE)</f>
        <v>2</v>
      </c>
      <c r="E224" s="38" t="str">
        <f>VLOOKUP(Tabella13[[#This Row],[test_id]],experiments_specs!A:J,5,FALSE)</f>
        <v>False</v>
      </c>
      <c r="F224" s="38" t="str">
        <f>VLOOKUP(Tabella13[[#This Row],[test_id]],experiments_specs!A:J,6,FALSE)</f>
        <v>True</v>
      </c>
      <c r="G224" s="38" t="str">
        <f>VLOOKUP(Tabella13[[#This Row],[test_id]],experiments_specs!A:J,7,FALSE)</f>
        <v>True</v>
      </c>
      <c r="H224" s="38" t="str">
        <f>VLOOKUP(Tabella13[[#This Row],[test_id]],experiments_specs!A:J,8,FALSE)</f>
        <v>True</v>
      </c>
      <c r="I224" s="38" t="str">
        <f>VLOOKUP(Tabella13[[#This Row],[test_id]],experiments_specs!A:J,9,FALSE)</f>
        <v>wup_similarity</v>
      </c>
      <c r="J224" s="38" t="str">
        <f>VLOOKUP(Tabella13[[#This Row],[test_id]],experiments_specs!A:J,10,FALSE)</f>
        <v>False</v>
      </c>
      <c r="K224" s="40" t="s">
        <v>16</v>
      </c>
      <c r="L224" s="36" t="s">
        <v>211</v>
      </c>
      <c r="M224" s="36" t="s">
        <v>1331</v>
      </c>
      <c r="N224" s="36">
        <v>2.9128000000000001E-3</v>
      </c>
      <c r="O224" s="36" t="s">
        <v>1436</v>
      </c>
    </row>
    <row r="225" spans="1:15" ht="85" x14ac:dyDescent="0.2">
      <c r="A225" s="36" t="s">
        <v>1251</v>
      </c>
      <c r="B225" s="45" t="str">
        <f>VLOOKUP(Tabella13[[#This Row],[test_id]],experiments_specs!A:J,2,FALSE)</f>
        <v>NN,JJ</v>
      </c>
      <c r="C225" s="38">
        <f>VLOOKUP(Tabella13[[#This Row],[test_id]],experiments_specs!A:J,3,FALSE)</f>
        <v>0</v>
      </c>
      <c r="D225" s="38">
        <f>VLOOKUP(Tabella13[[#This Row],[test_id]],experiments_specs!A:J,4,FALSE)</f>
        <v>2</v>
      </c>
      <c r="E225" s="38" t="str">
        <f>VLOOKUP(Tabella13[[#This Row],[test_id]],experiments_specs!A:J,5,FALSE)</f>
        <v>False</v>
      </c>
      <c r="F225" s="38" t="str">
        <f>VLOOKUP(Tabella13[[#This Row],[test_id]],experiments_specs!A:J,6,FALSE)</f>
        <v>True</v>
      </c>
      <c r="G225" s="38" t="str">
        <f>VLOOKUP(Tabella13[[#This Row],[test_id]],experiments_specs!A:J,7,FALSE)</f>
        <v>True</v>
      </c>
      <c r="H225" s="38" t="str">
        <f>VLOOKUP(Tabella13[[#This Row],[test_id]],experiments_specs!A:J,8,FALSE)</f>
        <v>True</v>
      </c>
      <c r="I225" s="38" t="str">
        <f>VLOOKUP(Tabella13[[#This Row],[test_id]],experiments_specs!A:J,9,FALSE)</f>
        <v>wup_similarity</v>
      </c>
      <c r="J225" s="38" t="str">
        <f>VLOOKUP(Tabella13[[#This Row],[test_id]],experiments_specs!A:J,10,FALSE)</f>
        <v>False</v>
      </c>
      <c r="K225" s="40" t="s">
        <v>17</v>
      </c>
      <c r="L225" s="36" t="s">
        <v>219</v>
      </c>
      <c r="M225" s="36">
        <v>2</v>
      </c>
      <c r="N225" s="36">
        <v>2.6843000000000001E-3</v>
      </c>
      <c r="O225" s="36">
        <v>0.13333329999999999</v>
      </c>
    </row>
    <row r="226" spans="1:15" ht="85" x14ac:dyDescent="0.2">
      <c r="A226" s="36" t="s">
        <v>1251</v>
      </c>
      <c r="B226" s="45" t="str">
        <f>VLOOKUP(Tabella13[[#This Row],[test_id]],experiments_specs!A:J,2,FALSE)</f>
        <v>NN,JJ</v>
      </c>
      <c r="C226" s="38">
        <f>VLOOKUP(Tabella13[[#This Row],[test_id]],experiments_specs!A:J,3,FALSE)</f>
        <v>0</v>
      </c>
      <c r="D226" s="38">
        <f>VLOOKUP(Tabella13[[#This Row],[test_id]],experiments_specs!A:J,4,FALSE)</f>
        <v>2</v>
      </c>
      <c r="E226" s="38" t="str">
        <f>VLOOKUP(Tabella13[[#This Row],[test_id]],experiments_specs!A:J,5,FALSE)</f>
        <v>False</v>
      </c>
      <c r="F226" s="38" t="str">
        <f>VLOOKUP(Tabella13[[#This Row],[test_id]],experiments_specs!A:J,6,FALSE)</f>
        <v>True</v>
      </c>
      <c r="G226" s="38" t="str">
        <f>VLOOKUP(Tabella13[[#This Row],[test_id]],experiments_specs!A:J,7,FALSE)</f>
        <v>True</v>
      </c>
      <c r="H226" s="38" t="str">
        <f>VLOOKUP(Tabella13[[#This Row],[test_id]],experiments_specs!A:J,8,FALSE)</f>
        <v>True</v>
      </c>
      <c r="I226" s="38" t="str">
        <f>VLOOKUP(Tabella13[[#This Row],[test_id]],experiments_specs!A:J,9,FALSE)</f>
        <v>wup_similarity</v>
      </c>
      <c r="J226" s="38" t="str">
        <f>VLOOKUP(Tabella13[[#This Row],[test_id]],experiments_specs!A:J,10,FALSE)</f>
        <v>False</v>
      </c>
      <c r="K226" s="40" t="s">
        <v>18</v>
      </c>
      <c r="L226" s="36" t="s">
        <v>1323</v>
      </c>
      <c r="M226" s="36" t="s">
        <v>1314</v>
      </c>
      <c r="N226" s="36">
        <v>2.1499000000000002E-3</v>
      </c>
      <c r="O226" s="36" t="s">
        <v>1438</v>
      </c>
    </row>
    <row r="227" spans="1:15" ht="85" x14ac:dyDescent="0.2">
      <c r="A227" s="36" t="s">
        <v>1252</v>
      </c>
      <c r="B227" s="45" t="str">
        <f>VLOOKUP(Tabella13[[#This Row],[test_id]],experiments_specs!A:J,2,FALSE)</f>
        <v>NN,JJ</v>
      </c>
      <c r="C227" s="38">
        <f>VLOOKUP(Tabella13[[#This Row],[test_id]],experiments_specs!A:J,3,FALSE)</f>
        <v>0</v>
      </c>
      <c r="D227" s="38">
        <f>VLOOKUP(Tabella13[[#This Row],[test_id]],experiments_specs!A:J,4,FALSE)</f>
        <v>3</v>
      </c>
      <c r="E227" s="38" t="str">
        <f>VLOOKUP(Tabella13[[#This Row],[test_id]],experiments_specs!A:J,5,FALSE)</f>
        <v>False</v>
      </c>
      <c r="F227" s="38" t="str">
        <f>VLOOKUP(Tabella13[[#This Row],[test_id]],experiments_specs!A:J,6,FALSE)</f>
        <v>True</v>
      </c>
      <c r="G227" s="38" t="str">
        <f>VLOOKUP(Tabella13[[#This Row],[test_id]],experiments_specs!A:J,7,FALSE)</f>
        <v>True</v>
      </c>
      <c r="H227" s="38" t="str">
        <f>VLOOKUP(Tabella13[[#This Row],[test_id]],experiments_specs!A:J,8,FALSE)</f>
        <v>True</v>
      </c>
      <c r="I227" s="38" t="str">
        <f>VLOOKUP(Tabella13[[#This Row],[test_id]],experiments_specs!A:J,9,FALSE)</f>
        <v>wup_similarity</v>
      </c>
      <c r="J227" s="38" t="str">
        <f>VLOOKUP(Tabella13[[#This Row],[test_id]],experiments_specs!A:J,10,FALSE)</f>
        <v>False</v>
      </c>
      <c r="K227" s="40" t="s">
        <v>19</v>
      </c>
      <c r="L227" s="36" t="s">
        <v>1312</v>
      </c>
      <c r="M227" s="36" t="s">
        <v>1314</v>
      </c>
      <c r="N227" s="36">
        <v>2.6365999999999998E-3</v>
      </c>
      <c r="O227" s="36" t="s">
        <v>1434</v>
      </c>
    </row>
    <row r="228" spans="1:15" ht="85" x14ac:dyDescent="0.2">
      <c r="A228" s="36" t="s">
        <v>1252</v>
      </c>
      <c r="B228" s="45" t="str">
        <f>VLOOKUP(Tabella13[[#This Row],[test_id]],experiments_specs!A:J,2,FALSE)</f>
        <v>NN,JJ</v>
      </c>
      <c r="C228" s="38">
        <f>VLOOKUP(Tabella13[[#This Row],[test_id]],experiments_specs!A:J,3,FALSE)</f>
        <v>0</v>
      </c>
      <c r="D228" s="38">
        <f>VLOOKUP(Tabella13[[#This Row],[test_id]],experiments_specs!A:J,4,FALSE)</f>
        <v>3</v>
      </c>
      <c r="E228" s="38" t="str">
        <f>VLOOKUP(Tabella13[[#This Row],[test_id]],experiments_specs!A:J,5,FALSE)</f>
        <v>False</v>
      </c>
      <c r="F228" s="38" t="str">
        <f>VLOOKUP(Tabella13[[#This Row],[test_id]],experiments_specs!A:J,6,FALSE)</f>
        <v>True</v>
      </c>
      <c r="G228" s="38" t="str">
        <f>VLOOKUP(Tabella13[[#This Row],[test_id]],experiments_specs!A:J,7,FALSE)</f>
        <v>True</v>
      </c>
      <c r="H228" s="38" t="str">
        <f>VLOOKUP(Tabella13[[#This Row],[test_id]],experiments_specs!A:J,8,FALSE)</f>
        <v>True</v>
      </c>
      <c r="I228" s="38" t="str">
        <f>VLOOKUP(Tabella13[[#This Row],[test_id]],experiments_specs!A:J,9,FALSE)</f>
        <v>wup_similarity</v>
      </c>
      <c r="J228" s="38" t="str">
        <f>VLOOKUP(Tabella13[[#This Row],[test_id]],experiments_specs!A:J,10,FALSE)</f>
        <v>False</v>
      </c>
      <c r="K228" s="40" t="s">
        <v>12</v>
      </c>
      <c r="L228" s="36" t="s">
        <v>1343</v>
      </c>
      <c r="M228" s="36" t="s">
        <v>1314</v>
      </c>
      <c r="N228" s="36">
        <v>3.7929000000000001E-3</v>
      </c>
      <c r="O228" s="36" t="s">
        <v>1444</v>
      </c>
    </row>
    <row r="229" spans="1:15" ht="85" x14ac:dyDescent="0.2">
      <c r="A229" s="36" t="s">
        <v>1252</v>
      </c>
      <c r="B229" s="45" t="str">
        <f>VLOOKUP(Tabella13[[#This Row],[test_id]],experiments_specs!A:J,2,FALSE)</f>
        <v>NN,JJ</v>
      </c>
      <c r="C229" s="38">
        <f>VLOOKUP(Tabella13[[#This Row],[test_id]],experiments_specs!A:J,3,FALSE)</f>
        <v>0</v>
      </c>
      <c r="D229" s="38">
        <f>VLOOKUP(Tabella13[[#This Row],[test_id]],experiments_specs!A:J,4,FALSE)</f>
        <v>3</v>
      </c>
      <c r="E229" s="38" t="str">
        <f>VLOOKUP(Tabella13[[#This Row],[test_id]],experiments_specs!A:J,5,FALSE)</f>
        <v>False</v>
      </c>
      <c r="F229" s="38" t="str">
        <f>VLOOKUP(Tabella13[[#This Row],[test_id]],experiments_specs!A:J,6,FALSE)</f>
        <v>True</v>
      </c>
      <c r="G229" s="38" t="str">
        <f>VLOOKUP(Tabella13[[#This Row],[test_id]],experiments_specs!A:J,7,FALSE)</f>
        <v>True</v>
      </c>
      <c r="H229" s="38" t="str">
        <f>VLOOKUP(Tabella13[[#This Row],[test_id]],experiments_specs!A:J,8,FALSE)</f>
        <v>True</v>
      </c>
      <c r="I229" s="38" t="str">
        <f>VLOOKUP(Tabella13[[#This Row],[test_id]],experiments_specs!A:J,9,FALSE)</f>
        <v>wup_similarity</v>
      </c>
      <c r="J229" s="38" t="str">
        <f>VLOOKUP(Tabella13[[#This Row],[test_id]],experiments_specs!A:J,10,FALSE)</f>
        <v>False</v>
      </c>
      <c r="K229" s="40" t="s">
        <v>13</v>
      </c>
      <c r="L229" s="36" t="s">
        <v>426</v>
      </c>
      <c r="M229" s="36">
        <v>2</v>
      </c>
      <c r="N229" s="36">
        <v>1.0024699999999999E-2</v>
      </c>
      <c r="O229" s="36" t="s">
        <v>25</v>
      </c>
    </row>
    <row r="230" spans="1:15" ht="85" x14ac:dyDescent="0.2">
      <c r="A230" s="36" t="s">
        <v>1252</v>
      </c>
      <c r="B230" s="45" t="str">
        <f>VLOOKUP(Tabella13[[#This Row],[test_id]],experiments_specs!A:J,2,FALSE)</f>
        <v>NN,JJ</v>
      </c>
      <c r="C230" s="38">
        <f>VLOOKUP(Tabella13[[#This Row],[test_id]],experiments_specs!A:J,3,FALSE)</f>
        <v>0</v>
      </c>
      <c r="D230" s="38">
        <f>VLOOKUP(Tabella13[[#This Row],[test_id]],experiments_specs!A:J,4,FALSE)</f>
        <v>3</v>
      </c>
      <c r="E230" s="38" t="str">
        <f>VLOOKUP(Tabella13[[#This Row],[test_id]],experiments_specs!A:J,5,FALSE)</f>
        <v>False</v>
      </c>
      <c r="F230" s="38" t="str">
        <f>VLOOKUP(Tabella13[[#This Row],[test_id]],experiments_specs!A:J,6,FALSE)</f>
        <v>True</v>
      </c>
      <c r="G230" s="38" t="str">
        <f>VLOOKUP(Tabella13[[#This Row],[test_id]],experiments_specs!A:J,7,FALSE)</f>
        <v>True</v>
      </c>
      <c r="H230" s="38" t="str">
        <f>VLOOKUP(Tabella13[[#This Row],[test_id]],experiments_specs!A:J,8,FALSE)</f>
        <v>True</v>
      </c>
      <c r="I230" s="38" t="str">
        <f>VLOOKUP(Tabella13[[#This Row],[test_id]],experiments_specs!A:J,9,FALSE)</f>
        <v>wup_similarity</v>
      </c>
      <c r="J230" s="38" t="str">
        <f>VLOOKUP(Tabella13[[#This Row],[test_id]],experiments_specs!A:J,10,FALSE)</f>
        <v>False</v>
      </c>
      <c r="K230" s="40" t="s">
        <v>14</v>
      </c>
      <c r="L230" s="36" t="s">
        <v>1345</v>
      </c>
      <c r="M230" s="36" t="s">
        <v>1314</v>
      </c>
      <c r="N230" s="36">
        <v>4.8367999999999996E-3</v>
      </c>
      <c r="O230" s="36" t="s">
        <v>1347</v>
      </c>
    </row>
    <row r="231" spans="1:15" ht="85" x14ac:dyDescent="0.2">
      <c r="A231" s="36" t="s">
        <v>1252</v>
      </c>
      <c r="B231" s="45" t="str">
        <f>VLOOKUP(Tabella13[[#This Row],[test_id]],experiments_specs!A:J,2,FALSE)</f>
        <v>NN,JJ</v>
      </c>
      <c r="C231" s="38">
        <f>VLOOKUP(Tabella13[[#This Row],[test_id]],experiments_specs!A:J,3,FALSE)</f>
        <v>0</v>
      </c>
      <c r="D231" s="38">
        <f>VLOOKUP(Tabella13[[#This Row],[test_id]],experiments_specs!A:J,4,FALSE)</f>
        <v>3</v>
      </c>
      <c r="E231" s="38" t="str">
        <f>VLOOKUP(Tabella13[[#This Row],[test_id]],experiments_specs!A:J,5,FALSE)</f>
        <v>False</v>
      </c>
      <c r="F231" s="38" t="str">
        <f>VLOOKUP(Tabella13[[#This Row],[test_id]],experiments_specs!A:J,6,FALSE)</f>
        <v>True</v>
      </c>
      <c r="G231" s="38" t="str">
        <f>VLOOKUP(Tabella13[[#This Row],[test_id]],experiments_specs!A:J,7,FALSE)</f>
        <v>True</v>
      </c>
      <c r="H231" s="38" t="str">
        <f>VLOOKUP(Tabella13[[#This Row],[test_id]],experiments_specs!A:J,8,FALSE)</f>
        <v>True</v>
      </c>
      <c r="I231" s="38" t="str">
        <f>VLOOKUP(Tabella13[[#This Row],[test_id]],experiments_specs!A:J,9,FALSE)</f>
        <v>wup_similarity</v>
      </c>
      <c r="J231" s="38" t="str">
        <f>VLOOKUP(Tabella13[[#This Row],[test_id]],experiments_specs!A:J,10,FALSE)</f>
        <v>False</v>
      </c>
      <c r="K231" s="40" t="s">
        <v>15</v>
      </c>
      <c r="L231" s="36" t="s">
        <v>1348</v>
      </c>
      <c r="M231" s="36">
        <v>2</v>
      </c>
      <c r="N231" s="36">
        <v>5.4532000000000001E-3</v>
      </c>
      <c r="O231" s="36">
        <v>0.83333330000000005</v>
      </c>
    </row>
    <row r="232" spans="1:15" ht="85" x14ac:dyDescent="0.2">
      <c r="A232" s="36" t="s">
        <v>1252</v>
      </c>
      <c r="B232" s="45" t="str">
        <f>VLOOKUP(Tabella13[[#This Row],[test_id]],experiments_specs!A:J,2,FALSE)</f>
        <v>NN,JJ</v>
      </c>
      <c r="C232" s="38">
        <f>VLOOKUP(Tabella13[[#This Row],[test_id]],experiments_specs!A:J,3,FALSE)</f>
        <v>0</v>
      </c>
      <c r="D232" s="38">
        <f>VLOOKUP(Tabella13[[#This Row],[test_id]],experiments_specs!A:J,4,FALSE)</f>
        <v>3</v>
      </c>
      <c r="E232" s="38" t="str">
        <f>VLOOKUP(Tabella13[[#This Row],[test_id]],experiments_specs!A:J,5,FALSE)</f>
        <v>False</v>
      </c>
      <c r="F232" s="38" t="str">
        <f>VLOOKUP(Tabella13[[#This Row],[test_id]],experiments_specs!A:J,6,FALSE)</f>
        <v>True</v>
      </c>
      <c r="G232" s="38" t="str">
        <f>VLOOKUP(Tabella13[[#This Row],[test_id]],experiments_specs!A:J,7,FALSE)</f>
        <v>True</v>
      </c>
      <c r="H232" s="38" t="str">
        <f>VLOOKUP(Tabella13[[#This Row],[test_id]],experiments_specs!A:J,8,FALSE)</f>
        <v>True</v>
      </c>
      <c r="I232" s="38" t="str">
        <f>VLOOKUP(Tabella13[[#This Row],[test_id]],experiments_specs!A:J,9,FALSE)</f>
        <v>wup_similarity</v>
      </c>
      <c r="J232" s="38" t="str">
        <f>VLOOKUP(Tabella13[[#This Row],[test_id]],experiments_specs!A:J,10,FALSE)</f>
        <v>False</v>
      </c>
      <c r="K232" s="40" t="s">
        <v>16</v>
      </c>
      <c r="L232" s="36" t="s">
        <v>211</v>
      </c>
      <c r="M232" s="36" t="s">
        <v>1331</v>
      </c>
      <c r="N232" s="36">
        <v>2.9128000000000001E-3</v>
      </c>
      <c r="O232" s="36" t="s">
        <v>1436</v>
      </c>
    </row>
    <row r="233" spans="1:15" ht="85" x14ac:dyDescent="0.2">
      <c r="A233" s="36" t="s">
        <v>1252</v>
      </c>
      <c r="B233" s="45" t="str">
        <f>VLOOKUP(Tabella13[[#This Row],[test_id]],experiments_specs!A:J,2,FALSE)</f>
        <v>NN,JJ</v>
      </c>
      <c r="C233" s="38">
        <f>VLOOKUP(Tabella13[[#This Row],[test_id]],experiments_specs!A:J,3,FALSE)</f>
        <v>0</v>
      </c>
      <c r="D233" s="38">
        <f>VLOOKUP(Tabella13[[#This Row],[test_id]],experiments_specs!A:J,4,FALSE)</f>
        <v>3</v>
      </c>
      <c r="E233" s="38" t="str">
        <f>VLOOKUP(Tabella13[[#This Row],[test_id]],experiments_specs!A:J,5,FALSE)</f>
        <v>False</v>
      </c>
      <c r="F233" s="38" t="str">
        <f>VLOOKUP(Tabella13[[#This Row],[test_id]],experiments_specs!A:J,6,FALSE)</f>
        <v>True</v>
      </c>
      <c r="G233" s="38" t="str">
        <f>VLOOKUP(Tabella13[[#This Row],[test_id]],experiments_specs!A:J,7,FALSE)</f>
        <v>True</v>
      </c>
      <c r="H233" s="38" t="str">
        <f>VLOOKUP(Tabella13[[#This Row],[test_id]],experiments_specs!A:J,8,FALSE)</f>
        <v>True</v>
      </c>
      <c r="I233" s="38" t="str">
        <f>VLOOKUP(Tabella13[[#This Row],[test_id]],experiments_specs!A:J,9,FALSE)</f>
        <v>wup_similarity</v>
      </c>
      <c r="J233" s="38" t="str">
        <f>VLOOKUP(Tabella13[[#This Row],[test_id]],experiments_specs!A:J,10,FALSE)</f>
        <v>False</v>
      </c>
      <c r="K233" s="40" t="s">
        <v>17</v>
      </c>
      <c r="L233" s="36" t="s">
        <v>219</v>
      </c>
      <c r="M233" s="36">
        <v>2</v>
      </c>
      <c r="N233" s="36">
        <v>2.6843000000000001E-3</v>
      </c>
      <c r="O233" s="36">
        <v>0.13333329999999999</v>
      </c>
    </row>
    <row r="234" spans="1:15" ht="85" x14ac:dyDescent="0.2">
      <c r="A234" s="36" t="s">
        <v>1252</v>
      </c>
      <c r="B234" s="45" t="str">
        <f>VLOOKUP(Tabella13[[#This Row],[test_id]],experiments_specs!A:J,2,FALSE)</f>
        <v>NN,JJ</v>
      </c>
      <c r="C234" s="38">
        <f>VLOOKUP(Tabella13[[#This Row],[test_id]],experiments_specs!A:J,3,FALSE)</f>
        <v>0</v>
      </c>
      <c r="D234" s="38">
        <f>VLOOKUP(Tabella13[[#This Row],[test_id]],experiments_specs!A:J,4,FALSE)</f>
        <v>3</v>
      </c>
      <c r="E234" s="38" t="str">
        <f>VLOOKUP(Tabella13[[#This Row],[test_id]],experiments_specs!A:J,5,FALSE)</f>
        <v>False</v>
      </c>
      <c r="F234" s="38" t="str">
        <f>VLOOKUP(Tabella13[[#This Row],[test_id]],experiments_specs!A:J,6,FALSE)</f>
        <v>True</v>
      </c>
      <c r="G234" s="38" t="str">
        <f>VLOOKUP(Tabella13[[#This Row],[test_id]],experiments_specs!A:J,7,FALSE)</f>
        <v>True</v>
      </c>
      <c r="H234" s="38" t="str">
        <f>VLOOKUP(Tabella13[[#This Row],[test_id]],experiments_specs!A:J,8,FALSE)</f>
        <v>True</v>
      </c>
      <c r="I234" s="38" t="str">
        <f>VLOOKUP(Tabella13[[#This Row],[test_id]],experiments_specs!A:J,9,FALSE)</f>
        <v>wup_similarity</v>
      </c>
      <c r="J234" s="38" t="str">
        <f>VLOOKUP(Tabella13[[#This Row],[test_id]],experiments_specs!A:J,10,FALSE)</f>
        <v>False</v>
      </c>
      <c r="K234" s="40" t="s">
        <v>18</v>
      </c>
      <c r="L234" s="36" t="s">
        <v>1323</v>
      </c>
      <c r="M234" s="36" t="s">
        <v>1314</v>
      </c>
      <c r="N234" s="36">
        <v>2.1499000000000002E-3</v>
      </c>
      <c r="O234" s="36" t="s">
        <v>1438</v>
      </c>
    </row>
    <row r="235" spans="1:15" ht="85" x14ac:dyDescent="0.2">
      <c r="A235" s="36" t="s">
        <v>1253</v>
      </c>
      <c r="B235" s="45" t="str">
        <f>VLOOKUP(Tabella13[[#This Row],[test_id]],experiments_specs!A:J,2,FALSE)</f>
        <v>NN,VB,VBD,VBG,VBN,VBP,VBZ</v>
      </c>
      <c r="C235" s="38">
        <f>VLOOKUP(Tabella13[[#This Row],[test_id]],experiments_specs!A:J,3,FALSE)</f>
        <v>0</v>
      </c>
      <c r="D235" s="38">
        <f>VLOOKUP(Tabella13[[#This Row],[test_id]],experiments_specs!A:J,4,FALSE)</f>
        <v>2</v>
      </c>
      <c r="E235" s="38" t="str">
        <f>VLOOKUP(Tabella13[[#This Row],[test_id]],experiments_specs!A:J,5,FALSE)</f>
        <v>False</v>
      </c>
      <c r="F235" s="38" t="str">
        <f>VLOOKUP(Tabella13[[#This Row],[test_id]],experiments_specs!A:J,6,FALSE)</f>
        <v>True</v>
      </c>
      <c r="G235" s="38" t="str">
        <f>VLOOKUP(Tabella13[[#This Row],[test_id]],experiments_specs!A:J,7,FALSE)</f>
        <v>True</v>
      </c>
      <c r="H235" s="38" t="str">
        <f>VLOOKUP(Tabella13[[#This Row],[test_id]],experiments_specs!A:J,8,FALSE)</f>
        <v>True</v>
      </c>
      <c r="I235" s="38" t="str">
        <f>VLOOKUP(Tabella13[[#This Row],[test_id]],experiments_specs!A:J,9,FALSE)</f>
        <v>wup_similarity</v>
      </c>
      <c r="J235" s="38" t="str">
        <f>VLOOKUP(Tabella13[[#This Row],[test_id]],experiments_specs!A:J,10,FALSE)</f>
        <v>False</v>
      </c>
      <c r="K235" s="40" t="s">
        <v>19</v>
      </c>
      <c r="L235" s="36" t="s">
        <v>226</v>
      </c>
      <c r="M235" s="36">
        <v>3</v>
      </c>
      <c r="N235" s="36">
        <v>2.3695999999999999E-3</v>
      </c>
      <c r="O235" s="36">
        <v>0.17391300000000001</v>
      </c>
    </row>
    <row r="236" spans="1:15" ht="85" x14ac:dyDescent="0.2">
      <c r="A236" s="36" t="s">
        <v>1253</v>
      </c>
      <c r="B236" s="45" t="str">
        <f>VLOOKUP(Tabella13[[#This Row],[test_id]],experiments_specs!A:J,2,FALSE)</f>
        <v>NN,VB,VBD,VBG,VBN,VBP,VBZ</v>
      </c>
      <c r="C236" s="38">
        <f>VLOOKUP(Tabella13[[#This Row],[test_id]],experiments_specs!A:J,3,FALSE)</f>
        <v>0</v>
      </c>
      <c r="D236" s="38">
        <f>VLOOKUP(Tabella13[[#This Row],[test_id]],experiments_specs!A:J,4,FALSE)</f>
        <v>2</v>
      </c>
      <c r="E236" s="38" t="str">
        <f>VLOOKUP(Tabella13[[#This Row],[test_id]],experiments_specs!A:J,5,FALSE)</f>
        <v>False</v>
      </c>
      <c r="F236" s="38" t="str">
        <f>VLOOKUP(Tabella13[[#This Row],[test_id]],experiments_specs!A:J,6,FALSE)</f>
        <v>True</v>
      </c>
      <c r="G236" s="38" t="str">
        <f>VLOOKUP(Tabella13[[#This Row],[test_id]],experiments_specs!A:J,7,FALSE)</f>
        <v>True</v>
      </c>
      <c r="H236" s="38" t="str">
        <f>VLOOKUP(Tabella13[[#This Row],[test_id]],experiments_specs!A:J,8,FALSE)</f>
        <v>True</v>
      </c>
      <c r="I236" s="38" t="str">
        <f>VLOOKUP(Tabella13[[#This Row],[test_id]],experiments_specs!A:J,9,FALSE)</f>
        <v>wup_similarity</v>
      </c>
      <c r="J236" s="38" t="str">
        <f>VLOOKUP(Tabella13[[#This Row],[test_id]],experiments_specs!A:J,10,FALSE)</f>
        <v>False</v>
      </c>
      <c r="K236" s="40" t="s">
        <v>12</v>
      </c>
      <c r="L236" s="36" t="s">
        <v>236</v>
      </c>
      <c r="M236" s="36">
        <v>2</v>
      </c>
      <c r="N236" s="36">
        <v>3.9234999999999999E-3</v>
      </c>
      <c r="O236" s="36">
        <v>0.125</v>
      </c>
    </row>
    <row r="237" spans="1:15" ht="85" x14ac:dyDescent="0.2">
      <c r="A237" s="36" t="s">
        <v>1253</v>
      </c>
      <c r="B237" s="45" t="str">
        <f>VLOOKUP(Tabella13[[#This Row],[test_id]],experiments_specs!A:J,2,FALSE)</f>
        <v>NN,VB,VBD,VBG,VBN,VBP,VBZ</v>
      </c>
      <c r="C237" s="38">
        <f>VLOOKUP(Tabella13[[#This Row],[test_id]],experiments_specs!A:J,3,FALSE)</f>
        <v>0</v>
      </c>
      <c r="D237" s="38">
        <f>VLOOKUP(Tabella13[[#This Row],[test_id]],experiments_specs!A:J,4,FALSE)</f>
        <v>2</v>
      </c>
      <c r="E237" s="38" t="str">
        <f>VLOOKUP(Tabella13[[#This Row],[test_id]],experiments_specs!A:J,5,FALSE)</f>
        <v>False</v>
      </c>
      <c r="F237" s="38" t="str">
        <f>VLOOKUP(Tabella13[[#This Row],[test_id]],experiments_specs!A:J,6,FALSE)</f>
        <v>True</v>
      </c>
      <c r="G237" s="38" t="str">
        <f>VLOOKUP(Tabella13[[#This Row],[test_id]],experiments_specs!A:J,7,FALSE)</f>
        <v>True</v>
      </c>
      <c r="H237" s="38" t="str">
        <f>VLOOKUP(Tabella13[[#This Row],[test_id]],experiments_specs!A:J,8,FALSE)</f>
        <v>True</v>
      </c>
      <c r="I237" s="38" t="str">
        <f>VLOOKUP(Tabella13[[#This Row],[test_id]],experiments_specs!A:J,9,FALSE)</f>
        <v>wup_similarity</v>
      </c>
      <c r="J237" s="38" t="str">
        <f>VLOOKUP(Tabella13[[#This Row],[test_id]],experiments_specs!A:J,10,FALSE)</f>
        <v>False</v>
      </c>
      <c r="K237" s="40" t="s">
        <v>13</v>
      </c>
      <c r="L237" s="36" t="s">
        <v>426</v>
      </c>
      <c r="M237" s="36">
        <v>2</v>
      </c>
      <c r="N237" s="36">
        <v>7.3340999999999996E-3</v>
      </c>
      <c r="O237" s="36" t="s">
        <v>25</v>
      </c>
    </row>
    <row r="238" spans="1:15" ht="85" x14ac:dyDescent="0.2">
      <c r="A238" s="36" t="s">
        <v>1253</v>
      </c>
      <c r="B238" s="45" t="str">
        <f>VLOOKUP(Tabella13[[#This Row],[test_id]],experiments_specs!A:J,2,FALSE)</f>
        <v>NN,VB,VBD,VBG,VBN,VBP,VBZ</v>
      </c>
      <c r="C238" s="38">
        <f>VLOOKUP(Tabella13[[#This Row],[test_id]],experiments_specs!A:J,3,FALSE)</f>
        <v>0</v>
      </c>
      <c r="D238" s="38">
        <f>VLOOKUP(Tabella13[[#This Row],[test_id]],experiments_specs!A:J,4,FALSE)</f>
        <v>2</v>
      </c>
      <c r="E238" s="38" t="str">
        <f>VLOOKUP(Tabella13[[#This Row],[test_id]],experiments_specs!A:J,5,FALSE)</f>
        <v>False</v>
      </c>
      <c r="F238" s="38" t="str">
        <f>VLOOKUP(Tabella13[[#This Row],[test_id]],experiments_specs!A:J,6,FALSE)</f>
        <v>True</v>
      </c>
      <c r="G238" s="38" t="str">
        <f>VLOOKUP(Tabella13[[#This Row],[test_id]],experiments_specs!A:J,7,FALSE)</f>
        <v>True</v>
      </c>
      <c r="H238" s="38" t="str">
        <f>VLOOKUP(Tabella13[[#This Row],[test_id]],experiments_specs!A:J,8,FALSE)</f>
        <v>True</v>
      </c>
      <c r="I238" s="38" t="str">
        <f>VLOOKUP(Tabella13[[#This Row],[test_id]],experiments_specs!A:J,9,FALSE)</f>
        <v>wup_similarity</v>
      </c>
      <c r="J238" s="38" t="str">
        <f>VLOOKUP(Tabella13[[#This Row],[test_id]],experiments_specs!A:J,10,FALSE)</f>
        <v>False</v>
      </c>
      <c r="K238" s="40" t="s">
        <v>14</v>
      </c>
      <c r="L238" s="36" t="s">
        <v>1345</v>
      </c>
      <c r="M238" s="36" t="s">
        <v>1314</v>
      </c>
      <c r="N238" s="36">
        <v>4.1922000000000001E-3</v>
      </c>
      <c r="O238" s="36" t="s">
        <v>1347</v>
      </c>
    </row>
    <row r="239" spans="1:15" ht="85" x14ac:dyDescent="0.2">
      <c r="A239" s="36" t="s">
        <v>1253</v>
      </c>
      <c r="B239" s="45" t="str">
        <f>VLOOKUP(Tabella13[[#This Row],[test_id]],experiments_specs!A:J,2,FALSE)</f>
        <v>NN,VB,VBD,VBG,VBN,VBP,VBZ</v>
      </c>
      <c r="C239" s="38">
        <f>VLOOKUP(Tabella13[[#This Row],[test_id]],experiments_specs!A:J,3,FALSE)</f>
        <v>0</v>
      </c>
      <c r="D239" s="38">
        <f>VLOOKUP(Tabella13[[#This Row],[test_id]],experiments_specs!A:J,4,FALSE)</f>
        <v>2</v>
      </c>
      <c r="E239" s="38" t="str">
        <f>VLOOKUP(Tabella13[[#This Row],[test_id]],experiments_specs!A:J,5,FALSE)</f>
        <v>False</v>
      </c>
      <c r="F239" s="38" t="str">
        <f>VLOOKUP(Tabella13[[#This Row],[test_id]],experiments_specs!A:J,6,FALSE)</f>
        <v>True</v>
      </c>
      <c r="G239" s="38" t="str">
        <f>VLOOKUP(Tabella13[[#This Row],[test_id]],experiments_specs!A:J,7,FALSE)</f>
        <v>True</v>
      </c>
      <c r="H239" s="38" t="str">
        <f>VLOOKUP(Tabella13[[#This Row],[test_id]],experiments_specs!A:J,8,FALSE)</f>
        <v>True</v>
      </c>
      <c r="I239" s="38" t="str">
        <f>VLOOKUP(Tabella13[[#This Row],[test_id]],experiments_specs!A:J,9,FALSE)</f>
        <v>wup_similarity</v>
      </c>
      <c r="J239" s="38" t="str">
        <f>VLOOKUP(Tabella13[[#This Row],[test_id]],experiments_specs!A:J,10,FALSE)</f>
        <v>False</v>
      </c>
      <c r="K239" s="40" t="s">
        <v>15</v>
      </c>
      <c r="L239" s="36" t="s">
        <v>443</v>
      </c>
      <c r="M239" s="36">
        <v>2</v>
      </c>
      <c r="N239" s="36">
        <v>3.8376999999999999E-3</v>
      </c>
      <c r="O239" s="36">
        <v>0.2</v>
      </c>
    </row>
    <row r="240" spans="1:15" ht="85" x14ac:dyDescent="0.2">
      <c r="A240" s="36" t="s">
        <v>1253</v>
      </c>
      <c r="B240" s="45" t="str">
        <f>VLOOKUP(Tabella13[[#This Row],[test_id]],experiments_specs!A:J,2,FALSE)</f>
        <v>NN,VB,VBD,VBG,VBN,VBP,VBZ</v>
      </c>
      <c r="C240" s="38">
        <f>VLOOKUP(Tabella13[[#This Row],[test_id]],experiments_specs!A:J,3,FALSE)</f>
        <v>0</v>
      </c>
      <c r="D240" s="38">
        <f>VLOOKUP(Tabella13[[#This Row],[test_id]],experiments_specs!A:J,4,FALSE)</f>
        <v>2</v>
      </c>
      <c r="E240" s="38" t="str">
        <f>VLOOKUP(Tabella13[[#This Row],[test_id]],experiments_specs!A:J,5,FALSE)</f>
        <v>False</v>
      </c>
      <c r="F240" s="38" t="str">
        <f>VLOOKUP(Tabella13[[#This Row],[test_id]],experiments_specs!A:J,6,FALSE)</f>
        <v>True</v>
      </c>
      <c r="G240" s="38" t="str">
        <f>VLOOKUP(Tabella13[[#This Row],[test_id]],experiments_specs!A:J,7,FALSE)</f>
        <v>True</v>
      </c>
      <c r="H240" s="38" t="str">
        <f>VLOOKUP(Tabella13[[#This Row],[test_id]],experiments_specs!A:J,8,FALSE)</f>
        <v>True</v>
      </c>
      <c r="I240" s="38" t="str">
        <f>VLOOKUP(Tabella13[[#This Row],[test_id]],experiments_specs!A:J,9,FALSE)</f>
        <v>wup_similarity</v>
      </c>
      <c r="J240" s="38" t="str">
        <f>VLOOKUP(Tabella13[[#This Row],[test_id]],experiments_specs!A:J,10,FALSE)</f>
        <v>False</v>
      </c>
      <c r="K240" s="40" t="s">
        <v>16</v>
      </c>
      <c r="L240" s="36" t="s">
        <v>431</v>
      </c>
      <c r="M240" s="36">
        <v>2</v>
      </c>
      <c r="N240" s="36">
        <v>3.1697000000000001E-3</v>
      </c>
      <c r="O240" s="36">
        <v>0.55555549999999998</v>
      </c>
    </row>
    <row r="241" spans="1:15" ht="85" x14ac:dyDescent="0.2">
      <c r="A241" s="36" t="s">
        <v>1253</v>
      </c>
      <c r="B241" s="45" t="str">
        <f>VLOOKUP(Tabella13[[#This Row],[test_id]],experiments_specs!A:J,2,FALSE)</f>
        <v>NN,VB,VBD,VBG,VBN,VBP,VBZ</v>
      </c>
      <c r="C241" s="38">
        <f>VLOOKUP(Tabella13[[#This Row],[test_id]],experiments_specs!A:J,3,FALSE)</f>
        <v>0</v>
      </c>
      <c r="D241" s="38">
        <f>VLOOKUP(Tabella13[[#This Row],[test_id]],experiments_specs!A:J,4,FALSE)</f>
        <v>2</v>
      </c>
      <c r="E241" s="38" t="str">
        <f>VLOOKUP(Tabella13[[#This Row],[test_id]],experiments_specs!A:J,5,FALSE)</f>
        <v>False</v>
      </c>
      <c r="F241" s="38" t="str">
        <f>VLOOKUP(Tabella13[[#This Row],[test_id]],experiments_specs!A:J,6,FALSE)</f>
        <v>True</v>
      </c>
      <c r="G241" s="38" t="str">
        <f>VLOOKUP(Tabella13[[#This Row],[test_id]],experiments_specs!A:J,7,FALSE)</f>
        <v>True</v>
      </c>
      <c r="H241" s="38" t="str">
        <f>VLOOKUP(Tabella13[[#This Row],[test_id]],experiments_specs!A:J,8,FALSE)</f>
        <v>True</v>
      </c>
      <c r="I241" s="38" t="str">
        <f>VLOOKUP(Tabella13[[#This Row],[test_id]],experiments_specs!A:J,9,FALSE)</f>
        <v>wup_similarity</v>
      </c>
      <c r="J241" s="38" t="str">
        <f>VLOOKUP(Tabella13[[#This Row],[test_id]],experiments_specs!A:J,10,FALSE)</f>
        <v>False</v>
      </c>
      <c r="K241" s="40" t="s">
        <v>17</v>
      </c>
      <c r="L241" s="36" t="s">
        <v>219</v>
      </c>
      <c r="M241" s="36">
        <v>2</v>
      </c>
      <c r="N241" s="36">
        <v>2.5861E-3</v>
      </c>
      <c r="O241" s="36">
        <v>0.13333329999999999</v>
      </c>
    </row>
    <row r="242" spans="1:15" ht="85" x14ac:dyDescent="0.2">
      <c r="A242" s="36" t="s">
        <v>1253</v>
      </c>
      <c r="B242" s="45" t="str">
        <f>VLOOKUP(Tabella13[[#This Row],[test_id]],experiments_specs!A:J,2,FALSE)</f>
        <v>NN,VB,VBD,VBG,VBN,VBP,VBZ</v>
      </c>
      <c r="C242" s="38">
        <f>VLOOKUP(Tabella13[[#This Row],[test_id]],experiments_specs!A:J,3,FALSE)</f>
        <v>0</v>
      </c>
      <c r="D242" s="38">
        <f>VLOOKUP(Tabella13[[#This Row],[test_id]],experiments_specs!A:J,4,FALSE)</f>
        <v>2</v>
      </c>
      <c r="E242" s="38" t="str">
        <f>VLOOKUP(Tabella13[[#This Row],[test_id]],experiments_specs!A:J,5,FALSE)</f>
        <v>False</v>
      </c>
      <c r="F242" s="38" t="str">
        <f>VLOOKUP(Tabella13[[#This Row],[test_id]],experiments_specs!A:J,6,FALSE)</f>
        <v>True</v>
      </c>
      <c r="G242" s="38" t="str">
        <f>VLOOKUP(Tabella13[[#This Row],[test_id]],experiments_specs!A:J,7,FALSE)</f>
        <v>True</v>
      </c>
      <c r="H242" s="38" t="str">
        <f>VLOOKUP(Tabella13[[#This Row],[test_id]],experiments_specs!A:J,8,FALSE)</f>
        <v>True</v>
      </c>
      <c r="I242" s="38" t="str">
        <f>VLOOKUP(Tabella13[[#This Row],[test_id]],experiments_specs!A:J,9,FALSE)</f>
        <v>wup_similarity</v>
      </c>
      <c r="J242" s="38" t="str">
        <f>VLOOKUP(Tabella13[[#This Row],[test_id]],experiments_specs!A:J,10,FALSE)</f>
        <v>False</v>
      </c>
      <c r="K242" s="40" t="s">
        <v>18</v>
      </c>
      <c r="L242" s="36" t="s">
        <v>1323</v>
      </c>
      <c r="M242" s="36" t="s">
        <v>1314</v>
      </c>
      <c r="N242" s="36">
        <v>1.4316000000000001E-3</v>
      </c>
      <c r="O242" s="36" t="s">
        <v>1438</v>
      </c>
    </row>
    <row r="243" spans="1:15" ht="85" x14ac:dyDescent="0.2">
      <c r="A243" s="36" t="s">
        <v>1254</v>
      </c>
      <c r="B243" s="45" t="str">
        <f>VLOOKUP(Tabella13[[#This Row],[test_id]],experiments_specs!A:J,2,FALSE)</f>
        <v>NN,VB,VBD,VBG,VBN,VBP,VBZ</v>
      </c>
      <c r="C243" s="38">
        <f>VLOOKUP(Tabella13[[#This Row],[test_id]],experiments_specs!A:J,3,FALSE)</f>
        <v>0</v>
      </c>
      <c r="D243" s="38">
        <f>VLOOKUP(Tabella13[[#This Row],[test_id]],experiments_specs!A:J,4,FALSE)</f>
        <v>3</v>
      </c>
      <c r="E243" s="38" t="str">
        <f>VLOOKUP(Tabella13[[#This Row],[test_id]],experiments_specs!A:J,5,FALSE)</f>
        <v>False</v>
      </c>
      <c r="F243" s="38" t="str">
        <f>VLOOKUP(Tabella13[[#This Row],[test_id]],experiments_specs!A:J,6,FALSE)</f>
        <v>True</v>
      </c>
      <c r="G243" s="38" t="str">
        <f>VLOOKUP(Tabella13[[#This Row],[test_id]],experiments_specs!A:J,7,FALSE)</f>
        <v>True</v>
      </c>
      <c r="H243" s="38" t="str">
        <f>VLOOKUP(Tabella13[[#This Row],[test_id]],experiments_specs!A:J,8,FALSE)</f>
        <v>True</v>
      </c>
      <c r="I243" s="38" t="str">
        <f>VLOOKUP(Tabella13[[#This Row],[test_id]],experiments_specs!A:J,9,FALSE)</f>
        <v>wup_similarity</v>
      </c>
      <c r="J243" s="38" t="str">
        <f>VLOOKUP(Tabella13[[#This Row],[test_id]],experiments_specs!A:J,10,FALSE)</f>
        <v>False</v>
      </c>
      <c r="K243" s="40" t="s">
        <v>19</v>
      </c>
      <c r="L243" s="36" t="s">
        <v>226</v>
      </c>
      <c r="M243" s="36">
        <v>3</v>
      </c>
      <c r="N243" s="36">
        <v>2.3695999999999999E-3</v>
      </c>
      <c r="O243" s="36">
        <v>0.17391300000000001</v>
      </c>
    </row>
    <row r="244" spans="1:15" ht="85" x14ac:dyDescent="0.2">
      <c r="A244" s="36" t="s">
        <v>1254</v>
      </c>
      <c r="B244" s="45" t="str">
        <f>VLOOKUP(Tabella13[[#This Row],[test_id]],experiments_specs!A:J,2,FALSE)</f>
        <v>NN,VB,VBD,VBG,VBN,VBP,VBZ</v>
      </c>
      <c r="C244" s="38">
        <f>VLOOKUP(Tabella13[[#This Row],[test_id]],experiments_specs!A:J,3,FALSE)</f>
        <v>0</v>
      </c>
      <c r="D244" s="38">
        <f>VLOOKUP(Tabella13[[#This Row],[test_id]],experiments_specs!A:J,4,FALSE)</f>
        <v>3</v>
      </c>
      <c r="E244" s="38" t="str">
        <f>VLOOKUP(Tabella13[[#This Row],[test_id]],experiments_specs!A:J,5,FALSE)</f>
        <v>False</v>
      </c>
      <c r="F244" s="38" t="str">
        <f>VLOOKUP(Tabella13[[#This Row],[test_id]],experiments_specs!A:J,6,FALSE)</f>
        <v>True</v>
      </c>
      <c r="G244" s="38" t="str">
        <f>VLOOKUP(Tabella13[[#This Row],[test_id]],experiments_specs!A:J,7,FALSE)</f>
        <v>True</v>
      </c>
      <c r="H244" s="38" t="str">
        <f>VLOOKUP(Tabella13[[#This Row],[test_id]],experiments_specs!A:J,8,FALSE)</f>
        <v>True</v>
      </c>
      <c r="I244" s="38" t="str">
        <f>VLOOKUP(Tabella13[[#This Row],[test_id]],experiments_specs!A:J,9,FALSE)</f>
        <v>wup_similarity</v>
      </c>
      <c r="J244" s="38" t="str">
        <f>VLOOKUP(Tabella13[[#This Row],[test_id]],experiments_specs!A:J,10,FALSE)</f>
        <v>False</v>
      </c>
      <c r="K244" s="40" t="s">
        <v>12</v>
      </c>
      <c r="L244" s="36" t="s">
        <v>236</v>
      </c>
      <c r="M244" s="36">
        <v>2</v>
      </c>
      <c r="N244" s="36">
        <v>3.9234999999999999E-3</v>
      </c>
      <c r="O244" s="36">
        <v>0.125</v>
      </c>
    </row>
    <row r="245" spans="1:15" ht="85" x14ac:dyDescent="0.2">
      <c r="A245" s="36" t="s">
        <v>1254</v>
      </c>
      <c r="B245" s="45" t="str">
        <f>VLOOKUP(Tabella13[[#This Row],[test_id]],experiments_specs!A:J,2,FALSE)</f>
        <v>NN,VB,VBD,VBG,VBN,VBP,VBZ</v>
      </c>
      <c r="C245" s="38">
        <f>VLOOKUP(Tabella13[[#This Row],[test_id]],experiments_specs!A:J,3,FALSE)</f>
        <v>0</v>
      </c>
      <c r="D245" s="38">
        <f>VLOOKUP(Tabella13[[#This Row],[test_id]],experiments_specs!A:J,4,FALSE)</f>
        <v>3</v>
      </c>
      <c r="E245" s="38" t="str">
        <f>VLOOKUP(Tabella13[[#This Row],[test_id]],experiments_specs!A:J,5,FALSE)</f>
        <v>False</v>
      </c>
      <c r="F245" s="38" t="str">
        <f>VLOOKUP(Tabella13[[#This Row],[test_id]],experiments_specs!A:J,6,FALSE)</f>
        <v>True</v>
      </c>
      <c r="G245" s="38" t="str">
        <f>VLOOKUP(Tabella13[[#This Row],[test_id]],experiments_specs!A:J,7,FALSE)</f>
        <v>True</v>
      </c>
      <c r="H245" s="38" t="str">
        <f>VLOOKUP(Tabella13[[#This Row],[test_id]],experiments_specs!A:J,8,FALSE)</f>
        <v>True</v>
      </c>
      <c r="I245" s="38" t="str">
        <f>VLOOKUP(Tabella13[[#This Row],[test_id]],experiments_specs!A:J,9,FALSE)</f>
        <v>wup_similarity</v>
      </c>
      <c r="J245" s="38" t="str">
        <f>VLOOKUP(Tabella13[[#This Row],[test_id]],experiments_specs!A:J,10,FALSE)</f>
        <v>False</v>
      </c>
      <c r="K245" s="40" t="s">
        <v>13</v>
      </c>
      <c r="L245" s="36" t="s">
        <v>426</v>
      </c>
      <c r="M245" s="36">
        <v>2</v>
      </c>
      <c r="N245" s="36">
        <v>7.3340999999999996E-3</v>
      </c>
      <c r="O245" s="36" t="s">
        <v>25</v>
      </c>
    </row>
    <row r="246" spans="1:15" ht="85" x14ac:dyDescent="0.2">
      <c r="A246" s="36" t="s">
        <v>1254</v>
      </c>
      <c r="B246" s="45" t="str">
        <f>VLOOKUP(Tabella13[[#This Row],[test_id]],experiments_specs!A:J,2,FALSE)</f>
        <v>NN,VB,VBD,VBG,VBN,VBP,VBZ</v>
      </c>
      <c r="C246" s="38">
        <f>VLOOKUP(Tabella13[[#This Row],[test_id]],experiments_specs!A:J,3,FALSE)</f>
        <v>0</v>
      </c>
      <c r="D246" s="38">
        <f>VLOOKUP(Tabella13[[#This Row],[test_id]],experiments_specs!A:J,4,FALSE)</f>
        <v>3</v>
      </c>
      <c r="E246" s="38" t="str">
        <f>VLOOKUP(Tabella13[[#This Row],[test_id]],experiments_specs!A:J,5,FALSE)</f>
        <v>False</v>
      </c>
      <c r="F246" s="38" t="str">
        <f>VLOOKUP(Tabella13[[#This Row],[test_id]],experiments_specs!A:J,6,FALSE)</f>
        <v>True</v>
      </c>
      <c r="G246" s="38" t="str">
        <f>VLOOKUP(Tabella13[[#This Row],[test_id]],experiments_specs!A:J,7,FALSE)</f>
        <v>True</v>
      </c>
      <c r="H246" s="38" t="str">
        <f>VLOOKUP(Tabella13[[#This Row],[test_id]],experiments_specs!A:J,8,FALSE)</f>
        <v>True</v>
      </c>
      <c r="I246" s="38" t="str">
        <f>VLOOKUP(Tabella13[[#This Row],[test_id]],experiments_specs!A:J,9,FALSE)</f>
        <v>wup_similarity</v>
      </c>
      <c r="J246" s="38" t="str">
        <f>VLOOKUP(Tabella13[[#This Row],[test_id]],experiments_specs!A:J,10,FALSE)</f>
        <v>False</v>
      </c>
      <c r="K246" s="40" t="s">
        <v>14</v>
      </c>
      <c r="L246" s="36" t="s">
        <v>1345</v>
      </c>
      <c r="M246" s="36" t="s">
        <v>1314</v>
      </c>
      <c r="N246" s="36">
        <v>4.1922000000000001E-3</v>
      </c>
      <c r="O246" s="36" t="s">
        <v>1347</v>
      </c>
    </row>
    <row r="247" spans="1:15" ht="85" x14ac:dyDescent="0.2">
      <c r="A247" s="36" t="s">
        <v>1254</v>
      </c>
      <c r="B247" s="45" t="str">
        <f>VLOOKUP(Tabella13[[#This Row],[test_id]],experiments_specs!A:J,2,FALSE)</f>
        <v>NN,VB,VBD,VBG,VBN,VBP,VBZ</v>
      </c>
      <c r="C247" s="38">
        <f>VLOOKUP(Tabella13[[#This Row],[test_id]],experiments_specs!A:J,3,FALSE)</f>
        <v>0</v>
      </c>
      <c r="D247" s="38">
        <f>VLOOKUP(Tabella13[[#This Row],[test_id]],experiments_specs!A:J,4,FALSE)</f>
        <v>3</v>
      </c>
      <c r="E247" s="38" t="str">
        <f>VLOOKUP(Tabella13[[#This Row],[test_id]],experiments_specs!A:J,5,FALSE)</f>
        <v>False</v>
      </c>
      <c r="F247" s="38" t="str">
        <f>VLOOKUP(Tabella13[[#This Row],[test_id]],experiments_specs!A:J,6,FALSE)</f>
        <v>True</v>
      </c>
      <c r="G247" s="38" t="str">
        <f>VLOOKUP(Tabella13[[#This Row],[test_id]],experiments_specs!A:J,7,FALSE)</f>
        <v>True</v>
      </c>
      <c r="H247" s="38" t="str">
        <f>VLOOKUP(Tabella13[[#This Row],[test_id]],experiments_specs!A:J,8,FALSE)</f>
        <v>True</v>
      </c>
      <c r="I247" s="38" t="str">
        <f>VLOOKUP(Tabella13[[#This Row],[test_id]],experiments_specs!A:J,9,FALSE)</f>
        <v>wup_similarity</v>
      </c>
      <c r="J247" s="38" t="str">
        <f>VLOOKUP(Tabella13[[#This Row],[test_id]],experiments_specs!A:J,10,FALSE)</f>
        <v>False</v>
      </c>
      <c r="K247" s="40" t="s">
        <v>15</v>
      </c>
      <c r="L247" s="36" t="s">
        <v>443</v>
      </c>
      <c r="M247" s="36">
        <v>2</v>
      </c>
      <c r="N247" s="36">
        <v>3.8376999999999999E-3</v>
      </c>
      <c r="O247" s="36">
        <v>0.2</v>
      </c>
    </row>
    <row r="248" spans="1:15" ht="85" x14ac:dyDescent="0.2">
      <c r="A248" s="36" t="s">
        <v>1254</v>
      </c>
      <c r="B248" s="45" t="str">
        <f>VLOOKUP(Tabella13[[#This Row],[test_id]],experiments_specs!A:J,2,FALSE)</f>
        <v>NN,VB,VBD,VBG,VBN,VBP,VBZ</v>
      </c>
      <c r="C248" s="38">
        <f>VLOOKUP(Tabella13[[#This Row],[test_id]],experiments_specs!A:J,3,FALSE)</f>
        <v>0</v>
      </c>
      <c r="D248" s="38">
        <f>VLOOKUP(Tabella13[[#This Row],[test_id]],experiments_specs!A:J,4,FALSE)</f>
        <v>3</v>
      </c>
      <c r="E248" s="38" t="str">
        <f>VLOOKUP(Tabella13[[#This Row],[test_id]],experiments_specs!A:J,5,FALSE)</f>
        <v>False</v>
      </c>
      <c r="F248" s="38" t="str">
        <f>VLOOKUP(Tabella13[[#This Row],[test_id]],experiments_specs!A:J,6,FALSE)</f>
        <v>True</v>
      </c>
      <c r="G248" s="38" t="str">
        <f>VLOOKUP(Tabella13[[#This Row],[test_id]],experiments_specs!A:J,7,FALSE)</f>
        <v>True</v>
      </c>
      <c r="H248" s="38" t="str">
        <f>VLOOKUP(Tabella13[[#This Row],[test_id]],experiments_specs!A:J,8,FALSE)</f>
        <v>True</v>
      </c>
      <c r="I248" s="38" t="str">
        <f>VLOOKUP(Tabella13[[#This Row],[test_id]],experiments_specs!A:J,9,FALSE)</f>
        <v>wup_similarity</v>
      </c>
      <c r="J248" s="38" t="str">
        <f>VLOOKUP(Tabella13[[#This Row],[test_id]],experiments_specs!A:J,10,FALSE)</f>
        <v>False</v>
      </c>
      <c r="K248" s="40" t="s">
        <v>16</v>
      </c>
      <c r="L248" s="36" t="s">
        <v>431</v>
      </c>
      <c r="M248" s="36">
        <v>2</v>
      </c>
      <c r="N248" s="36">
        <v>3.1697000000000001E-3</v>
      </c>
      <c r="O248" s="36">
        <v>0.55555549999999998</v>
      </c>
    </row>
    <row r="249" spans="1:15" ht="85" x14ac:dyDescent="0.2">
      <c r="A249" s="36" t="s">
        <v>1254</v>
      </c>
      <c r="B249" s="45" t="str">
        <f>VLOOKUP(Tabella13[[#This Row],[test_id]],experiments_specs!A:J,2,FALSE)</f>
        <v>NN,VB,VBD,VBG,VBN,VBP,VBZ</v>
      </c>
      <c r="C249" s="38">
        <f>VLOOKUP(Tabella13[[#This Row],[test_id]],experiments_specs!A:J,3,FALSE)</f>
        <v>0</v>
      </c>
      <c r="D249" s="38">
        <f>VLOOKUP(Tabella13[[#This Row],[test_id]],experiments_specs!A:J,4,FALSE)</f>
        <v>3</v>
      </c>
      <c r="E249" s="38" t="str">
        <f>VLOOKUP(Tabella13[[#This Row],[test_id]],experiments_specs!A:J,5,FALSE)</f>
        <v>False</v>
      </c>
      <c r="F249" s="38" t="str">
        <f>VLOOKUP(Tabella13[[#This Row],[test_id]],experiments_specs!A:J,6,FALSE)</f>
        <v>True</v>
      </c>
      <c r="G249" s="38" t="str">
        <f>VLOOKUP(Tabella13[[#This Row],[test_id]],experiments_specs!A:J,7,FALSE)</f>
        <v>True</v>
      </c>
      <c r="H249" s="38" t="str">
        <f>VLOOKUP(Tabella13[[#This Row],[test_id]],experiments_specs!A:J,8,FALSE)</f>
        <v>True</v>
      </c>
      <c r="I249" s="38" t="str">
        <f>VLOOKUP(Tabella13[[#This Row],[test_id]],experiments_specs!A:J,9,FALSE)</f>
        <v>wup_similarity</v>
      </c>
      <c r="J249" s="38" t="str">
        <f>VLOOKUP(Tabella13[[#This Row],[test_id]],experiments_specs!A:J,10,FALSE)</f>
        <v>False</v>
      </c>
      <c r="K249" s="40" t="s">
        <v>17</v>
      </c>
      <c r="L249" s="36" t="s">
        <v>219</v>
      </c>
      <c r="M249" s="36">
        <v>2</v>
      </c>
      <c r="N249" s="36">
        <v>2.5861E-3</v>
      </c>
      <c r="O249" s="36">
        <v>0.13333329999999999</v>
      </c>
    </row>
    <row r="250" spans="1:15" ht="85" x14ac:dyDescent="0.2">
      <c r="A250" s="36" t="s">
        <v>1254</v>
      </c>
      <c r="B250" s="45" t="str">
        <f>VLOOKUP(Tabella13[[#This Row],[test_id]],experiments_specs!A:J,2,FALSE)</f>
        <v>NN,VB,VBD,VBG,VBN,VBP,VBZ</v>
      </c>
      <c r="C250" s="38">
        <f>VLOOKUP(Tabella13[[#This Row],[test_id]],experiments_specs!A:J,3,FALSE)</f>
        <v>0</v>
      </c>
      <c r="D250" s="38">
        <f>VLOOKUP(Tabella13[[#This Row],[test_id]],experiments_specs!A:J,4,FALSE)</f>
        <v>3</v>
      </c>
      <c r="E250" s="38" t="str">
        <f>VLOOKUP(Tabella13[[#This Row],[test_id]],experiments_specs!A:J,5,FALSE)</f>
        <v>False</v>
      </c>
      <c r="F250" s="38" t="str">
        <f>VLOOKUP(Tabella13[[#This Row],[test_id]],experiments_specs!A:J,6,FALSE)</f>
        <v>True</v>
      </c>
      <c r="G250" s="38" t="str">
        <f>VLOOKUP(Tabella13[[#This Row],[test_id]],experiments_specs!A:J,7,FALSE)</f>
        <v>True</v>
      </c>
      <c r="H250" s="38" t="str">
        <f>VLOOKUP(Tabella13[[#This Row],[test_id]],experiments_specs!A:J,8,FALSE)</f>
        <v>True</v>
      </c>
      <c r="I250" s="38" t="str">
        <f>VLOOKUP(Tabella13[[#This Row],[test_id]],experiments_specs!A:J,9,FALSE)</f>
        <v>wup_similarity</v>
      </c>
      <c r="J250" s="38" t="str">
        <f>VLOOKUP(Tabella13[[#This Row],[test_id]],experiments_specs!A:J,10,FALSE)</f>
        <v>False</v>
      </c>
      <c r="K250" s="40" t="s">
        <v>18</v>
      </c>
      <c r="L250" s="36" t="s">
        <v>1323</v>
      </c>
      <c r="M250" s="36" t="s">
        <v>1314</v>
      </c>
      <c r="N250" s="36">
        <v>1.4316000000000001E-3</v>
      </c>
      <c r="O250" s="36" t="s">
        <v>1438</v>
      </c>
    </row>
    <row r="251" spans="1:15" ht="85" x14ac:dyDescent="0.2">
      <c r="A251" s="36" t="s">
        <v>1255</v>
      </c>
      <c r="B251" s="45" t="str">
        <f>VLOOKUP(Tabella13[[#This Row],[test_id]],experiments_specs!A:J,2,FALSE)</f>
        <v>NN,JJ,VB,VBD,VBG,VBN,VBP,VBZ</v>
      </c>
      <c r="C251" s="38">
        <f>VLOOKUP(Tabella13[[#This Row],[test_id]],experiments_specs!A:J,3,FALSE)</f>
        <v>0</v>
      </c>
      <c r="D251" s="38">
        <f>VLOOKUP(Tabella13[[#This Row],[test_id]],experiments_specs!A:J,4,FALSE)</f>
        <v>2</v>
      </c>
      <c r="E251" s="38" t="str">
        <f>VLOOKUP(Tabella13[[#This Row],[test_id]],experiments_specs!A:J,5,FALSE)</f>
        <v>False</v>
      </c>
      <c r="F251" s="38" t="str">
        <f>VLOOKUP(Tabella13[[#This Row],[test_id]],experiments_specs!A:J,6,FALSE)</f>
        <v>True</v>
      </c>
      <c r="G251" s="38" t="str">
        <f>VLOOKUP(Tabella13[[#This Row],[test_id]],experiments_specs!A:J,7,FALSE)</f>
        <v>True</v>
      </c>
      <c r="H251" s="38" t="str">
        <f>VLOOKUP(Tabella13[[#This Row],[test_id]],experiments_specs!A:J,8,FALSE)</f>
        <v>True</v>
      </c>
      <c r="I251" s="38" t="str">
        <f>VLOOKUP(Tabella13[[#This Row],[test_id]],experiments_specs!A:J,9,FALSE)</f>
        <v>wup_similarity</v>
      </c>
      <c r="J251" s="38" t="str">
        <f>VLOOKUP(Tabella13[[#This Row],[test_id]],experiments_specs!A:J,10,FALSE)</f>
        <v>False</v>
      </c>
      <c r="K251" s="40" t="s">
        <v>19</v>
      </c>
      <c r="L251" s="36" t="s">
        <v>1312</v>
      </c>
      <c r="M251" s="36" t="s">
        <v>1314</v>
      </c>
      <c r="N251" s="36">
        <v>2.0379999999999999E-3</v>
      </c>
      <c r="O251" s="36" t="s">
        <v>1434</v>
      </c>
    </row>
    <row r="252" spans="1:15" ht="85" x14ac:dyDescent="0.2">
      <c r="A252" s="36" t="s">
        <v>1255</v>
      </c>
      <c r="B252" s="45" t="str">
        <f>VLOOKUP(Tabella13[[#This Row],[test_id]],experiments_specs!A:J,2,FALSE)</f>
        <v>NN,JJ,VB,VBD,VBG,VBN,VBP,VBZ</v>
      </c>
      <c r="C252" s="38">
        <f>VLOOKUP(Tabella13[[#This Row],[test_id]],experiments_specs!A:J,3,FALSE)</f>
        <v>0</v>
      </c>
      <c r="D252" s="38">
        <f>VLOOKUP(Tabella13[[#This Row],[test_id]],experiments_specs!A:J,4,FALSE)</f>
        <v>2</v>
      </c>
      <c r="E252" s="38" t="str">
        <f>VLOOKUP(Tabella13[[#This Row],[test_id]],experiments_specs!A:J,5,FALSE)</f>
        <v>False</v>
      </c>
      <c r="F252" s="38" t="str">
        <f>VLOOKUP(Tabella13[[#This Row],[test_id]],experiments_specs!A:J,6,FALSE)</f>
        <v>True</v>
      </c>
      <c r="G252" s="38" t="str">
        <f>VLOOKUP(Tabella13[[#This Row],[test_id]],experiments_specs!A:J,7,FALSE)</f>
        <v>True</v>
      </c>
      <c r="H252" s="38" t="str">
        <f>VLOOKUP(Tabella13[[#This Row],[test_id]],experiments_specs!A:J,8,FALSE)</f>
        <v>True</v>
      </c>
      <c r="I252" s="38" t="str">
        <f>VLOOKUP(Tabella13[[#This Row],[test_id]],experiments_specs!A:J,9,FALSE)</f>
        <v>wup_similarity</v>
      </c>
      <c r="J252" s="38" t="str">
        <f>VLOOKUP(Tabella13[[#This Row],[test_id]],experiments_specs!A:J,10,FALSE)</f>
        <v>False</v>
      </c>
      <c r="K252" s="40" t="s">
        <v>12</v>
      </c>
      <c r="L252" s="36" t="s">
        <v>236</v>
      </c>
      <c r="M252" s="36">
        <v>2</v>
      </c>
      <c r="N252" s="36">
        <v>2.8253000000000002E-3</v>
      </c>
      <c r="O252" s="36">
        <v>0.125</v>
      </c>
    </row>
    <row r="253" spans="1:15" ht="85" x14ac:dyDescent="0.2">
      <c r="A253" s="36" t="s">
        <v>1255</v>
      </c>
      <c r="B253" s="45" t="str">
        <f>VLOOKUP(Tabella13[[#This Row],[test_id]],experiments_specs!A:J,2,FALSE)</f>
        <v>NN,JJ,VB,VBD,VBG,VBN,VBP,VBZ</v>
      </c>
      <c r="C253" s="38">
        <f>VLOOKUP(Tabella13[[#This Row],[test_id]],experiments_specs!A:J,3,FALSE)</f>
        <v>0</v>
      </c>
      <c r="D253" s="38">
        <f>VLOOKUP(Tabella13[[#This Row],[test_id]],experiments_specs!A:J,4,FALSE)</f>
        <v>2</v>
      </c>
      <c r="E253" s="38" t="str">
        <f>VLOOKUP(Tabella13[[#This Row],[test_id]],experiments_specs!A:J,5,FALSE)</f>
        <v>False</v>
      </c>
      <c r="F253" s="38" t="str">
        <f>VLOOKUP(Tabella13[[#This Row],[test_id]],experiments_specs!A:J,6,FALSE)</f>
        <v>True</v>
      </c>
      <c r="G253" s="38" t="str">
        <f>VLOOKUP(Tabella13[[#This Row],[test_id]],experiments_specs!A:J,7,FALSE)</f>
        <v>True</v>
      </c>
      <c r="H253" s="38" t="str">
        <f>VLOOKUP(Tabella13[[#This Row],[test_id]],experiments_specs!A:J,8,FALSE)</f>
        <v>True</v>
      </c>
      <c r="I253" s="38" t="str">
        <f>VLOOKUP(Tabella13[[#This Row],[test_id]],experiments_specs!A:J,9,FALSE)</f>
        <v>wup_similarity</v>
      </c>
      <c r="J253" s="38" t="str">
        <f>VLOOKUP(Tabella13[[#This Row],[test_id]],experiments_specs!A:J,10,FALSE)</f>
        <v>False</v>
      </c>
      <c r="K253" s="40" t="s">
        <v>13</v>
      </c>
      <c r="L253" s="36" t="s">
        <v>426</v>
      </c>
      <c r="M253" s="36">
        <v>2</v>
      </c>
      <c r="N253" s="36">
        <v>6.2285999999999999E-3</v>
      </c>
      <c r="O253" s="36" t="s">
        <v>25</v>
      </c>
    </row>
    <row r="254" spans="1:15" ht="85" x14ac:dyDescent="0.2">
      <c r="A254" s="36" t="s">
        <v>1255</v>
      </c>
      <c r="B254" s="45" t="str">
        <f>VLOOKUP(Tabella13[[#This Row],[test_id]],experiments_specs!A:J,2,FALSE)</f>
        <v>NN,JJ,VB,VBD,VBG,VBN,VBP,VBZ</v>
      </c>
      <c r="C254" s="38">
        <f>VLOOKUP(Tabella13[[#This Row],[test_id]],experiments_specs!A:J,3,FALSE)</f>
        <v>0</v>
      </c>
      <c r="D254" s="38">
        <f>VLOOKUP(Tabella13[[#This Row],[test_id]],experiments_specs!A:J,4,FALSE)</f>
        <v>2</v>
      </c>
      <c r="E254" s="38" t="str">
        <f>VLOOKUP(Tabella13[[#This Row],[test_id]],experiments_specs!A:J,5,FALSE)</f>
        <v>False</v>
      </c>
      <c r="F254" s="38" t="str">
        <f>VLOOKUP(Tabella13[[#This Row],[test_id]],experiments_specs!A:J,6,FALSE)</f>
        <v>True</v>
      </c>
      <c r="G254" s="38" t="str">
        <f>VLOOKUP(Tabella13[[#This Row],[test_id]],experiments_specs!A:J,7,FALSE)</f>
        <v>True</v>
      </c>
      <c r="H254" s="38" t="str">
        <f>VLOOKUP(Tabella13[[#This Row],[test_id]],experiments_specs!A:J,8,FALSE)</f>
        <v>True</v>
      </c>
      <c r="I254" s="38" t="str">
        <f>VLOOKUP(Tabella13[[#This Row],[test_id]],experiments_specs!A:J,9,FALSE)</f>
        <v>wup_similarity</v>
      </c>
      <c r="J254" s="38" t="str">
        <f>VLOOKUP(Tabella13[[#This Row],[test_id]],experiments_specs!A:J,10,FALSE)</f>
        <v>False</v>
      </c>
      <c r="K254" s="40" t="s">
        <v>14</v>
      </c>
      <c r="L254" s="36" t="s">
        <v>1345</v>
      </c>
      <c r="M254" s="36" t="s">
        <v>1314</v>
      </c>
      <c r="N254" s="36">
        <v>3.4951000000000001E-3</v>
      </c>
      <c r="O254" s="36" t="s">
        <v>1347</v>
      </c>
    </row>
    <row r="255" spans="1:15" ht="85" x14ac:dyDescent="0.2">
      <c r="A255" s="36" t="s">
        <v>1255</v>
      </c>
      <c r="B255" s="45" t="str">
        <f>VLOOKUP(Tabella13[[#This Row],[test_id]],experiments_specs!A:J,2,FALSE)</f>
        <v>NN,JJ,VB,VBD,VBG,VBN,VBP,VBZ</v>
      </c>
      <c r="C255" s="38">
        <f>VLOOKUP(Tabella13[[#This Row],[test_id]],experiments_specs!A:J,3,FALSE)</f>
        <v>0</v>
      </c>
      <c r="D255" s="38">
        <f>VLOOKUP(Tabella13[[#This Row],[test_id]],experiments_specs!A:J,4,FALSE)</f>
        <v>2</v>
      </c>
      <c r="E255" s="38" t="str">
        <f>VLOOKUP(Tabella13[[#This Row],[test_id]],experiments_specs!A:J,5,FALSE)</f>
        <v>False</v>
      </c>
      <c r="F255" s="38" t="str">
        <f>VLOOKUP(Tabella13[[#This Row],[test_id]],experiments_specs!A:J,6,FALSE)</f>
        <v>True</v>
      </c>
      <c r="G255" s="38" t="str">
        <f>VLOOKUP(Tabella13[[#This Row],[test_id]],experiments_specs!A:J,7,FALSE)</f>
        <v>True</v>
      </c>
      <c r="H255" s="38" t="str">
        <f>VLOOKUP(Tabella13[[#This Row],[test_id]],experiments_specs!A:J,8,FALSE)</f>
        <v>True</v>
      </c>
      <c r="I255" s="38" t="str">
        <f>VLOOKUP(Tabella13[[#This Row],[test_id]],experiments_specs!A:J,9,FALSE)</f>
        <v>wup_similarity</v>
      </c>
      <c r="J255" s="38" t="str">
        <f>VLOOKUP(Tabella13[[#This Row],[test_id]],experiments_specs!A:J,10,FALSE)</f>
        <v>False</v>
      </c>
      <c r="K255" s="40" t="s">
        <v>15</v>
      </c>
      <c r="L255" s="36" t="s">
        <v>443</v>
      </c>
      <c r="M255" s="36">
        <v>2</v>
      </c>
      <c r="N255" s="36">
        <v>3.3790000000000001E-3</v>
      </c>
      <c r="O255" s="36">
        <v>0.2</v>
      </c>
    </row>
    <row r="256" spans="1:15" ht="85" x14ac:dyDescent="0.2">
      <c r="A256" s="36" t="s">
        <v>1255</v>
      </c>
      <c r="B256" s="45" t="str">
        <f>VLOOKUP(Tabella13[[#This Row],[test_id]],experiments_specs!A:J,2,FALSE)</f>
        <v>NN,JJ,VB,VBD,VBG,VBN,VBP,VBZ</v>
      </c>
      <c r="C256" s="38">
        <f>VLOOKUP(Tabella13[[#This Row],[test_id]],experiments_specs!A:J,3,FALSE)</f>
        <v>0</v>
      </c>
      <c r="D256" s="38">
        <f>VLOOKUP(Tabella13[[#This Row],[test_id]],experiments_specs!A:J,4,FALSE)</f>
        <v>2</v>
      </c>
      <c r="E256" s="38" t="str">
        <f>VLOOKUP(Tabella13[[#This Row],[test_id]],experiments_specs!A:J,5,FALSE)</f>
        <v>False</v>
      </c>
      <c r="F256" s="38" t="str">
        <f>VLOOKUP(Tabella13[[#This Row],[test_id]],experiments_specs!A:J,6,FALSE)</f>
        <v>True</v>
      </c>
      <c r="G256" s="38" t="str">
        <f>VLOOKUP(Tabella13[[#This Row],[test_id]],experiments_specs!A:J,7,FALSE)</f>
        <v>True</v>
      </c>
      <c r="H256" s="38" t="str">
        <f>VLOOKUP(Tabella13[[#This Row],[test_id]],experiments_specs!A:J,8,FALSE)</f>
        <v>True</v>
      </c>
      <c r="I256" s="38" t="str">
        <f>VLOOKUP(Tabella13[[#This Row],[test_id]],experiments_specs!A:J,9,FALSE)</f>
        <v>wup_similarity</v>
      </c>
      <c r="J256" s="38" t="str">
        <f>VLOOKUP(Tabella13[[#This Row],[test_id]],experiments_specs!A:J,10,FALSE)</f>
        <v>False</v>
      </c>
      <c r="K256" s="40" t="s">
        <v>16</v>
      </c>
      <c r="L256" s="36" t="s">
        <v>431</v>
      </c>
      <c r="M256" s="36">
        <v>2</v>
      </c>
      <c r="N256" s="36">
        <v>2.7215E-3</v>
      </c>
      <c r="O256" s="36">
        <v>0.55555549999999998</v>
      </c>
    </row>
    <row r="257" spans="1:15" ht="85" x14ac:dyDescent="0.2">
      <c r="A257" s="36" t="s">
        <v>1255</v>
      </c>
      <c r="B257" s="45" t="str">
        <f>VLOOKUP(Tabella13[[#This Row],[test_id]],experiments_specs!A:J,2,FALSE)</f>
        <v>NN,JJ,VB,VBD,VBG,VBN,VBP,VBZ</v>
      </c>
      <c r="C257" s="38">
        <f>VLOOKUP(Tabella13[[#This Row],[test_id]],experiments_specs!A:J,3,FALSE)</f>
        <v>0</v>
      </c>
      <c r="D257" s="38">
        <f>VLOOKUP(Tabella13[[#This Row],[test_id]],experiments_specs!A:J,4,FALSE)</f>
        <v>2</v>
      </c>
      <c r="E257" s="38" t="str">
        <f>VLOOKUP(Tabella13[[#This Row],[test_id]],experiments_specs!A:J,5,FALSE)</f>
        <v>False</v>
      </c>
      <c r="F257" s="38" t="str">
        <f>VLOOKUP(Tabella13[[#This Row],[test_id]],experiments_specs!A:J,6,FALSE)</f>
        <v>True</v>
      </c>
      <c r="G257" s="38" t="str">
        <f>VLOOKUP(Tabella13[[#This Row],[test_id]],experiments_specs!A:J,7,FALSE)</f>
        <v>True</v>
      </c>
      <c r="H257" s="38" t="str">
        <f>VLOOKUP(Tabella13[[#This Row],[test_id]],experiments_specs!A:J,8,FALSE)</f>
        <v>True</v>
      </c>
      <c r="I257" s="38" t="str">
        <f>VLOOKUP(Tabella13[[#This Row],[test_id]],experiments_specs!A:J,9,FALSE)</f>
        <v>wup_similarity</v>
      </c>
      <c r="J257" s="38" t="str">
        <f>VLOOKUP(Tabella13[[#This Row],[test_id]],experiments_specs!A:J,10,FALSE)</f>
        <v>False</v>
      </c>
      <c r="K257" s="40" t="s">
        <v>17</v>
      </c>
      <c r="L257" s="36" t="s">
        <v>219</v>
      </c>
      <c r="M257" s="36">
        <v>2</v>
      </c>
      <c r="N257" s="36">
        <v>2.4718000000000001E-3</v>
      </c>
      <c r="O257" s="36">
        <v>0.13333329999999999</v>
      </c>
    </row>
    <row r="258" spans="1:15" ht="85" x14ac:dyDescent="0.2">
      <c r="A258" s="36" t="s">
        <v>1255</v>
      </c>
      <c r="B258" s="45" t="str">
        <f>VLOOKUP(Tabella13[[#This Row],[test_id]],experiments_specs!A:J,2,FALSE)</f>
        <v>NN,JJ,VB,VBD,VBG,VBN,VBP,VBZ</v>
      </c>
      <c r="C258" s="38">
        <f>VLOOKUP(Tabella13[[#This Row],[test_id]],experiments_specs!A:J,3,FALSE)</f>
        <v>0</v>
      </c>
      <c r="D258" s="38">
        <f>VLOOKUP(Tabella13[[#This Row],[test_id]],experiments_specs!A:J,4,FALSE)</f>
        <v>2</v>
      </c>
      <c r="E258" s="38" t="str">
        <f>VLOOKUP(Tabella13[[#This Row],[test_id]],experiments_specs!A:J,5,FALSE)</f>
        <v>False</v>
      </c>
      <c r="F258" s="38" t="str">
        <f>VLOOKUP(Tabella13[[#This Row],[test_id]],experiments_specs!A:J,6,FALSE)</f>
        <v>True</v>
      </c>
      <c r="G258" s="38" t="str">
        <f>VLOOKUP(Tabella13[[#This Row],[test_id]],experiments_specs!A:J,7,FALSE)</f>
        <v>True</v>
      </c>
      <c r="H258" s="38" t="str">
        <f>VLOOKUP(Tabella13[[#This Row],[test_id]],experiments_specs!A:J,8,FALSE)</f>
        <v>True</v>
      </c>
      <c r="I258" s="38" t="str">
        <f>VLOOKUP(Tabella13[[#This Row],[test_id]],experiments_specs!A:J,9,FALSE)</f>
        <v>wup_similarity</v>
      </c>
      <c r="J258" s="38" t="str">
        <f>VLOOKUP(Tabella13[[#This Row],[test_id]],experiments_specs!A:J,10,FALSE)</f>
        <v>False</v>
      </c>
      <c r="K258" s="40" t="s">
        <v>18</v>
      </c>
      <c r="L258" s="36" t="s">
        <v>1323</v>
      </c>
      <c r="M258" s="36" t="s">
        <v>1314</v>
      </c>
      <c r="N258" s="36">
        <v>1.2037E-3</v>
      </c>
      <c r="O258" s="36" t="s">
        <v>1438</v>
      </c>
    </row>
    <row r="259" spans="1:15" ht="85" x14ac:dyDescent="0.2">
      <c r="A259" s="36" t="s">
        <v>1256</v>
      </c>
      <c r="B259" s="45" t="str">
        <f>VLOOKUP(Tabella13[[#This Row],[test_id]],experiments_specs!A:J,2,FALSE)</f>
        <v>NN,JJ,VB,VBD,VBG,VBN,VBP,VBZ</v>
      </c>
      <c r="C259" s="38">
        <f>VLOOKUP(Tabella13[[#This Row],[test_id]],experiments_specs!A:J,3,FALSE)</f>
        <v>0</v>
      </c>
      <c r="D259" s="38">
        <f>VLOOKUP(Tabella13[[#This Row],[test_id]],experiments_specs!A:J,4,FALSE)</f>
        <v>3</v>
      </c>
      <c r="E259" s="38" t="str">
        <f>VLOOKUP(Tabella13[[#This Row],[test_id]],experiments_specs!A:J,5,FALSE)</f>
        <v>False</v>
      </c>
      <c r="F259" s="38" t="str">
        <f>VLOOKUP(Tabella13[[#This Row],[test_id]],experiments_specs!A:J,6,FALSE)</f>
        <v>True</v>
      </c>
      <c r="G259" s="38" t="str">
        <f>VLOOKUP(Tabella13[[#This Row],[test_id]],experiments_specs!A:J,7,FALSE)</f>
        <v>True</v>
      </c>
      <c r="H259" s="38" t="str">
        <f>VLOOKUP(Tabella13[[#This Row],[test_id]],experiments_specs!A:J,8,FALSE)</f>
        <v>True</v>
      </c>
      <c r="I259" s="38" t="str">
        <f>VLOOKUP(Tabella13[[#This Row],[test_id]],experiments_specs!A:J,9,FALSE)</f>
        <v>wup_similarity</v>
      </c>
      <c r="J259" s="38" t="str">
        <f>VLOOKUP(Tabella13[[#This Row],[test_id]],experiments_specs!A:J,10,FALSE)</f>
        <v>False</v>
      </c>
      <c r="K259" s="40" t="s">
        <v>19</v>
      </c>
      <c r="L259" s="36" t="s">
        <v>1312</v>
      </c>
      <c r="M259" s="36" t="s">
        <v>1314</v>
      </c>
      <c r="N259" s="36">
        <v>2.0379999999999999E-3</v>
      </c>
      <c r="O259" s="36" t="s">
        <v>1434</v>
      </c>
    </row>
    <row r="260" spans="1:15" ht="85" x14ac:dyDescent="0.2">
      <c r="A260" s="36" t="s">
        <v>1256</v>
      </c>
      <c r="B260" s="45" t="str">
        <f>VLOOKUP(Tabella13[[#This Row],[test_id]],experiments_specs!A:J,2,FALSE)</f>
        <v>NN,JJ,VB,VBD,VBG,VBN,VBP,VBZ</v>
      </c>
      <c r="C260" s="38">
        <f>VLOOKUP(Tabella13[[#This Row],[test_id]],experiments_specs!A:J,3,FALSE)</f>
        <v>0</v>
      </c>
      <c r="D260" s="38">
        <f>VLOOKUP(Tabella13[[#This Row],[test_id]],experiments_specs!A:J,4,FALSE)</f>
        <v>3</v>
      </c>
      <c r="E260" s="38" t="str">
        <f>VLOOKUP(Tabella13[[#This Row],[test_id]],experiments_specs!A:J,5,FALSE)</f>
        <v>False</v>
      </c>
      <c r="F260" s="38" t="str">
        <f>VLOOKUP(Tabella13[[#This Row],[test_id]],experiments_specs!A:J,6,FALSE)</f>
        <v>True</v>
      </c>
      <c r="G260" s="38" t="str">
        <f>VLOOKUP(Tabella13[[#This Row],[test_id]],experiments_specs!A:J,7,FALSE)</f>
        <v>True</v>
      </c>
      <c r="H260" s="38" t="str">
        <f>VLOOKUP(Tabella13[[#This Row],[test_id]],experiments_specs!A:J,8,FALSE)</f>
        <v>True</v>
      </c>
      <c r="I260" s="38" t="str">
        <f>VLOOKUP(Tabella13[[#This Row],[test_id]],experiments_specs!A:J,9,FALSE)</f>
        <v>wup_similarity</v>
      </c>
      <c r="J260" s="38" t="str">
        <f>VLOOKUP(Tabella13[[#This Row],[test_id]],experiments_specs!A:J,10,FALSE)</f>
        <v>False</v>
      </c>
      <c r="K260" s="40" t="s">
        <v>12</v>
      </c>
      <c r="L260" s="36" t="s">
        <v>236</v>
      </c>
      <c r="M260" s="36">
        <v>2</v>
      </c>
      <c r="N260" s="36">
        <v>2.8253000000000002E-3</v>
      </c>
      <c r="O260" s="36">
        <v>0.125</v>
      </c>
    </row>
    <row r="261" spans="1:15" ht="85" x14ac:dyDescent="0.2">
      <c r="A261" s="36" t="s">
        <v>1256</v>
      </c>
      <c r="B261" s="45" t="str">
        <f>VLOOKUP(Tabella13[[#This Row],[test_id]],experiments_specs!A:J,2,FALSE)</f>
        <v>NN,JJ,VB,VBD,VBG,VBN,VBP,VBZ</v>
      </c>
      <c r="C261" s="38">
        <f>VLOOKUP(Tabella13[[#This Row],[test_id]],experiments_specs!A:J,3,FALSE)</f>
        <v>0</v>
      </c>
      <c r="D261" s="38">
        <f>VLOOKUP(Tabella13[[#This Row],[test_id]],experiments_specs!A:J,4,FALSE)</f>
        <v>3</v>
      </c>
      <c r="E261" s="38" t="str">
        <f>VLOOKUP(Tabella13[[#This Row],[test_id]],experiments_specs!A:J,5,FALSE)</f>
        <v>False</v>
      </c>
      <c r="F261" s="38" t="str">
        <f>VLOOKUP(Tabella13[[#This Row],[test_id]],experiments_specs!A:J,6,FALSE)</f>
        <v>True</v>
      </c>
      <c r="G261" s="38" t="str">
        <f>VLOOKUP(Tabella13[[#This Row],[test_id]],experiments_specs!A:J,7,FALSE)</f>
        <v>True</v>
      </c>
      <c r="H261" s="38" t="str">
        <f>VLOOKUP(Tabella13[[#This Row],[test_id]],experiments_specs!A:J,8,FALSE)</f>
        <v>True</v>
      </c>
      <c r="I261" s="38" t="str">
        <f>VLOOKUP(Tabella13[[#This Row],[test_id]],experiments_specs!A:J,9,FALSE)</f>
        <v>wup_similarity</v>
      </c>
      <c r="J261" s="38" t="str">
        <f>VLOOKUP(Tabella13[[#This Row],[test_id]],experiments_specs!A:J,10,FALSE)</f>
        <v>False</v>
      </c>
      <c r="K261" s="40" t="s">
        <v>13</v>
      </c>
      <c r="L261" s="36" t="s">
        <v>426</v>
      </c>
      <c r="M261" s="36">
        <v>2</v>
      </c>
      <c r="N261" s="36">
        <v>6.2285999999999999E-3</v>
      </c>
      <c r="O261" s="36" t="s">
        <v>25</v>
      </c>
    </row>
    <row r="262" spans="1:15" ht="85" x14ac:dyDescent="0.2">
      <c r="A262" s="36" t="s">
        <v>1256</v>
      </c>
      <c r="B262" s="45" t="str">
        <f>VLOOKUP(Tabella13[[#This Row],[test_id]],experiments_specs!A:J,2,FALSE)</f>
        <v>NN,JJ,VB,VBD,VBG,VBN,VBP,VBZ</v>
      </c>
      <c r="C262" s="38">
        <f>VLOOKUP(Tabella13[[#This Row],[test_id]],experiments_specs!A:J,3,FALSE)</f>
        <v>0</v>
      </c>
      <c r="D262" s="38">
        <f>VLOOKUP(Tabella13[[#This Row],[test_id]],experiments_specs!A:J,4,FALSE)</f>
        <v>3</v>
      </c>
      <c r="E262" s="38" t="str">
        <f>VLOOKUP(Tabella13[[#This Row],[test_id]],experiments_specs!A:J,5,FALSE)</f>
        <v>False</v>
      </c>
      <c r="F262" s="38" t="str">
        <f>VLOOKUP(Tabella13[[#This Row],[test_id]],experiments_specs!A:J,6,FALSE)</f>
        <v>True</v>
      </c>
      <c r="G262" s="38" t="str">
        <f>VLOOKUP(Tabella13[[#This Row],[test_id]],experiments_specs!A:J,7,FALSE)</f>
        <v>True</v>
      </c>
      <c r="H262" s="38" t="str">
        <f>VLOOKUP(Tabella13[[#This Row],[test_id]],experiments_specs!A:J,8,FALSE)</f>
        <v>True</v>
      </c>
      <c r="I262" s="38" t="str">
        <f>VLOOKUP(Tabella13[[#This Row],[test_id]],experiments_specs!A:J,9,FALSE)</f>
        <v>wup_similarity</v>
      </c>
      <c r="J262" s="38" t="str">
        <f>VLOOKUP(Tabella13[[#This Row],[test_id]],experiments_specs!A:J,10,FALSE)</f>
        <v>False</v>
      </c>
      <c r="K262" s="40" t="s">
        <v>14</v>
      </c>
      <c r="L262" s="36" t="s">
        <v>1345</v>
      </c>
      <c r="M262" s="36" t="s">
        <v>1314</v>
      </c>
      <c r="N262" s="36">
        <v>3.4951000000000001E-3</v>
      </c>
      <c r="O262" s="36" t="s">
        <v>1347</v>
      </c>
    </row>
    <row r="263" spans="1:15" ht="85" x14ac:dyDescent="0.2">
      <c r="A263" s="36" t="s">
        <v>1256</v>
      </c>
      <c r="B263" s="45" t="str">
        <f>VLOOKUP(Tabella13[[#This Row],[test_id]],experiments_specs!A:J,2,FALSE)</f>
        <v>NN,JJ,VB,VBD,VBG,VBN,VBP,VBZ</v>
      </c>
      <c r="C263" s="38">
        <f>VLOOKUP(Tabella13[[#This Row],[test_id]],experiments_specs!A:J,3,FALSE)</f>
        <v>0</v>
      </c>
      <c r="D263" s="38">
        <f>VLOOKUP(Tabella13[[#This Row],[test_id]],experiments_specs!A:J,4,FALSE)</f>
        <v>3</v>
      </c>
      <c r="E263" s="38" t="str">
        <f>VLOOKUP(Tabella13[[#This Row],[test_id]],experiments_specs!A:J,5,FALSE)</f>
        <v>False</v>
      </c>
      <c r="F263" s="38" t="str">
        <f>VLOOKUP(Tabella13[[#This Row],[test_id]],experiments_specs!A:J,6,FALSE)</f>
        <v>True</v>
      </c>
      <c r="G263" s="38" t="str">
        <f>VLOOKUP(Tabella13[[#This Row],[test_id]],experiments_specs!A:J,7,FALSE)</f>
        <v>True</v>
      </c>
      <c r="H263" s="38" t="str">
        <f>VLOOKUP(Tabella13[[#This Row],[test_id]],experiments_specs!A:J,8,FALSE)</f>
        <v>True</v>
      </c>
      <c r="I263" s="38" t="str">
        <f>VLOOKUP(Tabella13[[#This Row],[test_id]],experiments_specs!A:J,9,FALSE)</f>
        <v>wup_similarity</v>
      </c>
      <c r="J263" s="38" t="str">
        <f>VLOOKUP(Tabella13[[#This Row],[test_id]],experiments_specs!A:J,10,FALSE)</f>
        <v>False</v>
      </c>
      <c r="K263" s="40" t="s">
        <v>15</v>
      </c>
      <c r="L263" s="36" t="s">
        <v>443</v>
      </c>
      <c r="M263" s="36">
        <v>2</v>
      </c>
      <c r="N263" s="36">
        <v>3.3790000000000001E-3</v>
      </c>
      <c r="O263" s="36">
        <v>0.2</v>
      </c>
    </row>
    <row r="264" spans="1:15" ht="85" x14ac:dyDescent="0.2">
      <c r="A264" s="36" t="s">
        <v>1256</v>
      </c>
      <c r="B264" s="45" t="str">
        <f>VLOOKUP(Tabella13[[#This Row],[test_id]],experiments_specs!A:J,2,FALSE)</f>
        <v>NN,JJ,VB,VBD,VBG,VBN,VBP,VBZ</v>
      </c>
      <c r="C264" s="38">
        <f>VLOOKUP(Tabella13[[#This Row],[test_id]],experiments_specs!A:J,3,FALSE)</f>
        <v>0</v>
      </c>
      <c r="D264" s="38">
        <f>VLOOKUP(Tabella13[[#This Row],[test_id]],experiments_specs!A:J,4,FALSE)</f>
        <v>3</v>
      </c>
      <c r="E264" s="38" t="str">
        <f>VLOOKUP(Tabella13[[#This Row],[test_id]],experiments_specs!A:J,5,FALSE)</f>
        <v>False</v>
      </c>
      <c r="F264" s="38" t="str">
        <f>VLOOKUP(Tabella13[[#This Row],[test_id]],experiments_specs!A:J,6,FALSE)</f>
        <v>True</v>
      </c>
      <c r="G264" s="38" t="str">
        <f>VLOOKUP(Tabella13[[#This Row],[test_id]],experiments_specs!A:J,7,FALSE)</f>
        <v>True</v>
      </c>
      <c r="H264" s="38" t="str">
        <f>VLOOKUP(Tabella13[[#This Row],[test_id]],experiments_specs!A:J,8,FALSE)</f>
        <v>True</v>
      </c>
      <c r="I264" s="38" t="str">
        <f>VLOOKUP(Tabella13[[#This Row],[test_id]],experiments_specs!A:J,9,FALSE)</f>
        <v>wup_similarity</v>
      </c>
      <c r="J264" s="38" t="str">
        <f>VLOOKUP(Tabella13[[#This Row],[test_id]],experiments_specs!A:J,10,FALSE)</f>
        <v>False</v>
      </c>
      <c r="K264" s="40" t="s">
        <v>16</v>
      </c>
      <c r="L264" s="36" t="s">
        <v>431</v>
      </c>
      <c r="M264" s="36">
        <v>2</v>
      </c>
      <c r="N264" s="36">
        <v>2.7215E-3</v>
      </c>
      <c r="O264" s="36">
        <v>0.55555549999999998</v>
      </c>
    </row>
    <row r="265" spans="1:15" ht="85" x14ac:dyDescent="0.2">
      <c r="A265" s="36" t="s">
        <v>1256</v>
      </c>
      <c r="B265" s="45" t="str">
        <f>VLOOKUP(Tabella13[[#This Row],[test_id]],experiments_specs!A:J,2,FALSE)</f>
        <v>NN,JJ,VB,VBD,VBG,VBN,VBP,VBZ</v>
      </c>
      <c r="C265" s="38">
        <f>VLOOKUP(Tabella13[[#This Row],[test_id]],experiments_specs!A:J,3,FALSE)</f>
        <v>0</v>
      </c>
      <c r="D265" s="38">
        <f>VLOOKUP(Tabella13[[#This Row],[test_id]],experiments_specs!A:J,4,FALSE)</f>
        <v>3</v>
      </c>
      <c r="E265" s="38" t="str">
        <f>VLOOKUP(Tabella13[[#This Row],[test_id]],experiments_specs!A:J,5,FALSE)</f>
        <v>False</v>
      </c>
      <c r="F265" s="38" t="str">
        <f>VLOOKUP(Tabella13[[#This Row],[test_id]],experiments_specs!A:J,6,FALSE)</f>
        <v>True</v>
      </c>
      <c r="G265" s="38" t="str">
        <f>VLOOKUP(Tabella13[[#This Row],[test_id]],experiments_specs!A:J,7,FALSE)</f>
        <v>True</v>
      </c>
      <c r="H265" s="38" t="str">
        <f>VLOOKUP(Tabella13[[#This Row],[test_id]],experiments_specs!A:J,8,FALSE)</f>
        <v>True</v>
      </c>
      <c r="I265" s="38" t="str">
        <f>VLOOKUP(Tabella13[[#This Row],[test_id]],experiments_specs!A:J,9,FALSE)</f>
        <v>wup_similarity</v>
      </c>
      <c r="J265" s="38" t="str">
        <f>VLOOKUP(Tabella13[[#This Row],[test_id]],experiments_specs!A:J,10,FALSE)</f>
        <v>False</v>
      </c>
      <c r="K265" s="40" t="s">
        <v>17</v>
      </c>
      <c r="L265" s="36" t="s">
        <v>219</v>
      </c>
      <c r="M265" s="36">
        <v>2</v>
      </c>
      <c r="N265" s="36">
        <v>2.4718000000000001E-3</v>
      </c>
      <c r="O265" s="36">
        <v>0.13333329999999999</v>
      </c>
    </row>
    <row r="266" spans="1:15" ht="85" x14ac:dyDescent="0.2">
      <c r="A266" s="36" t="s">
        <v>1256</v>
      </c>
      <c r="B266" s="45" t="str">
        <f>VLOOKUP(Tabella13[[#This Row],[test_id]],experiments_specs!A:J,2,FALSE)</f>
        <v>NN,JJ,VB,VBD,VBG,VBN,VBP,VBZ</v>
      </c>
      <c r="C266" s="38">
        <f>VLOOKUP(Tabella13[[#This Row],[test_id]],experiments_specs!A:J,3,FALSE)</f>
        <v>0</v>
      </c>
      <c r="D266" s="38">
        <f>VLOOKUP(Tabella13[[#This Row],[test_id]],experiments_specs!A:J,4,FALSE)</f>
        <v>3</v>
      </c>
      <c r="E266" s="38" t="str">
        <f>VLOOKUP(Tabella13[[#This Row],[test_id]],experiments_specs!A:J,5,FALSE)</f>
        <v>False</v>
      </c>
      <c r="F266" s="38" t="str">
        <f>VLOOKUP(Tabella13[[#This Row],[test_id]],experiments_specs!A:J,6,FALSE)</f>
        <v>True</v>
      </c>
      <c r="G266" s="38" t="str">
        <f>VLOOKUP(Tabella13[[#This Row],[test_id]],experiments_specs!A:J,7,FALSE)</f>
        <v>True</v>
      </c>
      <c r="H266" s="38" t="str">
        <f>VLOOKUP(Tabella13[[#This Row],[test_id]],experiments_specs!A:J,8,FALSE)</f>
        <v>True</v>
      </c>
      <c r="I266" s="38" t="str">
        <f>VLOOKUP(Tabella13[[#This Row],[test_id]],experiments_specs!A:J,9,FALSE)</f>
        <v>wup_similarity</v>
      </c>
      <c r="J266" s="38" t="str">
        <f>VLOOKUP(Tabella13[[#This Row],[test_id]],experiments_specs!A:J,10,FALSE)</f>
        <v>False</v>
      </c>
      <c r="K266" s="40" t="s">
        <v>18</v>
      </c>
      <c r="L266" s="36" t="s">
        <v>1323</v>
      </c>
      <c r="M266" s="36" t="s">
        <v>1314</v>
      </c>
      <c r="N266" s="36">
        <v>1.2037E-3</v>
      </c>
      <c r="O266" s="36" t="s">
        <v>1438</v>
      </c>
    </row>
    <row r="267" spans="1:15" ht="85" x14ac:dyDescent="0.2">
      <c r="A267" s="36" t="s">
        <v>1257</v>
      </c>
      <c r="B267" s="45" t="str">
        <f>VLOOKUP(Tabella13[[#This Row],[test_id]],experiments_specs!A:J,2,FALSE)</f>
        <v>NN,JJ</v>
      </c>
      <c r="C267" s="38">
        <f>VLOOKUP(Tabella13[[#This Row],[test_id]],experiments_specs!A:J,3,FALSE)</f>
        <v>0</v>
      </c>
      <c r="D267" s="38">
        <f>VLOOKUP(Tabella13[[#This Row],[test_id]],experiments_specs!A:J,4,FALSE)</f>
        <v>2</v>
      </c>
      <c r="E267" s="38" t="str">
        <f>VLOOKUP(Tabella13[[#This Row],[test_id]],experiments_specs!A:J,5,FALSE)</f>
        <v>True</v>
      </c>
      <c r="F267" s="38" t="str">
        <f>VLOOKUP(Tabella13[[#This Row],[test_id]],experiments_specs!A:J,6,FALSE)</f>
        <v>True</v>
      </c>
      <c r="G267" s="38" t="str">
        <f>VLOOKUP(Tabella13[[#This Row],[test_id]],experiments_specs!A:J,7,FALSE)</f>
        <v>True</v>
      </c>
      <c r="H267" s="38" t="str">
        <f>VLOOKUP(Tabella13[[#This Row],[test_id]],experiments_specs!A:J,8,FALSE)</f>
        <v>True</v>
      </c>
      <c r="I267" s="38" t="str">
        <f>VLOOKUP(Tabella13[[#This Row],[test_id]],experiments_specs!A:J,9,FALSE)</f>
        <v>wup_similarity</v>
      </c>
      <c r="J267" s="38" t="str">
        <f>VLOOKUP(Tabella13[[#This Row],[test_id]],experiments_specs!A:J,10,FALSE)</f>
        <v>False</v>
      </c>
      <c r="K267" s="40" t="s">
        <v>19</v>
      </c>
      <c r="L267" s="36" t="s">
        <v>1312</v>
      </c>
      <c r="M267" s="36" t="s">
        <v>1314</v>
      </c>
      <c r="N267" s="36">
        <v>2.5636099999999998E-2</v>
      </c>
      <c r="O267" s="36" t="s">
        <v>1434</v>
      </c>
    </row>
    <row r="268" spans="1:15" ht="85" x14ac:dyDescent="0.2">
      <c r="A268" s="36" t="s">
        <v>1257</v>
      </c>
      <c r="B268" s="45" t="str">
        <f>VLOOKUP(Tabella13[[#This Row],[test_id]],experiments_specs!A:J,2,FALSE)</f>
        <v>NN,JJ</v>
      </c>
      <c r="C268" s="38">
        <f>VLOOKUP(Tabella13[[#This Row],[test_id]],experiments_specs!A:J,3,FALSE)</f>
        <v>0</v>
      </c>
      <c r="D268" s="38">
        <f>VLOOKUP(Tabella13[[#This Row],[test_id]],experiments_specs!A:J,4,FALSE)</f>
        <v>2</v>
      </c>
      <c r="E268" s="38" t="str">
        <f>VLOOKUP(Tabella13[[#This Row],[test_id]],experiments_specs!A:J,5,FALSE)</f>
        <v>True</v>
      </c>
      <c r="F268" s="38" t="str">
        <f>VLOOKUP(Tabella13[[#This Row],[test_id]],experiments_specs!A:J,6,FALSE)</f>
        <v>True</v>
      </c>
      <c r="G268" s="38" t="str">
        <f>VLOOKUP(Tabella13[[#This Row],[test_id]],experiments_specs!A:J,7,FALSE)</f>
        <v>True</v>
      </c>
      <c r="H268" s="38" t="str">
        <f>VLOOKUP(Tabella13[[#This Row],[test_id]],experiments_specs!A:J,8,FALSE)</f>
        <v>True</v>
      </c>
      <c r="I268" s="38" t="str">
        <f>VLOOKUP(Tabella13[[#This Row],[test_id]],experiments_specs!A:J,9,FALSE)</f>
        <v>wup_similarity</v>
      </c>
      <c r="J268" s="38" t="str">
        <f>VLOOKUP(Tabella13[[#This Row],[test_id]],experiments_specs!A:J,10,FALSE)</f>
        <v>False</v>
      </c>
      <c r="K268" s="40" t="s">
        <v>12</v>
      </c>
      <c r="L268" s="36" t="s">
        <v>23</v>
      </c>
      <c r="M268" s="36">
        <v>2</v>
      </c>
      <c r="N268" s="36">
        <v>2.53245E-2</v>
      </c>
      <c r="O268" s="36">
        <v>0.42857139999999999</v>
      </c>
    </row>
    <row r="269" spans="1:15" ht="85" x14ac:dyDescent="0.2">
      <c r="A269" s="36" t="s">
        <v>1257</v>
      </c>
      <c r="B269" s="45" t="str">
        <f>VLOOKUP(Tabella13[[#This Row],[test_id]],experiments_specs!A:J,2,FALSE)</f>
        <v>NN,JJ</v>
      </c>
      <c r="C269" s="38">
        <f>VLOOKUP(Tabella13[[#This Row],[test_id]],experiments_specs!A:J,3,FALSE)</f>
        <v>0</v>
      </c>
      <c r="D269" s="38">
        <f>VLOOKUP(Tabella13[[#This Row],[test_id]],experiments_specs!A:J,4,FALSE)</f>
        <v>2</v>
      </c>
      <c r="E269" s="38" t="str">
        <f>VLOOKUP(Tabella13[[#This Row],[test_id]],experiments_specs!A:J,5,FALSE)</f>
        <v>True</v>
      </c>
      <c r="F269" s="38" t="str">
        <f>VLOOKUP(Tabella13[[#This Row],[test_id]],experiments_specs!A:J,6,FALSE)</f>
        <v>True</v>
      </c>
      <c r="G269" s="38" t="str">
        <f>VLOOKUP(Tabella13[[#This Row],[test_id]],experiments_specs!A:J,7,FALSE)</f>
        <v>True</v>
      </c>
      <c r="H269" s="38" t="str">
        <f>VLOOKUP(Tabella13[[#This Row],[test_id]],experiments_specs!A:J,8,FALSE)</f>
        <v>True</v>
      </c>
      <c r="I269" s="38" t="str">
        <f>VLOOKUP(Tabella13[[#This Row],[test_id]],experiments_specs!A:J,9,FALSE)</f>
        <v>wup_similarity</v>
      </c>
      <c r="J269" s="38" t="str">
        <f>VLOOKUP(Tabella13[[#This Row],[test_id]],experiments_specs!A:J,10,FALSE)</f>
        <v>False</v>
      </c>
      <c r="K269" s="40" t="s">
        <v>13</v>
      </c>
      <c r="L269" s="36" t="s">
        <v>473</v>
      </c>
      <c r="M269" s="36">
        <v>2</v>
      </c>
      <c r="N269" s="36">
        <v>2.3148100000000001E-2</v>
      </c>
      <c r="O269" s="36">
        <v>0.4</v>
      </c>
    </row>
    <row r="270" spans="1:15" ht="85" x14ac:dyDescent="0.2">
      <c r="A270" s="36" t="s">
        <v>1257</v>
      </c>
      <c r="B270" s="45" t="str">
        <f>VLOOKUP(Tabella13[[#This Row],[test_id]],experiments_specs!A:J,2,FALSE)</f>
        <v>NN,JJ</v>
      </c>
      <c r="C270" s="38">
        <f>VLOOKUP(Tabella13[[#This Row],[test_id]],experiments_specs!A:J,3,FALSE)</f>
        <v>0</v>
      </c>
      <c r="D270" s="38">
        <f>VLOOKUP(Tabella13[[#This Row],[test_id]],experiments_specs!A:J,4,FALSE)</f>
        <v>2</v>
      </c>
      <c r="E270" s="38" t="str">
        <f>VLOOKUP(Tabella13[[#This Row],[test_id]],experiments_specs!A:J,5,FALSE)</f>
        <v>True</v>
      </c>
      <c r="F270" s="38" t="str">
        <f>VLOOKUP(Tabella13[[#This Row],[test_id]],experiments_specs!A:J,6,FALSE)</f>
        <v>True</v>
      </c>
      <c r="G270" s="38" t="str">
        <f>VLOOKUP(Tabella13[[#This Row],[test_id]],experiments_specs!A:J,7,FALSE)</f>
        <v>True</v>
      </c>
      <c r="H270" s="38" t="str">
        <f>VLOOKUP(Tabella13[[#This Row],[test_id]],experiments_specs!A:J,8,FALSE)</f>
        <v>True</v>
      </c>
      <c r="I270" s="38" t="str">
        <f>VLOOKUP(Tabella13[[#This Row],[test_id]],experiments_specs!A:J,9,FALSE)</f>
        <v>wup_similarity</v>
      </c>
      <c r="J270" s="38" t="str">
        <f>VLOOKUP(Tabella13[[#This Row],[test_id]],experiments_specs!A:J,10,FALSE)</f>
        <v>False</v>
      </c>
      <c r="K270" s="40" t="s">
        <v>14</v>
      </c>
      <c r="L270" s="36" t="s">
        <v>1350</v>
      </c>
      <c r="M270" s="36" t="s">
        <v>1314</v>
      </c>
      <c r="N270" s="36">
        <v>1.5379200000000001E-2</v>
      </c>
      <c r="O270" s="36" t="s">
        <v>1444</v>
      </c>
    </row>
    <row r="271" spans="1:15" ht="85" x14ac:dyDescent="0.2">
      <c r="A271" s="36" t="s">
        <v>1257</v>
      </c>
      <c r="B271" s="45" t="str">
        <f>VLOOKUP(Tabella13[[#This Row],[test_id]],experiments_specs!A:J,2,FALSE)</f>
        <v>NN,JJ</v>
      </c>
      <c r="C271" s="38">
        <f>VLOOKUP(Tabella13[[#This Row],[test_id]],experiments_specs!A:J,3,FALSE)</f>
        <v>0</v>
      </c>
      <c r="D271" s="38">
        <f>VLOOKUP(Tabella13[[#This Row],[test_id]],experiments_specs!A:J,4,FALSE)</f>
        <v>2</v>
      </c>
      <c r="E271" s="38" t="str">
        <f>VLOOKUP(Tabella13[[#This Row],[test_id]],experiments_specs!A:J,5,FALSE)</f>
        <v>True</v>
      </c>
      <c r="F271" s="38" t="str">
        <f>VLOOKUP(Tabella13[[#This Row],[test_id]],experiments_specs!A:J,6,FALSE)</f>
        <v>True</v>
      </c>
      <c r="G271" s="38" t="str">
        <f>VLOOKUP(Tabella13[[#This Row],[test_id]],experiments_specs!A:J,7,FALSE)</f>
        <v>True</v>
      </c>
      <c r="H271" s="38" t="str">
        <f>VLOOKUP(Tabella13[[#This Row],[test_id]],experiments_specs!A:J,8,FALSE)</f>
        <v>True</v>
      </c>
      <c r="I271" s="38" t="str">
        <f>VLOOKUP(Tabella13[[#This Row],[test_id]],experiments_specs!A:J,9,FALSE)</f>
        <v>wup_similarity</v>
      </c>
      <c r="J271" s="38" t="str">
        <f>VLOOKUP(Tabella13[[#This Row],[test_id]],experiments_specs!A:J,10,FALSE)</f>
        <v>False</v>
      </c>
      <c r="K271" s="40" t="s">
        <v>15</v>
      </c>
      <c r="L271" s="36" t="s">
        <v>1352</v>
      </c>
      <c r="M271" s="36" t="s">
        <v>1354</v>
      </c>
      <c r="N271" s="36">
        <v>3.9690000000000003E-2</v>
      </c>
      <c r="O271" s="36" t="s">
        <v>1446</v>
      </c>
    </row>
    <row r="272" spans="1:15" ht="85" x14ac:dyDescent="0.2">
      <c r="A272" s="36" t="s">
        <v>1257</v>
      </c>
      <c r="B272" s="45" t="str">
        <f>VLOOKUP(Tabella13[[#This Row],[test_id]],experiments_specs!A:J,2,FALSE)</f>
        <v>NN,JJ</v>
      </c>
      <c r="C272" s="38">
        <f>VLOOKUP(Tabella13[[#This Row],[test_id]],experiments_specs!A:J,3,FALSE)</f>
        <v>0</v>
      </c>
      <c r="D272" s="38">
        <f>VLOOKUP(Tabella13[[#This Row],[test_id]],experiments_specs!A:J,4,FALSE)</f>
        <v>2</v>
      </c>
      <c r="E272" s="38" t="str">
        <f>VLOOKUP(Tabella13[[#This Row],[test_id]],experiments_specs!A:J,5,FALSE)</f>
        <v>True</v>
      </c>
      <c r="F272" s="38" t="str">
        <f>VLOOKUP(Tabella13[[#This Row],[test_id]],experiments_specs!A:J,6,FALSE)</f>
        <v>True</v>
      </c>
      <c r="G272" s="38" t="str">
        <f>VLOOKUP(Tabella13[[#This Row],[test_id]],experiments_specs!A:J,7,FALSE)</f>
        <v>True</v>
      </c>
      <c r="H272" s="38" t="str">
        <f>VLOOKUP(Tabella13[[#This Row],[test_id]],experiments_specs!A:J,8,FALSE)</f>
        <v>True</v>
      </c>
      <c r="I272" s="38" t="str">
        <f>VLOOKUP(Tabella13[[#This Row],[test_id]],experiments_specs!A:J,9,FALSE)</f>
        <v>wup_similarity</v>
      </c>
      <c r="J272" s="38" t="str">
        <f>VLOOKUP(Tabella13[[#This Row],[test_id]],experiments_specs!A:J,10,FALSE)</f>
        <v>False</v>
      </c>
      <c r="K272" s="40" t="s">
        <v>16</v>
      </c>
      <c r="L272" s="36" t="s">
        <v>1333</v>
      </c>
      <c r="M272" s="36" t="s">
        <v>1314</v>
      </c>
      <c r="N272" s="36">
        <v>1.74325E-2</v>
      </c>
      <c r="O272" s="36" t="s">
        <v>1432</v>
      </c>
    </row>
    <row r="273" spans="1:15" ht="85" x14ac:dyDescent="0.2">
      <c r="A273" s="36" t="s">
        <v>1257</v>
      </c>
      <c r="B273" s="45" t="str">
        <f>VLOOKUP(Tabella13[[#This Row],[test_id]],experiments_specs!A:J,2,FALSE)</f>
        <v>NN,JJ</v>
      </c>
      <c r="C273" s="38">
        <f>VLOOKUP(Tabella13[[#This Row],[test_id]],experiments_specs!A:J,3,FALSE)</f>
        <v>0</v>
      </c>
      <c r="D273" s="38">
        <f>VLOOKUP(Tabella13[[#This Row],[test_id]],experiments_specs!A:J,4,FALSE)</f>
        <v>2</v>
      </c>
      <c r="E273" s="38" t="str">
        <f>VLOOKUP(Tabella13[[#This Row],[test_id]],experiments_specs!A:J,5,FALSE)</f>
        <v>True</v>
      </c>
      <c r="F273" s="38" t="str">
        <f>VLOOKUP(Tabella13[[#This Row],[test_id]],experiments_specs!A:J,6,FALSE)</f>
        <v>True</v>
      </c>
      <c r="G273" s="38" t="str">
        <f>VLOOKUP(Tabella13[[#This Row],[test_id]],experiments_specs!A:J,7,FALSE)</f>
        <v>True</v>
      </c>
      <c r="H273" s="38" t="str">
        <f>VLOOKUP(Tabella13[[#This Row],[test_id]],experiments_specs!A:J,8,FALSE)</f>
        <v>True</v>
      </c>
      <c r="I273" s="38" t="str">
        <f>VLOOKUP(Tabella13[[#This Row],[test_id]],experiments_specs!A:J,9,FALSE)</f>
        <v>wup_similarity</v>
      </c>
      <c r="J273" s="38" t="str">
        <f>VLOOKUP(Tabella13[[#This Row],[test_id]],experiments_specs!A:J,10,FALSE)</f>
        <v>False</v>
      </c>
      <c r="K273" s="40" t="s">
        <v>17</v>
      </c>
      <c r="L273" s="36" t="s">
        <v>1335</v>
      </c>
      <c r="M273" s="36" t="s">
        <v>1314</v>
      </c>
      <c r="N273" s="36">
        <v>2.0385799999999999E-2</v>
      </c>
      <c r="O273" s="36" t="s">
        <v>1440</v>
      </c>
    </row>
    <row r="274" spans="1:15" ht="85" x14ac:dyDescent="0.2">
      <c r="A274" s="36" t="s">
        <v>1257</v>
      </c>
      <c r="B274" s="45" t="str">
        <f>VLOOKUP(Tabella13[[#This Row],[test_id]],experiments_specs!A:J,2,FALSE)</f>
        <v>NN,JJ</v>
      </c>
      <c r="C274" s="38">
        <f>VLOOKUP(Tabella13[[#This Row],[test_id]],experiments_specs!A:J,3,FALSE)</f>
        <v>0</v>
      </c>
      <c r="D274" s="38">
        <f>VLOOKUP(Tabella13[[#This Row],[test_id]],experiments_specs!A:J,4,FALSE)</f>
        <v>2</v>
      </c>
      <c r="E274" s="38" t="str">
        <f>VLOOKUP(Tabella13[[#This Row],[test_id]],experiments_specs!A:J,5,FALSE)</f>
        <v>True</v>
      </c>
      <c r="F274" s="38" t="str">
        <f>VLOOKUP(Tabella13[[#This Row],[test_id]],experiments_specs!A:J,6,FALSE)</f>
        <v>True</v>
      </c>
      <c r="G274" s="38" t="str">
        <f>VLOOKUP(Tabella13[[#This Row],[test_id]],experiments_specs!A:J,7,FALSE)</f>
        <v>True</v>
      </c>
      <c r="H274" s="38" t="str">
        <f>VLOOKUP(Tabella13[[#This Row],[test_id]],experiments_specs!A:J,8,FALSE)</f>
        <v>True</v>
      </c>
      <c r="I274" s="38" t="str">
        <f>VLOOKUP(Tabella13[[#This Row],[test_id]],experiments_specs!A:J,9,FALSE)</f>
        <v>wup_similarity</v>
      </c>
      <c r="J274" s="38" t="str">
        <f>VLOOKUP(Tabella13[[#This Row],[test_id]],experiments_specs!A:J,10,FALSE)</f>
        <v>False</v>
      </c>
      <c r="K274" s="40" t="s">
        <v>18</v>
      </c>
      <c r="L274" s="36" t="s">
        <v>472</v>
      </c>
      <c r="M274" s="36">
        <v>2</v>
      </c>
      <c r="N274" s="36">
        <v>2.0169400000000001E-2</v>
      </c>
      <c r="O274" s="36">
        <v>0.2105263</v>
      </c>
    </row>
    <row r="275" spans="1:15" ht="85" x14ac:dyDescent="0.2">
      <c r="A275" s="36" t="s">
        <v>1258</v>
      </c>
      <c r="B275" s="45" t="str">
        <f>VLOOKUP(Tabella13[[#This Row],[test_id]],experiments_specs!A:J,2,FALSE)</f>
        <v>NN,JJ</v>
      </c>
      <c r="C275" s="38">
        <f>VLOOKUP(Tabella13[[#This Row],[test_id]],experiments_specs!A:J,3,FALSE)</f>
        <v>0</v>
      </c>
      <c r="D275" s="38">
        <f>VLOOKUP(Tabella13[[#This Row],[test_id]],experiments_specs!A:J,4,FALSE)</f>
        <v>3</v>
      </c>
      <c r="E275" s="38" t="str">
        <f>VLOOKUP(Tabella13[[#This Row],[test_id]],experiments_specs!A:J,5,FALSE)</f>
        <v>True</v>
      </c>
      <c r="F275" s="38" t="str">
        <f>VLOOKUP(Tabella13[[#This Row],[test_id]],experiments_specs!A:J,6,FALSE)</f>
        <v>True</v>
      </c>
      <c r="G275" s="38" t="str">
        <f>VLOOKUP(Tabella13[[#This Row],[test_id]],experiments_specs!A:J,7,FALSE)</f>
        <v>True</v>
      </c>
      <c r="H275" s="38" t="str">
        <f>VLOOKUP(Tabella13[[#This Row],[test_id]],experiments_specs!A:J,8,FALSE)</f>
        <v>True</v>
      </c>
      <c r="I275" s="38" t="str">
        <f>VLOOKUP(Tabella13[[#This Row],[test_id]],experiments_specs!A:J,9,FALSE)</f>
        <v>wup_similarity</v>
      </c>
      <c r="J275" s="38" t="str">
        <f>VLOOKUP(Tabella13[[#This Row],[test_id]],experiments_specs!A:J,10,FALSE)</f>
        <v>False</v>
      </c>
      <c r="K275" s="40" t="s">
        <v>19</v>
      </c>
      <c r="L275" s="36" t="s">
        <v>1312</v>
      </c>
      <c r="M275" s="36" t="s">
        <v>1314</v>
      </c>
      <c r="N275" s="36">
        <v>2.5636099999999998E-2</v>
      </c>
      <c r="O275" s="36" t="s">
        <v>1434</v>
      </c>
    </row>
    <row r="276" spans="1:15" ht="85" x14ac:dyDescent="0.2">
      <c r="A276" s="36" t="s">
        <v>1258</v>
      </c>
      <c r="B276" s="45" t="str">
        <f>VLOOKUP(Tabella13[[#This Row],[test_id]],experiments_specs!A:J,2,FALSE)</f>
        <v>NN,JJ</v>
      </c>
      <c r="C276" s="38">
        <f>VLOOKUP(Tabella13[[#This Row],[test_id]],experiments_specs!A:J,3,FALSE)</f>
        <v>0</v>
      </c>
      <c r="D276" s="38">
        <f>VLOOKUP(Tabella13[[#This Row],[test_id]],experiments_specs!A:J,4,FALSE)</f>
        <v>3</v>
      </c>
      <c r="E276" s="38" t="str">
        <f>VLOOKUP(Tabella13[[#This Row],[test_id]],experiments_specs!A:J,5,FALSE)</f>
        <v>True</v>
      </c>
      <c r="F276" s="38" t="str">
        <f>VLOOKUP(Tabella13[[#This Row],[test_id]],experiments_specs!A:J,6,FALSE)</f>
        <v>True</v>
      </c>
      <c r="G276" s="38" t="str">
        <f>VLOOKUP(Tabella13[[#This Row],[test_id]],experiments_specs!A:J,7,FALSE)</f>
        <v>True</v>
      </c>
      <c r="H276" s="38" t="str">
        <f>VLOOKUP(Tabella13[[#This Row],[test_id]],experiments_specs!A:J,8,FALSE)</f>
        <v>True</v>
      </c>
      <c r="I276" s="38" t="str">
        <f>VLOOKUP(Tabella13[[#This Row],[test_id]],experiments_specs!A:J,9,FALSE)</f>
        <v>wup_similarity</v>
      </c>
      <c r="J276" s="38" t="str">
        <f>VLOOKUP(Tabella13[[#This Row],[test_id]],experiments_specs!A:J,10,FALSE)</f>
        <v>False</v>
      </c>
      <c r="K276" s="40" t="s">
        <v>12</v>
      </c>
      <c r="L276" s="36" t="s">
        <v>23</v>
      </c>
      <c r="M276" s="36">
        <v>2</v>
      </c>
      <c r="N276" s="36">
        <v>2.53245E-2</v>
      </c>
      <c r="O276" s="36">
        <v>0.42857139999999999</v>
      </c>
    </row>
    <row r="277" spans="1:15" ht="85" x14ac:dyDescent="0.2">
      <c r="A277" s="36" t="s">
        <v>1258</v>
      </c>
      <c r="B277" s="45" t="str">
        <f>VLOOKUP(Tabella13[[#This Row],[test_id]],experiments_specs!A:J,2,FALSE)</f>
        <v>NN,JJ</v>
      </c>
      <c r="C277" s="38">
        <f>VLOOKUP(Tabella13[[#This Row],[test_id]],experiments_specs!A:J,3,FALSE)</f>
        <v>0</v>
      </c>
      <c r="D277" s="38">
        <f>VLOOKUP(Tabella13[[#This Row],[test_id]],experiments_specs!A:J,4,FALSE)</f>
        <v>3</v>
      </c>
      <c r="E277" s="38" t="str">
        <f>VLOOKUP(Tabella13[[#This Row],[test_id]],experiments_specs!A:J,5,FALSE)</f>
        <v>True</v>
      </c>
      <c r="F277" s="38" t="str">
        <f>VLOOKUP(Tabella13[[#This Row],[test_id]],experiments_specs!A:J,6,FALSE)</f>
        <v>True</v>
      </c>
      <c r="G277" s="38" t="str">
        <f>VLOOKUP(Tabella13[[#This Row],[test_id]],experiments_specs!A:J,7,FALSE)</f>
        <v>True</v>
      </c>
      <c r="H277" s="38" t="str">
        <f>VLOOKUP(Tabella13[[#This Row],[test_id]],experiments_specs!A:J,8,FALSE)</f>
        <v>True</v>
      </c>
      <c r="I277" s="38" t="str">
        <f>VLOOKUP(Tabella13[[#This Row],[test_id]],experiments_specs!A:J,9,FALSE)</f>
        <v>wup_similarity</v>
      </c>
      <c r="J277" s="38" t="str">
        <f>VLOOKUP(Tabella13[[#This Row],[test_id]],experiments_specs!A:J,10,FALSE)</f>
        <v>False</v>
      </c>
      <c r="K277" s="40" t="s">
        <v>13</v>
      </c>
      <c r="L277" s="36" t="s">
        <v>473</v>
      </c>
      <c r="M277" s="36">
        <v>2</v>
      </c>
      <c r="N277" s="36">
        <v>2.3148100000000001E-2</v>
      </c>
      <c r="O277" s="36">
        <v>0.4</v>
      </c>
    </row>
    <row r="278" spans="1:15" ht="85" x14ac:dyDescent="0.2">
      <c r="A278" s="36" t="s">
        <v>1258</v>
      </c>
      <c r="B278" s="45" t="str">
        <f>VLOOKUP(Tabella13[[#This Row],[test_id]],experiments_specs!A:J,2,FALSE)</f>
        <v>NN,JJ</v>
      </c>
      <c r="C278" s="38">
        <f>VLOOKUP(Tabella13[[#This Row],[test_id]],experiments_specs!A:J,3,FALSE)</f>
        <v>0</v>
      </c>
      <c r="D278" s="38">
        <f>VLOOKUP(Tabella13[[#This Row],[test_id]],experiments_specs!A:J,4,FALSE)</f>
        <v>3</v>
      </c>
      <c r="E278" s="38" t="str">
        <f>VLOOKUP(Tabella13[[#This Row],[test_id]],experiments_specs!A:J,5,FALSE)</f>
        <v>True</v>
      </c>
      <c r="F278" s="38" t="str">
        <f>VLOOKUP(Tabella13[[#This Row],[test_id]],experiments_specs!A:J,6,FALSE)</f>
        <v>True</v>
      </c>
      <c r="G278" s="38" t="str">
        <f>VLOOKUP(Tabella13[[#This Row],[test_id]],experiments_specs!A:J,7,FALSE)</f>
        <v>True</v>
      </c>
      <c r="H278" s="38" t="str">
        <f>VLOOKUP(Tabella13[[#This Row],[test_id]],experiments_specs!A:J,8,FALSE)</f>
        <v>True</v>
      </c>
      <c r="I278" s="38" t="str">
        <f>VLOOKUP(Tabella13[[#This Row],[test_id]],experiments_specs!A:J,9,FALSE)</f>
        <v>wup_similarity</v>
      </c>
      <c r="J278" s="38" t="str">
        <f>VLOOKUP(Tabella13[[#This Row],[test_id]],experiments_specs!A:J,10,FALSE)</f>
        <v>False</v>
      </c>
      <c r="K278" s="40" t="s">
        <v>14</v>
      </c>
      <c r="L278" s="36" t="s">
        <v>1350</v>
      </c>
      <c r="M278" s="36" t="s">
        <v>1314</v>
      </c>
      <c r="N278" s="36">
        <v>1.5379200000000001E-2</v>
      </c>
      <c r="O278" s="36" t="s">
        <v>1444</v>
      </c>
    </row>
    <row r="279" spans="1:15" ht="85" x14ac:dyDescent="0.2">
      <c r="A279" s="36" t="s">
        <v>1258</v>
      </c>
      <c r="B279" s="45" t="str">
        <f>VLOOKUP(Tabella13[[#This Row],[test_id]],experiments_specs!A:J,2,FALSE)</f>
        <v>NN,JJ</v>
      </c>
      <c r="C279" s="38">
        <f>VLOOKUP(Tabella13[[#This Row],[test_id]],experiments_specs!A:J,3,FALSE)</f>
        <v>0</v>
      </c>
      <c r="D279" s="38">
        <f>VLOOKUP(Tabella13[[#This Row],[test_id]],experiments_specs!A:J,4,FALSE)</f>
        <v>3</v>
      </c>
      <c r="E279" s="38" t="str">
        <f>VLOOKUP(Tabella13[[#This Row],[test_id]],experiments_specs!A:J,5,FALSE)</f>
        <v>True</v>
      </c>
      <c r="F279" s="38" t="str">
        <f>VLOOKUP(Tabella13[[#This Row],[test_id]],experiments_specs!A:J,6,FALSE)</f>
        <v>True</v>
      </c>
      <c r="G279" s="38" t="str">
        <f>VLOOKUP(Tabella13[[#This Row],[test_id]],experiments_specs!A:J,7,FALSE)</f>
        <v>True</v>
      </c>
      <c r="H279" s="38" t="str">
        <f>VLOOKUP(Tabella13[[#This Row],[test_id]],experiments_specs!A:J,8,FALSE)</f>
        <v>True</v>
      </c>
      <c r="I279" s="38" t="str">
        <f>VLOOKUP(Tabella13[[#This Row],[test_id]],experiments_specs!A:J,9,FALSE)</f>
        <v>wup_similarity</v>
      </c>
      <c r="J279" s="38" t="str">
        <f>VLOOKUP(Tabella13[[#This Row],[test_id]],experiments_specs!A:J,10,FALSE)</f>
        <v>False</v>
      </c>
      <c r="K279" s="40" t="s">
        <v>15</v>
      </c>
      <c r="L279" s="36" t="s">
        <v>1352</v>
      </c>
      <c r="M279" s="36" t="s">
        <v>1354</v>
      </c>
      <c r="N279" s="36">
        <v>3.9690000000000003E-2</v>
      </c>
      <c r="O279" s="36" t="s">
        <v>1446</v>
      </c>
    </row>
    <row r="280" spans="1:15" ht="85" x14ac:dyDescent="0.2">
      <c r="A280" s="36" t="s">
        <v>1258</v>
      </c>
      <c r="B280" s="45" t="str">
        <f>VLOOKUP(Tabella13[[#This Row],[test_id]],experiments_specs!A:J,2,FALSE)</f>
        <v>NN,JJ</v>
      </c>
      <c r="C280" s="38">
        <f>VLOOKUP(Tabella13[[#This Row],[test_id]],experiments_specs!A:J,3,FALSE)</f>
        <v>0</v>
      </c>
      <c r="D280" s="38">
        <f>VLOOKUP(Tabella13[[#This Row],[test_id]],experiments_specs!A:J,4,FALSE)</f>
        <v>3</v>
      </c>
      <c r="E280" s="38" t="str">
        <f>VLOOKUP(Tabella13[[#This Row],[test_id]],experiments_specs!A:J,5,FALSE)</f>
        <v>True</v>
      </c>
      <c r="F280" s="38" t="str">
        <f>VLOOKUP(Tabella13[[#This Row],[test_id]],experiments_specs!A:J,6,FALSE)</f>
        <v>True</v>
      </c>
      <c r="G280" s="38" t="str">
        <f>VLOOKUP(Tabella13[[#This Row],[test_id]],experiments_specs!A:J,7,FALSE)</f>
        <v>True</v>
      </c>
      <c r="H280" s="38" t="str">
        <f>VLOOKUP(Tabella13[[#This Row],[test_id]],experiments_specs!A:J,8,FALSE)</f>
        <v>True</v>
      </c>
      <c r="I280" s="38" t="str">
        <f>VLOOKUP(Tabella13[[#This Row],[test_id]],experiments_specs!A:J,9,FALSE)</f>
        <v>wup_similarity</v>
      </c>
      <c r="J280" s="38" t="str">
        <f>VLOOKUP(Tabella13[[#This Row],[test_id]],experiments_specs!A:J,10,FALSE)</f>
        <v>False</v>
      </c>
      <c r="K280" s="40" t="s">
        <v>16</v>
      </c>
      <c r="L280" s="36" t="s">
        <v>1333</v>
      </c>
      <c r="M280" s="36" t="s">
        <v>1314</v>
      </c>
      <c r="N280" s="36">
        <v>1.74325E-2</v>
      </c>
      <c r="O280" s="36" t="s">
        <v>1432</v>
      </c>
    </row>
    <row r="281" spans="1:15" ht="85" x14ac:dyDescent="0.2">
      <c r="A281" s="36" t="s">
        <v>1258</v>
      </c>
      <c r="B281" s="45" t="str">
        <f>VLOOKUP(Tabella13[[#This Row],[test_id]],experiments_specs!A:J,2,FALSE)</f>
        <v>NN,JJ</v>
      </c>
      <c r="C281" s="38">
        <f>VLOOKUP(Tabella13[[#This Row],[test_id]],experiments_specs!A:J,3,FALSE)</f>
        <v>0</v>
      </c>
      <c r="D281" s="38">
        <f>VLOOKUP(Tabella13[[#This Row],[test_id]],experiments_specs!A:J,4,FALSE)</f>
        <v>3</v>
      </c>
      <c r="E281" s="38" t="str">
        <f>VLOOKUP(Tabella13[[#This Row],[test_id]],experiments_specs!A:J,5,FALSE)</f>
        <v>True</v>
      </c>
      <c r="F281" s="38" t="str">
        <f>VLOOKUP(Tabella13[[#This Row],[test_id]],experiments_specs!A:J,6,FALSE)</f>
        <v>True</v>
      </c>
      <c r="G281" s="38" t="str">
        <f>VLOOKUP(Tabella13[[#This Row],[test_id]],experiments_specs!A:J,7,FALSE)</f>
        <v>True</v>
      </c>
      <c r="H281" s="38" t="str">
        <f>VLOOKUP(Tabella13[[#This Row],[test_id]],experiments_specs!A:J,8,FALSE)</f>
        <v>True</v>
      </c>
      <c r="I281" s="38" t="str">
        <f>VLOOKUP(Tabella13[[#This Row],[test_id]],experiments_specs!A:J,9,FALSE)</f>
        <v>wup_similarity</v>
      </c>
      <c r="J281" s="38" t="str">
        <f>VLOOKUP(Tabella13[[#This Row],[test_id]],experiments_specs!A:J,10,FALSE)</f>
        <v>False</v>
      </c>
      <c r="K281" s="40" t="s">
        <v>17</v>
      </c>
      <c r="L281" s="36" t="s">
        <v>1335</v>
      </c>
      <c r="M281" s="36" t="s">
        <v>1314</v>
      </c>
      <c r="N281" s="36">
        <v>2.0385799999999999E-2</v>
      </c>
      <c r="O281" s="36" t="s">
        <v>1440</v>
      </c>
    </row>
    <row r="282" spans="1:15" ht="85" x14ac:dyDescent="0.2">
      <c r="A282" s="36" t="s">
        <v>1258</v>
      </c>
      <c r="B282" s="45" t="str">
        <f>VLOOKUP(Tabella13[[#This Row],[test_id]],experiments_specs!A:J,2,FALSE)</f>
        <v>NN,JJ</v>
      </c>
      <c r="C282" s="38">
        <f>VLOOKUP(Tabella13[[#This Row],[test_id]],experiments_specs!A:J,3,FALSE)</f>
        <v>0</v>
      </c>
      <c r="D282" s="38">
        <f>VLOOKUP(Tabella13[[#This Row],[test_id]],experiments_specs!A:J,4,FALSE)</f>
        <v>3</v>
      </c>
      <c r="E282" s="38" t="str">
        <f>VLOOKUP(Tabella13[[#This Row],[test_id]],experiments_specs!A:J,5,FALSE)</f>
        <v>True</v>
      </c>
      <c r="F282" s="38" t="str">
        <f>VLOOKUP(Tabella13[[#This Row],[test_id]],experiments_specs!A:J,6,FALSE)</f>
        <v>True</v>
      </c>
      <c r="G282" s="38" t="str">
        <f>VLOOKUP(Tabella13[[#This Row],[test_id]],experiments_specs!A:J,7,FALSE)</f>
        <v>True</v>
      </c>
      <c r="H282" s="38" t="str">
        <f>VLOOKUP(Tabella13[[#This Row],[test_id]],experiments_specs!A:J,8,FALSE)</f>
        <v>True</v>
      </c>
      <c r="I282" s="38" t="str">
        <f>VLOOKUP(Tabella13[[#This Row],[test_id]],experiments_specs!A:J,9,FALSE)</f>
        <v>wup_similarity</v>
      </c>
      <c r="J282" s="38" t="str">
        <f>VLOOKUP(Tabella13[[#This Row],[test_id]],experiments_specs!A:J,10,FALSE)</f>
        <v>False</v>
      </c>
      <c r="K282" s="40" t="s">
        <v>18</v>
      </c>
      <c r="L282" s="36" t="s">
        <v>472</v>
      </c>
      <c r="M282" s="36">
        <v>2</v>
      </c>
      <c r="N282" s="36">
        <v>2.0169400000000001E-2</v>
      </c>
      <c r="O282" s="36">
        <v>0.2105263</v>
      </c>
    </row>
    <row r="283" spans="1:15" ht="85" x14ac:dyDescent="0.2">
      <c r="A283" s="36" t="s">
        <v>1259</v>
      </c>
      <c r="B283" s="45" t="str">
        <f>VLOOKUP(Tabella13[[#This Row],[test_id]],experiments_specs!A:J,2,FALSE)</f>
        <v>NN,VB,VBD,VBG,VBN,VBP,VBZ</v>
      </c>
      <c r="C283" s="38">
        <f>VLOOKUP(Tabella13[[#This Row],[test_id]],experiments_specs!A:J,3,FALSE)</f>
        <v>0</v>
      </c>
      <c r="D283" s="38">
        <f>VLOOKUP(Tabella13[[#This Row],[test_id]],experiments_specs!A:J,4,FALSE)</f>
        <v>2</v>
      </c>
      <c r="E283" s="38" t="str">
        <f>VLOOKUP(Tabella13[[#This Row],[test_id]],experiments_specs!A:J,5,FALSE)</f>
        <v>True</v>
      </c>
      <c r="F283" s="38" t="str">
        <f>VLOOKUP(Tabella13[[#This Row],[test_id]],experiments_specs!A:J,6,FALSE)</f>
        <v>True</v>
      </c>
      <c r="G283" s="38" t="str">
        <f>VLOOKUP(Tabella13[[#This Row],[test_id]],experiments_specs!A:J,7,FALSE)</f>
        <v>True</v>
      </c>
      <c r="H283" s="38" t="str">
        <f>VLOOKUP(Tabella13[[#This Row],[test_id]],experiments_specs!A:J,8,FALSE)</f>
        <v>True</v>
      </c>
      <c r="I283" s="38" t="str">
        <f>VLOOKUP(Tabella13[[#This Row],[test_id]],experiments_specs!A:J,9,FALSE)</f>
        <v>wup_similarity</v>
      </c>
      <c r="J283" s="38" t="str">
        <f>VLOOKUP(Tabella13[[#This Row],[test_id]],experiments_specs!A:J,10,FALSE)</f>
        <v>False</v>
      </c>
      <c r="K283" s="40" t="s">
        <v>19</v>
      </c>
      <c r="L283" s="36" t="s">
        <v>226</v>
      </c>
      <c r="M283" s="36">
        <v>4</v>
      </c>
      <c r="N283" s="36">
        <v>2.46199E-2</v>
      </c>
      <c r="O283" s="36">
        <v>0.17391300000000001</v>
      </c>
    </row>
    <row r="284" spans="1:15" ht="85" x14ac:dyDescent="0.2">
      <c r="A284" s="36" t="s">
        <v>1259</v>
      </c>
      <c r="B284" s="45" t="str">
        <f>VLOOKUP(Tabella13[[#This Row],[test_id]],experiments_specs!A:J,2,FALSE)</f>
        <v>NN,VB,VBD,VBG,VBN,VBP,VBZ</v>
      </c>
      <c r="C284" s="38">
        <f>VLOOKUP(Tabella13[[#This Row],[test_id]],experiments_specs!A:J,3,FALSE)</f>
        <v>0</v>
      </c>
      <c r="D284" s="38">
        <f>VLOOKUP(Tabella13[[#This Row],[test_id]],experiments_specs!A:J,4,FALSE)</f>
        <v>2</v>
      </c>
      <c r="E284" s="38" t="str">
        <f>VLOOKUP(Tabella13[[#This Row],[test_id]],experiments_specs!A:J,5,FALSE)</f>
        <v>True</v>
      </c>
      <c r="F284" s="38" t="str">
        <f>VLOOKUP(Tabella13[[#This Row],[test_id]],experiments_specs!A:J,6,FALSE)</f>
        <v>True</v>
      </c>
      <c r="G284" s="38" t="str">
        <f>VLOOKUP(Tabella13[[#This Row],[test_id]],experiments_specs!A:J,7,FALSE)</f>
        <v>True</v>
      </c>
      <c r="H284" s="38" t="str">
        <f>VLOOKUP(Tabella13[[#This Row],[test_id]],experiments_specs!A:J,8,FALSE)</f>
        <v>True</v>
      </c>
      <c r="I284" s="38" t="str">
        <f>VLOOKUP(Tabella13[[#This Row],[test_id]],experiments_specs!A:J,9,FALSE)</f>
        <v>wup_similarity</v>
      </c>
      <c r="J284" s="38" t="str">
        <f>VLOOKUP(Tabella13[[#This Row],[test_id]],experiments_specs!A:J,10,FALSE)</f>
        <v>False</v>
      </c>
      <c r="K284" s="40" t="s">
        <v>12</v>
      </c>
      <c r="L284" s="36" t="s">
        <v>23</v>
      </c>
      <c r="M284" s="36">
        <v>2</v>
      </c>
      <c r="N284" s="36">
        <v>2.07765E-2</v>
      </c>
      <c r="O284" s="36">
        <v>0.42857139999999999</v>
      </c>
    </row>
    <row r="285" spans="1:15" ht="85" x14ac:dyDescent="0.2">
      <c r="A285" s="36" t="s">
        <v>1259</v>
      </c>
      <c r="B285" s="45" t="str">
        <f>VLOOKUP(Tabella13[[#This Row],[test_id]],experiments_specs!A:J,2,FALSE)</f>
        <v>NN,VB,VBD,VBG,VBN,VBP,VBZ</v>
      </c>
      <c r="C285" s="38">
        <f>VLOOKUP(Tabella13[[#This Row],[test_id]],experiments_specs!A:J,3,FALSE)</f>
        <v>0</v>
      </c>
      <c r="D285" s="38">
        <f>VLOOKUP(Tabella13[[#This Row],[test_id]],experiments_specs!A:J,4,FALSE)</f>
        <v>2</v>
      </c>
      <c r="E285" s="38" t="str">
        <f>VLOOKUP(Tabella13[[#This Row],[test_id]],experiments_specs!A:J,5,FALSE)</f>
        <v>True</v>
      </c>
      <c r="F285" s="38" t="str">
        <f>VLOOKUP(Tabella13[[#This Row],[test_id]],experiments_specs!A:J,6,FALSE)</f>
        <v>True</v>
      </c>
      <c r="G285" s="38" t="str">
        <f>VLOOKUP(Tabella13[[#This Row],[test_id]],experiments_specs!A:J,7,FALSE)</f>
        <v>True</v>
      </c>
      <c r="H285" s="38" t="str">
        <f>VLOOKUP(Tabella13[[#This Row],[test_id]],experiments_specs!A:J,8,FALSE)</f>
        <v>True</v>
      </c>
      <c r="I285" s="38" t="str">
        <f>VLOOKUP(Tabella13[[#This Row],[test_id]],experiments_specs!A:J,9,FALSE)</f>
        <v>wup_similarity</v>
      </c>
      <c r="J285" s="38" t="str">
        <f>VLOOKUP(Tabella13[[#This Row],[test_id]],experiments_specs!A:J,10,FALSE)</f>
        <v>False</v>
      </c>
      <c r="K285" s="40" t="s">
        <v>13</v>
      </c>
      <c r="L285" s="36" t="s">
        <v>473</v>
      </c>
      <c r="M285" s="36">
        <v>2</v>
      </c>
      <c r="N285" s="36">
        <v>3.2392400000000002E-2</v>
      </c>
      <c r="O285" s="36">
        <v>0.4</v>
      </c>
    </row>
    <row r="286" spans="1:15" ht="85" x14ac:dyDescent="0.2">
      <c r="A286" s="36" t="s">
        <v>1259</v>
      </c>
      <c r="B286" s="45" t="str">
        <f>VLOOKUP(Tabella13[[#This Row],[test_id]],experiments_specs!A:J,2,FALSE)</f>
        <v>NN,VB,VBD,VBG,VBN,VBP,VBZ</v>
      </c>
      <c r="C286" s="38">
        <f>VLOOKUP(Tabella13[[#This Row],[test_id]],experiments_specs!A:J,3,FALSE)</f>
        <v>0</v>
      </c>
      <c r="D286" s="38">
        <f>VLOOKUP(Tabella13[[#This Row],[test_id]],experiments_specs!A:J,4,FALSE)</f>
        <v>2</v>
      </c>
      <c r="E286" s="38" t="str">
        <f>VLOOKUP(Tabella13[[#This Row],[test_id]],experiments_specs!A:J,5,FALSE)</f>
        <v>True</v>
      </c>
      <c r="F286" s="38" t="str">
        <f>VLOOKUP(Tabella13[[#This Row],[test_id]],experiments_specs!A:J,6,FALSE)</f>
        <v>True</v>
      </c>
      <c r="G286" s="38" t="str">
        <f>VLOOKUP(Tabella13[[#This Row],[test_id]],experiments_specs!A:J,7,FALSE)</f>
        <v>True</v>
      </c>
      <c r="H286" s="38" t="str">
        <f>VLOOKUP(Tabella13[[#This Row],[test_id]],experiments_specs!A:J,8,FALSE)</f>
        <v>True</v>
      </c>
      <c r="I286" s="38" t="str">
        <f>VLOOKUP(Tabella13[[#This Row],[test_id]],experiments_specs!A:J,9,FALSE)</f>
        <v>wup_similarity</v>
      </c>
      <c r="J286" s="38" t="str">
        <f>VLOOKUP(Tabella13[[#This Row],[test_id]],experiments_specs!A:J,10,FALSE)</f>
        <v>False</v>
      </c>
      <c r="K286" s="40" t="s">
        <v>14</v>
      </c>
      <c r="L286" s="36" t="s">
        <v>1350</v>
      </c>
      <c r="M286" s="36" t="s">
        <v>1314</v>
      </c>
      <c r="N286" s="36">
        <v>1.3037099999999999E-2</v>
      </c>
      <c r="O286" s="36" t="s">
        <v>1444</v>
      </c>
    </row>
    <row r="287" spans="1:15" ht="85" x14ac:dyDescent="0.2">
      <c r="A287" s="36" t="s">
        <v>1259</v>
      </c>
      <c r="B287" s="45" t="str">
        <f>VLOOKUP(Tabella13[[#This Row],[test_id]],experiments_specs!A:J,2,FALSE)</f>
        <v>NN,VB,VBD,VBG,VBN,VBP,VBZ</v>
      </c>
      <c r="C287" s="38">
        <f>VLOOKUP(Tabella13[[#This Row],[test_id]],experiments_specs!A:J,3,FALSE)</f>
        <v>0</v>
      </c>
      <c r="D287" s="38">
        <f>VLOOKUP(Tabella13[[#This Row],[test_id]],experiments_specs!A:J,4,FALSE)</f>
        <v>2</v>
      </c>
      <c r="E287" s="38" t="str">
        <f>VLOOKUP(Tabella13[[#This Row],[test_id]],experiments_specs!A:J,5,FALSE)</f>
        <v>True</v>
      </c>
      <c r="F287" s="38" t="str">
        <f>VLOOKUP(Tabella13[[#This Row],[test_id]],experiments_specs!A:J,6,FALSE)</f>
        <v>True</v>
      </c>
      <c r="G287" s="38" t="str">
        <f>VLOOKUP(Tabella13[[#This Row],[test_id]],experiments_specs!A:J,7,FALSE)</f>
        <v>True</v>
      </c>
      <c r="H287" s="38" t="str">
        <f>VLOOKUP(Tabella13[[#This Row],[test_id]],experiments_specs!A:J,8,FALSE)</f>
        <v>True</v>
      </c>
      <c r="I287" s="38" t="str">
        <f>VLOOKUP(Tabella13[[#This Row],[test_id]],experiments_specs!A:J,9,FALSE)</f>
        <v>wup_similarity</v>
      </c>
      <c r="J287" s="38" t="str">
        <f>VLOOKUP(Tabella13[[#This Row],[test_id]],experiments_specs!A:J,10,FALSE)</f>
        <v>False</v>
      </c>
      <c r="K287" s="40" t="s">
        <v>15</v>
      </c>
      <c r="L287" s="36" t="s">
        <v>1114</v>
      </c>
      <c r="M287" s="36">
        <v>1</v>
      </c>
      <c r="N287" s="36">
        <v>2.0728199999999999E-2</v>
      </c>
      <c r="O287" s="36">
        <v>0.2</v>
      </c>
    </row>
    <row r="288" spans="1:15" ht="85" x14ac:dyDescent="0.2">
      <c r="A288" s="36" t="s">
        <v>1259</v>
      </c>
      <c r="B288" s="45" t="str">
        <f>VLOOKUP(Tabella13[[#This Row],[test_id]],experiments_specs!A:J,2,FALSE)</f>
        <v>NN,VB,VBD,VBG,VBN,VBP,VBZ</v>
      </c>
      <c r="C288" s="38">
        <f>VLOOKUP(Tabella13[[#This Row],[test_id]],experiments_specs!A:J,3,FALSE)</f>
        <v>0</v>
      </c>
      <c r="D288" s="38">
        <f>VLOOKUP(Tabella13[[#This Row],[test_id]],experiments_specs!A:J,4,FALSE)</f>
        <v>2</v>
      </c>
      <c r="E288" s="38" t="str">
        <f>VLOOKUP(Tabella13[[#This Row],[test_id]],experiments_specs!A:J,5,FALSE)</f>
        <v>True</v>
      </c>
      <c r="F288" s="38" t="str">
        <f>VLOOKUP(Tabella13[[#This Row],[test_id]],experiments_specs!A:J,6,FALSE)</f>
        <v>True</v>
      </c>
      <c r="G288" s="38" t="str">
        <f>VLOOKUP(Tabella13[[#This Row],[test_id]],experiments_specs!A:J,7,FALSE)</f>
        <v>True</v>
      </c>
      <c r="H288" s="38" t="str">
        <f>VLOOKUP(Tabella13[[#This Row],[test_id]],experiments_specs!A:J,8,FALSE)</f>
        <v>True</v>
      </c>
      <c r="I288" s="38" t="str">
        <f>VLOOKUP(Tabella13[[#This Row],[test_id]],experiments_specs!A:J,9,FALSE)</f>
        <v>wup_similarity</v>
      </c>
      <c r="J288" s="38" t="str">
        <f>VLOOKUP(Tabella13[[#This Row],[test_id]],experiments_specs!A:J,10,FALSE)</f>
        <v>False</v>
      </c>
      <c r="K288" s="40" t="s">
        <v>16</v>
      </c>
      <c r="L288" s="36" t="s">
        <v>1333</v>
      </c>
      <c r="M288" s="36" t="s">
        <v>1314</v>
      </c>
      <c r="N288" s="36">
        <v>1.9462400000000001E-2</v>
      </c>
      <c r="O288" s="36" t="s">
        <v>1432</v>
      </c>
    </row>
    <row r="289" spans="1:15" ht="85" x14ac:dyDescent="0.2">
      <c r="A289" s="36" t="s">
        <v>1259</v>
      </c>
      <c r="B289" s="45" t="str">
        <f>VLOOKUP(Tabella13[[#This Row],[test_id]],experiments_specs!A:J,2,FALSE)</f>
        <v>NN,VB,VBD,VBG,VBN,VBP,VBZ</v>
      </c>
      <c r="C289" s="38">
        <f>VLOOKUP(Tabella13[[#This Row],[test_id]],experiments_specs!A:J,3,FALSE)</f>
        <v>0</v>
      </c>
      <c r="D289" s="38">
        <f>VLOOKUP(Tabella13[[#This Row],[test_id]],experiments_specs!A:J,4,FALSE)</f>
        <v>2</v>
      </c>
      <c r="E289" s="38" t="str">
        <f>VLOOKUP(Tabella13[[#This Row],[test_id]],experiments_specs!A:J,5,FALSE)</f>
        <v>True</v>
      </c>
      <c r="F289" s="38" t="str">
        <f>VLOOKUP(Tabella13[[#This Row],[test_id]],experiments_specs!A:J,6,FALSE)</f>
        <v>True</v>
      </c>
      <c r="G289" s="38" t="str">
        <f>VLOOKUP(Tabella13[[#This Row],[test_id]],experiments_specs!A:J,7,FALSE)</f>
        <v>True</v>
      </c>
      <c r="H289" s="38" t="str">
        <f>VLOOKUP(Tabella13[[#This Row],[test_id]],experiments_specs!A:J,8,FALSE)</f>
        <v>True</v>
      </c>
      <c r="I289" s="38" t="str">
        <f>VLOOKUP(Tabella13[[#This Row],[test_id]],experiments_specs!A:J,9,FALSE)</f>
        <v>wup_similarity</v>
      </c>
      <c r="J289" s="38" t="str">
        <f>VLOOKUP(Tabella13[[#This Row],[test_id]],experiments_specs!A:J,10,FALSE)</f>
        <v>False</v>
      </c>
      <c r="K289" s="40" t="s">
        <v>17</v>
      </c>
      <c r="L289" s="36" t="s">
        <v>1356</v>
      </c>
      <c r="M289" s="36" t="s">
        <v>1314</v>
      </c>
      <c r="N289" s="36">
        <v>2.4868600000000001E-2</v>
      </c>
      <c r="O289" s="36" t="s">
        <v>1432</v>
      </c>
    </row>
    <row r="290" spans="1:15" ht="85" x14ac:dyDescent="0.2">
      <c r="A290" s="36" t="s">
        <v>1259</v>
      </c>
      <c r="B290" s="45" t="str">
        <f>VLOOKUP(Tabella13[[#This Row],[test_id]],experiments_specs!A:J,2,FALSE)</f>
        <v>NN,VB,VBD,VBG,VBN,VBP,VBZ</v>
      </c>
      <c r="C290" s="38">
        <f>VLOOKUP(Tabella13[[#This Row],[test_id]],experiments_specs!A:J,3,FALSE)</f>
        <v>0</v>
      </c>
      <c r="D290" s="38">
        <f>VLOOKUP(Tabella13[[#This Row],[test_id]],experiments_specs!A:J,4,FALSE)</f>
        <v>2</v>
      </c>
      <c r="E290" s="38" t="str">
        <f>VLOOKUP(Tabella13[[#This Row],[test_id]],experiments_specs!A:J,5,FALSE)</f>
        <v>True</v>
      </c>
      <c r="F290" s="38" t="str">
        <f>VLOOKUP(Tabella13[[#This Row],[test_id]],experiments_specs!A:J,6,FALSE)</f>
        <v>True</v>
      </c>
      <c r="G290" s="38" t="str">
        <f>VLOOKUP(Tabella13[[#This Row],[test_id]],experiments_specs!A:J,7,FALSE)</f>
        <v>True</v>
      </c>
      <c r="H290" s="38" t="str">
        <f>VLOOKUP(Tabella13[[#This Row],[test_id]],experiments_specs!A:J,8,FALSE)</f>
        <v>True</v>
      </c>
      <c r="I290" s="38" t="str">
        <f>VLOOKUP(Tabella13[[#This Row],[test_id]],experiments_specs!A:J,9,FALSE)</f>
        <v>wup_similarity</v>
      </c>
      <c r="J290" s="38" t="str">
        <f>VLOOKUP(Tabella13[[#This Row],[test_id]],experiments_specs!A:J,10,FALSE)</f>
        <v>False</v>
      </c>
      <c r="K290" s="40" t="s">
        <v>18</v>
      </c>
      <c r="L290" s="36" t="s">
        <v>472</v>
      </c>
      <c r="M290" s="36">
        <v>2</v>
      </c>
      <c r="N290" s="36">
        <v>1.52657E-2</v>
      </c>
      <c r="O290" s="36">
        <v>0.2105263</v>
      </c>
    </row>
    <row r="291" spans="1:15" ht="85" x14ac:dyDescent="0.2">
      <c r="A291" s="36" t="s">
        <v>1260</v>
      </c>
      <c r="B291" s="45" t="str">
        <f>VLOOKUP(Tabella13[[#This Row],[test_id]],experiments_specs!A:J,2,FALSE)</f>
        <v>NN,VB,VBD,VBG,VBN,VBP,VBZ</v>
      </c>
      <c r="C291" s="38">
        <f>VLOOKUP(Tabella13[[#This Row],[test_id]],experiments_specs!A:J,3,FALSE)</f>
        <v>0</v>
      </c>
      <c r="D291" s="38">
        <f>VLOOKUP(Tabella13[[#This Row],[test_id]],experiments_specs!A:J,4,FALSE)</f>
        <v>3</v>
      </c>
      <c r="E291" s="38" t="str">
        <f>VLOOKUP(Tabella13[[#This Row],[test_id]],experiments_specs!A:J,5,FALSE)</f>
        <v>True</v>
      </c>
      <c r="F291" s="38" t="str">
        <f>VLOOKUP(Tabella13[[#This Row],[test_id]],experiments_specs!A:J,6,FALSE)</f>
        <v>True</v>
      </c>
      <c r="G291" s="38" t="str">
        <f>VLOOKUP(Tabella13[[#This Row],[test_id]],experiments_specs!A:J,7,FALSE)</f>
        <v>True</v>
      </c>
      <c r="H291" s="38" t="str">
        <f>VLOOKUP(Tabella13[[#This Row],[test_id]],experiments_specs!A:J,8,FALSE)</f>
        <v>True</v>
      </c>
      <c r="I291" s="38" t="str">
        <f>VLOOKUP(Tabella13[[#This Row],[test_id]],experiments_specs!A:J,9,FALSE)</f>
        <v>wup_similarity</v>
      </c>
      <c r="J291" s="38" t="str">
        <f>VLOOKUP(Tabella13[[#This Row],[test_id]],experiments_specs!A:J,10,FALSE)</f>
        <v>False</v>
      </c>
      <c r="K291" s="40" t="s">
        <v>19</v>
      </c>
      <c r="L291" s="36" t="s">
        <v>226</v>
      </c>
      <c r="M291" s="36">
        <v>4</v>
      </c>
      <c r="N291" s="36">
        <v>2.46199E-2</v>
      </c>
      <c r="O291" s="36">
        <v>0.17391300000000001</v>
      </c>
    </row>
    <row r="292" spans="1:15" ht="85" x14ac:dyDescent="0.2">
      <c r="A292" s="36" t="s">
        <v>1260</v>
      </c>
      <c r="B292" s="45" t="str">
        <f>VLOOKUP(Tabella13[[#This Row],[test_id]],experiments_specs!A:J,2,FALSE)</f>
        <v>NN,VB,VBD,VBG,VBN,VBP,VBZ</v>
      </c>
      <c r="C292" s="38">
        <f>VLOOKUP(Tabella13[[#This Row],[test_id]],experiments_specs!A:J,3,FALSE)</f>
        <v>0</v>
      </c>
      <c r="D292" s="38">
        <f>VLOOKUP(Tabella13[[#This Row],[test_id]],experiments_specs!A:J,4,FALSE)</f>
        <v>3</v>
      </c>
      <c r="E292" s="38" t="str">
        <f>VLOOKUP(Tabella13[[#This Row],[test_id]],experiments_specs!A:J,5,FALSE)</f>
        <v>True</v>
      </c>
      <c r="F292" s="38" t="str">
        <f>VLOOKUP(Tabella13[[#This Row],[test_id]],experiments_specs!A:J,6,FALSE)</f>
        <v>True</v>
      </c>
      <c r="G292" s="38" t="str">
        <f>VLOOKUP(Tabella13[[#This Row],[test_id]],experiments_specs!A:J,7,FALSE)</f>
        <v>True</v>
      </c>
      <c r="H292" s="38" t="str">
        <f>VLOOKUP(Tabella13[[#This Row],[test_id]],experiments_specs!A:J,8,FALSE)</f>
        <v>True</v>
      </c>
      <c r="I292" s="38" t="str">
        <f>VLOOKUP(Tabella13[[#This Row],[test_id]],experiments_specs!A:J,9,FALSE)</f>
        <v>wup_similarity</v>
      </c>
      <c r="J292" s="38" t="str">
        <f>VLOOKUP(Tabella13[[#This Row],[test_id]],experiments_specs!A:J,10,FALSE)</f>
        <v>False</v>
      </c>
      <c r="K292" s="40" t="s">
        <v>12</v>
      </c>
      <c r="L292" s="36" t="s">
        <v>23</v>
      </c>
      <c r="M292" s="36">
        <v>2</v>
      </c>
      <c r="N292" s="36">
        <v>2.07765E-2</v>
      </c>
      <c r="O292" s="36">
        <v>0.42857139999999999</v>
      </c>
    </row>
    <row r="293" spans="1:15" ht="85" x14ac:dyDescent="0.2">
      <c r="A293" s="36" t="s">
        <v>1260</v>
      </c>
      <c r="B293" s="45" t="str">
        <f>VLOOKUP(Tabella13[[#This Row],[test_id]],experiments_specs!A:J,2,FALSE)</f>
        <v>NN,VB,VBD,VBG,VBN,VBP,VBZ</v>
      </c>
      <c r="C293" s="38">
        <f>VLOOKUP(Tabella13[[#This Row],[test_id]],experiments_specs!A:J,3,FALSE)</f>
        <v>0</v>
      </c>
      <c r="D293" s="38">
        <f>VLOOKUP(Tabella13[[#This Row],[test_id]],experiments_specs!A:J,4,FALSE)</f>
        <v>3</v>
      </c>
      <c r="E293" s="38" t="str">
        <f>VLOOKUP(Tabella13[[#This Row],[test_id]],experiments_specs!A:J,5,FALSE)</f>
        <v>True</v>
      </c>
      <c r="F293" s="38" t="str">
        <f>VLOOKUP(Tabella13[[#This Row],[test_id]],experiments_specs!A:J,6,FALSE)</f>
        <v>True</v>
      </c>
      <c r="G293" s="38" t="str">
        <f>VLOOKUP(Tabella13[[#This Row],[test_id]],experiments_specs!A:J,7,FALSE)</f>
        <v>True</v>
      </c>
      <c r="H293" s="38" t="str">
        <f>VLOOKUP(Tabella13[[#This Row],[test_id]],experiments_specs!A:J,8,FALSE)</f>
        <v>True</v>
      </c>
      <c r="I293" s="38" t="str">
        <f>VLOOKUP(Tabella13[[#This Row],[test_id]],experiments_specs!A:J,9,FALSE)</f>
        <v>wup_similarity</v>
      </c>
      <c r="J293" s="38" t="str">
        <f>VLOOKUP(Tabella13[[#This Row],[test_id]],experiments_specs!A:J,10,FALSE)</f>
        <v>False</v>
      </c>
      <c r="K293" s="40" t="s">
        <v>13</v>
      </c>
      <c r="L293" s="36" t="s">
        <v>473</v>
      </c>
      <c r="M293" s="36">
        <v>2</v>
      </c>
      <c r="N293" s="36">
        <v>3.2392400000000002E-2</v>
      </c>
      <c r="O293" s="36">
        <v>0.4</v>
      </c>
    </row>
    <row r="294" spans="1:15" ht="85" x14ac:dyDescent="0.2">
      <c r="A294" s="36" t="s">
        <v>1260</v>
      </c>
      <c r="B294" s="45" t="str">
        <f>VLOOKUP(Tabella13[[#This Row],[test_id]],experiments_specs!A:J,2,FALSE)</f>
        <v>NN,VB,VBD,VBG,VBN,VBP,VBZ</v>
      </c>
      <c r="C294" s="38">
        <f>VLOOKUP(Tabella13[[#This Row],[test_id]],experiments_specs!A:J,3,FALSE)</f>
        <v>0</v>
      </c>
      <c r="D294" s="38">
        <f>VLOOKUP(Tabella13[[#This Row],[test_id]],experiments_specs!A:J,4,FALSE)</f>
        <v>3</v>
      </c>
      <c r="E294" s="38" t="str">
        <f>VLOOKUP(Tabella13[[#This Row],[test_id]],experiments_specs!A:J,5,FALSE)</f>
        <v>True</v>
      </c>
      <c r="F294" s="38" t="str">
        <f>VLOOKUP(Tabella13[[#This Row],[test_id]],experiments_specs!A:J,6,FALSE)</f>
        <v>True</v>
      </c>
      <c r="G294" s="38" t="str">
        <f>VLOOKUP(Tabella13[[#This Row],[test_id]],experiments_specs!A:J,7,FALSE)</f>
        <v>True</v>
      </c>
      <c r="H294" s="38" t="str">
        <f>VLOOKUP(Tabella13[[#This Row],[test_id]],experiments_specs!A:J,8,FALSE)</f>
        <v>True</v>
      </c>
      <c r="I294" s="38" t="str">
        <f>VLOOKUP(Tabella13[[#This Row],[test_id]],experiments_specs!A:J,9,FALSE)</f>
        <v>wup_similarity</v>
      </c>
      <c r="J294" s="38" t="str">
        <f>VLOOKUP(Tabella13[[#This Row],[test_id]],experiments_specs!A:J,10,FALSE)</f>
        <v>False</v>
      </c>
      <c r="K294" s="40" t="s">
        <v>14</v>
      </c>
      <c r="L294" s="36" t="s">
        <v>1350</v>
      </c>
      <c r="M294" s="36" t="s">
        <v>1314</v>
      </c>
      <c r="N294" s="36">
        <v>1.3037099999999999E-2</v>
      </c>
      <c r="O294" s="36" t="s">
        <v>1444</v>
      </c>
    </row>
    <row r="295" spans="1:15" ht="85" x14ac:dyDescent="0.2">
      <c r="A295" s="36" t="s">
        <v>1260</v>
      </c>
      <c r="B295" s="45" t="str">
        <f>VLOOKUP(Tabella13[[#This Row],[test_id]],experiments_specs!A:J,2,FALSE)</f>
        <v>NN,VB,VBD,VBG,VBN,VBP,VBZ</v>
      </c>
      <c r="C295" s="38">
        <f>VLOOKUP(Tabella13[[#This Row],[test_id]],experiments_specs!A:J,3,FALSE)</f>
        <v>0</v>
      </c>
      <c r="D295" s="38">
        <f>VLOOKUP(Tabella13[[#This Row],[test_id]],experiments_specs!A:J,4,FALSE)</f>
        <v>3</v>
      </c>
      <c r="E295" s="38" t="str">
        <f>VLOOKUP(Tabella13[[#This Row],[test_id]],experiments_specs!A:J,5,FALSE)</f>
        <v>True</v>
      </c>
      <c r="F295" s="38" t="str">
        <f>VLOOKUP(Tabella13[[#This Row],[test_id]],experiments_specs!A:J,6,FALSE)</f>
        <v>True</v>
      </c>
      <c r="G295" s="38" t="str">
        <f>VLOOKUP(Tabella13[[#This Row],[test_id]],experiments_specs!A:J,7,FALSE)</f>
        <v>True</v>
      </c>
      <c r="H295" s="38" t="str">
        <f>VLOOKUP(Tabella13[[#This Row],[test_id]],experiments_specs!A:J,8,FALSE)</f>
        <v>True</v>
      </c>
      <c r="I295" s="38" t="str">
        <f>VLOOKUP(Tabella13[[#This Row],[test_id]],experiments_specs!A:J,9,FALSE)</f>
        <v>wup_similarity</v>
      </c>
      <c r="J295" s="38" t="str">
        <f>VLOOKUP(Tabella13[[#This Row],[test_id]],experiments_specs!A:J,10,FALSE)</f>
        <v>False</v>
      </c>
      <c r="K295" s="40" t="s">
        <v>15</v>
      </c>
      <c r="L295" s="36" t="s">
        <v>1114</v>
      </c>
      <c r="M295" s="36">
        <v>1</v>
      </c>
      <c r="N295" s="36">
        <v>2.0728199999999999E-2</v>
      </c>
      <c r="O295" s="36">
        <v>0.2</v>
      </c>
    </row>
    <row r="296" spans="1:15" ht="85" x14ac:dyDescent="0.2">
      <c r="A296" s="36" t="s">
        <v>1260</v>
      </c>
      <c r="B296" s="45" t="str">
        <f>VLOOKUP(Tabella13[[#This Row],[test_id]],experiments_specs!A:J,2,FALSE)</f>
        <v>NN,VB,VBD,VBG,VBN,VBP,VBZ</v>
      </c>
      <c r="C296" s="38">
        <f>VLOOKUP(Tabella13[[#This Row],[test_id]],experiments_specs!A:J,3,FALSE)</f>
        <v>0</v>
      </c>
      <c r="D296" s="38">
        <f>VLOOKUP(Tabella13[[#This Row],[test_id]],experiments_specs!A:J,4,FALSE)</f>
        <v>3</v>
      </c>
      <c r="E296" s="38" t="str">
        <f>VLOOKUP(Tabella13[[#This Row],[test_id]],experiments_specs!A:J,5,FALSE)</f>
        <v>True</v>
      </c>
      <c r="F296" s="38" t="str">
        <f>VLOOKUP(Tabella13[[#This Row],[test_id]],experiments_specs!A:J,6,FALSE)</f>
        <v>True</v>
      </c>
      <c r="G296" s="38" t="str">
        <f>VLOOKUP(Tabella13[[#This Row],[test_id]],experiments_specs!A:J,7,FALSE)</f>
        <v>True</v>
      </c>
      <c r="H296" s="38" t="str">
        <f>VLOOKUP(Tabella13[[#This Row],[test_id]],experiments_specs!A:J,8,FALSE)</f>
        <v>True</v>
      </c>
      <c r="I296" s="38" t="str">
        <f>VLOOKUP(Tabella13[[#This Row],[test_id]],experiments_specs!A:J,9,FALSE)</f>
        <v>wup_similarity</v>
      </c>
      <c r="J296" s="38" t="str">
        <f>VLOOKUP(Tabella13[[#This Row],[test_id]],experiments_specs!A:J,10,FALSE)</f>
        <v>False</v>
      </c>
      <c r="K296" s="40" t="s">
        <v>16</v>
      </c>
      <c r="L296" s="36" t="s">
        <v>1333</v>
      </c>
      <c r="M296" s="36" t="s">
        <v>1314</v>
      </c>
      <c r="N296" s="36">
        <v>1.9462400000000001E-2</v>
      </c>
      <c r="O296" s="36" t="s">
        <v>1432</v>
      </c>
    </row>
    <row r="297" spans="1:15" ht="85" x14ac:dyDescent="0.2">
      <c r="A297" s="36" t="s">
        <v>1260</v>
      </c>
      <c r="B297" s="45" t="str">
        <f>VLOOKUP(Tabella13[[#This Row],[test_id]],experiments_specs!A:J,2,FALSE)</f>
        <v>NN,VB,VBD,VBG,VBN,VBP,VBZ</v>
      </c>
      <c r="C297" s="38">
        <f>VLOOKUP(Tabella13[[#This Row],[test_id]],experiments_specs!A:J,3,FALSE)</f>
        <v>0</v>
      </c>
      <c r="D297" s="38">
        <f>VLOOKUP(Tabella13[[#This Row],[test_id]],experiments_specs!A:J,4,FALSE)</f>
        <v>3</v>
      </c>
      <c r="E297" s="38" t="str">
        <f>VLOOKUP(Tabella13[[#This Row],[test_id]],experiments_specs!A:J,5,FALSE)</f>
        <v>True</v>
      </c>
      <c r="F297" s="38" t="str">
        <f>VLOOKUP(Tabella13[[#This Row],[test_id]],experiments_specs!A:J,6,FALSE)</f>
        <v>True</v>
      </c>
      <c r="G297" s="38" t="str">
        <f>VLOOKUP(Tabella13[[#This Row],[test_id]],experiments_specs!A:J,7,FALSE)</f>
        <v>True</v>
      </c>
      <c r="H297" s="38" t="str">
        <f>VLOOKUP(Tabella13[[#This Row],[test_id]],experiments_specs!A:J,8,FALSE)</f>
        <v>True</v>
      </c>
      <c r="I297" s="38" t="str">
        <f>VLOOKUP(Tabella13[[#This Row],[test_id]],experiments_specs!A:J,9,FALSE)</f>
        <v>wup_similarity</v>
      </c>
      <c r="J297" s="38" t="str">
        <f>VLOOKUP(Tabella13[[#This Row],[test_id]],experiments_specs!A:J,10,FALSE)</f>
        <v>False</v>
      </c>
      <c r="K297" s="40" t="s">
        <v>17</v>
      </c>
      <c r="L297" s="36" t="s">
        <v>1356</v>
      </c>
      <c r="M297" s="36" t="s">
        <v>1314</v>
      </c>
      <c r="N297" s="36">
        <v>2.4868600000000001E-2</v>
      </c>
      <c r="O297" s="36" t="s">
        <v>1432</v>
      </c>
    </row>
    <row r="298" spans="1:15" ht="85" x14ac:dyDescent="0.2">
      <c r="A298" s="36" t="s">
        <v>1260</v>
      </c>
      <c r="B298" s="45" t="str">
        <f>VLOOKUP(Tabella13[[#This Row],[test_id]],experiments_specs!A:J,2,FALSE)</f>
        <v>NN,VB,VBD,VBG,VBN,VBP,VBZ</v>
      </c>
      <c r="C298" s="38">
        <f>VLOOKUP(Tabella13[[#This Row],[test_id]],experiments_specs!A:J,3,FALSE)</f>
        <v>0</v>
      </c>
      <c r="D298" s="38">
        <f>VLOOKUP(Tabella13[[#This Row],[test_id]],experiments_specs!A:J,4,FALSE)</f>
        <v>3</v>
      </c>
      <c r="E298" s="38" t="str">
        <f>VLOOKUP(Tabella13[[#This Row],[test_id]],experiments_specs!A:J,5,FALSE)</f>
        <v>True</v>
      </c>
      <c r="F298" s="38" t="str">
        <f>VLOOKUP(Tabella13[[#This Row],[test_id]],experiments_specs!A:J,6,FALSE)</f>
        <v>True</v>
      </c>
      <c r="G298" s="38" t="str">
        <f>VLOOKUP(Tabella13[[#This Row],[test_id]],experiments_specs!A:J,7,FALSE)</f>
        <v>True</v>
      </c>
      <c r="H298" s="38" t="str">
        <f>VLOOKUP(Tabella13[[#This Row],[test_id]],experiments_specs!A:J,8,FALSE)</f>
        <v>True</v>
      </c>
      <c r="I298" s="38" t="str">
        <f>VLOOKUP(Tabella13[[#This Row],[test_id]],experiments_specs!A:J,9,FALSE)</f>
        <v>wup_similarity</v>
      </c>
      <c r="J298" s="38" t="str">
        <f>VLOOKUP(Tabella13[[#This Row],[test_id]],experiments_specs!A:J,10,FALSE)</f>
        <v>False</v>
      </c>
      <c r="K298" s="40" t="s">
        <v>18</v>
      </c>
      <c r="L298" s="36" t="s">
        <v>472</v>
      </c>
      <c r="M298" s="36">
        <v>2</v>
      </c>
      <c r="N298" s="36">
        <v>1.52657E-2</v>
      </c>
      <c r="O298" s="36">
        <v>0.2105263</v>
      </c>
    </row>
    <row r="299" spans="1:15" ht="85" x14ac:dyDescent="0.2">
      <c r="A299" s="36" t="s">
        <v>1261</v>
      </c>
      <c r="B299" s="45" t="str">
        <f>VLOOKUP(Tabella13[[#This Row],[test_id]],experiments_specs!A:J,2,FALSE)</f>
        <v>NN,JJ,VB,VBD,VBG,VBN,VBP,VBZ</v>
      </c>
      <c r="C299" s="38">
        <f>VLOOKUP(Tabella13[[#This Row],[test_id]],experiments_specs!A:J,3,FALSE)</f>
        <v>0</v>
      </c>
      <c r="D299" s="38">
        <f>VLOOKUP(Tabella13[[#This Row],[test_id]],experiments_specs!A:J,4,FALSE)</f>
        <v>2</v>
      </c>
      <c r="E299" s="38" t="str">
        <f>VLOOKUP(Tabella13[[#This Row],[test_id]],experiments_specs!A:J,5,FALSE)</f>
        <v>True</v>
      </c>
      <c r="F299" s="38" t="str">
        <f>VLOOKUP(Tabella13[[#This Row],[test_id]],experiments_specs!A:J,6,FALSE)</f>
        <v>True</v>
      </c>
      <c r="G299" s="38" t="str">
        <f>VLOOKUP(Tabella13[[#This Row],[test_id]],experiments_specs!A:J,7,FALSE)</f>
        <v>True</v>
      </c>
      <c r="H299" s="38" t="str">
        <f>VLOOKUP(Tabella13[[#This Row],[test_id]],experiments_specs!A:J,8,FALSE)</f>
        <v>True</v>
      </c>
      <c r="I299" s="38" t="str">
        <f>VLOOKUP(Tabella13[[#This Row],[test_id]],experiments_specs!A:J,9,FALSE)</f>
        <v>wup_similarity</v>
      </c>
      <c r="J299" s="38" t="str">
        <f>VLOOKUP(Tabella13[[#This Row],[test_id]],experiments_specs!A:J,10,FALSE)</f>
        <v>False</v>
      </c>
      <c r="K299" s="40" t="s">
        <v>19</v>
      </c>
      <c r="L299" s="36" t="s">
        <v>1312</v>
      </c>
      <c r="M299" s="36" t="s">
        <v>1314</v>
      </c>
      <c r="N299" s="36">
        <v>1.92155E-2</v>
      </c>
      <c r="O299" s="36" t="s">
        <v>1434</v>
      </c>
    </row>
    <row r="300" spans="1:15" ht="85" x14ac:dyDescent="0.2">
      <c r="A300" s="36" t="s">
        <v>1261</v>
      </c>
      <c r="B300" s="45" t="str">
        <f>VLOOKUP(Tabella13[[#This Row],[test_id]],experiments_specs!A:J,2,FALSE)</f>
        <v>NN,JJ,VB,VBD,VBG,VBN,VBP,VBZ</v>
      </c>
      <c r="C300" s="38">
        <f>VLOOKUP(Tabella13[[#This Row],[test_id]],experiments_specs!A:J,3,FALSE)</f>
        <v>0</v>
      </c>
      <c r="D300" s="38">
        <f>VLOOKUP(Tabella13[[#This Row],[test_id]],experiments_specs!A:J,4,FALSE)</f>
        <v>2</v>
      </c>
      <c r="E300" s="38" t="str">
        <f>VLOOKUP(Tabella13[[#This Row],[test_id]],experiments_specs!A:J,5,FALSE)</f>
        <v>True</v>
      </c>
      <c r="F300" s="38" t="str">
        <f>VLOOKUP(Tabella13[[#This Row],[test_id]],experiments_specs!A:J,6,FALSE)</f>
        <v>True</v>
      </c>
      <c r="G300" s="38" t="str">
        <f>VLOOKUP(Tabella13[[#This Row],[test_id]],experiments_specs!A:J,7,FALSE)</f>
        <v>True</v>
      </c>
      <c r="H300" s="38" t="str">
        <f>VLOOKUP(Tabella13[[#This Row],[test_id]],experiments_specs!A:J,8,FALSE)</f>
        <v>True</v>
      </c>
      <c r="I300" s="38" t="str">
        <f>VLOOKUP(Tabella13[[#This Row],[test_id]],experiments_specs!A:J,9,FALSE)</f>
        <v>wup_similarity</v>
      </c>
      <c r="J300" s="38" t="str">
        <f>VLOOKUP(Tabella13[[#This Row],[test_id]],experiments_specs!A:J,10,FALSE)</f>
        <v>False</v>
      </c>
      <c r="K300" s="40" t="s">
        <v>12</v>
      </c>
      <c r="L300" s="36" t="s">
        <v>23</v>
      </c>
      <c r="M300" s="36">
        <v>2</v>
      </c>
      <c r="N300" s="36">
        <v>1.5463899999999999E-2</v>
      </c>
      <c r="O300" s="36">
        <v>0.42857139999999999</v>
      </c>
    </row>
    <row r="301" spans="1:15" ht="85" x14ac:dyDescent="0.2">
      <c r="A301" s="36" t="s">
        <v>1261</v>
      </c>
      <c r="B301" s="45" t="str">
        <f>VLOOKUP(Tabella13[[#This Row],[test_id]],experiments_specs!A:J,2,FALSE)</f>
        <v>NN,JJ,VB,VBD,VBG,VBN,VBP,VBZ</v>
      </c>
      <c r="C301" s="38">
        <f>VLOOKUP(Tabella13[[#This Row],[test_id]],experiments_specs!A:J,3,FALSE)</f>
        <v>0</v>
      </c>
      <c r="D301" s="38">
        <f>VLOOKUP(Tabella13[[#This Row],[test_id]],experiments_specs!A:J,4,FALSE)</f>
        <v>2</v>
      </c>
      <c r="E301" s="38" t="str">
        <f>VLOOKUP(Tabella13[[#This Row],[test_id]],experiments_specs!A:J,5,FALSE)</f>
        <v>True</v>
      </c>
      <c r="F301" s="38" t="str">
        <f>VLOOKUP(Tabella13[[#This Row],[test_id]],experiments_specs!A:J,6,FALSE)</f>
        <v>True</v>
      </c>
      <c r="G301" s="38" t="str">
        <f>VLOOKUP(Tabella13[[#This Row],[test_id]],experiments_specs!A:J,7,FALSE)</f>
        <v>True</v>
      </c>
      <c r="H301" s="38" t="str">
        <f>VLOOKUP(Tabella13[[#This Row],[test_id]],experiments_specs!A:J,8,FALSE)</f>
        <v>True</v>
      </c>
      <c r="I301" s="38" t="str">
        <f>VLOOKUP(Tabella13[[#This Row],[test_id]],experiments_specs!A:J,9,FALSE)</f>
        <v>wup_similarity</v>
      </c>
      <c r="J301" s="38" t="str">
        <f>VLOOKUP(Tabella13[[#This Row],[test_id]],experiments_specs!A:J,10,FALSE)</f>
        <v>False</v>
      </c>
      <c r="K301" s="40" t="s">
        <v>13</v>
      </c>
      <c r="L301" s="36" t="s">
        <v>473</v>
      </c>
      <c r="M301" s="36">
        <v>2</v>
      </c>
      <c r="N301" s="36">
        <v>2.46182E-2</v>
      </c>
      <c r="O301" s="36">
        <v>0.4</v>
      </c>
    </row>
    <row r="302" spans="1:15" ht="85" x14ac:dyDescent="0.2">
      <c r="A302" s="36" t="s">
        <v>1261</v>
      </c>
      <c r="B302" s="45" t="str">
        <f>VLOOKUP(Tabella13[[#This Row],[test_id]],experiments_specs!A:J,2,FALSE)</f>
        <v>NN,JJ,VB,VBD,VBG,VBN,VBP,VBZ</v>
      </c>
      <c r="C302" s="38">
        <f>VLOOKUP(Tabella13[[#This Row],[test_id]],experiments_specs!A:J,3,FALSE)</f>
        <v>0</v>
      </c>
      <c r="D302" s="38">
        <f>VLOOKUP(Tabella13[[#This Row],[test_id]],experiments_specs!A:J,4,FALSE)</f>
        <v>2</v>
      </c>
      <c r="E302" s="38" t="str">
        <f>VLOOKUP(Tabella13[[#This Row],[test_id]],experiments_specs!A:J,5,FALSE)</f>
        <v>True</v>
      </c>
      <c r="F302" s="38" t="str">
        <f>VLOOKUP(Tabella13[[#This Row],[test_id]],experiments_specs!A:J,6,FALSE)</f>
        <v>True</v>
      </c>
      <c r="G302" s="38" t="str">
        <f>VLOOKUP(Tabella13[[#This Row],[test_id]],experiments_specs!A:J,7,FALSE)</f>
        <v>True</v>
      </c>
      <c r="H302" s="38" t="str">
        <f>VLOOKUP(Tabella13[[#This Row],[test_id]],experiments_specs!A:J,8,FALSE)</f>
        <v>True</v>
      </c>
      <c r="I302" s="38" t="str">
        <f>VLOOKUP(Tabella13[[#This Row],[test_id]],experiments_specs!A:J,9,FALSE)</f>
        <v>wup_similarity</v>
      </c>
      <c r="J302" s="38" t="str">
        <f>VLOOKUP(Tabella13[[#This Row],[test_id]],experiments_specs!A:J,10,FALSE)</f>
        <v>False</v>
      </c>
      <c r="K302" s="40" t="s">
        <v>14</v>
      </c>
      <c r="L302" s="36" t="s">
        <v>1350</v>
      </c>
      <c r="M302" s="36" t="s">
        <v>1314</v>
      </c>
      <c r="N302" s="36">
        <v>1.0984300000000001E-2</v>
      </c>
      <c r="O302" s="36" t="s">
        <v>1444</v>
      </c>
    </row>
    <row r="303" spans="1:15" ht="85" x14ac:dyDescent="0.2">
      <c r="A303" s="36" t="s">
        <v>1261</v>
      </c>
      <c r="B303" s="45" t="str">
        <f>VLOOKUP(Tabella13[[#This Row],[test_id]],experiments_specs!A:J,2,FALSE)</f>
        <v>NN,JJ,VB,VBD,VBG,VBN,VBP,VBZ</v>
      </c>
      <c r="C303" s="38">
        <f>VLOOKUP(Tabella13[[#This Row],[test_id]],experiments_specs!A:J,3,FALSE)</f>
        <v>0</v>
      </c>
      <c r="D303" s="38">
        <f>VLOOKUP(Tabella13[[#This Row],[test_id]],experiments_specs!A:J,4,FALSE)</f>
        <v>2</v>
      </c>
      <c r="E303" s="38" t="str">
        <f>VLOOKUP(Tabella13[[#This Row],[test_id]],experiments_specs!A:J,5,FALSE)</f>
        <v>True</v>
      </c>
      <c r="F303" s="38" t="str">
        <f>VLOOKUP(Tabella13[[#This Row],[test_id]],experiments_specs!A:J,6,FALSE)</f>
        <v>True</v>
      </c>
      <c r="G303" s="38" t="str">
        <f>VLOOKUP(Tabella13[[#This Row],[test_id]],experiments_specs!A:J,7,FALSE)</f>
        <v>True</v>
      </c>
      <c r="H303" s="38" t="str">
        <f>VLOOKUP(Tabella13[[#This Row],[test_id]],experiments_specs!A:J,8,FALSE)</f>
        <v>True</v>
      </c>
      <c r="I303" s="38" t="str">
        <f>VLOOKUP(Tabella13[[#This Row],[test_id]],experiments_specs!A:J,9,FALSE)</f>
        <v>wup_similarity</v>
      </c>
      <c r="J303" s="38" t="str">
        <f>VLOOKUP(Tabella13[[#This Row],[test_id]],experiments_specs!A:J,10,FALSE)</f>
        <v>False</v>
      </c>
      <c r="K303" s="40" t="s">
        <v>15</v>
      </c>
      <c r="L303" s="36" t="s">
        <v>1348</v>
      </c>
      <c r="M303" s="36">
        <v>2</v>
      </c>
      <c r="N303" s="36">
        <v>2.6726099999999999E-2</v>
      </c>
      <c r="O303" s="36">
        <v>0.83333330000000005</v>
      </c>
    </row>
    <row r="304" spans="1:15" ht="85" x14ac:dyDescent="0.2">
      <c r="A304" s="36" t="s">
        <v>1261</v>
      </c>
      <c r="B304" s="45" t="str">
        <f>VLOOKUP(Tabella13[[#This Row],[test_id]],experiments_specs!A:J,2,FALSE)</f>
        <v>NN,JJ,VB,VBD,VBG,VBN,VBP,VBZ</v>
      </c>
      <c r="C304" s="38">
        <f>VLOOKUP(Tabella13[[#This Row],[test_id]],experiments_specs!A:J,3,FALSE)</f>
        <v>0</v>
      </c>
      <c r="D304" s="38">
        <f>VLOOKUP(Tabella13[[#This Row],[test_id]],experiments_specs!A:J,4,FALSE)</f>
        <v>2</v>
      </c>
      <c r="E304" s="38" t="str">
        <f>VLOOKUP(Tabella13[[#This Row],[test_id]],experiments_specs!A:J,5,FALSE)</f>
        <v>True</v>
      </c>
      <c r="F304" s="38" t="str">
        <f>VLOOKUP(Tabella13[[#This Row],[test_id]],experiments_specs!A:J,6,FALSE)</f>
        <v>True</v>
      </c>
      <c r="G304" s="38" t="str">
        <f>VLOOKUP(Tabella13[[#This Row],[test_id]],experiments_specs!A:J,7,FALSE)</f>
        <v>True</v>
      </c>
      <c r="H304" s="38" t="str">
        <f>VLOOKUP(Tabella13[[#This Row],[test_id]],experiments_specs!A:J,8,FALSE)</f>
        <v>True</v>
      </c>
      <c r="I304" s="38" t="str">
        <f>VLOOKUP(Tabella13[[#This Row],[test_id]],experiments_specs!A:J,9,FALSE)</f>
        <v>wup_similarity</v>
      </c>
      <c r="J304" s="38" t="str">
        <f>VLOOKUP(Tabella13[[#This Row],[test_id]],experiments_specs!A:J,10,FALSE)</f>
        <v>False</v>
      </c>
      <c r="K304" s="40" t="s">
        <v>16</v>
      </c>
      <c r="L304" s="36" t="s">
        <v>1333</v>
      </c>
      <c r="M304" s="36" t="s">
        <v>1314</v>
      </c>
      <c r="N304" s="36">
        <v>1.79653E-2</v>
      </c>
      <c r="O304" s="36" t="s">
        <v>1432</v>
      </c>
    </row>
    <row r="305" spans="1:15" ht="85" x14ac:dyDescent="0.2">
      <c r="A305" s="36" t="s">
        <v>1261</v>
      </c>
      <c r="B305" s="45" t="str">
        <f>VLOOKUP(Tabella13[[#This Row],[test_id]],experiments_specs!A:J,2,FALSE)</f>
        <v>NN,JJ,VB,VBD,VBG,VBN,VBP,VBZ</v>
      </c>
      <c r="C305" s="38">
        <f>VLOOKUP(Tabella13[[#This Row],[test_id]],experiments_specs!A:J,3,FALSE)</f>
        <v>0</v>
      </c>
      <c r="D305" s="38">
        <f>VLOOKUP(Tabella13[[#This Row],[test_id]],experiments_specs!A:J,4,FALSE)</f>
        <v>2</v>
      </c>
      <c r="E305" s="38" t="str">
        <f>VLOOKUP(Tabella13[[#This Row],[test_id]],experiments_specs!A:J,5,FALSE)</f>
        <v>True</v>
      </c>
      <c r="F305" s="38" t="str">
        <f>VLOOKUP(Tabella13[[#This Row],[test_id]],experiments_specs!A:J,6,FALSE)</f>
        <v>True</v>
      </c>
      <c r="G305" s="38" t="str">
        <f>VLOOKUP(Tabella13[[#This Row],[test_id]],experiments_specs!A:J,7,FALSE)</f>
        <v>True</v>
      </c>
      <c r="H305" s="38" t="str">
        <f>VLOOKUP(Tabella13[[#This Row],[test_id]],experiments_specs!A:J,8,FALSE)</f>
        <v>True</v>
      </c>
      <c r="I305" s="38" t="str">
        <f>VLOOKUP(Tabella13[[#This Row],[test_id]],experiments_specs!A:J,9,FALSE)</f>
        <v>wup_similarity</v>
      </c>
      <c r="J305" s="38" t="str">
        <f>VLOOKUP(Tabella13[[#This Row],[test_id]],experiments_specs!A:J,10,FALSE)</f>
        <v>False</v>
      </c>
      <c r="K305" s="40" t="s">
        <v>17</v>
      </c>
      <c r="L305" s="36" t="s">
        <v>1356</v>
      </c>
      <c r="M305" s="36" t="s">
        <v>1314</v>
      </c>
      <c r="N305" s="36">
        <v>2.2331E-2</v>
      </c>
      <c r="O305" s="36" t="s">
        <v>1432</v>
      </c>
    </row>
    <row r="306" spans="1:15" ht="85" x14ac:dyDescent="0.2">
      <c r="A306" s="36" t="s">
        <v>1261</v>
      </c>
      <c r="B306" s="45" t="str">
        <f>VLOOKUP(Tabella13[[#This Row],[test_id]],experiments_specs!A:J,2,FALSE)</f>
        <v>NN,JJ,VB,VBD,VBG,VBN,VBP,VBZ</v>
      </c>
      <c r="C306" s="38">
        <f>VLOOKUP(Tabella13[[#This Row],[test_id]],experiments_specs!A:J,3,FALSE)</f>
        <v>0</v>
      </c>
      <c r="D306" s="38">
        <f>VLOOKUP(Tabella13[[#This Row],[test_id]],experiments_specs!A:J,4,FALSE)</f>
        <v>2</v>
      </c>
      <c r="E306" s="38" t="str">
        <f>VLOOKUP(Tabella13[[#This Row],[test_id]],experiments_specs!A:J,5,FALSE)</f>
        <v>True</v>
      </c>
      <c r="F306" s="38" t="str">
        <f>VLOOKUP(Tabella13[[#This Row],[test_id]],experiments_specs!A:J,6,FALSE)</f>
        <v>True</v>
      </c>
      <c r="G306" s="38" t="str">
        <f>VLOOKUP(Tabella13[[#This Row],[test_id]],experiments_specs!A:J,7,FALSE)</f>
        <v>True</v>
      </c>
      <c r="H306" s="38" t="str">
        <f>VLOOKUP(Tabella13[[#This Row],[test_id]],experiments_specs!A:J,8,FALSE)</f>
        <v>True</v>
      </c>
      <c r="I306" s="38" t="str">
        <f>VLOOKUP(Tabella13[[#This Row],[test_id]],experiments_specs!A:J,9,FALSE)</f>
        <v>wup_similarity</v>
      </c>
      <c r="J306" s="38" t="str">
        <f>VLOOKUP(Tabella13[[#This Row],[test_id]],experiments_specs!A:J,10,FALSE)</f>
        <v>False</v>
      </c>
      <c r="K306" s="40" t="s">
        <v>18</v>
      </c>
      <c r="L306" s="36" t="s">
        <v>472</v>
      </c>
      <c r="M306" s="36">
        <v>2</v>
      </c>
      <c r="N306" s="36">
        <v>1.2297499999999999E-2</v>
      </c>
      <c r="O306" s="36">
        <v>0.2105263</v>
      </c>
    </row>
    <row r="307" spans="1:15" ht="85" x14ac:dyDescent="0.2">
      <c r="A307" s="36" t="s">
        <v>1262</v>
      </c>
      <c r="B307" s="45" t="str">
        <f>VLOOKUP(Tabella13[[#This Row],[test_id]],experiments_specs!A:J,2,FALSE)</f>
        <v>NN,JJ,VB,VBD,VBG,VBN,VBP,VBZ</v>
      </c>
      <c r="C307" s="38">
        <f>VLOOKUP(Tabella13[[#This Row],[test_id]],experiments_specs!A:J,3,FALSE)</f>
        <v>0</v>
      </c>
      <c r="D307" s="38">
        <f>VLOOKUP(Tabella13[[#This Row],[test_id]],experiments_specs!A:J,4,FALSE)</f>
        <v>3</v>
      </c>
      <c r="E307" s="38" t="str">
        <f>VLOOKUP(Tabella13[[#This Row],[test_id]],experiments_specs!A:J,5,FALSE)</f>
        <v>True</v>
      </c>
      <c r="F307" s="38" t="str">
        <f>VLOOKUP(Tabella13[[#This Row],[test_id]],experiments_specs!A:J,6,FALSE)</f>
        <v>True</v>
      </c>
      <c r="G307" s="38" t="str">
        <f>VLOOKUP(Tabella13[[#This Row],[test_id]],experiments_specs!A:J,7,FALSE)</f>
        <v>True</v>
      </c>
      <c r="H307" s="38" t="str">
        <f>VLOOKUP(Tabella13[[#This Row],[test_id]],experiments_specs!A:J,8,FALSE)</f>
        <v>True</v>
      </c>
      <c r="I307" s="38" t="str">
        <f>VLOOKUP(Tabella13[[#This Row],[test_id]],experiments_specs!A:J,9,FALSE)</f>
        <v>wup_similarity</v>
      </c>
      <c r="J307" s="38" t="str">
        <f>VLOOKUP(Tabella13[[#This Row],[test_id]],experiments_specs!A:J,10,FALSE)</f>
        <v>False</v>
      </c>
      <c r="K307" s="40" t="s">
        <v>19</v>
      </c>
      <c r="L307" s="36" t="s">
        <v>1312</v>
      </c>
      <c r="M307" s="36" t="s">
        <v>1314</v>
      </c>
      <c r="N307" s="36">
        <v>1.92155E-2</v>
      </c>
      <c r="O307" s="36" t="s">
        <v>1434</v>
      </c>
    </row>
    <row r="308" spans="1:15" ht="85" x14ac:dyDescent="0.2">
      <c r="A308" s="36" t="s">
        <v>1262</v>
      </c>
      <c r="B308" s="45" t="str">
        <f>VLOOKUP(Tabella13[[#This Row],[test_id]],experiments_specs!A:J,2,FALSE)</f>
        <v>NN,JJ,VB,VBD,VBG,VBN,VBP,VBZ</v>
      </c>
      <c r="C308" s="38">
        <f>VLOOKUP(Tabella13[[#This Row],[test_id]],experiments_specs!A:J,3,FALSE)</f>
        <v>0</v>
      </c>
      <c r="D308" s="38">
        <f>VLOOKUP(Tabella13[[#This Row],[test_id]],experiments_specs!A:J,4,FALSE)</f>
        <v>3</v>
      </c>
      <c r="E308" s="38" t="str">
        <f>VLOOKUP(Tabella13[[#This Row],[test_id]],experiments_specs!A:J,5,FALSE)</f>
        <v>True</v>
      </c>
      <c r="F308" s="38" t="str">
        <f>VLOOKUP(Tabella13[[#This Row],[test_id]],experiments_specs!A:J,6,FALSE)</f>
        <v>True</v>
      </c>
      <c r="G308" s="38" t="str">
        <f>VLOOKUP(Tabella13[[#This Row],[test_id]],experiments_specs!A:J,7,FALSE)</f>
        <v>True</v>
      </c>
      <c r="H308" s="38" t="str">
        <f>VLOOKUP(Tabella13[[#This Row],[test_id]],experiments_specs!A:J,8,FALSE)</f>
        <v>True</v>
      </c>
      <c r="I308" s="38" t="str">
        <f>VLOOKUP(Tabella13[[#This Row],[test_id]],experiments_specs!A:J,9,FALSE)</f>
        <v>wup_similarity</v>
      </c>
      <c r="J308" s="38" t="str">
        <f>VLOOKUP(Tabella13[[#This Row],[test_id]],experiments_specs!A:J,10,FALSE)</f>
        <v>False</v>
      </c>
      <c r="K308" s="40" t="s">
        <v>12</v>
      </c>
      <c r="L308" s="36" t="s">
        <v>23</v>
      </c>
      <c r="M308" s="36">
        <v>2</v>
      </c>
      <c r="N308" s="36">
        <v>1.5463899999999999E-2</v>
      </c>
      <c r="O308" s="36">
        <v>0.42857139999999999</v>
      </c>
    </row>
    <row r="309" spans="1:15" ht="85" x14ac:dyDescent="0.2">
      <c r="A309" s="36" t="s">
        <v>1262</v>
      </c>
      <c r="B309" s="45" t="str">
        <f>VLOOKUP(Tabella13[[#This Row],[test_id]],experiments_specs!A:J,2,FALSE)</f>
        <v>NN,JJ,VB,VBD,VBG,VBN,VBP,VBZ</v>
      </c>
      <c r="C309" s="38">
        <f>VLOOKUP(Tabella13[[#This Row],[test_id]],experiments_specs!A:J,3,FALSE)</f>
        <v>0</v>
      </c>
      <c r="D309" s="38">
        <f>VLOOKUP(Tabella13[[#This Row],[test_id]],experiments_specs!A:J,4,FALSE)</f>
        <v>3</v>
      </c>
      <c r="E309" s="38" t="str">
        <f>VLOOKUP(Tabella13[[#This Row],[test_id]],experiments_specs!A:J,5,FALSE)</f>
        <v>True</v>
      </c>
      <c r="F309" s="38" t="str">
        <f>VLOOKUP(Tabella13[[#This Row],[test_id]],experiments_specs!A:J,6,FALSE)</f>
        <v>True</v>
      </c>
      <c r="G309" s="38" t="str">
        <f>VLOOKUP(Tabella13[[#This Row],[test_id]],experiments_specs!A:J,7,FALSE)</f>
        <v>True</v>
      </c>
      <c r="H309" s="38" t="str">
        <f>VLOOKUP(Tabella13[[#This Row],[test_id]],experiments_specs!A:J,8,FALSE)</f>
        <v>True</v>
      </c>
      <c r="I309" s="38" t="str">
        <f>VLOOKUP(Tabella13[[#This Row],[test_id]],experiments_specs!A:J,9,FALSE)</f>
        <v>wup_similarity</v>
      </c>
      <c r="J309" s="38" t="str">
        <f>VLOOKUP(Tabella13[[#This Row],[test_id]],experiments_specs!A:J,10,FALSE)</f>
        <v>False</v>
      </c>
      <c r="K309" s="40" t="s">
        <v>13</v>
      </c>
      <c r="L309" s="36" t="s">
        <v>473</v>
      </c>
      <c r="M309" s="36">
        <v>2</v>
      </c>
      <c r="N309" s="36">
        <v>2.46182E-2</v>
      </c>
      <c r="O309" s="36">
        <v>0.4</v>
      </c>
    </row>
    <row r="310" spans="1:15" ht="85" x14ac:dyDescent="0.2">
      <c r="A310" s="36" t="s">
        <v>1262</v>
      </c>
      <c r="B310" s="45" t="str">
        <f>VLOOKUP(Tabella13[[#This Row],[test_id]],experiments_specs!A:J,2,FALSE)</f>
        <v>NN,JJ,VB,VBD,VBG,VBN,VBP,VBZ</v>
      </c>
      <c r="C310" s="38">
        <f>VLOOKUP(Tabella13[[#This Row],[test_id]],experiments_specs!A:J,3,FALSE)</f>
        <v>0</v>
      </c>
      <c r="D310" s="38">
        <f>VLOOKUP(Tabella13[[#This Row],[test_id]],experiments_specs!A:J,4,FALSE)</f>
        <v>3</v>
      </c>
      <c r="E310" s="38" t="str">
        <f>VLOOKUP(Tabella13[[#This Row],[test_id]],experiments_specs!A:J,5,FALSE)</f>
        <v>True</v>
      </c>
      <c r="F310" s="38" t="str">
        <f>VLOOKUP(Tabella13[[#This Row],[test_id]],experiments_specs!A:J,6,FALSE)</f>
        <v>True</v>
      </c>
      <c r="G310" s="38" t="str">
        <f>VLOOKUP(Tabella13[[#This Row],[test_id]],experiments_specs!A:J,7,FALSE)</f>
        <v>True</v>
      </c>
      <c r="H310" s="38" t="str">
        <f>VLOOKUP(Tabella13[[#This Row],[test_id]],experiments_specs!A:J,8,FALSE)</f>
        <v>True</v>
      </c>
      <c r="I310" s="38" t="str">
        <f>VLOOKUP(Tabella13[[#This Row],[test_id]],experiments_specs!A:J,9,FALSE)</f>
        <v>wup_similarity</v>
      </c>
      <c r="J310" s="38" t="str">
        <f>VLOOKUP(Tabella13[[#This Row],[test_id]],experiments_specs!A:J,10,FALSE)</f>
        <v>False</v>
      </c>
      <c r="K310" s="40" t="s">
        <v>14</v>
      </c>
      <c r="L310" s="36" t="s">
        <v>1350</v>
      </c>
      <c r="M310" s="36" t="s">
        <v>1314</v>
      </c>
      <c r="N310" s="36">
        <v>1.0984300000000001E-2</v>
      </c>
      <c r="O310" s="36" t="s">
        <v>1444</v>
      </c>
    </row>
    <row r="311" spans="1:15" ht="85" x14ac:dyDescent="0.2">
      <c r="A311" s="36" t="s">
        <v>1262</v>
      </c>
      <c r="B311" s="45" t="str">
        <f>VLOOKUP(Tabella13[[#This Row],[test_id]],experiments_specs!A:J,2,FALSE)</f>
        <v>NN,JJ,VB,VBD,VBG,VBN,VBP,VBZ</v>
      </c>
      <c r="C311" s="38">
        <f>VLOOKUP(Tabella13[[#This Row],[test_id]],experiments_specs!A:J,3,FALSE)</f>
        <v>0</v>
      </c>
      <c r="D311" s="38">
        <f>VLOOKUP(Tabella13[[#This Row],[test_id]],experiments_specs!A:J,4,FALSE)</f>
        <v>3</v>
      </c>
      <c r="E311" s="38" t="str">
        <f>VLOOKUP(Tabella13[[#This Row],[test_id]],experiments_specs!A:J,5,FALSE)</f>
        <v>True</v>
      </c>
      <c r="F311" s="38" t="str">
        <f>VLOOKUP(Tabella13[[#This Row],[test_id]],experiments_specs!A:J,6,FALSE)</f>
        <v>True</v>
      </c>
      <c r="G311" s="38" t="str">
        <f>VLOOKUP(Tabella13[[#This Row],[test_id]],experiments_specs!A:J,7,FALSE)</f>
        <v>True</v>
      </c>
      <c r="H311" s="38" t="str">
        <f>VLOOKUP(Tabella13[[#This Row],[test_id]],experiments_specs!A:J,8,FALSE)</f>
        <v>True</v>
      </c>
      <c r="I311" s="38" t="str">
        <f>VLOOKUP(Tabella13[[#This Row],[test_id]],experiments_specs!A:J,9,FALSE)</f>
        <v>wup_similarity</v>
      </c>
      <c r="J311" s="38" t="str">
        <f>VLOOKUP(Tabella13[[#This Row],[test_id]],experiments_specs!A:J,10,FALSE)</f>
        <v>False</v>
      </c>
      <c r="K311" s="40" t="s">
        <v>15</v>
      </c>
      <c r="L311" s="36" t="s">
        <v>1348</v>
      </c>
      <c r="M311" s="36">
        <v>2</v>
      </c>
      <c r="N311" s="36">
        <v>2.6726099999999999E-2</v>
      </c>
      <c r="O311" s="36">
        <v>0.83333330000000005</v>
      </c>
    </row>
    <row r="312" spans="1:15" ht="85" x14ac:dyDescent="0.2">
      <c r="A312" s="36" t="s">
        <v>1262</v>
      </c>
      <c r="B312" s="45" t="str">
        <f>VLOOKUP(Tabella13[[#This Row],[test_id]],experiments_specs!A:J,2,FALSE)</f>
        <v>NN,JJ,VB,VBD,VBG,VBN,VBP,VBZ</v>
      </c>
      <c r="C312" s="38">
        <f>VLOOKUP(Tabella13[[#This Row],[test_id]],experiments_specs!A:J,3,FALSE)</f>
        <v>0</v>
      </c>
      <c r="D312" s="38">
        <f>VLOOKUP(Tabella13[[#This Row],[test_id]],experiments_specs!A:J,4,FALSE)</f>
        <v>3</v>
      </c>
      <c r="E312" s="38" t="str">
        <f>VLOOKUP(Tabella13[[#This Row],[test_id]],experiments_specs!A:J,5,FALSE)</f>
        <v>True</v>
      </c>
      <c r="F312" s="38" t="str">
        <f>VLOOKUP(Tabella13[[#This Row],[test_id]],experiments_specs!A:J,6,FALSE)</f>
        <v>True</v>
      </c>
      <c r="G312" s="38" t="str">
        <f>VLOOKUP(Tabella13[[#This Row],[test_id]],experiments_specs!A:J,7,FALSE)</f>
        <v>True</v>
      </c>
      <c r="H312" s="38" t="str">
        <f>VLOOKUP(Tabella13[[#This Row],[test_id]],experiments_specs!A:J,8,FALSE)</f>
        <v>True</v>
      </c>
      <c r="I312" s="38" t="str">
        <f>VLOOKUP(Tabella13[[#This Row],[test_id]],experiments_specs!A:J,9,FALSE)</f>
        <v>wup_similarity</v>
      </c>
      <c r="J312" s="38" t="str">
        <f>VLOOKUP(Tabella13[[#This Row],[test_id]],experiments_specs!A:J,10,FALSE)</f>
        <v>False</v>
      </c>
      <c r="K312" s="40" t="s">
        <v>16</v>
      </c>
      <c r="L312" s="36" t="s">
        <v>1333</v>
      </c>
      <c r="M312" s="36" t="s">
        <v>1314</v>
      </c>
      <c r="N312" s="36">
        <v>1.79653E-2</v>
      </c>
      <c r="O312" s="36" t="s">
        <v>1432</v>
      </c>
    </row>
    <row r="313" spans="1:15" ht="85" x14ac:dyDescent="0.2">
      <c r="A313" s="36" t="s">
        <v>1262</v>
      </c>
      <c r="B313" s="45" t="str">
        <f>VLOOKUP(Tabella13[[#This Row],[test_id]],experiments_specs!A:J,2,FALSE)</f>
        <v>NN,JJ,VB,VBD,VBG,VBN,VBP,VBZ</v>
      </c>
      <c r="C313" s="38">
        <f>VLOOKUP(Tabella13[[#This Row],[test_id]],experiments_specs!A:J,3,FALSE)</f>
        <v>0</v>
      </c>
      <c r="D313" s="38">
        <f>VLOOKUP(Tabella13[[#This Row],[test_id]],experiments_specs!A:J,4,FALSE)</f>
        <v>3</v>
      </c>
      <c r="E313" s="38" t="str">
        <f>VLOOKUP(Tabella13[[#This Row],[test_id]],experiments_specs!A:J,5,FALSE)</f>
        <v>True</v>
      </c>
      <c r="F313" s="38" t="str">
        <f>VLOOKUP(Tabella13[[#This Row],[test_id]],experiments_specs!A:J,6,FALSE)</f>
        <v>True</v>
      </c>
      <c r="G313" s="38" t="str">
        <f>VLOOKUP(Tabella13[[#This Row],[test_id]],experiments_specs!A:J,7,FALSE)</f>
        <v>True</v>
      </c>
      <c r="H313" s="38" t="str">
        <f>VLOOKUP(Tabella13[[#This Row],[test_id]],experiments_specs!A:J,8,FALSE)</f>
        <v>True</v>
      </c>
      <c r="I313" s="38" t="str">
        <f>VLOOKUP(Tabella13[[#This Row],[test_id]],experiments_specs!A:J,9,FALSE)</f>
        <v>wup_similarity</v>
      </c>
      <c r="J313" s="38" t="str">
        <f>VLOOKUP(Tabella13[[#This Row],[test_id]],experiments_specs!A:J,10,FALSE)</f>
        <v>False</v>
      </c>
      <c r="K313" s="40" t="s">
        <v>17</v>
      </c>
      <c r="L313" s="36" t="s">
        <v>1356</v>
      </c>
      <c r="M313" s="36" t="s">
        <v>1314</v>
      </c>
      <c r="N313" s="36">
        <v>2.2331E-2</v>
      </c>
      <c r="O313" s="36" t="s">
        <v>1432</v>
      </c>
    </row>
    <row r="314" spans="1:15" ht="85" x14ac:dyDescent="0.2">
      <c r="A314" s="36" t="s">
        <v>1262</v>
      </c>
      <c r="B314" s="45" t="str">
        <f>VLOOKUP(Tabella13[[#This Row],[test_id]],experiments_specs!A:J,2,FALSE)</f>
        <v>NN,JJ,VB,VBD,VBG,VBN,VBP,VBZ</v>
      </c>
      <c r="C314" s="38">
        <f>VLOOKUP(Tabella13[[#This Row],[test_id]],experiments_specs!A:J,3,FALSE)</f>
        <v>0</v>
      </c>
      <c r="D314" s="38">
        <f>VLOOKUP(Tabella13[[#This Row],[test_id]],experiments_specs!A:J,4,FALSE)</f>
        <v>3</v>
      </c>
      <c r="E314" s="38" t="str">
        <f>VLOOKUP(Tabella13[[#This Row],[test_id]],experiments_specs!A:J,5,FALSE)</f>
        <v>True</v>
      </c>
      <c r="F314" s="38" t="str">
        <f>VLOOKUP(Tabella13[[#This Row],[test_id]],experiments_specs!A:J,6,FALSE)</f>
        <v>True</v>
      </c>
      <c r="G314" s="38" t="str">
        <f>VLOOKUP(Tabella13[[#This Row],[test_id]],experiments_specs!A:J,7,FALSE)</f>
        <v>True</v>
      </c>
      <c r="H314" s="38" t="str">
        <f>VLOOKUP(Tabella13[[#This Row],[test_id]],experiments_specs!A:J,8,FALSE)</f>
        <v>True</v>
      </c>
      <c r="I314" s="38" t="str">
        <f>VLOOKUP(Tabella13[[#This Row],[test_id]],experiments_specs!A:J,9,FALSE)</f>
        <v>wup_similarity</v>
      </c>
      <c r="J314" s="38" t="str">
        <f>VLOOKUP(Tabella13[[#This Row],[test_id]],experiments_specs!A:J,10,FALSE)</f>
        <v>False</v>
      </c>
      <c r="K314" s="40" t="s">
        <v>18</v>
      </c>
      <c r="L314" s="36" t="s">
        <v>472</v>
      </c>
      <c r="M314" s="36">
        <v>2</v>
      </c>
      <c r="N314" s="36">
        <v>1.2297499999999999E-2</v>
      </c>
      <c r="O314" s="36">
        <v>0.2105263</v>
      </c>
    </row>
    <row r="315" spans="1:15" ht="85" x14ac:dyDescent="0.2">
      <c r="A315" s="36" t="s">
        <v>1263</v>
      </c>
      <c r="B315" s="45" t="str">
        <f>VLOOKUP(Tabella13[[#This Row],[test_id]],experiments_specs!A:J,2,FALSE)</f>
        <v>NN,JJ</v>
      </c>
      <c r="C315" s="38">
        <f>VLOOKUP(Tabella13[[#This Row],[test_id]],experiments_specs!A:J,3,FALSE)</f>
        <v>0</v>
      </c>
      <c r="D315" s="38">
        <f>VLOOKUP(Tabella13[[#This Row],[test_id]],experiments_specs!A:J,4,FALSE)</f>
        <v>2</v>
      </c>
      <c r="E315" s="38" t="str">
        <f>VLOOKUP(Tabella13[[#This Row],[test_id]],experiments_specs!A:J,5,FALSE)</f>
        <v>False</v>
      </c>
      <c r="F315" s="38" t="str">
        <f>VLOOKUP(Tabella13[[#This Row],[test_id]],experiments_specs!A:J,6,FALSE)</f>
        <v>True</v>
      </c>
      <c r="G315" s="38" t="str">
        <f>VLOOKUP(Tabella13[[#This Row],[test_id]],experiments_specs!A:J,7,FALSE)</f>
        <v>True</v>
      </c>
      <c r="H315" s="38" t="str">
        <f>VLOOKUP(Tabella13[[#This Row],[test_id]],experiments_specs!A:J,8,FALSE)</f>
        <v>True</v>
      </c>
      <c r="I315" s="38" t="str">
        <f>VLOOKUP(Tabella13[[#This Row],[test_id]],experiments_specs!A:J,9,FALSE)</f>
        <v>wup_similarity</v>
      </c>
      <c r="J315" s="38" t="str">
        <f>VLOOKUP(Tabella13[[#This Row],[test_id]],experiments_specs!A:J,10,FALSE)</f>
        <v>True</v>
      </c>
      <c r="K315" s="40" t="s">
        <v>19</v>
      </c>
      <c r="L315" s="36" t="s">
        <v>1312</v>
      </c>
      <c r="M315" s="36" t="s">
        <v>1314</v>
      </c>
      <c r="N315" s="36">
        <v>2.6365999999999998E-3</v>
      </c>
      <c r="O315" s="36" t="s">
        <v>1434</v>
      </c>
    </row>
    <row r="316" spans="1:15" ht="85" x14ac:dyDescent="0.2">
      <c r="A316" s="36" t="s">
        <v>1263</v>
      </c>
      <c r="B316" s="45" t="str">
        <f>VLOOKUP(Tabella13[[#This Row],[test_id]],experiments_specs!A:J,2,FALSE)</f>
        <v>NN,JJ</v>
      </c>
      <c r="C316" s="38">
        <f>VLOOKUP(Tabella13[[#This Row],[test_id]],experiments_specs!A:J,3,FALSE)</f>
        <v>0</v>
      </c>
      <c r="D316" s="38">
        <f>VLOOKUP(Tabella13[[#This Row],[test_id]],experiments_specs!A:J,4,FALSE)</f>
        <v>2</v>
      </c>
      <c r="E316" s="38" t="str">
        <f>VLOOKUP(Tabella13[[#This Row],[test_id]],experiments_specs!A:J,5,FALSE)</f>
        <v>False</v>
      </c>
      <c r="F316" s="38" t="str">
        <f>VLOOKUP(Tabella13[[#This Row],[test_id]],experiments_specs!A:J,6,FALSE)</f>
        <v>True</v>
      </c>
      <c r="G316" s="38" t="str">
        <f>VLOOKUP(Tabella13[[#This Row],[test_id]],experiments_specs!A:J,7,FALSE)</f>
        <v>True</v>
      </c>
      <c r="H316" s="38" t="str">
        <f>VLOOKUP(Tabella13[[#This Row],[test_id]],experiments_specs!A:J,8,FALSE)</f>
        <v>True</v>
      </c>
      <c r="I316" s="38" t="str">
        <f>VLOOKUP(Tabella13[[#This Row],[test_id]],experiments_specs!A:J,9,FALSE)</f>
        <v>wup_similarity</v>
      </c>
      <c r="J316" s="38" t="str">
        <f>VLOOKUP(Tabella13[[#This Row],[test_id]],experiments_specs!A:J,10,FALSE)</f>
        <v>True</v>
      </c>
      <c r="K316" s="40" t="s">
        <v>12</v>
      </c>
      <c r="L316" s="36" t="s">
        <v>1343</v>
      </c>
      <c r="M316" s="36" t="s">
        <v>1314</v>
      </c>
      <c r="N316" s="36">
        <v>3.7929000000000001E-3</v>
      </c>
      <c r="O316" s="36" t="s">
        <v>1444</v>
      </c>
    </row>
    <row r="317" spans="1:15" ht="85" x14ac:dyDescent="0.2">
      <c r="A317" s="36" t="s">
        <v>1263</v>
      </c>
      <c r="B317" s="45" t="str">
        <f>VLOOKUP(Tabella13[[#This Row],[test_id]],experiments_specs!A:J,2,FALSE)</f>
        <v>NN,JJ</v>
      </c>
      <c r="C317" s="38">
        <f>VLOOKUP(Tabella13[[#This Row],[test_id]],experiments_specs!A:J,3,FALSE)</f>
        <v>0</v>
      </c>
      <c r="D317" s="38">
        <f>VLOOKUP(Tabella13[[#This Row],[test_id]],experiments_specs!A:J,4,FALSE)</f>
        <v>2</v>
      </c>
      <c r="E317" s="38" t="str">
        <f>VLOOKUP(Tabella13[[#This Row],[test_id]],experiments_specs!A:J,5,FALSE)</f>
        <v>False</v>
      </c>
      <c r="F317" s="38" t="str">
        <f>VLOOKUP(Tabella13[[#This Row],[test_id]],experiments_specs!A:J,6,FALSE)</f>
        <v>True</v>
      </c>
      <c r="G317" s="38" t="str">
        <f>VLOOKUP(Tabella13[[#This Row],[test_id]],experiments_specs!A:J,7,FALSE)</f>
        <v>True</v>
      </c>
      <c r="H317" s="38" t="str">
        <f>VLOOKUP(Tabella13[[#This Row],[test_id]],experiments_specs!A:J,8,FALSE)</f>
        <v>True</v>
      </c>
      <c r="I317" s="38" t="str">
        <f>VLOOKUP(Tabella13[[#This Row],[test_id]],experiments_specs!A:J,9,FALSE)</f>
        <v>wup_similarity</v>
      </c>
      <c r="J317" s="38" t="str">
        <f>VLOOKUP(Tabella13[[#This Row],[test_id]],experiments_specs!A:J,10,FALSE)</f>
        <v>True</v>
      </c>
      <c r="K317" s="40" t="s">
        <v>13</v>
      </c>
      <c r="L317" s="36" t="s">
        <v>426</v>
      </c>
      <c r="M317" s="36">
        <v>2</v>
      </c>
      <c r="N317" s="36">
        <v>1.0024699999999999E-2</v>
      </c>
      <c r="O317" s="36" t="s">
        <v>25</v>
      </c>
    </row>
    <row r="318" spans="1:15" ht="85" x14ac:dyDescent="0.2">
      <c r="A318" s="36" t="s">
        <v>1263</v>
      </c>
      <c r="B318" s="45" t="str">
        <f>VLOOKUP(Tabella13[[#This Row],[test_id]],experiments_specs!A:J,2,FALSE)</f>
        <v>NN,JJ</v>
      </c>
      <c r="C318" s="38">
        <f>VLOOKUP(Tabella13[[#This Row],[test_id]],experiments_specs!A:J,3,FALSE)</f>
        <v>0</v>
      </c>
      <c r="D318" s="38">
        <f>VLOOKUP(Tabella13[[#This Row],[test_id]],experiments_specs!A:J,4,FALSE)</f>
        <v>2</v>
      </c>
      <c r="E318" s="38" t="str">
        <f>VLOOKUP(Tabella13[[#This Row],[test_id]],experiments_specs!A:J,5,FALSE)</f>
        <v>False</v>
      </c>
      <c r="F318" s="38" t="str">
        <f>VLOOKUP(Tabella13[[#This Row],[test_id]],experiments_specs!A:J,6,FALSE)</f>
        <v>True</v>
      </c>
      <c r="G318" s="38" t="str">
        <f>VLOOKUP(Tabella13[[#This Row],[test_id]],experiments_specs!A:J,7,FALSE)</f>
        <v>True</v>
      </c>
      <c r="H318" s="38" t="str">
        <f>VLOOKUP(Tabella13[[#This Row],[test_id]],experiments_specs!A:J,8,FALSE)</f>
        <v>True</v>
      </c>
      <c r="I318" s="38" t="str">
        <f>VLOOKUP(Tabella13[[#This Row],[test_id]],experiments_specs!A:J,9,FALSE)</f>
        <v>wup_similarity</v>
      </c>
      <c r="J318" s="38" t="str">
        <f>VLOOKUP(Tabella13[[#This Row],[test_id]],experiments_specs!A:J,10,FALSE)</f>
        <v>True</v>
      </c>
      <c r="K318" s="40" t="s">
        <v>14</v>
      </c>
      <c r="L318" s="36" t="s">
        <v>1345</v>
      </c>
      <c r="M318" s="36" t="s">
        <v>1314</v>
      </c>
      <c r="N318" s="36">
        <v>4.8367999999999996E-3</v>
      </c>
      <c r="O318" s="36" t="s">
        <v>1347</v>
      </c>
    </row>
    <row r="319" spans="1:15" ht="85" x14ac:dyDescent="0.2">
      <c r="A319" s="36" t="s">
        <v>1263</v>
      </c>
      <c r="B319" s="45" t="str">
        <f>VLOOKUP(Tabella13[[#This Row],[test_id]],experiments_specs!A:J,2,FALSE)</f>
        <v>NN,JJ</v>
      </c>
      <c r="C319" s="38">
        <f>VLOOKUP(Tabella13[[#This Row],[test_id]],experiments_specs!A:J,3,FALSE)</f>
        <v>0</v>
      </c>
      <c r="D319" s="38">
        <f>VLOOKUP(Tabella13[[#This Row],[test_id]],experiments_specs!A:J,4,FALSE)</f>
        <v>2</v>
      </c>
      <c r="E319" s="38" t="str">
        <f>VLOOKUP(Tabella13[[#This Row],[test_id]],experiments_specs!A:J,5,FALSE)</f>
        <v>False</v>
      </c>
      <c r="F319" s="38" t="str">
        <f>VLOOKUP(Tabella13[[#This Row],[test_id]],experiments_specs!A:J,6,FALSE)</f>
        <v>True</v>
      </c>
      <c r="G319" s="38" t="str">
        <f>VLOOKUP(Tabella13[[#This Row],[test_id]],experiments_specs!A:J,7,FALSE)</f>
        <v>True</v>
      </c>
      <c r="H319" s="38" t="str">
        <f>VLOOKUP(Tabella13[[#This Row],[test_id]],experiments_specs!A:J,8,FALSE)</f>
        <v>True</v>
      </c>
      <c r="I319" s="38" t="str">
        <f>VLOOKUP(Tabella13[[#This Row],[test_id]],experiments_specs!A:J,9,FALSE)</f>
        <v>wup_similarity</v>
      </c>
      <c r="J319" s="38" t="str">
        <f>VLOOKUP(Tabella13[[#This Row],[test_id]],experiments_specs!A:J,10,FALSE)</f>
        <v>True</v>
      </c>
      <c r="K319" s="40" t="s">
        <v>15</v>
      </c>
      <c r="L319" s="36" t="s">
        <v>1348</v>
      </c>
      <c r="M319" s="36">
        <v>2</v>
      </c>
      <c r="N319" s="36">
        <v>5.4532000000000001E-3</v>
      </c>
      <c r="O319" s="36">
        <v>0.83333330000000005</v>
      </c>
    </row>
    <row r="320" spans="1:15" ht="85" x14ac:dyDescent="0.2">
      <c r="A320" s="36" t="s">
        <v>1263</v>
      </c>
      <c r="B320" s="45" t="str">
        <f>VLOOKUP(Tabella13[[#This Row],[test_id]],experiments_specs!A:J,2,FALSE)</f>
        <v>NN,JJ</v>
      </c>
      <c r="C320" s="38">
        <f>VLOOKUP(Tabella13[[#This Row],[test_id]],experiments_specs!A:J,3,FALSE)</f>
        <v>0</v>
      </c>
      <c r="D320" s="38">
        <f>VLOOKUP(Tabella13[[#This Row],[test_id]],experiments_specs!A:J,4,FALSE)</f>
        <v>2</v>
      </c>
      <c r="E320" s="38" t="str">
        <f>VLOOKUP(Tabella13[[#This Row],[test_id]],experiments_specs!A:J,5,FALSE)</f>
        <v>False</v>
      </c>
      <c r="F320" s="38" t="str">
        <f>VLOOKUP(Tabella13[[#This Row],[test_id]],experiments_specs!A:J,6,FALSE)</f>
        <v>True</v>
      </c>
      <c r="G320" s="38" t="str">
        <f>VLOOKUP(Tabella13[[#This Row],[test_id]],experiments_specs!A:J,7,FALSE)</f>
        <v>True</v>
      </c>
      <c r="H320" s="38" t="str">
        <f>VLOOKUP(Tabella13[[#This Row],[test_id]],experiments_specs!A:J,8,FALSE)</f>
        <v>True</v>
      </c>
      <c r="I320" s="38" t="str">
        <f>VLOOKUP(Tabella13[[#This Row],[test_id]],experiments_specs!A:J,9,FALSE)</f>
        <v>wup_similarity</v>
      </c>
      <c r="J320" s="38" t="str">
        <f>VLOOKUP(Tabella13[[#This Row],[test_id]],experiments_specs!A:J,10,FALSE)</f>
        <v>True</v>
      </c>
      <c r="K320" s="40" t="s">
        <v>16</v>
      </c>
      <c r="L320" s="36" t="s">
        <v>211</v>
      </c>
      <c r="M320" s="36" t="s">
        <v>1331</v>
      </c>
      <c r="N320" s="36">
        <v>2.9128000000000001E-3</v>
      </c>
      <c r="O320" s="36" t="s">
        <v>1436</v>
      </c>
    </row>
    <row r="321" spans="1:15" ht="85" x14ac:dyDescent="0.2">
      <c r="A321" s="36" t="s">
        <v>1263</v>
      </c>
      <c r="B321" s="45" t="str">
        <f>VLOOKUP(Tabella13[[#This Row],[test_id]],experiments_specs!A:J,2,FALSE)</f>
        <v>NN,JJ</v>
      </c>
      <c r="C321" s="38">
        <f>VLOOKUP(Tabella13[[#This Row],[test_id]],experiments_specs!A:J,3,FALSE)</f>
        <v>0</v>
      </c>
      <c r="D321" s="38">
        <f>VLOOKUP(Tabella13[[#This Row],[test_id]],experiments_specs!A:J,4,FALSE)</f>
        <v>2</v>
      </c>
      <c r="E321" s="38" t="str">
        <f>VLOOKUP(Tabella13[[#This Row],[test_id]],experiments_specs!A:J,5,FALSE)</f>
        <v>False</v>
      </c>
      <c r="F321" s="38" t="str">
        <f>VLOOKUP(Tabella13[[#This Row],[test_id]],experiments_specs!A:J,6,FALSE)</f>
        <v>True</v>
      </c>
      <c r="G321" s="38" t="str">
        <f>VLOOKUP(Tabella13[[#This Row],[test_id]],experiments_specs!A:J,7,FALSE)</f>
        <v>True</v>
      </c>
      <c r="H321" s="38" t="str">
        <f>VLOOKUP(Tabella13[[#This Row],[test_id]],experiments_specs!A:J,8,FALSE)</f>
        <v>True</v>
      </c>
      <c r="I321" s="38" t="str">
        <f>VLOOKUP(Tabella13[[#This Row],[test_id]],experiments_specs!A:J,9,FALSE)</f>
        <v>wup_similarity</v>
      </c>
      <c r="J321" s="38" t="str">
        <f>VLOOKUP(Tabella13[[#This Row],[test_id]],experiments_specs!A:J,10,FALSE)</f>
        <v>True</v>
      </c>
      <c r="K321" s="40" t="s">
        <v>17</v>
      </c>
      <c r="L321" s="36" t="s">
        <v>219</v>
      </c>
      <c r="M321" s="36">
        <v>2</v>
      </c>
      <c r="N321" s="36">
        <v>2.6843000000000001E-3</v>
      </c>
      <c r="O321" s="36">
        <v>0.13333329999999999</v>
      </c>
    </row>
    <row r="322" spans="1:15" ht="85" x14ac:dyDescent="0.2">
      <c r="A322" s="36" t="s">
        <v>1263</v>
      </c>
      <c r="B322" s="45" t="str">
        <f>VLOOKUP(Tabella13[[#This Row],[test_id]],experiments_specs!A:J,2,FALSE)</f>
        <v>NN,JJ</v>
      </c>
      <c r="C322" s="38">
        <f>VLOOKUP(Tabella13[[#This Row],[test_id]],experiments_specs!A:J,3,FALSE)</f>
        <v>0</v>
      </c>
      <c r="D322" s="38">
        <f>VLOOKUP(Tabella13[[#This Row],[test_id]],experiments_specs!A:J,4,FALSE)</f>
        <v>2</v>
      </c>
      <c r="E322" s="38" t="str">
        <f>VLOOKUP(Tabella13[[#This Row],[test_id]],experiments_specs!A:J,5,FALSE)</f>
        <v>False</v>
      </c>
      <c r="F322" s="38" t="str">
        <f>VLOOKUP(Tabella13[[#This Row],[test_id]],experiments_specs!A:J,6,FALSE)</f>
        <v>True</v>
      </c>
      <c r="G322" s="38" t="str">
        <f>VLOOKUP(Tabella13[[#This Row],[test_id]],experiments_specs!A:J,7,FALSE)</f>
        <v>True</v>
      </c>
      <c r="H322" s="38" t="str">
        <f>VLOOKUP(Tabella13[[#This Row],[test_id]],experiments_specs!A:J,8,FALSE)</f>
        <v>True</v>
      </c>
      <c r="I322" s="38" t="str">
        <f>VLOOKUP(Tabella13[[#This Row],[test_id]],experiments_specs!A:J,9,FALSE)</f>
        <v>wup_similarity</v>
      </c>
      <c r="J322" s="38" t="str">
        <f>VLOOKUP(Tabella13[[#This Row],[test_id]],experiments_specs!A:J,10,FALSE)</f>
        <v>True</v>
      </c>
      <c r="K322" s="40" t="s">
        <v>18</v>
      </c>
      <c r="L322" s="36" t="s">
        <v>1323</v>
      </c>
      <c r="M322" s="36" t="s">
        <v>1314</v>
      </c>
      <c r="N322" s="36">
        <v>2.1499000000000002E-3</v>
      </c>
      <c r="O322" s="36" t="s">
        <v>1438</v>
      </c>
    </row>
    <row r="323" spans="1:15" ht="85" x14ac:dyDescent="0.2">
      <c r="A323" s="36" t="s">
        <v>1264</v>
      </c>
      <c r="B323" s="45" t="str">
        <f>VLOOKUP(Tabella13[[#This Row],[test_id]],experiments_specs!A:J,2,FALSE)</f>
        <v>NN,JJ</v>
      </c>
      <c r="C323" s="38">
        <f>VLOOKUP(Tabella13[[#This Row],[test_id]],experiments_specs!A:J,3,FALSE)</f>
        <v>0</v>
      </c>
      <c r="D323" s="38">
        <f>VLOOKUP(Tabella13[[#This Row],[test_id]],experiments_specs!A:J,4,FALSE)</f>
        <v>3</v>
      </c>
      <c r="E323" s="38" t="str">
        <f>VLOOKUP(Tabella13[[#This Row],[test_id]],experiments_specs!A:J,5,FALSE)</f>
        <v>True</v>
      </c>
      <c r="F323" s="38" t="str">
        <f>VLOOKUP(Tabella13[[#This Row],[test_id]],experiments_specs!A:J,6,FALSE)</f>
        <v>True</v>
      </c>
      <c r="G323" s="38" t="str">
        <f>VLOOKUP(Tabella13[[#This Row],[test_id]],experiments_specs!A:J,7,FALSE)</f>
        <v>True</v>
      </c>
      <c r="H323" s="38" t="str">
        <f>VLOOKUP(Tabella13[[#This Row],[test_id]],experiments_specs!A:J,8,FALSE)</f>
        <v>True</v>
      </c>
      <c r="I323" s="38" t="str">
        <f>VLOOKUP(Tabella13[[#This Row],[test_id]],experiments_specs!A:J,9,FALSE)</f>
        <v>wup_similarity</v>
      </c>
      <c r="J323" s="38" t="str">
        <f>VLOOKUP(Tabella13[[#This Row],[test_id]],experiments_specs!A:J,10,FALSE)</f>
        <v>True</v>
      </c>
      <c r="K323" s="40" t="s">
        <v>19</v>
      </c>
      <c r="L323" s="36" t="s">
        <v>1312</v>
      </c>
      <c r="M323" s="36" t="s">
        <v>1314</v>
      </c>
      <c r="N323" s="36">
        <v>2.7404100000000001E-2</v>
      </c>
      <c r="O323" s="36" t="s">
        <v>1434</v>
      </c>
    </row>
    <row r="324" spans="1:15" ht="85" x14ac:dyDescent="0.2">
      <c r="A324" s="36" t="s">
        <v>1264</v>
      </c>
      <c r="B324" s="45" t="str">
        <f>VLOOKUP(Tabella13[[#This Row],[test_id]],experiments_specs!A:J,2,FALSE)</f>
        <v>NN,JJ</v>
      </c>
      <c r="C324" s="38">
        <f>VLOOKUP(Tabella13[[#This Row],[test_id]],experiments_specs!A:J,3,FALSE)</f>
        <v>0</v>
      </c>
      <c r="D324" s="38">
        <f>VLOOKUP(Tabella13[[#This Row],[test_id]],experiments_specs!A:J,4,FALSE)</f>
        <v>3</v>
      </c>
      <c r="E324" s="38" t="str">
        <f>VLOOKUP(Tabella13[[#This Row],[test_id]],experiments_specs!A:J,5,FALSE)</f>
        <v>True</v>
      </c>
      <c r="F324" s="38" t="str">
        <f>VLOOKUP(Tabella13[[#This Row],[test_id]],experiments_specs!A:J,6,FALSE)</f>
        <v>True</v>
      </c>
      <c r="G324" s="38" t="str">
        <f>VLOOKUP(Tabella13[[#This Row],[test_id]],experiments_specs!A:J,7,FALSE)</f>
        <v>True</v>
      </c>
      <c r="H324" s="38" t="str">
        <f>VLOOKUP(Tabella13[[#This Row],[test_id]],experiments_specs!A:J,8,FALSE)</f>
        <v>True</v>
      </c>
      <c r="I324" s="38" t="str">
        <f>VLOOKUP(Tabella13[[#This Row],[test_id]],experiments_specs!A:J,9,FALSE)</f>
        <v>wup_similarity</v>
      </c>
      <c r="J324" s="38" t="str">
        <f>VLOOKUP(Tabella13[[#This Row],[test_id]],experiments_specs!A:J,10,FALSE)</f>
        <v>True</v>
      </c>
      <c r="K324" s="40" t="s">
        <v>12</v>
      </c>
      <c r="L324" s="36" t="s">
        <v>23</v>
      </c>
      <c r="M324" s="36">
        <v>2</v>
      </c>
      <c r="N324" s="36">
        <v>3.5095000000000001E-2</v>
      </c>
      <c r="O324" s="36">
        <v>0.42857139999999999</v>
      </c>
    </row>
    <row r="325" spans="1:15" ht="85" x14ac:dyDescent="0.2">
      <c r="A325" s="36" t="s">
        <v>1264</v>
      </c>
      <c r="B325" s="45" t="str">
        <f>VLOOKUP(Tabella13[[#This Row],[test_id]],experiments_specs!A:J,2,FALSE)</f>
        <v>NN,JJ</v>
      </c>
      <c r="C325" s="38">
        <f>VLOOKUP(Tabella13[[#This Row],[test_id]],experiments_specs!A:J,3,FALSE)</f>
        <v>0</v>
      </c>
      <c r="D325" s="38">
        <f>VLOOKUP(Tabella13[[#This Row],[test_id]],experiments_specs!A:J,4,FALSE)</f>
        <v>3</v>
      </c>
      <c r="E325" s="38" t="str">
        <f>VLOOKUP(Tabella13[[#This Row],[test_id]],experiments_specs!A:J,5,FALSE)</f>
        <v>True</v>
      </c>
      <c r="F325" s="38" t="str">
        <f>VLOOKUP(Tabella13[[#This Row],[test_id]],experiments_specs!A:J,6,FALSE)</f>
        <v>True</v>
      </c>
      <c r="G325" s="38" t="str">
        <f>VLOOKUP(Tabella13[[#This Row],[test_id]],experiments_specs!A:J,7,FALSE)</f>
        <v>True</v>
      </c>
      <c r="H325" s="38" t="str">
        <f>VLOOKUP(Tabella13[[#This Row],[test_id]],experiments_specs!A:J,8,FALSE)</f>
        <v>True</v>
      </c>
      <c r="I325" s="38" t="str">
        <f>VLOOKUP(Tabella13[[#This Row],[test_id]],experiments_specs!A:J,9,FALSE)</f>
        <v>wup_similarity</v>
      </c>
      <c r="J325" s="38" t="str">
        <f>VLOOKUP(Tabella13[[#This Row],[test_id]],experiments_specs!A:J,10,FALSE)</f>
        <v>True</v>
      </c>
      <c r="K325" s="40" t="s">
        <v>13</v>
      </c>
      <c r="L325" s="36" t="s">
        <v>327</v>
      </c>
      <c r="M325" s="36">
        <v>2</v>
      </c>
      <c r="N325" s="36">
        <v>3.2170400000000002E-2</v>
      </c>
      <c r="O325" s="36" t="s">
        <v>25</v>
      </c>
    </row>
    <row r="326" spans="1:15" ht="85" x14ac:dyDescent="0.2">
      <c r="A326" s="36" t="s">
        <v>1264</v>
      </c>
      <c r="B326" s="45" t="str">
        <f>VLOOKUP(Tabella13[[#This Row],[test_id]],experiments_specs!A:J,2,FALSE)</f>
        <v>NN,JJ</v>
      </c>
      <c r="C326" s="38">
        <f>VLOOKUP(Tabella13[[#This Row],[test_id]],experiments_specs!A:J,3,FALSE)</f>
        <v>0</v>
      </c>
      <c r="D326" s="38">
        <f>VLOOKUP(Tabella13[[#This Row],[test_id]],experiments_specs!A:J,4,FALSE)</f>
        <v>3</v>
      </c>
      <c r="E326" s="38" t="str">
        <f>VLOOKUP(Tabella13[[#This Row],[test_id]],experiments_specs!A:J,5,FALSE)</f>
        <v>True</v>
      </c>
      <c r="F326" s="38" t="str">
        <f>VLOOKUP(Tabella13[[#This Row],[test_id]],experiments_specs!A:J,6,FALSE)</f>
        <v>True</v>
      </c>
      <c r="G326" s="38" t="str">
        <f>VLOOKUP(Tabella13[[#This Row],[test_id]],experiments_specs!A:J,7,FALSE)</f>
        <v>True</v>
      </c>
      <c r="H326" s="38" t="str">
        <f>VLOOKUP(Tabella13[[#This Row],[test_id]],experiments_specs!A:J,8,FALSE)</f>
        <v>True</v>
      </c>
      <c r="I326" s="38" t="str">
        <f>VLOOKUP(Tabella13[[#This Row],[test_id]],experiments_specs!A:J,9,FALSE)</f>
        <v>wup_similarity</v>
      </c>
      <c r="J326" s="38" t="str">
        <f>VLOOKUP(Tabella13[[#This Row],[test_id]],experiments_specs!A:J,10,FALSE)</f>
        <v>True</v>
      </c>
      <c r="K326" s="40" t="s">
        <v>14</v>
      </c>
      <c r="L326" s="36" t="s">
        <v>1350</v>
      </c>
      <c r="M326" s="36" t="s">
        <v>1314</v>
      </c>
      <c r="N326" s="36">
        <v>1.6427400000000002E-2</v>
      </c>
      <c r="O326" s="36" t="s">
        <v>1444</v>
      </c>
    </row>
    <row r="327" spans="1:15" ht="85" x14ac:dyDescent="0.2">
      <c r="A327" s="36" t="s">
        <v>1264</v>
      </c>
      <c r="B327" s="45" t="str">
        <f>VLOOKUP(Tabella13[[#This Row],[test_id]],experiments_specs!A:J,2,FALSE)</f>
        <v>NN,JJ</v>
      </c>
      <c r="C327" s="38">
        <f>VLOOKUP(Tabella13[[#This Row],[test_id]],experiments_specs!A:J,3,FALSE)</f>
        <v>0</v>
      </c>
      <c r="D327" s="38">
        <f>VLOOKUP(Tabella13[[#This Row],[test_id]],experiments_specs!A:J,4,FALSE)</f>
        <v>3</v>
      </c>
      <c r="E327" s="38" t="str">
        <f>VLOOKUP(Tabella13[[#This Row],[test_id]],experiments_specs!A:J,5,FALSE)</f>
        <v>True</v>
      </c>
      <c r="F327" s="38" t="str">
        <f>VLOOKUP(Tabella13[[#This Row],[test_id]],experiments_specs!A:J,6,FALSE)</f>
        <v>True</v>
      </c>
      <c r="G327" s="38" t="str">
        <f>VLOOKUP(Tabella13[[#This Row],[test_id]],experiments_specs!A:J,7,FALSE)</f>
        <v>True</v>
      </c>
      <c r="H327" s="38" t="str">
        <f>VLOOKUP(Tabella13[[#This Row],[test_id]],experiments_specs!A:J,8,FALSE)</f>
        <v>True</v>
      </c>
      <c r="I327" s="38" t="str">
        <f>VLOOKUP(Tabella13[[#This Row],[test_id]],experiments_specs!A:J,9,FALSE)</f>
        <v>wup_similarity</v>
      </c>
      <c r="J327" s="38" t="str">
        <f>VLOOKUP(Tabella13[[#This Row],[test_id]],experiments_specs!A:J,10,FALSE)</f>
        <v>True</v>
      </c>
      <c r="K327" s="40" t="s">
        <v>15</v>
      </c>
      <c r="L327" s="36" t="s">
        <v>1348</v>
      </c>
      <c r="M327" s="36">
        <v>2</v>
      </c>
      <c r="N327" s="36">
        <v>4.6028699999999999E-2</v>
      </c>
      <c r="O327" s="36">
        <v>0.83333330000000005</v>
      </c>
    </row>
    <row r="328" spans="1:15" ht="85" x14ac:dyDescent="0.2">
      <c r="A328" s="36" t="s">
        <v>1264</v>
      </c>
      <c r="B328" s="45" t="str">
        <f>VLOOKUP(Tabella13[[#This Row],[test_id]],experiments_specs!A:J,2,FALSE)</f>
        <v>NN,JJ</v>
      </c>
      <c r="C328" s="38">
        <f>VLOOKUP(Tabella13[[#This Row],[test_id]],experiments_specs!A:J,3,FALSE)</f>
        <v>0</v>
      </c>
      <c r="D328" s="38">
        <f>VLOOKUP(Tabella13[[#This Row],[test_id]],experiments_specs!A:J,4,FALSE)</f>
        <v>3</v>
      </c>
      <c r="E328" s="38" t="str">
        <f>VLOOKUP(Tabella13[[#This Row],[test_id]],experiments_specs!A:J,5,FALSE)</f>
        <v>True</v>
      </c>
      <c r="F328" s="38" t="str">
        <f>VLOOKUP(Tabella13[[#This Row],[test_id]],experiments_specs!A:J,6,FALSE)</f>
        <v>True</v>
      </c>
      <c r="G328" s="38" t="str">
        <f>VLOOKUP(Tabella13[[#This Row],[test_id]],experiments_specs!A:J,7,FALSE)</f>
        <v>True</v>
      </c>
      <c r="H328" s="38" t="str">
        <f>VLOOKUP(Tabella13[[#This Row],[test_id]],experiments_specs!A:J,8,FALSE)</f>
        <v>True</v>
      </c>
      <c r="I328" s="38" t="str">
        <f>VLOOKUP(Tabella13[[#This Row],[test_id]],experiments_specs!A:J,9,FALSE)</f>
        <v>wup_similarity</v>
      </c>
      <c r="J328" s="38" t="str">
        <f>VLOOKUP(Tabella13[[#This Row],[test_id]],experiments_specs!A:J,10,FALSE)</f>
        <v>True</v>
      </c>
      <c r="K328" s="40" t="s">
        <v>16</v>
      </c>
      <c r="L328" s="36" t="s">
        <v>1333</v>
      </c>
      <c r="M328" s="36" t="s">
        <v>1314</v>
      </c>
      <c r="N328" s="36">
        <v>1.96116E-2</v>
      </c>
      <c r="O328" s="36" t="s">
        <v>1432</v>
      </c>
    </row>
    <row r="329" spans="1:15" ht="85" x14ac:dyDescent="0.2">
      <c r="A329" s="36" t="s">
        <v>1264</v>
      </c>
      <c r="B329" s="45" t="str">
        <f>VLOOKUP(Tabella13[[#This Row],[test_id]],experiments_specs!A:J,2,FALSE)</f>
        <v>NN,JJ</v>
      </c>
      <c r="C329" s="38">
        <f>VLOOKUP(Tabella13[[#This Row],[test_id]],experiments_specs!A:J,3,FALSE)</f>
        <v>0</v>
      </c>
      <c r="D329" s="38">
        <f>VLOOKUP(Tabella13[[#This Row],[test_id]],experiments_specs!A:J,4,FALSE)</f>
        <v>3</v>
      </c>
      <c r="E329" s="38" t="str">
        <f>VLOOKUP(Tabella13[[#This Row],[test_id]],experiments_specs!A:J,5,FALSE)</f>
        <v>True</v>
      </c>
      <c r="F329" s="38" t="str">
        <f>VLOOKUP(Tabella13[[#This Row],[test_id]],experiments_specs!A:J,6,FALSE)</f>
        <v>True</v>
      </c>
      <c r="G329" s="38" t="str">
        <f>VLOOKUP(Tabella13[[#This Row],[test_id]],experiments_specs!A:J,7,FALSE)</f>
        <v>True</v>
      </c>
      <c r="H329" s="38" t="str">
        <f>VLOOKUP(Tabella13[[#This Row],[test_id]],experiments_specs!A:J,8,FALSE)</f>
        <v>True</v>
      </c>
      <c r="I329" s="38" t="str">
        <f>VLOOKUP(Tabella13[[#This Row],[test_id]],experiments_specs!A:J,9,FALSE)</f>
        <v>wup_similarity</v>
      </c>
      <c r="J329" s="38" t="str">
        <f>VLOOKUP(Tabella13[[#This Row],[test_id]],experiments_specs!A:J,10,FALSE)</f>
        <v>True</v>
      </c>
      <c r="K329" s="40" t="s">
        <v>17</v>
      </c>
      <c r="L329" s="36" t="s">
        <v>1335</v>
      </c>
      <c r="M329" s="36" t="s">
        <v>1314</v>
      </c>
      <c r="N329" s="36">
        <v>2.2650900000000002E-2</v>
      </c>
      <c r="O329" s="36" t="s">
        <v>1440</v>
      </c>
    </row>
    <row r="330" spans="1:15" ht="85" x14ac:dyDescent="0.2">
      <c r="A330" s="36" t="s">
        <v>1264</v>
      </c>
      <c r="B330" s="45" t="str">
        <f>VLOOKUP(Tabella13[[#This Row],[test_id]],experiments_specs!A:J,2,FALSE)</f>
        <v>NN,JJ</v>
      </c>
      <c r="C330" s="38">
        <f>VLOOKUP(Tabella13[[#This Row],[test_id]],experiments_specs!A:J,3,FALSE)</f>
        <v>0</v>
      </c>
      <c r="D330" s="38">
        <f>VLOOKUP(Tabella13[[#This Row],[test_id]],experiments_specs!A:J,4,FALSE)</f>
        <v>3</v>
      </c>
      <c r="E330" s="38" t="str">
        <f>VLOOKUP(Tabella13[[#This Row],[test_id]],experiments_specs!A:J,5,FALSE)</f>
        <v>True</v>
      </c>
      <c r="F330" s="38" t="str">
        <f>VLOOKUP(Tabella13[[#This Row],[test_id]],experiments_specs!A:J,6,FALSE)</f>
        <v>True</v>
      </c>
      <c r="G330" s="38" t="str">
        <f>VLOOKUP(Tabella13[[#This Row],[test_id]],experiments_specs!A:J,7,FALSE)</f>
        <v>True</v>
      </c>
      <c r="H330" s="38" t="str">
        <f>VLOOKUP(Tabella13[[#This Row],[test_id]],experiments_specs!A:J,8,FALSE)</f>
        <v>True</v>
      </c>
      <c r="I330" s="38" t="str">
        <f>VLOOKUP(Tabella13[[#This Row],[test_id]],experiments_specs!A:J,9,FALSE)</f>
        <v>wup_similarity</v>
      </c>
      <c r="J330" s="38" t="str">
        <f>VLOOKUP(Tabella13[[#This Row],[test_id]],experiments_specs!A:J,10,FALSE)</f>
        <v>True</v>
      </c>
      <c r="K330" s="40" t="s">
        <v>18</v>
      </c>
      <c r="L330" s="36" t="s">
        <v>472</v>
      </c>
      <c r="M330" s="36">
        <v>2</v>
      </c>
      <c r="N330" s="36">
        <v>2.2657699999999999E-2</v>
      </c>
      <c r="O330" s="36">
        <v>0.2105263</v>
      </c>
    </row>
    <row r="331" spans="1:15" ht="85" x14ac:dyDescent="0.2">
      <c r="A331" s="36" t="s">
        <v>1265</v>
      </c>
      <c r="B331" s="45" t="str">
        <f>VLOOKUP(Tabella13[[#This Row],[test_id]],experiments_specs!A:J,2,FALSE)</f>
        <v>NN,VB,VBD,VBG,VBN,VBP,VBZ</v>
      </c>
      <c r="C331" s="38">
        <f>VLOOKUP(Tabella13[[#This Row],[test_id]],experiments_specs!A:J,3,FALSE)</f>
        <v>0</v>
      </c>
      <c r="D331" s="38">
        <f>VLOOKUP(Tabella13[[#This Row],[test_id]],experiments_specs!A:J,4,FALSE)</f>
        <v>2</v>
      </c>
      <c r="E331" s="38" t="str">
        <f>VLOOKUP(Tabella13[[#This Row],[test_id]],experiments_specs!A:J,5,FALSE)</f>
        <v>True</v>
      </c>
      <c r="F331" s="38" t="str">
        <f>VLOOKUP(Tabella13[[#This Row],[test_id]],experiments_specs!A:J,6,FALSE)</f>
        <v>True</v>
      </c>
      <c r="G331" s="38" t="str">
        <f>VLOOKUP(Tabella13[[#This Row],[test_id]],experiments_specs!A:J,7,FALSE)</f>
        <v>True</v>
      </c>
      <c r="H331" s="38" t="str">
        <f>VLOOKUP(Tabella13[[#This Row],[test_id]],experiments_specs!A:J,8,FALSE)</f>
        <v>True</v>
      </c>
      <c r="I331" s="38" t="str">
        <f>VLOOKUP(Tabella13[[#This Row],[test_id]],experiments_specs!A:J,9,FALSE)</f>
        <v>wup_similarity</v>
      </c>
      <c r="J331" s="38" t="str">
        <f>VLOOKUP(Tabella13[[#This Row],[test_id]],experiments_specs!A:J,10,FALSE)</f>
        <v>True</v>
      </c>
      <c r="K331" s="40" t="s">
        <v>19</v>
      </c>
      <c r="L331" s="36" t="s">
        <v>226</v>
      </c>
      <c r="M331" s="36">
        <v>4</v>
      </c>
      <c r="N331" s="36">
        <v>3.4553E-2</v>
      </c>
      <c r="O331" s="36">
        <v>0.17391300000000001</v>
      </c>
    </row>
    <row r="332" spans="1:15" ht="85" x14ac:dyDescent="0.2">
      <c r="A332" s="36" t="s">
        <v>1265</v>
      </c>
      <c r="B332" s="45" t="str">
        <f>VLOOKUP(Tabella13[[#This Row],[test_id]],experiments_specs!A:J,2,FALSE)</f>
        <v>NN,VB,VBD,VBG,VBN,VBP,VBZ</v>
      </c>
      <c r="C332" s="38">
        <f>VLOOKUP(Tabella13[[#This Row],[test_id]],experiments_specs!A:J,3,FALSE)</f>
        <v>0</v>
      </c>
      <c r="D332" s="38">
        <f>VLOOKUP(Tabella13[[#This Row],[test_id]],experiments_specs!A:J,4,FALSE)</f>
        <v>2</v>
      </c>
      <c r="E332" s="38" t="str">
        <f>VLOOKUP(Tabella13[[#This Row],[test_id]],experiments_specs!A:J,5,FALSE)</f>
        <v>True</v>
      </c>
      <c r="F332" s="38" t="str">
        <f>VLOOKUP(Tabella13[[#This Row],[test_id]],experiments_specs!A:J,6,FALSE)</f>
        <v>True</v>
      </c>
      <c r="G332" s="38" t="str">
        <f>VLOOKUP(Tabella13[[#This Row],[test_id]],experiments_specs!A:J,7,FALSE)</f>
        <v>True</v>
      </c>
      <c r="H332" s="38" t="str">
        <f>VLOOKUP(Tabella13[[#This Row],[test_id]],experiments_specs!A:J,8,FALSE)</f>
        <v>True</v>
      </c>
      <c r="I332" s="38" t="str">
        <f>VLOOKUP(Tabella13[[#This Row],[test_id]],experiments_specs!A:J,9,FALSE)</f>
        <v>wup_similarity</v>
      </c>
      <c r="J332" s="38" t="str">
        <f>VLOOKUP(Tabella13[[#This Row],[test_id]],experiments_specs!A:J,10,FALSE)</f>
        <v>True</v>
      </c>
      <c r="K332" s="40" t="s">
        <v>12</v>
      </c>
      <c r="L332" s="36" t="s">
        <v>23</v>
      </c>
      <c r="M332" s="36">
        <v>2</v>
      </c>
      <c r="N332" s="36">
        <v>3.03894E-2</v>
      </c>
      <c r="O332" s="36">
        <v>0.42857139999999999</v>
      </c>
    </row>
    <row r="333" spans="1:15" ht="85" x14ac:dyDescent="0.2">
      <c r="A333" s="36" t="s">
        <v>1265</v>
      </c>
      <c r="B333" s="45" t="str">
        <f>VLOOKUP(Tabella13[[#This Row],[test_id]],experiments_specs!A:J,2,FALSE)</f>
        <v>NN,VB,VBD,VBG,VBN,VBP,VBZ</v>
      </c>
      <c r="C333" s="38">
        <f>VLOOKUP(Tabella13[[#This Row],[test_id]],experiments_specs!A:J,3,FALSE)</f>
        <v>0</v>
      </c>
      <c r="D333" s="38">
        <f>VLOOKUP(Tabella13[[#This Row],[test_id]],experiments_specs!A:J,4,FALSE)</f>
        <v>2</v>
      </c>
      <c r="E333" s="38" t="str">
        <f>VLOOKUP(Tabella13[[#This Row],[test_id]],experiments_specs!A:J,5,FALSE)</f>
        <v>True</v>
      </c>
      <c r="F333" s="38" t="str">
        <f>VLOOKUP(Tabella13[[#This Row],[test_id]],experiments_specs!A:J,6,FALSE)</f>
        <v>True</v>
      </c>
      <c r="G333" s="38" t="str">
        <f>VLOOKUP(Tabella13[[#This Row],[test_id]],experiments_specs!A:J,7,FALSE)</f>
        <v>True</v>
      </c>
      <c r="H333" s="38" t="str">
        <f>VLOOKUP(Tabella13[[#This Row],[test_id]],experiments_specs!A:J,8,FALSE)</f>
        <v>True</v>
      </c>
      <c r="I333" s="38" t="str">
        <f>VLOOKUP(Tabella13[[#This Row],[test_id]],experiments_specs!A:J,9,FALSE)</f>
        <v>wup_similarity</v>
      </c>
      <c r="J333" s="38" t="str">
        <f>VLOOKUP(Tabella13[[#This Row],[test_id]],experiments_specs!A:J,10,FALSE)</f>
        <v>True</v>
      </c>
      <c r="K333" s="40" t="s">
        <v>13</v>
      </c>
      <c r="L333" s="36" t="s">
        <v>327</v>
      </c>
      <c r="M333" s="36">
        <v>2</v>
      </c>
      <c r="N333" s="36">
        <v>3.2170400000000002E-2</v>
      </c>
      <c r="O333" s="36" t="s">
        <v>25</v>
      </c>
    </row>
    <row r="334" spans="1:15" ht="85" x14ac:dyDescent="0.2">
      <c r="A334" s="36" t="s">
        <v>1265</v>
      </c>
      <c r="B334" s="45" t="str">
        <f>VLOOKUP(Tabella13[[#This Row],[test_id]],experiments_specs!A:J,2,FALSE)</f>
        <v>NN,VB,VBD,VBG,VBN,VBP,VBZ</v>
      </c>
      <c r="C334" s="38">
        <f>VLOOKUP(Tabella13[[#This Row],[test_id]],experiments_specs!A:J,3,FALSE)</f>
        <v>0</v>
      </c>
      <c r="D334" s="38">
        <f>VLOOKUP(Tabella13[[#This Row],[test_id]],experiments_specs!A:J,4,FALSE)</f>
        <v>2</v>
      </c>
      <c r="E334" s="38" t="str">
        <f>VLOOKUP(Tabella13[[#This Row],[test_id]],experiments_specs!A:J,5,FALSE)</f>
        <v>True</v>
      </c>
      <c r="F334" s="38" t="str">
        <f>VLOOKUP(Tabella13[[#This Row],[test_id]],experiments_specs!A:J,6,FALSE)</f>
        <v>True</v>
      </c>
      <c r="G334" s="38" t="str">
        <f>VLOOKUP(Tabella13[[#This Row],[test_id]],experiments_specs!A:J,7,FALSE)</f>
        <v>True</v>
      </c>
      <c r="H334" s="38" t="str">
        <f>VLOOKUP(Tabella13[[#This Row],[test_id]],experiments_specs!A:J,8,FALSE)</f>
        <v>True</v>
      </c>
      <c r="I334" s="38" t="str">
        <f>VLOOKUP(Tabella13[[#This Row],[test_id]],experiments_specs!A:J,9,FALSE)</f>
        <v>wup_similarity</v>
      </c>
      <c r="J334" s="38" t="str">
        <f>VLOOKUP(Tabella13[[#This Row],[test_id]],experiments_specs!A:J,10,FALSE)</f>
        <v>True</v>
      </c>
      <c r="K334" s="40" t="s">
        <v>14</v>
      </c>
      <c r="L334" s="36" t="s">
        <v>1350</v>
      </c>
      <c r="M334" s="36" t="s">
        <v>1314</v>
      </c>
      <c r="N334" s="36">
        <v>1.5944199999999999E-2</v>
      </c>
      <c r="O334" s="36" t="s">
        <v>1444</v>
      </c>
    </row>
    <row r="335" spans="1:15" ht="85" x14ac:dyDescent="0.2">
      <c r="A335" s="36" t="s">
        <v>1265</v>
      </c>
      <c r="B335" s="45" t="str">
        <f>VLOOKUP(Tabella13[[#This Row],[test_id]],experiments_specs!A:J,2,FALSE)</f>
        <v>NN,VB,VBD,VBG,VBN,VBP,VBZ</v>
      </c>
      <c r="C335" s="38">
        <f>VLOOKUP(Tabella13[[#This Row],[test_id]],experiments_specs!A:J,3,FALSE)</f>
        <v>0</v>
      </c>
      <c r="D335" s="38">
        <f>VLOOKUP(Tabella13[[#This Row],[test_id]],experiments_specs!A:J,4,FALSE)</f>
        <v>2</v>
      </c>
      <c r="E335" s="38" t="str">
        <f>VLOOKUP(Tabella13[[#This Row],[test_id]],experiments_specs!A:J,5,FALSE)</f>
        <v>True</v>
      </c>
      <c r="F335" s="38" t="str">
        <f>VLOOKUP(Tabella13[[#This Row],[test_id]],experiments_specs!A:J,6,FALSE)</f>
        <v>True</v>
      </c>
      <c r="G335" s="38" t="str">
        <f>VLOOKUP(Tabella13[[#This Row],[test_id]],experiments_specs!A:J,7,FALSE)</f>
        <v>True</v>
      </c>
      <c r="H335" s="38" t="str">
        <f>VLOOKUP(Tabella13[[#This Row],[test_id]],experiments_specs!A:J,8,FALSE)</f>
        <v>True</v>
      </c>
      <c r="I335" s="38" t="str">
        <f>VLOOKUP(Tabella13[[#This Row],[test_id]],experiments_specs!A:J,9,FALSE)</f>
        <v>wup_similarity</v>
      </c>
      <c r="J335" s="38" t="str">
        <f>VLOOKUP(Tabella13[[#This Row],[test_id]],experiments_specs!A:J,10,FALSE)</f>
        <v>True</v>
      </c>
      <c r="K335" s="40" t="s">
        <v>15</v>
      </c>
      <c r="L335" s="36" t="s">
        <v>27</v>
      </c>
      <c r="M335" s="36">
        <v>2</v>
      </c>
      <c r="N335" s="36">
        <v>1.8024600000000002E-2</v>
      </c>
      <c r="O335" s="36">
        <v>0.1666666</v>
      </c>
    </row>
    <row r="336" spans="1:15" ht="85" x14ac:dyDescent="0.2">
      <c r="A336" s="36" t="s">
        <v>1265</v>
      </c>
      <c r="B336" s="45" t="str">
        <f>VLOOKUP(Tabella13[[#This Row],[test_id]],experiments_specs!A:J,2,FALSE)</f>
        <v>NN,VB,VBD,VBG,VBN,VBP,VBZ</v>
      </c>
      <c r="C336" s="38">
        <f>VLOOKUP(Tabella13[[#This Row],[test_id]],experiments_specs!A:J,3,FALSE)</f>
        <v>0</v>
      </c>
      <c r="D336" s="38">
        <f>VLOOKUP(Tabella13[[#This Row],[test_id]],experiments_specs!A:J,4,FALSE)</f>
        <v>2</v>
      </c>
      <c r="E336" s="38" t="str">
        <f>VLOOKUP(Tabella13[[#This Row],[test_id]],experiments_specs!A:J,5,FALSE)</f>
        <v>True</v>
      </c>
      <c r="F336" s="38" t="str">
        <f>VLOOKUP(Tabella13[[#This Row],[test_id]],experiments_specs!A:J,6,FALSE)</f>
        <v>True</v>
      </c>
      <c r="G336" s="38" t="str">
        <f>VLOOKUP(Tabella13[[#This Row],[test_id]],experiments_specs!A:J,7,FALSE)</f>
        <v>True</v>
      </c>
      <c r="H336" s="38" t="str">
        <f>VLOOKUP(Tabella13[[#This Row],[test_id]],experiments_specs!A:J,8,FALSE)</f>
        <v>True</v>
      </c>
      <c r="I336" s="38" t="str">
        <f>VLOOKUP(Tabella13[[#This Row],[test_id]],experiments_specs!A:J,9,FALSE)</f>
        <v>wup_similarity</v>
      </c>
      <c r="J336" s="38" t="str">
        <f>VLOOKUP(Tabella13[[#This Row],[test_id]],experiments_specs!A:J,10,FALSE)</f>
        <v>True</v>
      </c>
      <c r="K336" s="40" t="s">
        <v>16</v>
      </c>
      <c r="L336" s="36" t="s">
        <v>1333</v>
      </c>
      <c r="M336" s="36" t="s">
        <v>1314</v>
      </c>
      <c r="N336" s="36">
        <v>2.61488E-2</v>
      </c>
      <c r="O336" s="36" t="s">
        <v>1432</v>
      </c>
    </row>
    <row r="337" spans="1:15" ht="85" x14ac:dyDescent="0.2">
      <c r="A337" s="36" t="s">
        <v>1265</v>
      </c>
      <c r="B337" s="45" t="str">
        <f>VLOOKUP(Tabella13[[#This Row],[test_id]],experiments_specs!A:J,2,FALSE)</f>
        <v>NN,VB,VBD,VBG,VBN,VBP,VBZ</v>
      </c>
      <c r="C337" s="38">
        <f>VLOOKUP(Tabella13[[#This Row],[test_id]],experiments_specs!A:J,3,FALSE)</f>
        <v>0</v>
      </c>
      <c r="D337" s="38">
        <f>VLOOKUP(Tabella13[[#This Row],[test_id]],experiments_specs!A:J,4,FALSE)</f>
        <v>2</v>
      </c>
      <c r="E337" s="38" t="str">
        <f>VLOOKUP(Tabella13[[#This Row],[test_id]],experiments_specs!A:J,5,FALSE)</f>
        <v>True</v>
      </c>
      <c r="F337" s="38" t="str">
        <f>VLOOKUP(Tabella13[[#This Row],[test_id]],experiments_specs!A:J,6,FALSE)</f>
        <v>True</v>
      </c>
      <c r="G337" s="38" t="str">
        <f>VLOOKUP(Tabella13[[#This Row],[test_id]],experiments_specs!A:J,7,FALSE)</f>
        <v>True</v>
      </c>
      <c r="H337" s="38" t="str">
        <f>VLOOKUP(Tabella13[[#This Row],[test_id]],experiments_specs!A:J,8,FALSE)</f>
        <v>True</v>
      </c>
      <c r="I337" s="38" t="str">
        <f>VLOOKUP(Tabella13[[#This Row],[test_id]],experiments_specs!A:J,9,FALSE)</f>
        <v>wup_similarity</v>
      </c>
      <c r="J337" s="38" t="str">
        <f>VLOOKUP(Tabella13[[#This Row],[test_id]],experiments_specs!A:J,10,FALSE)</f>
        <v>True</v>
      </c>
      <c r="K337" s="40" t="s">
        <v>17</v>
      </c>
      <c r="L337" s="36" t="s">
        <v>1335</v>
      </c>
      <c r="M337" s="36" t="s">
        <v>1314</v>
      </c>
      <c r="N337" s="36">
        <v>2.0385799999999999E-2</v>
      </c>
      <c r="O337" s="36" t="s">
        <v>1440</v>
      </c>
    </row>
    <row r="338" spans="1:15" ht="85" x14ac:dyDescent="0.2">
      <c r="A338" s="36" t="s">
        <v>1265</v>
      </c>
      <c r="B338" s="45" t="str">
        <f>VLOOKUP(Tabella13[[#This Row],[test_id]],experiments_specs!A:J,2,FALSE)</f>
        <v>NN,VB,VBD,VBG,VBN,VBP,VBZ</v>
      </c>
      <c r="C338" s="38">
        <f>VLOOKUP(Tabella13[[#This Row],[test_id]],experiments_specs!A:J,3,FALSE)</f>
        <v>0</v>
      </c>
      <c r="D338" s="38">
        <f>VLOOKUP(Tabella13[[#This Row],[test_id]],experiments_specs!A:J,4,FALSE)</f>
        <v>2</v>
      </c>
      <c r="E338" s="38" t="str">
        <f>VLOOKUP(Tabella13[[#This Row],[test_id]],experiments_specs!A:J,5,FALSE)</f>
        <v>True</v>
      </c>
      <c r="F338" s="38" t="str">
        <f>VLOOKUP(Tabella13[[#This Row],[test_id]],experiments_specs!A:J,6,FALSE)</f>
        <v>True</v>
      </c>
      <c r="G338" s="38" t="str">
        <f>VLOOKUP(Tabella13[[#This Row],[test_id]],experiments_specs!A:J,7,FALSE)</f>
        <v>True</v>
      </c>
      <c r="H338" s="38" t="str">
        <f>VLOOKUP(Tabella13[[#This Row],[test_id]],experiments_specs!A:J,8,FALSE)</f>
        <v>True</v>
      </c>
      <c r="I338" s="38" t="str">
        <f>VLOOKUP(Tabella13[[#This Row],[test_id]],experiments_specs!A:J,9,FALSE)</f>
        <v>wup_similarity</v>
      </c>
      <c r="J338" s="38" t="str">
        <f>VLOOKUP(Tabella13[[#This Row],[test_id]],experiments_specs!A:J,10,FALSE)</f>
        <v>True</v>
      </c>
      <c r="K338" s="40" t="s">
        <v>18</v>
      </c>
      <c r="L338" s="36" t="s">
        <v>472</v>
      </c>
      <c r="M338" s="36">
        <v>2</v>
      </c>
      <c r="N338" s="36">
        <v>2.02396E-2</v>
      </c>
      <c r="O338" s="36">
        <v>0.2105263</v>
      </c>
    </row>
    <row r="339" spans="1:15" ht="85" x14ac:dyDescent="0.2">
      <c r="A339" s="36" t="s">
        <v>1266</v>
      </c>
      <c r="B339" s="45" t="str">
        <f>VLOOKUP(Tabella13[[#This Row],[test_id]],experiments_specs!A:J,2,FALSE)</f>
        <v>NN,VB,VBD,VBG,VBN,VBP,VBZ</v>
      </c>
      <c r="C339" s="38">
        <f>VLOOKUP(Tabella13[[#This Row],[test_id]],experiments_specs!A:J,3,FALSE)</f>
        <v>0</v>
      </c>
      <c r="D339" s="38">
        <f>VLOOKUP(Tabella13[[#This Row],[test_id]],experiments_specs!A:J,4,FALSE)</f>
        <v>3</v>
      </c>
      <c r="E339" s="38" t="str">
        <f>VLOOKUP(Tabella13[[#This Row],[test_id]],experiments_specs!A:J,5,FALSE)</f>
        <v>True</v>
      </c>
      <c r="F339" s="38" t="str">
        <f>VLOOKUP(Tabella13[[#This Row],[test_id]],experiments_specs!A:J,6,FALSE)</f>
        <v>True</v>
      </c>
      <c r="G339" s="38" t="str">
        <f>VLOOKUP(Tabella13[[#This Row],[test_id]],experiments_specs!A:J,7,FALSE)</f>
        <v>True</v>
      </c>
      <c r="H339" s="38" t="str">
        <f>VLOOKUP(Tabella13[[#This Row],[test_id]],experiments_specs!A:J,8,FALSE)</f>
        <v>True</v>
      </c>
      <c r="I339" s="38" t="str">
        <f>VLOOKUP(Tabella13[[#This Row],[test_id]],experiments_specs!A:J,9,FALSE)</f>
        <v>wup_similarity</v>
      </c>
      <c r="J339" s="38" t="str">
        <f>VLOOKUP(Tabella13[[#This Row],[test_id]],experiments_specs!A:J,10,FALSE)</f>
        <v>True</v>
      </c>
      <c r="K339" s="40" t="s">
        <v>19</v>
      </c>
      <c r="L339" s="36" t="s">
        <v>226</v>
      </c>
      <c r="M339" s="36">
        <v>4</v>
      </c>
      <c r="N339" s="36">
        <v>3.4553E-2</v>
      </c>
      <c r="O339" s="36">
        <v>0.17391300000000001</v>
      </c>
    </row>
    <row r="340" spans="1:15" ht="85" x14ac:dyDescent="0.2">
      <c r="A340" s="36" t="s">
        <v>1266</v>
      </c>
      <c r="B340" s="45" t="str">
        <f>VLOOKUP(Tabella13[[#This Row],[test_id]],experiments_specs!A:J,2,FALSE)</f>
        <v>NN,VB,VBD,VBG,VBN,VBP,VBZ</v>
      </c>
      <c r="C340" s="38">
        <f>VLOOKUP(Tabella13[[#This Row],[test_id]],experiments_specs!A:J,3,FALSE)</f>
        <v>0</v>
      </c>
      <c r="D340" s="38">
        <f>VLOOKUP(Tabella13[[#This Row],[test_id]],experiments_specs!A:J,4,FALSE)</f>
        <v>3</v>
      </c>
      <c r="E340" s="38" t="str">
        <f>VLOOKUP(Tabella13[[#This Row],[test_id]],experiments_specs!A:J,5,FALSE)</f>
        <v>True</v>
      </c>
      <c r="F340" s="38" t="str">
        <f>VLOOKUP(Tabella13[[#This Row],[test_id]],experiments_specs!A:J,6,FALSE)</f>
        <v>True</v>
      </c>
      <c r="G340" s="38" t="str">
        <f>VLOOKUP(Tabella13[[#This Row],[test_id]],experiments_specs!A:J,7,FALSE)</f>
        <v>True</v>
      </c>
      <c r="H340" s="38" t="str">
        <f>VLOOKUP(Tabella13[[#This Row],[test_id]],experiments_specs!A:J,8,FALSE)</f>
        <v>True</v>
      </c>
      <c r="I340" s="38" t="str">
        <f>VLOOKUP(Tabella13[[#This Row],[test_id]],experiments_specs!A:J,9,FALSE)</f>
        <v>wup_similarity</v>
      </c>
      <c r="J340" s="38" t="str">
        <f>VLOOKUP(Tabella13[[#This Row],[test_id]],experiments_specs!A:J,10,FALSE)</f>
        <v>True</v>
      </c>
      <c r="K340" s="40" t="s">
        <v>12</v>
      </c>
      <c r="L340" s="36" t="s">
        <v>23</v>
      </c>
      <c r="M340" s="36">
        <v>2</v>
      </c>
      <c r="N340" s="36">
        <v>3.03894E-2</v>
      </c>
      <c r="O340" s="36">
        <v>0.42857139999999999</v>
      </c>
    </row>
    <row r="341" spans="1:15" ht="85" x14ac:dyDescent="0.2">
      <c r="A341" s="36" t="s">
        <v>1266</v>
      </c>
      <c r="B341" s="45" t="str">
        <f>VLOOKUP(Tabella13[[#This Row],[test_id]],experiments_specs!A:J,2,FALSE)</f>
        <v>NN,VB,VBD,VBG,VBN,VBP,VBZ</v>
      </c>
      <c r="C341" s="38">
        <f>VLOOKUP(Tabella13[[#This Row],[test_id]],experiments_specs!A:J,3,FALSE)</f>
        <v>0</v>
      </c>
      <c r="D341" s="38">
        <f>VLOOKUP(Tabella13[[#This Row],[test_id]],experiments_specs!A:J,4,FALSE)</f>
        <v>3</v>
      </c>
      <c r="E341" s="38" t="str">
        <f>VLOOKUP(Tabella13[[#This Row],[test_id]],experiments_specs!A:J,5,FALSE)</f>
        <v>True</v>
      </c>
      <c r="F341" s="38" t="str">
        <f>VLOOKUP(Tabella13[[#This Row],[test_id]],experiments_specs!A:J,6,FALSE)</f>
        <v>True</v>
      </c>
      <c r="G341" s="38" t="str">
        <f>VLOOKUP(Tabella13[[#This Row],[test_id]],experiments_specs!A:J,7,FALSE)</f>
        <v>True</v>
      </c>
      <c r="H341" s="38" t="str">
        <f>VLOOKUP(Tabella13[[#This Row],[test_id]],experiments_specs!A:J,8,FALSE)</f>
        <v>True</v>
      </c>
      <c r="I341" s="38" t="str">
        <f>VLOOKUP(Tabella13[[#This Row],[test_id]],experiments_specs!A:J,9,FALSE)</f>
        <v>wup_similarity</v>
      </c>
      <c r="J341" s="38" t="str">
        <f>VLOOKUP(Tabella13[[#This Row],[test_id]],experiments_specs!A:J,10,FALSE)</f>
        <v>True</v>
      </c>
      <c r="K341" s="40" t="s">
        <v>13</v>
      </c>
      <c r="L341" s="36" t="s">
        <v>327</v>
      </c>
      <c r="M341" s="36">
        <v>2</v>
      </c>
      <c r="N341" s="36">
        <v>3.2170400000000002E-2</v>
      </c>
      <c r="O341" s="36" t="s">
        <v>25</v>
      </c>
    </row>
    <row r="342" spans="1:15" ht="85" x14ac:dyDescent="0.2">
      <c r="A342" s="36" t="s">
        <v>1266</v>
      </c>
      <c r="B342" s="45" t="str">
        <f>VLOOKUP(Tabella13[[#This Row],[test_id]],experiments_specs!A:J,2,FALSE)</f>
        <v>NN,VB,VBD,VBG,VBN,VBP,VBZ</v>
      </c>
      <c r="C342" s="38">
        <f>VLOOKUP(Tabella13[[#This Row],[test_id]],experiments_specs!A:J,3,FALSE)</f>
        <v>0</v>
      </c>
      <c r="D342" s="38">
        <f>VLOOKUP(Tabella13[[#This Row],[test_id]],experiments_specs!A:J,4,FALSE)</f>
        <v>3</v>
      </c>
      <c r="E342" s="38" t="str">
        <f>VLOOKUP(Tabella13[[#This Row],[test_id]],experiments_specs!A:J,5,FALSE)</f>
        <v>True</v>
      </c>
      <c r="F342" s="38" t="str">
        <f>VLOOKUP(Tabella13[[#This Row],[test_id]],experiments_specs!A:J,6,FALSE)</f>
        <v>True</v>
      </c>
      <c r="G342" s="38" t="str">
        <f>VLOOKUP(Tabella13[[#This Row],[test_id]],experiments_specs!A:J,7,FALSE)</f>
        <v>True</v>
      </c>
      <c r="H342" s="38" t="str">
        <f>VLOOKUP(Tabella13[[#This Row],[test_id]],experiments_specs!A:J,8,FALSE)</f>
        <v>True</v>
      </c>
      <c r="I342" s="38" t="str">
        <f>VLOOKUP(Tabella13[[#This Row],[test_id]],experiments_specs!A:J,9,FALSE)</f>
        <v>wup_similarity</v>
      </c>
      <c r="J342" s="38" t="str">
        <f>VLOOKUP(Tabella13[[#This Row],[test_id]],experiments_specs!A:J,10,FALSE)</f>
        <v>True</v>
      </c>
      <c r="K342" s="40" t="s">
        <v>14</v>
      </c>
      <c r="L342" s="36" t="s">
        <v>1350</v>
      </c>
      <c r="M342" s="36" t="s">
        <v>1314</v>
      </c>
      <c r="N342" s="36">
        <v>1.5944199999999999E-2</v>
      </c>
      <c r="O342" s="36" t="s">
        <v>1444</v>
      </c>
    </row>
    <row r="343" spans="1:15" ht="85" x14ac:dyDescent="0.2">
      <c r="A343" s="36" t="s">
        <v>1266</v>
      </c>
      <c r="B343" s="45" t="str">
        <f>VLOOKUP(Tabella13[[#This Row],[test_id]],experiments_specs!A:J,2,FALSE)</f>
        <v>NN,VB,VBD,VBG,VBN,VBP,VBZ</v>
      </c>
      <c r="C343" s="38">
        <f>VLOOKUP(Tabella13[[#This Row],[test_id]],experiments_specs!A:J,3,FALSE)</f>
        <v>0</v>
      </c>
      <c r="D343" s="38">
        <f>VLOOKUP(Tabella13[[#This Row],[test_id]],experiments_specs!A:J,4,FALSE)</f>
        <v>3</v>
      </c>
      <c r="E343" s="38" t="str">
        <f>VLOOKUP(Tabella13[[#This Row],[test_id]],experiments_specs!A:J,5,FALSE)</f>
        <v>True</v>
      </c>
      <c r="F343" s="38" t="str">
        <f>VLOOKUP(Tabella13[[#This Row],[test_id]],experiments_specs!A:J,6,FALSE)</f>
        <v>True</v>
      </c>
      <c r="G343" s="38" t="str">
        <f>VLOOKUP(Tabella13[[#This Row],[test_id]],experiments_specs!A:J,7,FALSE)</f>
        <v>True</v>
      </c>
      <c r="H343" s="38" t="str">
        <f>VLOOKUP(Tabella13[[#This Row],[test_id]],experiments_specs!A:J,8,FALSE)</f>
        <v>True</v>
      </c>
      <c r="I343" s="38" t="str">
        <f>VLOOKUP(Tabella13[[#This Row],[test_id]],experiments_specs!A:J,9,FALSE)</f>
        <v>wup_similarity</v>
      </c>
      <c r="J343" s="38" t="str">
        <f>VLOOKUP(Tabella13[[#This Row],[test_id]],experiments_specs!A:J,10,FALSE)</f>
        <v>True</v>
      </c>
      <c r="K343" s="40" t="s">
        <v>15</v>
      </c>
      <c r="L343" s="36" t="s">
        <v>27</v>
      </c>
      <c r="M343" s="36">
        <v>2</v>
      </c>
      <c r="N343" s="36">
        <v>1.8024600000000002E-2</v>
      </c>
      <c r="O343" s="36">
        <v>0.1666666</v>
      </c>
    </row>
    <row r="344" spans="1:15" ht="85" x14ac:dyDescent="0.2">
      <c r="A344" s="36" t="s">
        <v>1266</v>
      </c>
      <c r="B344" s="45" t="str">
        <f>VLOOKUP(Tabella13[[#This Row],[test_id]],experiments_specs!A:J,2,FALSE)</f>
        <v>NN,VB,VBD,VBG,VBN,VBP,VBZ</v>
      </c>
      <c r="C344" s="38">
        <f>VLOOKUP(Tabella13[[#This Row],[test_id]],experiments_specs!A:J,3,FALSE)</f>
        <v>0</v>
      </c>
      <c r="D344" s="38">
        <f>VLOOKUP(Tabella13[[#This Row],[test_id]],experiments_specs!A:J,4,FALSE)</f>
        <v>3</v>
      </c>
      <c r="E344" s="38" t="str">
        <f>VLOOKUP(Tabella13[[#This Row],[test_id]],experiments_specs!A:J,5,FALSE)</f>
        <v>True</v>
      </c>
      <c r="F344" s="38" t="str">
        <f>VLOOKUP(Tabella13[[#This Row],[test_id]],experiments_specs!A:J,6,FALSE)</f>
        <v>True</v>
      </c>
      <c r="G344" s="38" t="str">
        <f>VLOOKUP(Tabella13[[#This Row],[test_id]],experiments_specs!A:J,7,FALSE)</f>
        <v>True</v>
      </c>
      <c r="H344" s="38" t="str">
        <f>VLOOKUP(Tabella13[[#This Row],[test_id]],experiments_specs!A:J,8,FALSE)</f>
        <v>True</v>
      </c>
      <c r="I344" s="38" t="str">
        <f>VLOOKUP(Tabella13[[#This Row],[test_id]],experiments_specs!A:J,9,FALSE)</f>
        <v>wup_similarity</v>
      </c>
      <c r="J344" s="38" t="str">
        <f>VLOOKUP(Tabella13[[#This Row],[test_id]],experiments_specs!A:J,10,FALSE)</f>
        <v>True</v>
      </c>
      <c r="K344" s="40" t="s">
        <v>16</v>
      </c>
      <c r="L344" s="36" t="s">
        <v>1333</v>
      </c>
      <c r="M344" s="36" t="s">
        <v>1314</v>
      </c>
      <c r="N344" s="36">
        <v>2.61488E-2</v>
      </c>
      <c r="O344" s="36" t="s">
        <v>1432</v>
      </c>
    </row>
    <row r="345" spans="1:15" ht="85" x14ac:dyDescent="0.2">
      <c r="A345" s="36" t="s">
        <v>1266</v>
      </c>
      <c r="B345" s="45" t="str">
        <f>VLOOKUP(Tabella13[[#This Row],[test_id]],experiments_specs!A:J,2,FALSE)</f>
        <v>NN,VB,VBD,VBG,VBN,VBP,VBZ</v>
      </c>
      <c r="C345" s="38">
        <f>VLOOKUP(Tabella13[[#This Row],[test_id]],experiments_specs!A:J,3,FALSE)</f>
        <v>0</v>
      </c>
      <c r="D345" s="38">
        <f>VLOOKUP(Tabella13[[#This Row],[test_id]],experiments_specs!A:J,4,FALSE)</f>
        <v>3</v>
      </c>
      <c r="E345" s="38" t="str">
        <f>VLOOKUP(Tabella13[[#This Row],[test_id]],experiments_specs!A:J,5,FALSE)</f>
        <v>True</v>
      </c>
      <c r="F345" s="38" t="str">
        <f>VLOOKUP(Tabella13[[#This Row],[test_id]],experiments_specs!A:J,6,FALSE)</f>
        <v>True</v>
      </c>
      <c r="G345" s="38" t="str">
        <f>VLOOKUP(Tabella13[[#This Row],[test_id]],experiments_specs!A:J,7,FALSE)</f>
        <v>True</v>
      </c>
      <c r="H345" s="38" t="str">
        <f>VLOOKUP(Tabella13[[#This Row],[test_id]],experiments_specs!A:J,8,FALSE)</f>
        <v>True</v>
      </c>
      <c r="I345" s="38" t="str">
        <f>VLOOKUP(Tabella13[[#This Row],[test_id]],experiments_specs!A:J,9,FALSE)</f>
        <v>wup_similarity</v>
      </c>
      <c r="J345" s="38" t="str">
        <f>VLOOKUP(Tabella13[[#This Row],[test_id]],experiments_specs!A:J,10,FALSE)</f>
        <v>True</v>
      </c>
      <c r="K345" s="40" t="s">
        <v>17</v>
      </c>
      <c r="L345" s="36" t="s">
        <v>1335</v>
      </c>
      <c r="M345" s="36" t="s">
        <v>1314</v>
      </c>
      <c r="N345" s="36">
        <v>2.0385799999999999E-2</v>
      </c>
      <c r="O345" s="36" t="s">
        <v>1440</v>
      </c>
    </row>
    <row r="346" spans="1:15" ht="85" x14ac:dyDescent="0.2">
      <c r="A346" s="36" t="s">
        <v>1266</v>
      </c>
      <c r="B346" s="45" t="str">
        <f>VLOOKUP(Tabella13[[#This Row],[test_id]],experiments_specs!A:J,2,FALSE)</f>
        <v>NN,VB,VBD,VBG,VBN,VBP,VBZ</v>
      </c>
      <c r="C346" s="38">
        <f>VLOOKUP(Tabella13[[#This Row],[test_id]],experiments_specs!A:J,3,FALSE)</f>
        <v>0</v>
      </c>
      <c r="D346" s="38">
        <f>VLOOKUP(Tabella13[[#This Row],[test_id]],experiments_specs!A:J,4,FALSE)</f>
        <v>3</v>
      </c>
      <c r="E346" s="38" t="str">
        <f>VLOOKUP(Tabella13[[#This Row],[test_id]],experiments_specs!A:J,5,FALSE)</f>
        <v>True</v>
      </c>
      <c r="F346" s="38" t="str">
        <f>VLOOKUP(Tabella13[[#This Row],[test_id]],experiments_specs!A:J,6,FALSE)</f>
        <v>True</v>
      </c>
      <c r="G346" s="38" t="str">
        <f>VLOOKUP(Tabella13[[#This Row],[test_id]],experiments_specs!A:J,7,FALSE)</f>
        <v>True</v>
      </c>
      <c r="H346" s="38" t="str">
        <f>VLOOKUP(Tabella13[[#This Row],[test_id]],experiments_specs!A:J,8,FALSE)</f>
        <v>True</v>
      </c>
      <c r="I346" s="38" t="str">
        <f>VLOOKUP(Tabella13[[#This Row],[test_id]],experiments_specs!A:J,9,FALSE)</f>
        <v>wup_similarity</v>
      </c>
      <c r="J346" s="38" t="str">
        <f>VLOOKUP(Tabella13[[#This Row],[test_id]],experiments_specs!A:J,10,FALSE)</f>
        <v>True</v>
      </c>
      <c r="K346" s="40" t="s">
        <v>18</v>
      </c>
      <c r="L346" s="36" t="s">
        <v>472</v>
      </c>
      <c r="M346" s="36">
        <v>2</v>
      </c>
      <c r="N346" s="36">
        <v>2.02396E-2</v>
      </c>
      <c r="O346" s="36">
        <v>0.2105263</v>
      </c>
    </row>
    <row r="347" spans="1:15" ht="85" x14ac:dyDescent="0.2">
      <c r="A347" s="36" t="s">
        <v>1267</v>
      </c>
      <c r="B347" s="45" t="str">
        <f>VLOOKUP(Tabella13[[#This Row],[test_id]],experiments_specs!A:J,2,FALSE)</f>
        <v>NN,JJ,VB,VBD,VBG,VBN,VBP,VBZ</v>
      </c>
      <c r="C347" s="38">
        <f>VLOOKUP(Tabella13[[#This Row],[test_id]],experiments_specs!A:J,3,FALSE)</f>
        <v>0</v>
      </c>
      <c r="D347" s="38">
        <f>VLOOKUP(Tabella13[[#This Row],[test_id]],experiments_specs!A:J,4,FALSE)</f>
        <v>2</v>
      </c>
      <c r="E347" s="38" t="str">
        <f>VLOOKUP(Tabella13[[#This Row],[test_id]],experiments_specs!A:J,5,FALSE)</f>
        <v>True</v>
      </c>
      <c r="F347" s="38" t="str">
        <f>VLOOKUP(Tabella13[[#This Row],[test_id]],experiments_specs!A:J,6,FALSE)</f>
        <v>True</v>
      </c>
      <c r="G347" s="38" t="str">
        <f>VLOOKUP(Tabella13[[#This Row],[test_id]],experiments_specs!A:J,7,FALSE)</f>
        <v>True</v>
      </c>
      <c r="H347" s="38" t="str">
        <f>VLOOKUP(Tabella13[[#This Row],[test_id]],experiments_specs!A:J,8,FALSE)</f>
        <v>True</v>
      </c>
      <c r="I347" s="38" t="str">
        <f>VLOOKUP(Tabella13[[#This Row],[test_id]],experiments_specs!A:J,9,FALSE)</f>
        <v>wup_similarity</v>
      </c>
      <c r="J347" s="38" t="str">
        <f>VLOOKUP(Tabella13[[#This Row],[test_id]],experiments_specs!A:J,10,FALSE)</f>
        <v>True</v>
      </c>
      <c r="K347" s="40" t="s">
        <v>19</v>
      </c>
      <c r="L347" s="36" t="s">
        <v>1312</v>
      </c>
      <c r="M347" s="36" t="s">
        <v>1314</v>
      </c>
      <c r="N347" s="36">
        <v>2.64906E-2</v>
      </c>
      <c r="O347" s="36" t="s">
        <v>1434</v>
      </c>
    </row>
    <row r="348" spans="1:15" ht="85" x14ac:dyDescent="0.2">
      <c r="A348" s="36" t="s">
        <v>1267</v>
      </c>
      <c r="B348" s="45" t="str">
        <f>VLOOKUP(Tabella13[[#This Row],[test_id]],experiments_specs!A:J,2,FALSE)</f>
        <v>NN,JJ,VB,VBD,VBG,VBN,VBP,VBZ</v>
      </c>
      <c r="C348" s="38">
        <f>VLOOKUP(Tabella13[[#This Row],[test_id]],experiments_specs!A:J,3,FALSE)</f>
        <v>0</v>
      </c>
      <c r="D348" s="38">
        <f>VLOOKUP(Tabella13[[#This Row],[test_id]],experiments_specs!A:J,4,FALSE)</f>
        <v>2</v>
      </c>
      <c r="E348" s="38" t="str">
        <f>VLOOKUP(Tabella13[[#This Row],[test_id]],experiments_specs!A:J,5,FALSE)</f>
        <v>True</v>
      </c>
      <c r="F348" s="38" t="str">
        <f>VLOOKUP(Tabella13[[#This Row],[test_id]],experiments_specs!A:J,6,FALSE)</f>
        <v>True</v>
      </c>
      <c r="G348" s="38" t="str">
        <f>VLOOKUP(Tabella13[[#This Row],[test_id]],experiments_specs!A:J,7,FALSE)</f>
        <v>True</v>
      </c>
      <c r="H348" s="38" t="str">
        <f>VLOOKUP(Tabella13[[#This Row],[test_id]],experiments_specs!A:J,8,FALSE)</f>
        <v>True</v>
      </c>
      <c r="I348" s="38" t="str">
        <f>VLOOKUP(Tabella13[[#This Row],[test_id]],experiments_specs!A:J,9,FALSE)</f>
        <v>wup_similarity</v>
      </c>
      <c r="J348" s="38" t="str">
        <f>VLOOKUP(Tabella13[[#This Row],[test_id]],experiments_specs!A:J,10,FALSE)</f>
        <v>True</v>
      </c>
      <c r="K348" s="40" t="s">
        <v>12</v>
      </c>
      <c r="L348" s="36" t="s">
        <v>23</v>
      </c>
      <c r="M348" s="36">
        <v>2</v>
      </c>
      <c r="N348" s="36">
        <v>2.61978E-2</v>
      </c>
      <c r="O348" s="36">
        <v>0.42857139999999999</v>
      </c>
    </row>
    <row r="349" spans="1:15" ht="85" x14ac:dyDescent="0.2">
      <c r="A349" s="36" t="s">
        <v>1267</v>
      </c>
      <c r="B349" s="45" t="str">
        <f>VLOOKUP(Tabella13[[#This Row],[test_id]],experiments_specs!A:J,2,FALSE)</f>
        <v>NN,JJ,VB,VBD,VBG,VBN,VBP,VBZ</v>
      </c>
      <c r="C349" s="38">
        <f>VLOOKUP(Tabella13[[#This Row],[test_id]],experiments_specs!A:J,3,FALSE)</f>
        <v>0</v>
      </c>
      <c r="D349" s="38">
        <f>VLOOKUP(Tabella13[[#This Row],[test_id]],experiments_specs!A:J,4,FALSE)</f>
        <v>2</v>
      </c>
      <c r="E349" s="38" t="str">
        <f>VLOOKUP(Tabella13[[#This Row],[test_id]],experiments_specs!A:J,5,FALSE)</f>
        <v>True</v>
      </c>
      <c r="F349" s="38" t="str">
        <f>VLOOKUP(Tabella13[[#This Row],[test_id]],experiments_specs!A:J,6,FALSE)</f>
        <v>True</v>
      </c>
      <c r="G349" s="38" t="str">
        <f>VLOOKUP(Tabella13[[#This Row],[test_id]],experiments_specs!A:J,7,FALSE)</f>
        <v>True</v>
      </c>
      <c r="H349" s="38" t="str">
        <f>VLOOKUP(Tabella13[[#This Row],[test_id]],experiments_specs!A:J,8,FALSE)</f>
        <v>True</v>
      </c>
      <c r="I349" s="38" t="str">
        <f>VLOOKUP(Tabella13[[#This Row],[test_id]],experiments_specs!A:J,9,FALSE)</f>
        <v>wup_similarity</v>
      </c>
      <c r="J349" s="38" t="str">
        <f>VLOOKUP(Tabella13[[#This Row],[test_id]],experiments_specs!A:J,10,FALSE)</f>
        <v>True</v>
      </c>
      <c r="K349" s="40" t="s">
        <v>13</v>
      </c>
      <c r="L349" s="36" t="s">
        <v>327</v>
      </c>
      <c r="M349" s="36">
        <v>2</v>
      </c>
      <c r="N349" s="36">
        <v>3.2170400000000002E-2</v>
      </c>
      <c r="O349" s="36" t="s">
        <v>25</v>
      </c>
    </row>
    <row r="350" spans="1:15" ht="85" x14ac:dyDescent="0.2">
      <c r="A350" s="36" t="s">
        <v>1267</v>
      </c>
      <c r="B350" s="45" t="str">
        <f>VLOOKUP(Tabella13[[#This Row],[test_id]],experiments_specs!A:J,2,FALSE)</f>
        <v>NN,JJ,VB,VBD,VBG,VBN,VBP,VBZ</v>
      </c>
      <c r="C350" s="38">
        <f>VLOOKUP(Tabella13[[#This Row],[test_id]],experiments_specs!A:J,3,FALSE)</f>
        <v>0</v>
      </c>
      <c r="D350" s="38">
        <f>VLOOKUP(Tabella13[[#This Row],[test_id]],experiments_specs!A:J,4,FALSE)</f>
        <v>2</v>
      </c>
      <c r="E350" s="38" t="str">
        <f>VLOOKUP(Tabella13[[#This Row],[test_id]],experiments_specs!A:J,5,FALSE)</f>
        <v>True</v>
      </c>
      <c r="F350" s="38" t="str">
        <f>VLOOKUP(Tabella13[[#This Row],[test_id]],experiments_specs!A:J,6,FALSE)</f>
        <v>True</v>
      </c>
      <c r="G350" s="38" t="str">
        <f>VLOOKUP(Tabella13[[#This Row],[test_id]],experiments_specs!A:J,7,FALSE)</f>
        <v>True</v>
      </c>
      <c r="H350" s="38" t="str">
        <f>VLOOKUP(Tabella13[[#This Row],[test_id]],experiments_specs!A:J,8,FALSE)</f>
        <v>True</v>
      </c>
      <c r="I350" s="38" t="str">
        <f>VLOOKUP(Tabella13[[#This Row],[test_id]],experiments_specs!A:J,9,FALSE)</f>
        <v>wup_similarity</v>
      </c>
      <c r="J350" s="38" t="str">
        <f>VLOOKUP(Tabella13[[#This Row],[test_id]],experiments_specs!A:J,10,FALSE)</f>
        <v>True</v>
      </c>
      <c r="K350" s="40" t="s">
        <v>14</v>
      </c>
      <c r="L350" s="36" t="s">
        <v>1350</v>
      </c>
      <c r="M350" s="36" t="s">
        <v>1314</v>
      </c>
      <c r="N350" s="36">
        <v>1.39001E-2</v>
      </c>
      <c r="O350" s="36" t="s">
        <v>1444</v>
      </c>
    </row>
    <row r="351" spans="1:15" ht="85" x14ac:dyDescent="0.2">
      <c r="A351" s="36" t="s">
        <v>1267</v>
      </c>
      <c r="B351" s="45" t="str">
        <f>VLOOKUP(Tabella13[[#This Row],[test_id]],experiments_specs!A:J,2,FALSE)</f>
        <v>NN,JJ,VB,VBD,VBG,VBN,VBP,VBZ</v>
      </c>
      <c r="C351" s="38">
        <f>VLOOKUP(Tabella13[[#This Row],[test_id]],experiments_specs!A:J,3,FALSE)</f>
        <v>0</v>
      </c>
      <c r="D351" s="38">
        <f>VLOOKUP(Tabella13[[#This Row],[test_id]],experiments_specs!A:J,4,FALSE)</f>
        <v>2</v>
      </c>
      <c r="E351" s="38" t="str">
        <f>VLOOKUP(Tabella13[[#This Row],[test_id]],experiments_specs!A:J,5,FALSE)</f>
        <v>True</v>
      </c>
      <c r="F351" s="38" t="str">
        <f>VLOOKUP(Tabella13[[#This Row],[test_id]],experiments_specs!A:J,6,FALSE)</f>
        <v>True</v>
      </c>
      <c r="G351" s="38" t="str">
        <f>VLOOKUP(Tabella13[[#This Row],[test_id]],experiments_specs!A:J,7,FALSE)</f>
        <v>True</v>
      </c>
      <c r="H351" s="38" t="str">
        <f>VLOOKUP(Tabella13[[#This Row],[test_id]],experiments_specs!A:J,8,FALSE)</f>
        <v>True</v>
      </c>
      <c r="I351" s="38" t="str">
        <f>VLOOKUP(Tabella13[[#This Row],[test_id]],experiments_specs!A:J,9,FALSE)</f>
        <v>wup_similarity</v>
      </c>
      <c r="J351" s="38" t="str">
        <f>VLOOKUP(Tabella13[[#This Row],[test_id]],experiments_specs!A:J,10,FALSE)</f>
        <v>True</v>
      </c>
      <c r="K351" s="40" t="s">
        <v>15</v>
      </c>
      <c r="L351" s="36" t="s">
        <v>1348</v>
      </c>
      <c r="M351" s="36">
        <v>2</v>
      </c>
      <c r="N351" s="36">
        <v>4.5643499999999997E-2</v>
      </c>
      <c r="O351" s="36">
        <v>0.83333330000000005</v>
      </c>
    </row>
    <row r="352" spans="1:15" ht="85" x14ac:dyDescent="0.2">
      <c r="A352" s="36" t="s">
        <v>1267</v>
      </c>
      <c r="B352" s="45" t="str">
        <f>VLOOKUP(Tabella13[[#This Row],[test_id]],experiments_specs!A:J,2,FALSE)</f>
        <v>NN,JJ,VB,VBD,VBG,VBN,VBP,VBZ</v>
      </c>
      <c r="C352" s="38">
        <f>VLOOKUP(Tabella13[[#This Row],[test_id]],experiments_specs!A:J,3,FALSE)</f>
        <v>0</v>
      </c>
      <c r="D352" s="38">
        <f>VLOOKUP(Tabella13[[#This Row],[test_id]],experiments_specs!A:J,4,FALSE)</f>
        <v>2</v>
      </c>
      <c r="E352" s="38" t="str">
        <f>VLOOKUP(Tabella13[[#This Row],[test_id]],experiments_specs!A:J,5,FALSE)</f>
        <v>True</v>
      </c>
      <c r="F352" s="38" t="str">
        <f>VLOOKUP(Tabella13[[#This Row],[test_id]],experiments_specs!A:J,6,FALSE)</f>
        <v>True</v>
      </c>
      <c r="G352" s="38" t="str">
        <f>VLOOKUP(Tabella13[[#This Row],[test_id]],experiments_specs!A:J,7,FALSE)</f>
        <v>True</v>
      </c>
      <c r="H352" s="38" t="str">
        <f>VLOOKUP(Tabella13[[#This Row],[test_id]],experiments_specs!A:J,8,FALSE)</f>
        <v>True</v>
      </c>
      <c r="I352" s="38" t="str">
        <f>VLOOKUP(Tabella13[[#This Row],[test_id]],experiments_specs!A:J,9,FALSE)</f>
        <v>wup_similarity</v>
      </c>
      <c r="J352" s="38" t="str">
        <f>VLOOKUP(Tabella13[[#This Row],[test_id]],experiments_specs!A:J,10,FALSE)</f>
        <v>True</v>
      </c>
      <c r="K352" s="40" t="s">
        <v>16</v>
      </c>
      <c r="L352" s="36" t="s">
        <v>1333</v>
      </c>
      <c r="M352" s="36" t="s">
        <v>1314</v>
      </c>
      <c r="N352" s="36">
        <v>2.5441999999999999E-2</v>
      </c>
      <c r="O352" s="36" t="s">
        <v>1432</v>
      </c>
    </row>
    <row r="353" spans="1:15" ht="85" x14ac:dyDescent="0.2">
      <c r="A353" s="36" t="s">
        <v>1267</v>
      </c>
      <c r="B353" s="45" t="str">
        <f>VLOOKUP(Tabella13[[#This Row],[test_id]],experiments_specs!A:J,2,FALSE)</f>
        <v>NN,JJ,VB,VBD,VBG,VBN,VBP,VBZ</v>
      </c>
      <c r="C353" s="38">
        <f>VLOOKUP(Tabella13[[#This Row],[test_id]],experiments_specs!A:J,3,FALSE)</f>
        <v>0</v>
      </c>
      <c r="D353" s="38">
        <f>VLOOKUP(Tabella13[[#This Row],[test_id]],experiments_specs!A:J,4,FALSE)</f>
        <v>2</v>
      </c>
      <c r="E353" s="38" t="str">
        <f>VLOOKUP(Tabella13[[#This Row],[test_id]],experiments_specs!A:J,5,FALSE)</f>
        <v>True</v>
      </c>
      <c r="F353" s="38" t="str">
        <f>VLOOKUP(Tabella13[[#This Row],[test_id]],experiments_specs!A:J,6,FALSE)</f>
        <v>True</v>
      </c>
      <c r="G353" s="38" t="str">
        <f>VLOOKUP(Tabella13[[#This Row],[test_id]],experiments_specs!A:J,7,FALSE)</f>
        <v>True</v>
      </c>
      <c r="H353" s="38" t="str">
        <f>VLOOKUP(Tabella13[[#This Row],[test_id]],experiments_specs!A:J,8,FALSE)</f>
        <v>True</v>
      </c>
      <c r="I353" s="38" t="str">
        <f>VLOOKUP(Tabella13[[#This Row],[test_id]],experiments_specs!A:J,9,FALSE)</f>
        <v>wup_similarity</v>
      </c>
      <c r="J353" s="38" t="str">
        <f>VLOOKUP(Tabella13[[#This Row],[test_id]],experiments_specs!A:J,10,FALSE)</f>
        <v>True</v>
      </c>
      <c r="K353" s="40" t="s">
        <v>17</v>
      </c>
      <c r="L353" s="36" t="s">
        <v>1335</v>
      </c>
      <c r="M353" s="36" t="s">
        <v>1314</v>
      </c>
      <c r="N353" s="36">
        <v>1.85326E-2</v>
      </c>
      <c r="O353" s="36" t="s">
        <v>1440</v>
      </c>
    </row>
    <row r="354" spans="1:15" ht="85" x14ac:dyDescent="0.2">
      <c r="A354" s="36" t="s">
        <v>1267</v>
      </c>
      <c r="B354" s="45" t="str">
        <f>VLOOKUP(Tabella13[[#This Row],[test_id]],experiments_specs!A:J,2,FALSE)</f>
        <v>NN,JJ,VB,VBD,VBG,VBN,VBP,VBZ</v>
      </c>
      <c r="C354" s="38">
        <f>VLOOKUP(Tabella13[[#This Row],[test_id]],experiments_specs!A:J,3,FALSE)</f>
        <v>0</v>
      </c>
      <c r="D354" s="38">
        <f>VLOOKUP(Tabella13[[#This Row],[test_id]],experiments_specs!A:J,4,FALSE)</f>
        <v>2</v>
      </c>
      <c r="E354" s="38" t="str">
        <f>VLOOKUP(Tabella13[[#This Row],[test_id]],experiments_specs!A:J,5,FALSE)</f>
        <v>True</v>
      </c>
      <c r="F354" s="38" t="str">
        <f>VLOOKUP(Tabella13[[#This Row],[test_id]],experiments_specs!A:J,6,FALSE)</f>
        <v>True</v>
      </c>
      <c r="G354" s="38" t="str">
        <f>VLOOKUP(Tabella13[[#This Row],[test_id]],experiments_specs!A:J,7,FALSE)</f>
        <v>True</v>
      </c>
      <c r="H354" s="38" t="str">
        <f>VLOOKUP(Tabella13[[#This Row],[test_id]],experiments_specs!A:J,8,FALSE)</f>
        <v>True</v>
      </c>
      <c r="I354" s="38" t="str">
        <f>VLOOKUP(Tabella13[[#This Row],[test_id]],experiments_specs!A:J,9,FALSE)</f>
        <v>wup_similarity</v>
      </c>
      <c r="J354" s="38" t="str">
        <f>VLOOKUP(Tabella13[[#This Row],[test_id]],experiments_specs!A:J,10,FALSE)</f>
        <v>True</v>
      </c>
      <c r="K354" s="40" t="s">
        <v>18</v>
      </c>
      <c r="L354" s="36" t="s">
        <v>472</v>
      </c>
      <c r="M354" s="36">
        <v>2</v>
      </c>
      <c r="N354" s="36">
        <v>1.9049099999999999E-2</v>
      </c>
      <c r="O354" s="36">
        <v>0.2105263</v>
      </c>
    </row>
    <row r="355" spans="1:15" ht="85" x14ac:dyDescent="0.2">
      <c r="A355" s="36" t="s">
        <v>1268</v>
      </c>
      <c r="B355" s="45" t="str">
        <f>VLOOKUP(Tabella13[[#This Row],[test_id]],experiments_specs!A:J,2,FALSE)</f>
        <v>NN,JJ,VB,VBD,VBG,VBN,VBP,VBZ</v>
      </c>
      <c r="C355" s="38">
        <f>VLOOKUP(Tabella13[[#This Row],[test_id]],experiments_specs!A:J,3,FALSE)</f>
        <v>0</v>
      </c>
      <c r="D355" s="38">
        <f>VLOOKUP(Tabella13[[#This Row],[test_id]],experiments_specs!A:J,4,FALSE)</f>
        <v>3</v>
      </c>
      <c r="E355" s="38" t="str">
        <f>VLOOKUP(Tabella13[[#This Row],[test_id]],experiments_specs!A:J,5,FALSE)</f>
        <v>True</v>
      </c>
      <c r="F355" s="38" t="str">
        <f>VLOOKUP(Tabella13[[#This Row],[test_id]],experiments_specs!A:J,6,FALSE)</f>
        <v>True</v>
      </c>
      <c r="G355" s="38" t="str">
        <f>VLOOKUP(Tabella13[[#This Row],[test_id]],experiments_specs!A:J,7,FALSE)</f>
        <v>True</v>
      </c>
      <c r="H355" s="38" t="str">
        <f>VLOOKUP(Tabella13[[#This Row],[test_id]],experiments_specs!A:J,8,FALSE)</f>
        <v>True</v>
      </c>
      <c r="I355" s="38" t="str">
        <f>VLOOKUP(Tabella13[[#This Row],[test_id]],experiments_specs!A:J,9,FALSE)</f>
        <v>wup_similarity</v>
      </c>
      <c r="J355" s="38" t="str">
        <f>VLOOKUP(Tabella13[[#This Row],[test_id]],experiments_specs!A:J,10,FALSE)</f>
        <v>True</v>
      </c>
      <c r="K355" s="40" t="s">
        <v>19</v>
      </c>
      <c r="L355" s="36" t="s">
        <v>1312</v>
      </c>
      <c r="M355" s="36" t="s">
        <v>1314</v>
      </c>
      <c r="N355" s="36">
        <v>2.64906E-2</v>
      </c>
      <c r="O355" s="36" t="s">
        <v>1434</v>
      </c>
    </row>
    <row r="356" spans="1:15" ht="85" x14ac:dyDescent="0.2">
      <c r="A356" s="36" t="s">
        <v>1268</v>
      </c>
      <c r="B356" s="45" t="str">
        <f>VLOOKUP(Tabella13[[#This Row],[test_id]],experiments_specs!A:J,2,FALSE)</f>
        <v>NN,JJ,VB,VBD,VBG,VBN,VBP,VBZ</v>
      </c>
      <c r="C356" s="38">
        <f>VLOOKUP(Tabella13[[#This Row],[test_id]],experiments_specs!A:J,3,FALSE)</f>
        <v>0</v>
      </c>
      <c r="D356" s="38">
        <f>VLOOKUP(Tabella13[[#This Row],[test_id]],experiments_specs!A:J,4,FALSE)</f>
        <v>3</v>
      </c>
      <c r="E356" s="38" t="str">
        <f>VLOOKUP(Tabella13[[#This Row],[test_id]],experiments_specs!A:J,5,FALSE)</f>
        <v>True</v>
      </c>
      <c r="F356" s="38" t="str">
        <f>VLOOKUP(Tabella13[[#This Row],[test_id]],experiments_specs!A:J,6,FALSE)</f>
        <v>True</v>
      </c>
      <c r="G356" s="38" t="str">
        <f>VLOOKUP(Tabella13[[#This Row],[test_id]],experiments_specs!A:J,7,FALSE)</f>
        <v>True</v>
      </c>
      <c r="H356" s="38" t="str">
        <f>VLOOKUP(Tabella13[[#This Row],[test_id]],experiments_specs!A:J,8,FALSE)</f>
        <v>True</v>
      </c>
      <c r="I356" s="38" t="str">
        <f>VLOOKUP(Tabella13[[#This Row],[test_id]],experiments_specs!A:J,9,FALSE)</f>
        <v>wup_similarity</v>
      </c>
      <c r="J356" s="38" t="str">
        <f>VLOOKUP(Tabella13[[#This Row],[test_id]],experiments_specs!A:J,10,FALSE)</f>
        <v>True</v>
      </c>
      <c r="K356" s="40" t="s">
        <v>12</v>
      </c>
      <c r="L356" s="36" t="s">
        <v>23</v>
      </c>
      <c r="M356" s="36">
        <v>2</v>
      </c>
      <c r="N356" s="36">
        <v>2.61978E-2</v>
      </c>
      <c r="O356" s="36">
        <v>0.42857139999999999</v>
      </c>
    </row>
    <row r="357" spans="1:15" ht="85" x14ac:dyDescent="0.2">
      <c r="A357" s="36" t="s">
        <v>1268</v>
      </c>
      <c r="B357" s="45" t="str">
        <f>VLOOKUP(Tabella13[[#This Row],[test_id]],experiments_specs!A:J,2,FALSE)</f>
        <v>NN,JJ,VB,VBD,VBG,VBN,VBP,VBZ</v>
      </c>
      <c r="C357" s="38">
        <f>VLOOKUP(Tabella13[[#This Row],[test_id]],experiments_specs!A:J,3,FALSE)</f>
        <v>0</v>
      </c>
      <c r="D357" s="38">
        <f>VLOOKUP(Tabella13[[#This Row],[test_id]],experiments_specs!A:J,4,FALSE)</f>
        <v>3</v>
      </c>
      <c r="E357" s="38" t="str">
        <f>VLOOKUP(Tabella13[[#This Row],[test_id]],experiments_specs!A:J,5,FALSE)</f>
        <v>True</v>
      </c>
      <c r="F357" s="38" t="str">
        <f>VLOOKUP(Tabella13[[#This Row],[test_id]],experiments_specs!A:J,6,FALSE)</f>
        <v>True</v>
      </c>
      <c r="G357" s="38" t="str">
        <f>VLOOKUP(Tabella13[[#This Row],[test_id]],experiments_specs!A:J,7,FALSE)</f>
        <v>True</v>
      </c>
      <c r="H357" s="38" t="str">
        <f>VLOOKUP(Tabella13[[#This Row],[test_id]],experiments_specs!A:J,8,FALSE)</f>
        <v>True</v>
      </c>
      <c r="I357" s="38" t="str">
        <f>VLOOKUP(Tabella13[[#This Row],[test_id]],experiments_specs!A:J,9,FALSE)</f>
        <v>wup_similarity</v>
      </c>
      <c r="J357" s="38" t="str">
        <f>VLOOKUP(Tabella13[[#This Row],[test_id]],experiments_specs!A:J,10,FALSE)</f>
        <v>True</v>
      </c>
      <c r="K357" s="40" t="s">
        <v>13</v>
      </c>
      <c r="L357" s="36" t="s">
        <v>327</v>
      </c>
      <c r="M357" s="36">
        <v>2</v>
      </c>
      <c r="N357" s="36">
        <v>3.2170400000000002E-2</v>
      </c>
      <c r="O357" s="36" t="s">
        <v>25</v>
      </c>
    </row>
    <row r="358" spans="1:15" ht="85" x14ac:dyDescent="0.2">
      <c r="A358" s="36" t="s">
        <v>1268</v>
      </c>
      <c r="B358" s="45" t="str">
        <f>VLOOKUP(Tabella13[[#This Row],[test_id]],experiments_specs!A:J,2,FALSE)</f>
        <v>NN,JJ,VB,VBD,VBG,VBN,VBP,VBZ</v>
      </c>
      <c r="C358" s="38">
        <f>VLOOKUP(Tabella13[[#This Row],[test_id]],experiments_specs!A:J,3,FALSE)</f>
        <v>0</v>
      </c>
      <c r="D358" s="38">
        <f>VLOOKUP(Tabella13[[#This Row],[test_id]],experiments_specs!A:J,4,FALSE)</f>
        <v>3</v>
      </c>
      <c r="E358" s="38" t="str">
        <f>VLOOKUP(Tabella13[[#This Row],[test_id]],experiments_specs!A:J,5,FALSE)</f>
        <v>True</v>
      </c>
      <c r="F358" s="38" t="str">
        <f>VLOOKUP(Tabella13[[#This Row],[test_id]],experiments_specs!A:J,6,FALSE)</f>
        <v>True</v>
      </c>
      <c r="G358" s="38" t="str">
        <f>VLOOKUP(Tabella13[[#This Row],[test_id]],experiments_specs!A:J,7,FALSE)</f>
        <v>True</v>
      </c>
      <c r="H358" s="38" t="str">
        <f>VLOOKUP(Tabella13[[#This Row],[test_id]],experiments_specs!A:J,8,FALSE)</f>
        <v>True</v>
      </c>
      <c r="I358" s="38" t="str">
        <f>VLOOKUP(Tabella13[[#This Row],[test_id]],experiments_specs!A:J,9,FALSE)</f>
        <v>wup_similarity</v>
      </c>
      <c r="J358" s="38" t="str">
        <f>VLOOKUP(Tabella13[[#This Row],[test_id]],experiments_specs!A:J,10,FALSE)</f>
        <v>True</v>
      </c>
      <c r="K358" s="40" t="s">
        <v>14</v>
      </c>
      <c r="L358" s="36" t="s">
        <v>1350</v>
      </c>
      <c r="M358" s="36" t="s">
        <v>1314</v>
      </c>
      <c r="N358" s="36">
        <v>1.39001E-2</v>
      </c>
      <c r="O358" s="36" t="s">
        <v>1444</v>
      </c>
    </row>
    <row r="359" spans="1:15" ht="85" x14ac:dyDescent="0.2">
      <c r="A359" s="36" t="s">
        <v>1268</v>
      </c>
      <c r="B359" s="45" t="str">
        <f>VLOOKUP(Tabella13[[#This Row],[test_id]],experiments_specs!A:J,2,FALSE)</f>
        <v>NN,JJ,VB,VBD,VBG,VBN,VBP,VBZ</v>
      </c>
      <c r="C359" s="38">
        <f>VLOOKUP(Tabella13[[#This Row],[test_id]],experiments_specs!A:J,3,FALSE)</f>
        <v>0</v>
      </c>
      <c r="D359" s="38">
        <f>VLOOKUP(Tabella13[[#This Row],[test_id]],experiments_specs!A:J,4,FALSE)</f>
        <v>3</v>
      </c>
      <c r="E359" s="38" t="str">
        <f>VLOOKUP(Tabella13[[#This Row],[test_id]],experiments_specs!A:J,5,FALSE)</f>
        <v>True</v>
      </c>
      <c r="F359" s="38" t="str">
        <f>VLOOKUP(Tabella13[[#This Row],[test_id]],experiments_specs!A:J,6,FALSE)</f>
        <v>True</v>
      </c>
      <c r="G359" s="38" t="str">
        <f>VLOOKUP(Tabella13[[#This Row],[test_id]],experiments_specs!A:J,7,FALSE)</f>
        <v>True</v>
      </c>
      <c r="H359" s="38" t="str">
        <f>VLOOKUP(Tabella13[[#This Row],[test_id]],experiments_specs!A:J,8,FALSE)</f>
        <v>True</v>
      </c>
      <c r="I359" s="38" t="str">
        <f>VLOOKUP(Tabella13[[#This Row],[test_id]],experiments_specs!A:J,9,FALSE)</f>
        <v>wup_similarity</v>
      </c>
      <c r="J359" s="38" t="str">
        <f>VLOOKUP(Tabella13[[#This Row],[test_id]],experiments_specs!A:J,10,FALSE)</f>
        <v>True</v>
      </c>
      <c r="K359" s="40" t="s">
        <v>15</v>
      </c>
      <c r="L359" s="36" t="s">
        <v>1348</v>
      </c>
      <c r="M359" s="36">
        <v>2</v>
      </c>
      <c r="N359" s="36">
        <v>4.5643499999999997E-2</v>
      </c>
      <c r="O359" s="36">
        <v>0.83333330000000005</v>
      </c>
    </row>
    <row r="360" spans="1:15" ht="85" x14ac:dyDescent="0.2">
      <c r="A360" s="36" t="s">
        <v>1268</v>
      </c>
      <c r="B360" s="45" t="str">
        <f>VLOOKUP(Tabella13[[#This Row],[test_id]],experiments_specs!A:J,2,FALSE)</f>
        <v>NN,JJ,VB,VBD,VBG,VBN,VBP,VBZ</v>
      </c>
      <c r="C360" s="38">
        <f>VLOOKUP(Tabella13[[#This Row],[test_id]],experiments_specs!A:J,3,FALSE)</f>
        <v>0</v>
      </c>
      <c r="D360" s="38">
        <f>VLOOKUP(Tabella13[[#This Row],[test_id]],experiments_specs!A:J,4,FALSE)</f>
        <v>3</v>
      </c>
      <c r="E360" s="38" t="str">
        <f>VLOOKUP(Tabella13[[#This Row],[test_id]],experiments_specs!A:J,5,FALSE)</f>
        <v>True</v>
      </c>
      <c r="F360" s="38" t="str">
        <f>VLOOKUP(Tabella13[[#This Row],[test_id]],experiments_specs!A:J,6,FALSE)</f>
        <v>True</v>
      </c>
      <c r="G360" s="38" t="str">
        <f>VLOOKUP(Tabella13[[#This Row],[test_id]],experiments_specs!A:J,7,FALSE)</f>
        <v>True</v>
      </c>
      <c r="H360" s="38" t="str">
        <f>VLOOKUP(Tabella13[[#This Row],[test_id]],experiments_specs!A:J,8,FALSE)</f>
        <v>True</v>
      </c>
      <c r="I360" s="38" t="str">
        <f>VLOOKUP(Tabella13[[#This Row],[test_id]],experiments_specs!A:J,9,FALSE)</f>
        <v>wup_similarity</v>
      </c>
      <c r="J360" s="38" t="str">
        <f>VLOOKUP(Tabella13[[#This Row],[test_id]],experiments_specs!A:J,10,FALSE)</f>
        <v>True</v>
      </c>
      <c r="K360" s="40" t="s">
        <v>16</v>
      </c>
      <c r="L360" s="36" t="s">
        <v>1333</v>
      </c>
      <c r="M360" s="36" t="s">
        <v>1314</v>
      </c>
      <c r="N360" s="36">
        <v>2.5441999999999999E-2</v>
      </c>
      <c r="O360" s="36" t="s">
        <v>1432</v>
      </c>
    </row>
    <row r="361" spans="1:15" ht="85" x14ac:dyDescent="0.2">
      <c r="A361" s="36" t="s">
        <v>1268</v>
      </c>
      <c r="B361" s="45" t="str">
        <f>VLOOKUP(Tabella13[[#This Row],[test_id]],experiments_specs!A:J,2,FALSE)</f>
        <v>NN,JJ,VB,VBD,VBG,VBN,VBP,VBZ</v>
      </c>
      <c r="C361" s="38">
        <f>VLOOKUP(Tabella13[[#This Row],[test_id]],experiments_specs!A:J,3,FALSE)</f>
        <v>0</v>
      </c>
      <c r="D361" s="38">
        <f>VLOOKUP(Tabella13[[#This Row],[test_id]],experiments_specs!A:J,4,FALSE)</f>
        <v>3</v>
      </c>
      <c r="E361" s="38" t="str">
        <f>VLOOKUP(Tabella13[[#This Row],[test_id]],experiments_specs!A:J,5,FALSE)</f>
        <v>True</v>
      </c>
      <c r="F361" s="38" t="str">
        <f>VLOOKUP(Tabella13[[#This Row],[test_id]],experiments_specs!A:J,6,FALSE)</f>
        <v>True</v>
      </c>
      <c r="G361" s="38" t="str">
        <f>VLOOKUP(Tabella13[[#This Row],[test_id]],experiments_specs!A:J,7,FALSE)</f>
        <v>True</v>
      </c>
      <c r="H361" s="38" t="str">
        <f>VLOOKUP(Tabella13[[#This Row],[test_id]],experiments_specs!A:J,8,FALSE)</f>
        <v>True</v>
      </c>
      <c r="I361" s="38" t="str">
        <f>VLOOKUP(Tabella13[[#This Row],[test_id]],experiments_specs!A:J,9,FALSE)</f>
        <v>wup_similarity</v>
      </c>
      <c r="J361" s="38" t="str">
        <f>VLOOKUP(Tabella13[[#This Row],[test_id]],experiments_specs!A:J,10,FALSE)</f>
        <v>True</v>
      </c>
      <c r="K361" s="40" t="s">
        <v>17</v>
      </c>
      <c r="L361" s="36" t="s">
        <v>1335</v>
      </c>
      <c r="M361" s="36" t="s">
        <v>1314</v>
      </c>
      <c r="N361" s="36">
        <v>1.85326E-2</v>
      </c>
      <c r="O361" s="36" t="s">
        <v>1440</v>
      </c>
    </row>
    <row r="362" spans="1:15" ht="85" x14ac:dyDescent="0.2">
      <c r="A362" s="36" t="s">
        <v>1268</v>
      </c>
      <c r="B362" s="45" t="str">
        <f>VLOOKUP(Tabella13[[#This Row],[test_id]],experiments_specs!A:J,2,FALSE)</f>
        <v>NN,JJ,VB,VBD,VBG,VBN,VBP,VBZ</v>
      </c>
      <c r="C362" s="38">
        <f>VLOOKUP(Tabella13[[#This Row],[test_id]],experiments_specs!A:J,3,FALSE)</f>
        <v>0</v>
      </c>
      <c r="D362" s="38">
        <f>VLOOKUP(Tabella13[[#This Row],[test_id]],experiments_specs!A:J,4,FALSE)</f>
        <v>3</v>
      </c>
      <c r="E362" s="38" t="str">
        <f>VLOOKUP(Tabella13[[#This Row],[test_id]],experiments_specs!A:J,5,FALSE)</f>
        <v>True</v>
      </c>
      <c r="F362" s="38" t="str">
        <f>VLOOKUP(Tabella13[[#This Row],[test_id]],experiments_specs!A:J,6,FALSE)</f>
        <v>True</v>
      </c>
      <c r="G362" s="38" t="str">
        <f>VLOOKUP(Tabella13[[#This Row],[test_id]],experiments_specs!A:J,7,FALSE)</f>
        <v>True</v>
      </c>
      <c r="H362" s="38" t="str">
        <f>VLOOKUP(Tabella13[[#This Row],[test_id]],experiments_specs!A:J,8,FALSE)</f>
        <v>True</v>
      </c>
      <c r="I362" s="38" t="str">
        <f>VLOOKUP(Tabella13[[#This Row],[test_id]],experiments_specs!A:J,9,FALSE)</f>
        <v>wup_similarity</v>
      </c>
      <c r="J362" s="38" t="str">
        <f>VLOOKUP(Tabella13[[#This Row],[test_id]],experiments_specs!A:J,10,FALSE)</f>
        <v>True</v>
      </c>
      <c r="K362" s="40" t="s">
        <v>18</v>
      </c>
      <c r="L362" s="36" t="s">
        <v>472</v>
      </c>
      <c r="M362" s="36">
        <v>2</v>
      </c>
      <c r="N362" s="36">
        <v>1.9049099999999999E-2</v>
      </c>
      <c r="O362" s="36">
        <v>0.2105263</v>
      </c>
    </row>
    <row r="363" spans="1:15" ht="85" x14ac:dyDescent="0.2">
      <c r="A363" s="36" t="s">
        <v>1269</v>
      </c>
      <c r="B363" s="45" t="str">
        <f>VLOOKUP(Tabella13[[#This Row],[test_id]],experiments_specs!A:J,2,FALSE)</f>
        <v>NN,JJ</v>
      </c>
      <c r="C363" s="38">
        <f>VLOOKUP(Tabella13[[#This Row],[test_id]],experiments_specs!A:J,3,FALSE)</f>
        <v>0</v>
      </c>
      <c r="D363" s="38">
        <f>VLOOKUP(Tabella13[[#This Row],[test_id]],experiments_specs!A:J,4,FALSE)</f>
        <v>2</v>
      </c>
      <c r="E363" s="38" t="str">
        <f>VLOOKUP(Tabella13[[#This Row],[test_id]],experiments_specs!A:J,5,FALSE)</f>
        <v>False</v>
      </c>
      <c r="F363" s="38" t="str">
        <f>VLOOKUP(Tabella13[[#This Row],[test_id]],experiments_specs!A:J,6,FALSE)</f>
        <v>False</v>
      </c>
      <c r="G363" s="38" t="str">
        <f>VLOOKUP(Tabella13[[#This Row],[test_id]],experiments_specs!A:J,7,FALSE)</f>
        <v>True</v>
      </c>
      <c r="H363" s="38" t="str">
        <f>VLOOKUP(Tabella13[[#This Row],[test_id]],experiments_specs!A:J,8,FALSE)</f>
        <v>False</v>
      </c>
      <c r="I363" s="38" t="str">
        <f>VLOOKUP(Tabella13[[#This Row],[test_id]],experiments_specs!A:J,9,FALSE)</f>
        <v>wup_similarity</v>
      </c>
      <c r="J363" s="38" t="str">
        <f>VLOOKUP(Tabella13[[#This Row],[test_id]],experiments_specs!A:J,10,FALSE)</f>
        <v>False</v>
      </c>
      <c r="K363" s="40" t="s">
        <v>19</v>
      </c>
      <c r="L363" s="36" t="s">
        <v>1357</v>
      </c>
      <c r="M363" s="36">
        <v>3</v>
      </c>
      <c r="N363" s="36">
        <v>1.3236000000000001E-3</v>
      </c>
      <c r="O363" s="36">
        <v>0.18181810000000001</v>
      </c>
    </row>
    <row r="364" spans="1:15" ht="85" x14ac:dyDescent="0.2">
      <c r="A364" s="36" t="s">
        <v>1269</v>
      </c>
      <c r="B364" s="45" t="str">
        <f>VLOOKUP(Tabella13[[#This Row],[test_id]],experiments_specs!A:J,2,FALSE)</f>
        <v>NN,JJ</v>
      </c>
      <c r="C364" s="38">
        <f>VLOOKUP(Tabella13[[#This Row],[test_id]],experiments_specs!A:J,3,FALSE)</f>
        <v>0</v>
      </c>
      <c r="D364" s="38">
        <f>VLOOKUP(Tabella13[[#This Row],[test_id]],experiments_specs!A:J,4,FALSE)</f>
        <v>2</v>
      </c>
      <c r="E364" s="38" t="str">
        <f>VLOOKUP(Tabella13[[#This Row],[test_id]],experiments_specs!A:J,5,FALSE)</f>
        <v>False</v>
      </c>
      <c r="F364" s="38" t="str">
        <f>VLOOKUP(Tabella13[[#This Row],[test_id]],experiments_specs!A:J,6,FALSE)</f>
        <v>False</v>
      </c>
      <c r="G364" s="38" t="str">
        <f>VLOOKUP(Tabella13[[#This Row],[test_id]],experiments_specs!A:J,7,FALSE)</f>
        <v>True</v>
      </c>
      <c r="H364" s="38" t="str">
        <f>VLOOKUP(Tabella13[[#This Row],[test_id]],experiments_specs!A:J,8,FALSE)</f>
        <v>False</v>
      </c>
      <c r="I364" s="38" t="str">
        <f>VLOOKUP(Tabella13[[#This Row],[test_id]],experiments_specs!A:J,9,FALSE)</f>
        <v>wup_similarity</v>
      </c>
      <c r="J364" s="38" t="str">
        <f>VLOOKUP(Tabella13[[#This Row],[test_id]],experiments_specs!A:J,10,FALSE)</f>
        <v>False</v>
      </c>
      <c r="K364" s="40" t="s">
        <v>12</v>
      </c>
      <c r="L364" s="36" t="s">
        <v>1359</v>
      </c>
      <c r="M364" s="36" t="s">
        <v>1314</v>
      </c>
      <c r="N364" s="36">
        <v>9.9649999999999999E-4</v>
      </c>
      <c r="O364" s="36" t="s">
        <v>1444</v>
      </c>
    </row>
    <row r="365" spans="1:15" ht="85" x14ac:dyDescent="0.2">
      <c r="A365" s="36" t="s">
        <v>1269</v>
      </c>
      <c r="B365" s="45" t="str">
        <f>VLOOKUP(Tabella13[[#This Row],[test_id]],experiments_specs!A:J,2,FALSE)</f>
        <v>NN,JJ</v>
      </c>
      <c r="C365" s="38">
        <f>VLOOKUP(Tabella13[[#This Row],[test_id]],experiments_specs!A:J,3,FALSE)</f>
        <v>0</v>
      </c>
      <c r="D365" s="38">
        <f>VLOOKUP(Tabella13[[#This Row],[test_id]],experiments_specs!A:J,4,FALSE)</f>
        <v>2</v>
      </c>
      <c r="E365" s="38" t="str">
        <f>VLOOKUP(Tabella13[[#This Row],[test_id]],experiments_specs!A:J,5,FALSE)</f>
        <v>False</v>
      </c>
      <c r="F365" s="38" t="str">
        <f>VLOOKUP(Tabella13[[#This Row],[test_id]],experiments_specs!A:J,6,FALSE)</f>
        <v>False</v>
      </c>
      <c r="G365" s="38" t="str">
        <f>VLOOKUP(Tabella13[[#This Row],[test_id]],experiments_specs!A:J,7,FALSE)</f>
        <v>True</v>
      </c>
      <c r="H365" s="38" t="str">
        <f>VLOOKUP(Tabella13[[#This Row],[test_id]],experiments_specs!A:J,8,FALSE)</f>
        <v>False</v>
      </c>
      <c r="I365" s="38" t="str">
        <f>VLOOKUP(Tabella13[[#This Row],[test_id]],experiments_specs!A:J,9,FALSE)</f>
        <v>wup_similarity</v>
      </c>
      <c r="J365" s="38" t="str">
        <f>VLOOKUP(Tabella13[[#This Row],[test_id]],experiments_specs!A:J,10,FALSE)</f>
        <v>False</v>
      </c>
      <c r="K365" s="40" t="s">
        <v>13</v>
      </c>
      <c r="L365" s="36" t="s">
        <v>1360</v>
      </c>
      <c r="M365" s="36">
        <v>1</v>
      </c>
      <c r="N365" s="36">
        <v>2.0148000000000002E-3</v>
      </c>
      <c r="O365" s="36">
        <v>0.22222220000000001</v>
      </c>
    </row>
    <row r="366" spans="1:15" ht="85" x14ac:dyDescent="0.2">
      <c r="A366" s="36" t="s">
        <v>1269</v>
      </c>
      <c r="B366" s="45" t="str">
        <f>VLOOKUP(Tabella13[[#This Row],[test_id]],experiments_specs!A:J,2,FALSE)</f>
        <v>NN,JJ</v>
      </c>
      <c r="C366" s="38">
        <f>VLOOKUP(Tabella13[[#This Row],[test_id]],experiments_specs!A:J,3,FALSE)</f>
        <v>0</v>
      </c>
      <c r="D366" s="38">
        <f>VLOOKUP(Tabella13[[#This Row],[test_id]],experiments_specs!A:J,4,FALSE)</f>
        <v>2</v>
      </c>
      <c r="E366" s="38" t="str">
        <f>VLOOKUP(Tabella13[[#This Row],[test_id]],experiments_specs!A:J,5,FALSE)</f>
        <v>False</v>
      </c>
      <c r="F366" s="38" t="str">
        <f>VLOOKUP(Tabella13[[#This Row],[test_id]],experiments_specs!A:J,6,FALSE)</f>
        <v>False</v>
      </c>
      <c r="G366" s="38" t="str">
        <f>VLOOKUP(Tabella13[[#This Row],[test_id]],experiments_specs!A:J,7,FALSE)</f>
        <v>True</v>
      </c>
      <c r="H366" s="38" t="str">
        <f>VLOOKUP(Tabella13[[#This Row],[test_id]],experiments_specs!A:J,8,FALSE)</f>
        <v>False</v>
      </c>
      <c r="I366" s="38" t="str">
        <f>VLOOKUP(Tabella13[[#This Row],[test_id]],experiments_specs!A:J,9,FALSE)</f>
        <v>wup_similarity</v>
      </c>
      <c r="J366" s="38" t="str">
        <f>VLOOKUP(Tabella13[[#This Row],[test_id]],experiments_specs!A:J,10,FALSE)</f>
        <v>False</v>
      </c>
      <c r="K366" s="40" t="s">
        <v>14</v>
      </c>
      <c r="L366" s="36" t="s">
        <v>1361</v>
      </c>
      <c r="M366" s="36">
        <v>3</v>
      </c>
      <c r="N366" s="36">
        <v>1.2898E-3</v>
      </c>
      <c r="O366" s="36">
        <v>0.30769229999999997</v>
      </c>
    </row>
    <row r="367" spans="1:15" ht="85" x14ac:dyDescent="0.2">
      <c r="A367" s="36" t="s">
        <v>1269</v>
      </c>
      <c r="B367" s="45" t="str">
        <f>VLOOKUP(Tabella13[[#This Row],[test_id]],experiments_specs!A:J,2,FALSE)</f>
        <v>NN,JJ</v>
      </c>
      <c r="C367" s="38">
        <f>VLOOKUP(Tabella13[[#This Row],[test_id]],experiments_specs!A:J,3,FALSE)</f>
        <v>0</v>
      </c>
      <c r="D367" s="38">
        <f>VLOOKUP(Tabella13[[#This Row],[test_id]],experiments_specs!A:J,4,FALSE)</f>
        <v>2</v>
      </c>
      <c r="E367" s="38" t="str">
        <f>VLOOKUP(Tabella13[[#This Row],[test_id]],experiments_specs!A:J,5,FALSE)</f>
        <v>False</v>
      </c>
      <c r="F367" s="38" t="str">
        <f>VLOOKUP(Tabella13[[#This Row],[test_id]],experiments_specs!A:J,6,FALSE)</f>
        <v>False</v>
      </c>
      <c r="G367" s="38" t="str">
        <f>VLOOKUP(Tabella13[[#This Row],[test_id]],experiments_specs!A:J,7,FALSE)</f>
        <v>True</v>
      </c>
      <c r="H367" s="38" t="str">
        <f>VLOOKUP(Tabella13[[#This Row],[test_id]],experiments_specs!A:J,8,FALSE)</f>
        <v>False</v>
      </c>
      <c r="I367" s="38" t="str">
        <f>VLOOKUP(Tabella13[[#This Row],[test_id]],experiments_specs!A:J,9,FALSE)</f>
        <v>wup_similarity</v>
      </c>
      <c r="J367" s="38" t="str">
        <f>VLOOKUP(Tabella13[[#This Row],[test_id]],experiments_specs!A:J,10,FALSE)</f>
        <v>False</v>
      </c>
      <c r="K367" s="40" t="s">
        <v>15</v>
      </c>
      <c r="L367" s="36" t="s">
        <v>1362</v>
      </c>
      <c r="M367" s="36">
        <v>1</v>
      </c>
      <c r="N367" s="36">
        <v>1.8205999999999999E-3</v>
      </c>
      <c r="O367" s="36">
        <v>0.2</v>
      </c>
    </row>
    <row r="368" spans="1:15" ht="85" x14ac:dyDescent="0.2">
      <c r="A368" s="36" t="s">
        <v>1269</v>
      </c>
      <c r="B368" s="45" t="str">
        <f>VLOOKUP(Tabella13[[#This Row],[test_id]],experiments_specs!A:J,2,FALSE)</f>
        <v>NN,JJ</v>
      </c>
      <c r="C368" s="38">
        <f>VLOOKUP(Tabella13[[#This Row],[test_id]],experiments_specs!A:J,3,FALSE)</f>
        <v>0</v>
      </c>
      <c r="D368" s="38">
        <f>VLOOKUP(Tabella13[[#This Row],[test_id]],experiments_specs!A:J,4,FALSE)</f>
        <v>2</v>
      </c>
      <c r="E368" s="38" t="str">
        <f>VLOOKUP(Tabella13[[#This Row],[test_id]],experiments_specs!A:J,5,FALSE)</f>
        <v>False</v>
      </c>
      <c r="F368" s="38" t="str">
        <f>VLOOKUP(Tabella13[[#This Row],[test_id]],experiments_specs!A:J,6,FALSE)</f>
        <v>False</v>
      </c>
      <c r="G368" s="38" t="str">
        <f>VLOOKUP(Tabella13[[#This Row],[test_id]],experiments_specs!A:J,7,FALSE)</f>
        <v>True</v>
      </c>
      <c r="H368" s="38" t="str">
        <f>VLOOKUP(Tabella13[[#This Row],[test_id]],experiments_specs!A:J,8,FALSE)</f>
        <v>False</v>
      </c>
      <c r="I368" s="38" t="str">
        <f>VLOOKUP(Tabella13[[#This Row],[test_id]],experiments_specs!A:J,9,FALSE)</f>
        <v>wup_similarity</v>
      </c>
      <c r="J368" s="38" t="str">
        <f>VLOOKUP(Tabella13[[#This Row],[test_id]],experiments_specs!A:J,10,FALSE)</f>
        <v>False</v>
      </c>
      <c r="K368" s="40" t="s">
        <v>16</v>
      </c>
      <c r="L368" s="36" t="s">
        <v>554</v>
      </c>
      <c r="M368" s="36">
        <v>2</v>
      </c>
      <c r="N368" s="36">
        <v>1.2290999999999999E-3</v>
      </c>
      <c r="O368" s="36">
        <v>0.14285709999999999</v>
      </c>
    </row>
    <row r="369" spans="1:15" ht="85" x14ac:dyDescent="0.2">
      <c r="A369" s="36" t="s">
        <v>1269</v>
      </c>
      <c r="B369" s="45" t="str">
        <f>VLOOKUP(Tabella13[[#This Row],[test_id]],experiments_specs!A:J,2,FALSE)</f>
        <v>NN,JJ</v>
      </c>
      <c r="C369" s="38">
        <f>VLOOKUP(Tabella13[[#This Row],[test_id]],experiments_specs!A:J,3,FALSE)</f>
        <v>0</v>
      </c>
      <c r="D369" s="38">
        <f>VLOOKUP(Tabella13[[#This Row],[test_id]],experiments_specs!A:J,4,FALSE)</f>
        <v>2</v>
      </c>
      <c r="E369" s="38" t="str">
        <f>VLOOKUP(Tabella13[[#This Row],[test_id]],experiments_specs!A:J,5,FALSE)</f>
        <v>False</v>
      </c>
      <c r="F369" s="38" t="str">
        <f>VLOOKUP(Tabella13[[#This Row],[test_id]],experiments_specs!A:J,6,FALSE)</f>
        <v>False</v>
      </c>
      <c r="G369" s="38" t="str">
        <f>VLOOKUP(Tabella13[[#This Row],[test_id]],experiments_specs!A:J,7,FALSE)</f>
        <v>True</v>
      </c>
      <c r="H369" s="38" t="str">
        <f>VLOOKUP(Tabella13[[#This Row],[test_id]],experiments_specs!A:J,8,FALSE)</f>
        <v>False</v>
      </c>
      <c r="I369" s="38" t="str">
        <f>VLOOKUP(Tabella13[[#This Row],[test_id]],experiments_specs!A:J,9,FALSE)</f>
        <v>wup_similarity</v>
      </c>
      <c r="J369" s="38" t="str">
        <f>VLOOKUP(Tabella13[[#This Row],[test_id]],experiments_specs!A:J,10,FALSE)</f>
        <v>False</v>
      </c>
      <c r="K369" s="40" t="s">
        <v>17</v>
      </c>
      <c r="L369" s="36" t="s">
        <v>1364</v>
      </c>
      <c r="M369" s="36" t="s">
        <v>1366</v>
      </c>
      <c r="N369" s="36">
        <v>1.1877999999999999E-3</v>
      </c>
      <c r="O369" s="36" t="s">
        <v>1448</v>
      </c>
    </row>
    <row r="370" spans="1:15" ht="85" x14ac:dyDescent="0.2">
      <c r="A370" s="36" t="s">
        <v>1269</v>
      </c>
      <c r="B370" s="45" t="str">
        <f>VLOOKUP(Tabella13[[#This Row],[test_id]],experiments_specs!A:J,2,FALSE)</f>
        <v>NN,JJ</v>
      </c>
      <c r="C370" s="38">
        <f>VLOOKUP(Tabella13[[#This Row],[test_id]],experiments_specs!A:J,3,FALSE)</f>
        <v>0</v>
      </c>
      <c r="D370" s="38">
        <f>VLOOKUP(Tabella13[[#This Row],[test_id]],experiments_specs!A:J,4,FALSE)</f>
        <v>2</v>
      </c>
      <c r="E370" s="38" t="str">
        <f>VLOOKUP(Tabella13[[#This Row],[test_id]],experiments_specs!A:J,5,FALSE)</f>
        <v>False</v>
      </c>
      <c r="F370" s="38" t="str">
        <f>VLOOKUP(Tabella13[[#This Row],[test_id]],experiments_specs!A:J,6,FALSE)</f>
        <v>False</v>
      </c>
      <c r="G370" s="38" t="str">
        <f>VLOOKUP(Tabella13[[#This Row],[test_id]],experiments_specs!A:J,7,FALSE)</f>
        <v>True</v>
      </c>
      <c r="H370" s="38" t="str">
        <f>VLOOKUP(Tabella13[[#This Row],[test_id]],experiments_specs!A:J,8,FALSE)</f>
        <v>False</v>
      </c>
      <c r="I370" s="38" t="str">
        <f>VLOOKUP(Tabella13[[#This Row],[test_id]],experiments_specs!A:J,9,FALSE)</f>
        <v>wup_similarity</v>
      </c>
      <c r="J370" s="38" t="str">
        <f>VLOOKUP(Tabella13[[#This Row],[test_id]],experiments_specs!A:J,10,FALSE)</f>
        <v>False</v>
      </c>
      <c r="K370" s="40" t="s">
        <v>18</v>
      </c>
      <c r="L370" s="36" t="s">
        <v>560</v>
      </c>
      <c r="M370" s="36">
        <v>2</v>
      </c>
      <c r="N370" s="36">
        <v>1.1735000000000001E-3</v>
      </c>
      <c r="O370" s="36">
        <v>0.1111111</v>
      </c>
    </row>
    <row r="371" spans="1:15" ht="85" x14ac:dyDescent="0.2">
      <c r="A371" s="36" t="s">
        <v>1270</v>
      </c>
      <c r="B371" s="45" t="str">
        <f>VLOOKUP(Tabella13[[#This Row],[test_id]],experiments_specs!A:J,2,FALSE)</f>
        <v>NN,JJ</v>
      </c>
      <c r="C371" s="38">
        <f>VLOOKUP(Tabella13[[#This Row],[test_id]],experiments_specs!A:J,3,FALSE)</f>
        <v>0</v>
      </c>
      <c r="D371" s="38">
        <f>VLOOKUP(Tabella13[[#This Row],[test_id]],experiments_specs!A:J,4,FALSE)</f>
        <v>3</v>
      </c>
      <c r="E371" s="38" t="str">
        <f>VLOOKUP(Tabella13[[#This Row],[test_id]],experiments_specs!A:J,5,FALSE)</f>
        <v>False</v>
      </c>
      <c r="F371" s="38" t="str">
        <f>VLOOKUP(Tabella13[[#This Row],[test_id]],experiments_specs!A:J,6,FALSE)</f>
        <v>False</v>
      </c>
      <c r="G371" s="38" t="str">
        <f>VLOOKUP(Tabella13[[#This Row],[test_id]],experiments_specs!A:J,7,FALSE)</f>
        <v>True</v>
      </c>
      <c r="H371" s="38" t="str">
        <f>VLOOKUP(Tabella13[[#This Row],[test_id]],experiments_specs!A:J,8,FALSE)</f>
        <v>False</v>
      </c>
      <c r="I371" s="38" t="str">
        <f>VLOOKUP(Tabella13[[#This Row],[test_id]],experiments_specs!A:J,9,FALSE)</f>
        <v>wup_similarity</v>
      </c>
      <c r="J371" s="38" t="str">
        <f>VLOOKUP(Tabella13[[#This Row],[test_id]],experiments_specs!A:J,10,FALSE)</f>
        <v>False</v>
      </c>
      <c r="K371" s="40" t="s">
        <v>19</v>
      </c>
      <c r="L371" s="36" t="s">
        <v>1357</v>
      </c>
      <c r="M371" s="36">
        <v>3</v>
      </c>
      <c r="N371" s="36">
        <v>1.3236000000000001E-3</v>
      </c>
      <c r="O371" s="36">
        <v>0.18181810000000001</v>
      </c>
    </row>
    <row r="372" spans="1:15" ht="85" x14ac:dyDescent="0.2">
      <c r="A372" s="36" t="s">
        <v>1270</v>
      </c>
      <c r="B372" s="45" t="str">
        <f>VLOOKUP(Tabella13[[#This Row],[test_id]],experiments_specs!A:J,2,FALSE)</f>
        <v>NN,JJ</v>
      </c>
      <c r="C372" s="38">
        <f>VLOOKUP(Tabella13[[#This Row],[test_id]],experiments_specs!A:J,3,FALSE)</f>
        <v>0</v>
      </c>
      <c r="D372" s="38">
        <f>VLOOKUP(Tabella13[[#This Row],[test_id]],experiments_specs!A:J,4,FALSE)</f>
        <v>3</v>
      </c>
      <c r="E372" s="38" t="str">
        <f>VLOOKUP(Tabella13[[#This Row],[test_id]],experiments_specs!A:J,5,FALSE)</f>
        <v>False</v>
      </c>
      <c r="F372" s="38" t="str">
        <f>VLOOKUP(Tabella13[[#This Row],[test_id]],experiments_specs!A:J,6,FALSE)</f>
        <v>False</v>
      </c>
      <c r="G372" s="38" t="str">
        <f>VLOOKUP(Tabella13[[#This Row],[test_id]],experiments_specs!A:J,7,FALSE)</f>
        <v>True</v>
      </c>
      <c r="H372" s="38" t="str">
        <f>VLOOKUP(Tabella13[[#This Row],[test_id]],experiments_specs!A:J,8,FALSE)</f>
        <v>False</v>
      </c>
      <c r="I372" s="38" t="str">
        <f>VLOOKUP(Tabella13[[#This Row],[test_id]],experiments_specs!A:J,9,FALSE)</f>
        <v>wup_similarity</v>
      </c>
      <c r="J372" s="38" t="str">
        <f>VLOOKUP(Tabella13[[#This Row],[test_id]],experiments_specs!A:J,10,FALSE)</f>
        <v>False</v>
      </c>
      <c r="K372" s="40" t="s">
        <v>12</v>
      </c>
      <c r="L372" s="36" t="s">
        <v>1359</v>
      </c>
      <c r="M372" s="36" t="s">
        <v>1314</v>
      </c>
      <c r="N372" s="36">
        <v>9.9649999999999999E-4</v>
      </c>
      <c r="O372" s="36" t="s">
        <v>1444</v>
      </c>
    </row>
    <row r="373" spans="1:15" ht="85" x14ac:dyDescent="0.2">
      <c r="A373" s="36" t="s">
        <v>1270</v>
      </c>
      <c r="B373" s="45" t="str">
        <f>VLOOKUP(Tabella13[[#This Row],[test_id]],experiments_specs!A:J,2,FALSE)</f>
        <v>NN,JJ</v>
      </c>
      <c r="C373" s="38">
        <f>VLOOKUP(Tabella13[[#This Row],[test_id]],experiments_specs!A:J,3,FALSE)</f>
        <v>0</v>
      </c>
      <c r="D373" s="38">
        <f>VLOOKUP(Tabella13[[#This Row],[test_id]],experiments_specs!A:J,4,FALSE)</f>
        <v>3</v>
      </c>
      <c r="E373" s="38" t="str">
        <f>VLOOKUP(Tabella13[[#This Row],[test_id]],experiments_specs!A:J,5,FALSE)</f>
        <v>False</v>
      </c>
      <c r="F373" s="38" t="str">
        <f>VLOOKUP(Tabella13[[#This Row],[test_id]],experiments_specs!A:J,6,FALSE)</f>
        <v>False</v>
      </c>
      <c r="G373" s="38" t="str">
        <f>VLOOKUP(Tabella13[[#This Row],[test_id]],experiments_specs!A:J,7,FALSE)</f>
        <v>True</v>
      </c>
      <c r="H373" s="38" t="str">
        <f>VLOOKUP(Tabella13[[#This Row],[test_id]],experiments_specs!A:J,8,FALSE)</f>
        <v>False</v>
      </c>
      <c r="I373" s="38" t="str">
        <f>VLOOKUP(Tabella13[[#This Row],[test_id]],experiments_specs!A:J,9,FALSE)</f>
        <v>wup_similarity</v>
      </c>
      <c r="J373" s="38" t="str">
        <f>VLOOKUP(Tabella13[[#This Row],[test_id]],experiments_specs!A:J,10,FALSE)</f>
        <v>False</v>
      </c>
      <c r="K373" s="40" t="s">
        <v>13</v>
      </c>
      <c r="L373" s="36" t="s">
        <v>1360</v>
      </c>
      <c r="M373" s="36">
        <v>1</v>
      </c>
      <c r="N373" s="36">
        <v>2.0148000000000002E-3</v>
      </c>
      <c r="O373" s="36">
        <v>0.22222220000000001</v>
      </c>
    </row>
    <row r="374" spans="1:15" ht="85" x14ac:dyDescent="0.2">
      <c r="A374" s="36" t="s">
        <v>1270</v>
      </c>
      <c r="B374" s="45" t="str">
        <f>VLOOKUP(Tabella13[[#This Row],[test_id]],experiments_specs!A:J,2,FALSE)</f>
        <v>NN,JJ</v>
      </c>
      <c r="C374" s="38">
        <f>VLOOKUP(Tabella13[[#This Row],[test_id]],experiments_specs!A:J,3,FALSE)</f>
        <v>0</v>
      </c>
      <c r="D374" s="38">
        <f>VLOOKUP(Tabella13[[#This Row],[test_id]],experiments_specs!A:J,4,FALSE)</f>
        <v>3</v>
      </c>
      <c r="E374" s="38" t="str">
        <f>VLOOKUP(Tabella13[[#This Row],[test_id]],experiments_specs!A:J,5,FALSE)</f>
        <v>False</v>
      </c>
      <c r="F374" s="38" t="str">
        <f>VLOOKUP(Tabella13[[#This Row],[test_id]],experiments_specs!A:J,6,FALSE)</f>
        <v>False</v>
      </c>
      <c r="G374" s="38" t="str">
        <f>VLOOKUP(Tabella13[[#This Row],[test_id]],experiments_specs!A:J,7,FALSE)</f>
        <v>True</v>
      </c>
      <c r="H374" s="38" t="str">
        <f>VLOOKUP(Tabella13[[#This Row],[test_id]],experiments_specs!A:J,8,FALSE)</f>
        <v>False</v>
      </c>
      <c r="I374" s="38" t="str">
        <f>VLOOKUP(Tabella13[[#This Row],[test_id]],experiments_specs!A:J,9,FALSE)</f>
        <v>wup_similarity</v>
      </c>
      <c r="J374" s="38" t="str">
        <f>VLOOKUP(Tabella13[[#This Row],[test_id]],experiments_specs!A:J,10,FALSE)</f>
        <v>False</v>
      </c>
      <c r="K374" s="40" t="s">
        <v>14</v>
      </c>
      <c r="L374" s="36" t="s">
        <v>1361</v>
      </c>
      <c r="M374" s="36">
        <v>3</v>
      </c>
      <c r="N374" s="36">
        <v>1.2898E-3</v>
      </c>
      <c r="O374" s="36">
        <v>0.30769229999999997</v>
      </c>
    </row>
    <row r="375" spans="1:15" ht="85" x14ac:dyDescent="0.2">
      <c r="A375" s="36" t="s">
        <v>1270</v>
      </c>
      <c r="B375" s="45" t="str">
        <f>VLOOKUP(Tabella13[[#This Row],[test_id]],experiments_specs!A:J,2,FALSE)</f>
        <v>NN,JJ</v>
      </c>
      <c r="C375" s="38">
        <f>VLOOKUP(Tabella13[[#This Row],[test_id]],experiments_specs!A:J,3,FALSE)</f>
        <v>0</v>
      </c>
      <c r="D375" s="38">
        <f>VLOOKUP(Tabella13[[#This Row],[test_id]],experiments_specs!A:J,4,FALSE)</f>
        <v>3</v>
      </c>
      <c r="E375" s="38" t="str">
        <f>VLOOKUP(Tabella13[[#This Row],[test_id]],experiments_specs!A:J,5,FALSE)</f>
        <v>False</v>
      </c>
      <c r="F375" s="38" t="str">
        <f>VLOOKUP(Tabella13[[#This Row],[test_id]],experiments_specs!A:J,6,FALSE)</f>
        <v>False</v>
      </c>
      <c r="G375" s="38" t="str">
        <f>VLOOKUP(Tabella13[[#This Row],[test_id]],experiments_specs!A:J,7,FALSE)</f>
        <v>True</v>
      </c>
      <c r="H375" s="38" t="str">
        <f>VLOOKUP(Tabella13[[#This Row],[test_id]],experiments_specs!A:J,8,FALSE)</f>
        <v>False</v>
      </c>
      <c r="I375" s="38" t="str">
        <f>VLOOKUP(Tabella13[[#This Row],[test_id]],experiments_specs!A:J,9,FALSE)</f>
        <v>wup_similarity</v>
      </c>
      <c r="J375" s="38" t="str">
        <f>VLOOKUP(Tabella13[[#This Row],[test_id]],experiments_specs!A:J,10,FALSE)</f>
        <v>False</v>
      </c>
      <c r="K375" s="40" t="s">
        <v>15</v>
      </c>
      <c r="L375" s="36" t="s">
        <v>1362</v>
      </c>
      <c r="M375" s="36">
        <v>1</v>
      </c>
      <c r="N375" s="36">
        <v>1.8205999999999999E-3</v>
      </c>
      <c r="O375" s="36">
        <v>0.2</v>
      </c>
    </row>
    <row r="376" spans="1:15" ht="85" x14ac:dyDescent="0.2">
      <c r="A376" s="36" t="s">
        <v>1270</v>
      </c>
      <c r="B376" s="45" t="str">
        <f>VLOOKUP(Tabella13[[#This Row],[test_id]],experiments_specs!A:J,2,FALSE)</f>
        <v>NN,JJ</v>
      </c>
      <c r="C376" s="38">
        <f>VLOOKUP(Tabella13[[#This Row],[test_id]],experiments_specs!A:J,3,FALSE)</f>
        <v>0</v>
      </c>
      <c r="D376" s="38">
        <f>VLOOKUP(Tabella13[[#This Row],[test_id]],experiments_specs!A:J,4,FALSE)</f>
        <v>3</v>
      </c>
      <c r="E376" s="38" t="str">
        <f>VLOOKUP(Tabella13[[#This Row],[test_id]],experiments_specs!A:J,5,FALSE)</f>
        <v>False</v>
      </c>
      <c r="F376" s="38" t="str">
        <f>VLOOKUP(Tabella13[[#This Row],[test_id]],experiments_specs!A:J,6,FALSE)</f>
        <v>False</v>
      </c>
      <c r="G376" s="38" t="str">
        <f>VLOOKUP(Tabella13[[#This Row],[test_id]],experiments_specs!A:J,7,FALSE)</f>
        <v>True</v>
      </c>
      <c r="H376" s="38" t="str">
        <f>VLOOKUP(Tabella13[[#This Row],[test_id]],experiments_specs!A:J,8,FALSE)</f>
        <v>False</v>
      </c>
      <c r="I376" s="38" t="str">
        <f>VLOOKUP(Tabella13[[#This Row],[test_id]],experiments_specs!A:J,9,FALSE)</f>
        <v>wup_similarity</v>
      </c>
      <c r="J376" s="38" t="str">
        <f>VLOOKUP(Tabella13[[#This Row],[test_id]],experiments_specs!A:J,10,FALSE)</f>
        <v>False</v>
      </c>
      <c r="K376" s="40" t="s">
        <v>16</v>
      </c>
      <c r="L376" s="36" t="s">
        <v>554</v>
      </c>
      <c r="M376" s="36">
        <v>2</v>
      </c>
      <c r="N376" s="36">
        <v>1.2290999999999999E-3</v>
      </c>
      <c r="O376" s="36">
        <v>0.14285709999999999</v>
      </c>
    </row>
    <row r="377" spans="1:15" ht="85" x14ac:dyDescent="0.2">
      <c r="A377" s="36" t="s">
        <v>1270</v>
      </c>
      <c r="B377" s="45" t="str">
        <f>VLOOKUP(Tabella13[[#This Row],[test_id]],experiments_specs!A:J,2,FALSE)</f>
        <v>NN,JJ</v>
      </c>
      <c r="C377" s="38">
        <f>VLOOKUP(Tabella13[[#This Row],[test_id]],experiments_specs!A:J,3,FALSE)</f>
        <v>0</v>
      </c>
      <c r="D377" s="38">
        <f>VLOOKUP(Tabella13[[#This Row],[test_id]],experiments_specs!A:J,4,FALSE)</f>
        <v>3</v>
      </c>
      <c r="E377" s="38" t="str">
        <f>VLOOKUP(Tabella13[[#This Row],[test_id]],experiments_specs!A:J,5,FALSE)</f>
        <v>False</v>
      </c>
      <c r="F377" s="38" t="str">
        <f>VLOOKUP(Tabella13[[#This Row],[test_id]],experiments_specs!A:J,6,FALSE)</f>
        <v>False</v>
      </c>
      <c r="G377" s="38" t="str">
        <f>VLOOKUP(Tabella13[[#This Row],[test_id]],experiments_specs!A:J,7,FALSE)</f>
        <v>True</v>
      </c>
      <c r="H377" s="38" t="str">
        <f>VLOOKUP(Tabella13[[#This Row],[test_id]],experiments_specs!A:J,8,FALSE)</f>
        <v>False</v>
      </c>
      <c r="I377" s="38" t="str">
        <f>VLOOKUP(Tabella13[[#This Row],[test_id]],experiments_specs!A:J,9,FALSE)</f>
        <v>wup_similarity</v>
      </c>
      <c r="J377" s="38" t="str">
        <f>VLOOKUP(Tabella13[[#This Row],[test_id]],experiments_specs!A:J,10,FALSE)</f>
        <v>False</v>
      </c>
      <c r="K377" s="40" t="s">
        <v>17</v>
      </c>
      <c r="L377" s="36" t="s">
        <v>1364</v>
      </c>
      <c r="M377" s="36" t="s">
        <v>1366</v>
      </c>
      <c r="N377" s="36">
        <v>1.1877999999999999E-3</v>
      </c>
      <c r="O377" s="36" t="s">
        <v>1448</v>
      </c>
    </row>
    <row r="378" spans="1:15" ht="85" x14ac:dyDescent="0.2">
      <c r="A378" s="36" t="s">
        <v>1270</v>
      </c>
      <c r="B378" s="45" t="str">
        <f>VLOOKUP(Tabella13[[#This Row],[test_id]],experiments_specs!A:J,2,FALSE)</f>
        <v>NN,JJ</v>
      </c>
      <c r="C378" s="38">
        <f>VLOOKUP(Tabella13[[#This Row],[test_id]],experiments_specs!A:J,3,FALSE)</f>
        <v>0</v>
      </c>
      <c r="D378" s="38">
        <f>VLOOKUP(Tabella13[[#This Row],[test_id]],experiments_specs!A:J,4,FALSE)</f>
        <v>3</v>
      </c>
      <c r="E378" s="38" t="str">
        <f>VLOOKUP(Tabella13[[#This Row],[test_id]],experiments_specs!A:J,5,FALSE)</f>
        <v>False</v>
      </c>
      <c r="F378" s="38" t="str">
        <f>VLOOKUP(Tabella13[[#This Row],[test_id]],experiments_specs!A:J,6,FALSE)</f>
        <v>False</v>
      </c>
      <c r="G378" s="38" t="str">
        <f>VLOOKUP(Tabella13[[#This Row],[test_id]],experiments_specs!A:J,7,FALSE)</f>
        <v>True</v>
      </c>
      <c r="H378" s="38" t="str">
        <f>VLOOKUP(Tabella13[[#This Row],[test_id]],experiments_specs!A:J,8,FALSE)</f>
        <v>False</v>
      </c>
      <c r="I378" s="38" t="str">
        <f>VLOOKUP(Tabella13[[#This Row],[test_id]],experiments_specs!A:J,9,FALSE)</f>
        <v>wup_similarity</v>
      </c>
      <c r="J378" s="38" t="str">
        <f>VLOOKUP(Tabella13[[#This Row],[test_id]],experiments_specs!A:J,10,FALSE)</f>
        <v>False</v>
      </c>
      <c r="K378" s="40" t="s">
        <v>18</v>
      </c>
      <c r="L378" s="36" t="s">
        <v>560</v>
      </c>
      <c r="M378" s="36">
        <v>2</v>
      </c>
      <c r="N378" s="36">
        <v>1.1735000000000001E-3</v>
      </c>
      <c r="O378" s="36">
        <v>0.1111111</v>
      </c>
    </row>
    <row r="379" spans="1:15" ht="85" x14ac:dyDescent="0.2">
      <c r="A379" s="36" t="s">
        <v>1271</v>
      </c>
      <c r="B379" s="45" t="str">
        <f>VLOOKUP(Tabella13[[#This Row],[test_id]],experiments_specs!A:J,2,FALSE)</f>
        <v>NN,VB,VBD,VBG,VBN,VBP,VBZ</v>
      </c>
      <c r="C379" s="38">
        <f>VLOOKUP(Tabella13[[#This Row],[test_id]],experiments_specs!A:J,3,FALSE)</f>
        <v>0</v>
      </c>
      <c r="D379" s="38">
        <f>VLOOKUP(Tabella13[[#This Row],[test_id]],experiments_specs!A:J,4,FALSE)</f>
        <v>2</v>
      </c>
      <c r="E379" s="38" t="str">
        <f>VLOOKUP(Tabella13[[#This Row],[test_id]],experiments_specs!A:J,5,FALSE)</f>
        <v>False</v>
      </c>
      <c r="F379" s="38" t="str">
        <f>VLOOKUP(Tabella13[[#This Row],[test_id]],experiments_specs!A:J,6,FALSE)</f>
        <v>False</v>
      </c>
      <c r="G379" s="38" t="str">
        <f>VLOOKUP(Tabella13[[#This Row],[test_id]],experiments_specs!A:J,7,FALSE)</f>
        <v>True</v>
      </c>
      <c r="H379" s="38" t="str">
        <f>VLOOKUP(Tabella13[[#This Row],[test_id]],experiments_specs!A:J,8,FALSE)</f>
        <v>False</v>
      </c>
      <c r="I379" s="38" t="str">
        <f>VLOOKUP(Tabella13[[#This Row],[test_id]],experiments_specs!A:J,9,FALSE)</f>
        <v>wup_similarity</v>
      </c>
      <c r="J379" s="38" t="str">
        <f>VLOOKUP(Tabella13[[#This Row],[test_id]],experiments_specs!A:J,10,FALSE)</f>
        <v>False</v>
      </c>
      <c r="K379" s="40" t="s">
        <v>19</v>
      </c>
      <c r="L379" s="36" t="s">
        <v>1357</v>
      </c>
      <c r="M379" s="36">
        <v>3</v>
      </c>
      <c r="N379" s="36">
        <v>1.8129999999999999E-3</v>
      </c>
      <c r="O379" s="36">
        <v>0.18181810000000001</v>
      </c>
    </row>
    <row r="380" spans="1:15" ht="85" x14ac:dyDescent="0.2">
      <c r="A380" s="36" t="s">
        <v>1271</v>
      </c>
      <c r="B380" s="45" t="str">
        <f>VLOOKUP(Tabella13[[#This Row],[test_id]],experiments_specs!A:J,2,FALSE)</f>
        <v>NN,VB,VBD,VBG,VBN,VBP,VBZ</v>
      </c>
      <c r="C380" s="38">
        <f>VLOOKUP(Tabella13[[#This Row],[test_id]],experiments_specs!A:J,3,FALSE)</f>
        <v>0</v>
      </c>
      <c r="D380" s="38">
        <f>VLOOKUP(Tabella13[[#This Row],[test_id]],experiments_specs!A:J,4,FALSE)</f>
        <v>2</v>
      </c>
      <c r="E380" s="38" t="str">
        <f>VLOOKUP(Tabella13[[#This Row],[test_id]],experiments_specs!A:J,5,FALSE)</f>
        <v>False</v>
      </c>
      <c r="F380" s="38" t="str">
        <f>VLOOKUP(Tabella13[[#This Row],[test_id]],experiments_specs!A:J,6,FALSE)</f>
        <v>False</v>
      </c>
      <c r="G380" s="38" t="str">
        <f>VLOOKUP(Tabella13[[#This Row],[test_id]],experiments_specs!A:J,7,FALSE)</f>
        <v>True</v>
      </c>
      <c r="H380" s="38" t="str">
        <f>VLOOKUP(Tabella13[[#This Row],[test_id]],experiments_specs!A:J,8,FALSE)</f>
        <v>False</v>
      </c>
      <c r="I380" s="38" t="str">
        <f>VLOOKUP(Tabella13[[#This Row],[test_id]],experiments_specs!A:J,9,FALSE)</f>
        <v>wup_similarity</v>
      </c>
      <c r="J380" s="38" t="str">
        <f>VLOOKUP(Tabella13[[#This Row],[test_id]],experiments_specs!A:J,10,FALSE)</f>
        <v>False</v>
      </c>
      <c r="K380" s="40" t="s">
        <v>12</v>
      </c>
      <c r="L380" s="36" t="s">
        <v>236</v>
      </c>
      <c r="M380" s="36">
        <v>2</v>
      </c>
      <c r="N380" s="36">
        <v>1.2363000000000001E-3</v>
      </c>
      <c r="O380" s="36">
        <v>0.125</v>
      </c>
    </row>
    <row r="381" spans="1:15" ht="85" x14ac:dyDescent="0.2">
      <c r="A381" s="36" t="s">
        <v>1271</v>
      </c>
      <c r="B381" s="45" t="str">
        <f>VLOOKUP(Tabella13[[#This Row],[test_id]],experiments_specs!A:J,2,FALSE)</f>
        <v>NN,VB,VBD,VBG,VBN,VBP,VBZ</v>
      </c>
      <c r="C381" s="38">
        <f>VLOOKUP(Tabella13[[#This Row],[test_id]],experiments_specs!A:J,3,FALSE)</f>
        <v>0</v>
      </c>
      <c r="D381" s="38">
        <f>VLOOKUP(Tabella13[[#This Row],[test_id]],experiments_specs!A:J,4,FALSE)</f>
        <v>2</v>
      </c>
      <c r="E381" s="38" t="str">
        <f>VLOOKUP(Tabella13[[#This Row],[test_id]],experiments_specs!A:J,5,FALSE)</f>
        <v>False</v>
      </c>
      <c r="F381" s="38" t="str">
        <f>VLOOKUP(Tabella13[[#This Row],[test_id]],experiments_specs!A:J,6,FALSE)</f>
        <v>False</v>
      </c>
      <c r="G381" s="38" t="str">
        <f>VLOOKUP(Tabella13[[#This Row],[test_id]],experiments_specs!A:J,7,FALSE)</f>
        <v>True</v>
      </c>
      <c r="H381" s="38" t="str">
        <f>VLOOKUP(Tabella13[[#This Row],[test_id]],experiments_specs!A:J,8,FALSE)</f>
        <v>False</v>
      </c>
      <c r="I381" s="38" t="str">
        <f>VLOOKUP(Tabella13[[#This Row],[test_id]],experiments_specs!A:J,9,FALSE)</f>
        <v>wup_similarity</v>
      </c>
      <c r="J381" s="38" t="str">
        <f>VLOOKUP(Tabella13[[#This Row],[test_id]],experiments_specs!A:J,10,FALSE)</f>
        <v>False</v>
      </c>
      <c r="K381" s="40" t="s">
        <v>13</v>
      </c>
      <c r="L381" s="36" t="s">
        <v>1360</v>
      </c>
      <c r="M381" s="36">
        <v>1</v>
      </c>
      <c r="N381" s="36">
        <v>1.8425E-3</v>
      </c>
      <c r="O381" s="36">
        <v>0.22222220000000001</v>
      </c>
    </row>
    <row r="382" spans="1:15" ht="85" x14ac:dyDescent="0.2">
      <c r="A382" s="36" t="s">
        <v>1271</v>
      </c>
      <c r="B382" s="45" t="str">
        <f>VLOOKUP(Tabella13[[#This Row],[test_id]],experiments_specs!A:J,2,FALSE)</f>
        <v>NN,VB,VBD,VBG,VBN,VBP,VBZ</v>
      </c>
      <c r="C382" s="38">
        <f>VLOOKUP(Tabella13[[#This Row],[test_id]],experiments_specs!A:J,3,FALSE)</f>
        <v>0</v>
      </c>
      <c r="D382" s="38">
        <f>VLOOKUP(Tabella13[[#This Row],[test_id]],experiments_specs!A:J,4,FALSE)</f>
        <v>2</v>
      </c>
      <c r="E382" s="38" t="str">
        <f>VLOOKUP(Tabella13[[#This Row],[test_id]],experiments_specs!A:J,5,FALSE)</f>
        <v>False</v>
      </c>
      <c r="F382" s="38" t="str">
        <f>VLOOKUP(Tabella13[[#This Row],[test_id]],experiments_specs!A:J,6,FALSE)</f>
        <v>False</v>
      </c>
      <c r="G382" s="38" t="str">
        <f>VLOOKUP(Tabella13[[#This Row],[test_id]],experiments_specs!A:J,7,FALSE)</f>
        <v>True</v>
      </c>
      <c r="H382" s="38" t="str">
        <f>VLOOKUP(Tabella13[[#This Row],[test_id]],experiments_specs!A:J,8,FALSE)</f>
        <v>False</v>
      </c>
      <c r="I382" s="38" t="str">
        <f>VLOOKUP(Tabella13[[#This Row],[test_id]],experiments_specs!A:J,9,FALSE)</f>
        <v>wup_similarity</v>
      </c>
      <c r="J382" s="38" t="str">
        <f>VLOOKUP(Tabella13[[#This Row],[test_id]],experiments_specs!A:J,10,FALSE)</f>
        <v>False</v>
      </c>
      <c r="K382" s="40" t="s">
        <v>14</v>
      </c>
      <c r="L382" s="36" t="s">
        <v>1361</v>
      </c>
      <c r="M382" s="36">
        <v>3</v>
      </c>
      <c r="N382" s="36">
        <v>1.1107999999999999E-3</v>
      </c>
      <c r="O382" s="36">
        <v>0.30769229999999997</v>
      </c>
    </row>
    <row r="383" spans="1:15" ht="85" x14ac:dyDescent="0.2">
      <c r="A383" s="36" t="s">
        <v>1271</v>
      </c>
      <c r="B383" s="45" t="str">
        <f>VLOOKUP(Tabella13[[#This Row],[test_id]],experiments_specs!A:J,2,FALSE)</f>
        <v>NN,VB,VBD,VBG,VBN,VBP,VBZ</v>
      </c>
      <c r="C383" s="38">
        <f>VLOOKUP(Tabella13[[#This Row],[test_id]],experiments_specs!A:J,3,FALSE)</f>
        <v>0</v>
      </c>
      <c r="D383" s="38">
        <f>VLOOKUP(Tabella13[[#This Row],[test_id]],experiments_specs!A:J,4,FALSE)</f>
        <v>2</v>
      </c>
      <c r="E383" s="38" t="str">
        <f>VLOOKUP(Tabella13[[#This Row],[test_id]],experiments_specs!A:J,5,FALSE)</f>
        <v>False</v>
      </c>
      <c r="F383" s="38" t="str">
        <f>VLOOKUP(Tabella13[[#This Row],[test_id]],experiments_specs!A:J,6,FALSE)</f>
        <v>False</v>
      </c>
      <c r="G383" s="38" t="str">
        <f>VLOOKUP(Tabella13[[#This Row],[test_id]],experiments_specs!A:J,7,FALSE)</f>
        <v>True</v>
      </c>
      <c r="H383" s="38" t="str">
        <f>VLOOKUP(Tabella13[[#This Row],[test_id]],experiments_specs!A:J,8,FALSE)</f>
        <v>False</v>
      </c>
      <c r="I383" s="38" t="str">
        <f>VLOOKUP(Tabella13[[#This Row],[test_id]],experiments_specs!A:J,9,FALSE)</f>
        <v>wup_similarity</v>
      </c>
      <c r="J383" s="38" t="str">
        <f>VLOOKUP(Tabella13[[#This Row],[test_id]],experiments_specs!A:J,10,FALSE)</f>
        <v>False</v>
      </c>
      <c r="K383" s="40" t="s">
        <v>15</v>
      </c>
      <c r="L383" s="36" t="s">
        <v>597</v>
      </c>
      <c r="M383" s="36">
        <v>2</v>
      </c>
      <c r="N383" s="36">
        <v>1.5636000000000001E-3</v>
      </c>
      <c r="O383" s="36">
        <v>0.2</v>
      </c>
    </row>
    <row r="384" spans="1:15" ht="85" x14ac:dyDescent="0.2">
      <c r="A384" s="36" t="s">
        <v>1271</v>
      </c>
      <c r="B384" s="45" t="str">
        <f>VLOOKUP(Tabella13[[#This Row],[test_id]],experiments_specs!A:J,2,FALSE)</f>
        <v>NN,VB,VBD,VBG,VBN,VBP,VBZ</v>
      </c>
      <c r="C384" s="38">
        <f>VLOOKUP(Tabella13[[#This Row],[test_id]],experiments_specs!A:J,3,FALSE)</f>
        <v>0</v>
      </c>
      <c r="D384" s="38">
        <f>VLOOKUP(Tabella13[[#This Row],[test_id]],experiments_specs!A:J,4,FALSE)</f>
        <v>2</v>
      </c>
      <c r="E384" s="38" t="str">
        <f>VLOOKUP(Tabella13[[#This Row],[test_id]],experiments_specs!A:J,5,FALSE)</f>
        <v>False</v>
      </c>
      <c r="F384" s="38" t="str">
        <f>VLOOKUP(Tabella13[[#This Row],[test_id]],experiments_specs!A:J,6,FALSE)</f>
        <v>False</v>
      </c>
      <c r="G384" s="38" t="str">
        <f>VLOOKUP(Tabella13[[#This Row],[test_id]],experiments_specs!A:J,7,FALSE)</f>
        <v>True</v>
      </c>
      <c r="H384" s="38" t="str">
        <f>VLOOKUP(Tabella13[[#This Row],[test_id]],experiments_specs!A:J,8,FALSE)</f>
        <v>False</v>
      </c>
      <c r="I384" s="38" t="str">
        <f>VLOOKUP(Tabella13[[#This Row],[test_id]],experiments_specs!A:J,9,FALSE)</f>
        <v>wup_similarity</v>
      </c>
      <c r="J384" s="38" t="str">
        <f>VLOOKUP(Tabella13[[#This Row],[test_id]],experiments_specs!A:J,10,FALSE)</f>
        <v>False</v>
      </c>
      <c r="K384" s="40" t="s">
        <v>16</v>
      </c>
      <c r="L384" s="36" t="s">
        <v>554</v>
      </c>
      <c r="M384" s="36">
        <v>2</v>
      </c>
      <c r="N384" s="36">
        <v>1.3725E-3</v>
      </c>
      <c r="O384" s="36">
        <v>0.14285709999999999</v>
      </c>
    </row>
    <row r="385" spans="1:15" ht="85" x14ac:dyDescent="0.2">
      <c r="A385" s="36" t="s">
        <v>1271</v>
      </c>
      <c r="B385" s="45" t="str">
        <f>VLOOKUP(Tabella13[[#This Row],[test_id]],experiments_specs!A:J,2,FALSE)</f>
        <v>NN,VB,VBD,VBG,VBN,VBP,VBZ</v>
      </c>
      <c r="C385" s="38">
        <f>VLOOKUP(Tabella13[[#This Row],[test_id]],experiments_specs!A:J,3,FALSE)</f>
        <v>0</v>
      </c>
      <c r="D385" s="38">
        <f>VLOOKUP(Tabella13[[#This Row],[test_id]],experiments_specs!A:J,4,FALSE)</f>
        <v>2</v>
      </c>
      <c r="E385" s="38" t="str">
        <f>VLOOKUP(Tabella13[[#This Row],[test_id]],experiments_specs!A:J,5,FALSE)</f>
        <v>False</v>
      </c>
      <c r="F385" s="38" t="str">
        <f>VLOOKUP(Tabella13[[#This Row],[test_id]],experiments_specs!A:J,6,FALSE)</f>
        <v>False</v>
      </c>
      <c r="G385" s="38" t="str">
        <f>VLOOKUP(Tabella13[[#This Row],[test_id]],experiments_specs!A:J,7,FALSE)</f>
        <v>True</v>
      </c>
      <c r="H385" s="38" t="str">
        <f>VLOOKUP(Tabella13[[#This Row],[test_id]],experiments_specs!A:J,8,FALSE)</f>
        <v>False</v>
      </c>
      <c r="I385" s="38" t="str">
        <f>VLOOKUP(Tabella13[[#This Row],[test_id]],experiments_specs!A:J,9,FALSE)</f>
        <v>wup_similarity</v>
      </c>
      <c r="J385" s="38" t="str">
        <f>VLOOKUP(Tabella13[[#This Row],[test_id]],experiments_specs!A:J,10,FALSE)</f>
        <v>False</v>
      </c>
      <c r="K385" s="40" t="s">
        <v>17</v>
      </c>
      <c r="L385" s="36" t="s">
        <v>1367</v>
      </c>
      <c r="M385" s="36">
        <v>1</v>
      </c>
      <c r="N385" s="36">
        <v>1.4421E-3</v>
      </c>
      <c r="O385" s="36">
        <v>0.22222220000000001</v>
      </c>
    </row>
    <row r="386" spans="1:15" ht="85" x14ac:dyDescent="0.2">
      <c r="A386" s="36" t="s">
        <v>1271</v>
      </c>
      <c r="B386" s="45" t="str">
        <f>VLOOKUP(Tabella13[[#This Row],[test_id]],experiments_specs!A:J,2,FALSE)</f>
        <v>NN,VB,VBD,VBG,VBN,VBP,VBZ</v>
      </c>
      <c r="C386" s="38">
        <f>VLOOKUP(Tabella13[[#This Row],[test_id]],experiments_specs!A:J,3,FALSE)</f>
        <v>0</v>
      </c>
      <c r="D386" s="38">
        <f>VLOOKUP(Tabella13[[#This Row],[test_id]],experiments_specs!A:J,4,FALSE)</f>
        <v>2</v>
      </c>
      <c r="E386" s="38" t="str">
        <f>VLOOKUP(Tabella13[[#This Row],[test_id]],experiments_specs!A:J,5,FALSE)</f>
        <v>False</v>
      </c>
      <c r="F386" s="38" t="str">
        <f>VLOOKUP(Tabella13[[#This Row],[test_id]],experiments_specs!A:J,6,FALSE)</f>
        <v>False</v>
      </c>
      <c r="G386" s="38" t="str">
        <f>VLOOKUP(Tabella13[[#This Row],[test_id]],experiments_specs!A:J,7,FALSE)</f>
        <v>True</v>
      </c>
      <c r="H386" s="38" t="str">
        <f>VLOOKUP(Tabella13[[#This Row],[test_id]],experiments_specs!A:J,8,FALSE)</f>
        <v>False</v>
      </c>
      <c r="I386" s="38" t="str">
        <f>VLOOKUP(Tabella13[[#This Row],[test_id]],experiments_specs!A:J,9,FALSE)</f>
        <v>wup_similarity</v>
      </c>
      <c r="J386" s="38" t="str">
        <f>VLOOKUP(Tabella13[[#This Row],[test_id]],experiments_specs!A:J,10,FALSE)</f>
        <v>False</v>
      </c>
      <c r="K386" s="40" t="s">
        <v>18</v>
      </c>
      <c r="L386" s="36" t="s">
        <v>1369</v>
      </c>
      <c r="M386" s="36" t="s">
        <v>1354</v>
      </c>
      <c r="N386" s="36">
        <v>7.8540000000000001E-4</v>
      </c>
      <c r="O386" s="36" t="s">
        <v>1450</v>
      </c>
    </row>
    <row r="387" spans="1:15" ht="85" x14ac:dyDescent="0.2">
      <c r="A387" s="36" t="s">
        <v>1272</v>
      </c>
      <c r="B387" s="45" t="str">
        <f>VLOOKUP(Tabella13[[#This Row],[test_id]],experiments_specs!A:J,2,FALSE)</f>
        <v>NN,VB,VBD,VBG,VBN,VBP,VBZ</v>
      </c>
      <c r="C387" s="38">
        <f>VLOOKUP(Tabella13[[#This Row],[test_id]],experiments_specs!A:J,3,FALSE)</f>
        <v>0</v>
      </c>
      <c r="D387" s="38">
        <f>VLOOKUP(Tabella13[[#This Row],[test_id]],experiments_specs!A:J,4,FALSE)</f>
        <v>3</v>
      </c>
      <c r="E387" s="38" t="str">
        <f>VLOOKUP(Tabella13[[#This Row],[test_id]],experiments_specs!A:J,5,FALSE)</f>
        <v>False</v>
      </c>
      <c r="F387" s="38" t="str">
        <f>VLOOKUP(Tabella13[[#This Row],[test_id]],experiments_specs!A:J,6,FALSE)</f>
        <v>False</v>
      </c>
      <c r="G387" s="38" t="str">
        <f>VLOOKUP(Tabella13[[#This Row],[test_id]],experiments_specs!A:J,7,FALSE)</f>
        <v>True</v>
      </c>
      <c r="H387" s="38" t="str">
        <f>VLOOKUP(Tabella13[[#This Row],[test_id]],experiments_specs!A:J,8,FALSE)</f>
        <v>False</v>
      </c>
      <c r="I387" s="38" t="str">
        <f>VLOOKUP(Tabella13[[#This Row],[test_id]],experiments_specs!A:J,9,FALSE)</f>
        <v>wup_similarity</v>
      </c>
      <c r="J387" s="38" t="str">
        <f>VLOOKUP(Tabella13[[#This Row],[test_id]],experiments_specs!A:J,10,FALSE)</f>
        <v>False</v>
      </c>
      <c r="K387" s="40" t="s">
        <v>19</v>
      </c>
      <c r="L387" s="36" t="s">
        <v>1357</v>
      </c>
      <c r="M387" s="36">
        <v>3</v>
      </c>
      <c r="N387" s="36">
        <v>1.8129999999999999E-3</v>
      </c>
      <c r="O387" s="36">
        <v>0.18181810000000001</v>
      </c>
    </row>
    <row r="388" spans="1:15" ht="85" x14ac:dyDescent="0.2">
      <c r="A388" s="36" t="s">
        <v>1272</v>
      </c>
      <c r="B388" s="45" t="str">
        <f>VLOOKUP(Tabella13[[#This Row],[test_id]],experiments_specs!A:J,2,FALSE)</f>
        <v>NN,VB,VBD,VBG,VBN,VBP,VBZ</v>
      </c>
      <c r="C388" s="38">
        <f>VLOOKUP(Tabella13[[#This Row],[test_id]],experiments_specs!A:J,3,FALSE)</f>
        <v>0</v>
      </c>
      <c r="D388" s="38">
        <f>VLOOKUP(Tabella13[[#This Row],[test_id]],experiments_specs!A:J,4,FALSE)</f>
        <v>3</v>
      </c>
      <c r="E388" s="38" t="str">
        <f>VLOOKUP(Tabella13[[#This Row],[test_id]],experiments_specs!A:J,5,FALSE)</f>
        <v>False</v>
      </c>
      <c r="F388" s="38" t="str">
        <f>VLOOKUP(Tabella13[[#This Row],[test_id]],experiments_specs!A:J,6,FALSE)</f>
        <v>False</v>
      </c>
      <c r="G388" s="38" t="str">
        <f>VLOOKUP(Tabella13[[#This Row],[test_id]],experiments_specs!A:J,7,FALSE)</f>
        <v>True</v>
      </c>
      <c r="H388" s="38" t="str">
        <f>VLOOKUP(Tabella13[[#This Row],[test_id]],experiments_specs!A:J,8,FALSE)</f>
        <v>False</v>
      </c>
      <c r="I388" s="38" t="str">
        <f>VLOOKUP(Tabella13[[#This Row],[test_id]],experiments_specs!A:J,9,FALSE)</f>
        <v>wup_similarity</v>
      </c>
      <c r="J388" s="38" t="str">
        <f>VLOOKUP(Tabella13[[#This Row],[test_id]],experiments_specs!A:J,10,FALSE)</f>
        <v>False</v>
      </c>
      <c r="K388" s="40" t="s">
        <v>12</v>
      </c>
      <c r="L388" s="36" t="s">
        <v>236</v>
      </c>
      <c r="M388" s="36">
        <v>2</v>
      </c>
      <c r="N388" s="36">
        <v>1.2363000000000001E-3</v>
      </c>
      <c r="O388" s="36">
        <v>0.125</v>
      </c>
    </row>
    <row r="389" spans="1:15" ht="85" x14ac:dyDescent="0.2">
      <c r="A389" s="36" t="s">
        <v>1272</v>
      </c>
      <c r="B389" s="45" t="str">
        <f>VLOOKUP(Tabella13[[#This Row],[test_id]],experiments_specs!A:J,2,FALSE)</f>
        <v>NN,VB,VBD,VBG,VBN,VBP,VBZ</v>
      </c>
      <c r="C389" s="38">
        <f>VLOOKUP(Tabella13[[#This Row],[test_id]],experiments_specs!A:J,3,FALSE)</f>
        <v>0</v>
      </c>
      <c r="D389" s="38">
        <f>VLOOKUP(Tabella13[[#This Row],[test_id]],experiments_specs!A:J,4,FALSE)</f>
        <v>3</v>
      </c>
      <c r="E389" s="38" t="str">
        <f>VLOOKUP(Tabella13[[#This Row],[test_id]],experiments_specs!A:J,5,FALSE)</f>
        <v>False</v>
      </c>
      <c r="F389" s="38" t="str">
        <f>VLOOKUP(Tabella13[[#This Row],[test_id]],experiments_specs!A:J,6,FALSE)</f>
        <v>False</v>
      </c>
      <c r="G389" s="38" t="str">
        <f>VLOOKUP(Tabella13[[#This Row],[test_id]],experiments_specs!A:J,7,FALSE)</f>
        <v>True</v>
      </c>
      <c r="H389" s="38" t="str">
        <f>VLOOKUP(Tabella13[[#This Row],[test_id]],experiments_specs!A:J,8,FALSE)</f>
        <v>False</v>
      </c>
      <c r="I389" s="38" t="str">
        <f>VLOOKUP(Tabella13[[#This Row],[test_id]],experiments_specs!A:J,9,FALSE)</f>
        <v>wup_similarity</v>
      </c>
      <c r="J389" s="38" t="str">
        <f>VLOOKUP(Tabella13[[#This Row],[test_id]],experiments_specs!A:J,10,FALSE)</f>
        <v>False</v>
      </c>
      <c r="K389" s="40" t="s">
        <v>13</v>
      </c>
      <c r="L389" s="36" t="s">
        <v>1360</v>
      </c>
      <c r="M389" s="36">
        <v>1</v>
      </c>
      <c r="N389" s="36">
        <v>1.8425E-3</v>
      </c>
      <c r="O389" s="36">
        <v>0.22222220000000001</v>
      </c>
    </row>
    <row r="390" spans="1:15" ht="85" x14ac:dyDescent="0.2">
      <c r="A390" s="36" t="s">
        <v>1272</v>
      </c>
      <c r="B390" s="45" t="str">
        <f>VLOOKUP(Tabella13[[#This Row],[test_id]],experiments_specs!A:J,2,FALSE)</f>
        <v>NN,VB,VBD,VBG,VBN,VBP,VBZ</v>
      </c>
      <c r="C390" s="38">
        <f>VLOOKUP(Tabella13[[#This Row],[test_id]],experiments_specs!A:J,3,FALSE)</f>
        <v>0</v>
      </c>
      <c r="D390" s="38">
        <f>VLOOKUP(Tabella13[[#This Row],[test_id]],experiments_specs!A:J,4,FALSE)</f>
        <v>3</v>
      </c>
      <c r="E390" s="38" t="str">
        <f>VLOOKUP(Tabella13[[#This Row],[test_id]],experiments_specs!A:J,5,FALSE)</f>
        <v>False</v>
      </c>
      <c r="F390" s="38" t="str">
        <f>VLOOKUP(Tabella13[[#This Row],[test_id]],experiments_specs!A:J,6,FALSE)</f>
        <v>False</v>
      </c>
      <c r="G390" s="38" t="str">
        <f>VLOOKUP(Tabella13[[#This Row],[test_id]],experiments_specs!A:J,7,FALSE)</f>
        <v>True</v>
      </c>
      <c r="H390" s="38" t="str">
        <f>VLOOKUP(Tabella13[[#This Row],[test_id]],experiments_specs!A:J,8,FALSE)</f>
        <v>False</v>
      </c>
      <c r="I390" s="38" t="str">
        <f>VLOOKUP(Tabella13[[#This Row],[test_id]],experiments_specs!A:J,9,FALSE)</f>
        <v>wup_similarity</v>
      </c>
      <c r="J390" s="38" t="str">
        <f>VLOOKUP(Tabella13[[#This Row],[test_id]],experiments_specs!A:J,10,FALSE)</f>
        <v>False</v>
      </c>
      <c r="K390" s="40" t="s">
        <v>14</v>
      </c>
      <c r="L390" s="36" t="s">
        <v>1361</v>
      </c>
      <c r="M390" s="36">
        <v>3</v>
      </c>
      <c r="N390" s="36">
        <v>1.1107999999999999E-3</v>
      </c>
      <c r="O390" s="36">
        <v>0.30769229999999997</v>
      </c>
    </row>
    <row r="391" spans="1:15" ht="85" x14ac:dyDescent="0.2">
      <c r="A391" s="36" t="s">
        <v>1272</v>
      </c>
      <c r="B391" s="45" t="str">
        <f>VLOOKUP(Tabella13[[#This Row],[test_id]],experiments_specs!A:J,2,FALSE)</f>
        <v>NN,VB,VBD,VBG,VBN,VBP,VBZ</v>
      </c>
      <c r="C391" s="38">
        <f>VLOOKUP(Tabella13[[#This Row],[test_id]],experiments_specs!A:J,3,FALSE)</f>
        <v>0</v>
      </c>
      <c r="D391" s="38">
        <f>VLOOKUP(Tabella13[[#This Row],[test_id]],experiments_specs!A:J,4,FALSE)</f>
        <v>3</v>
      </c>
      <c r="E391" s="38" t="str">
        <f>VLOOKUP(Tabella13[[#This Row],[test_id]],experiments_specs!A:J,5,FALSE)</f>
        <v>False</v>
      </c>
      <c r="F391" s="38" t="str">
        <f>VLOOKUP(Tabella13[[#This Row],[test_id]],experiments_specs!A:J,6,FALSE)</f>
        <v>False</v>
      </c>
      <c r="G391" s="38" t="str">
        <f>VLOOKUP(Tabella13[[#This Row],[test_id]],experiments_specs!A:J,7,FALSE)</f>
        <v>True</v>
      </c>
      <c r="H391" s="38" t="str">
        <f>VLOOKUP(Tabella13[[#This Row],[test_id]],experiments_specs!A:J,8,FALSE)</f>
        <v>False</v>
      </c>
      <c r="I391" s="38" t="str">
        <f>VLOOKUP(Tabella13[[#This Row],[test_id]],experiments_specs!A:J,9,FALSE)</f>
        <v>wup_similarity</v>
      </c>
      <c r="J391" s="38" t="str">
        <f>VLOOKUP(Tabella13[[#This Row],[test_id]],experiments_specs!A:J,10,FALSE)</f>
        <v>False</v>
      </c>
      <c r="K391" s="40" t="s">
        <v>15</v>
      </c>
      <c r="L391" s="36" t="s">
        <v>597</v>
      </c>
      <c r="M391" s="36">
        <v>2</v>
      </c>
      <c r="N391" s="36">
        <v>1.5636000000000001E-3</v>
      </c>
      <c r="O391" s="36">
        <v>0.2</v>
      </c>
    </row>
    <row r="392" spans="1:15" ht="85" x14ac:dyDescent="0.2">
      <c r="A392" s="36" t="s">
        <v>1272</v>
      </c>
      <c r="B392" s="45" t="str">
        <f>VLOOKUP(Tabella13[[#This Row],[test_id]],experiments_specs!A:J,2,FALSE)</f>
        <v>NN,VB,VBD,VBG,VBN,VBP,VBZ</v>
      </c>
      <c r="C392" s="38">
        <f>VLOOKUP(Tabella13[[#This Row],[test_id]],experiments_specs!A:J,3,FALSE)</f>
        <v>0</v>
      </c>
      <c r="D392" s="38">
        <f>VLOOKUP(Tabella13[[#This Row],[test_id]],experiments_specs!A:J,4,FALSE)</f>
        <v>3</v>
      </c>
      <c r="E392" s="38" t="str">
        <f>VLOOKUP(Tabella13[[#This Row],[test_id]],experiments_specs!A:J,5,FALSE)</f>
        <v>False</v>
      </c>
      <c r="F392" s="38" t="str">
        <f>VLOOKUP(Tabella13[[#This Row],[test_id]],experiments_specs!A:J,6,FALSE)</f>
        <v>False</v>
      </c>
      <c r="G392" s="38" t="str">
        <f>VLOOKUP(Tabella13[[#This Row],[test_id]],experiments_specs!A:J,7,FALSE)</f>
        <v>True</v>
      </c>
      <c r="H392" s="38" t="str">
        <f>VLOOKUP(Tabella13[[#This Row],[test_id]],experiments_specs!A:J,8,FALSE)</f>
        <v>False</v>
      </c>
      <c r="I392" s="38" t="str">
        <f>VLOOKUP(Tabella13[[#This Row],[test_id]],experiments_specs!A:J,9,FALSE)</f>
        <v>wup_similarity</v>
      </c>
      <c r="J392" s="38" t="str">
        <f>VLOOKUP(Tabella13[[#This Row],[test_id]],experiments_specs!A:J,10,FALSE)</f>
        <v>False</v>
      </c>
      <c r="K392" s="40" t="s">
        <v>16</v>
      </c>
      <c r="L392" s="36" t="s">
        <v>554</v>
      </c>
      <c r="M392" s="36">
        <v>2</v>
      </c>
      <c r="N392" s="36">
        <v>1.3725E-3</v>
      </c>
      <c r="O392" s="36">
        <v>0.14285709999999999</v>
      </c>
    </row>
    <row r="393" spans="1:15" ht="85" x14ac:dyDescent="0.2">
      <c r="A393" s="36" t="s">
        <v>1272</v>
      </c>
      <c r="B393" s="45" t="str">
        <f>VLOOKUP(Tabella13[[#This Row],[test_id]],experiments_specs!A:J,2,FALSE)</f>
        <v>NN,VB,VBD,VBG,VBN,VBP,VBZ</v>
      </c>
      <c r="C393" s="38">
        <f>VLOOKUP(Tabella13[[#This Row],[test_id]],experiments_specs!A:J,3,FALSE)</f>
        <v>0</v>
      </c>
      <c r="D393" s="38">
        <f>VLOOKUP(Tabella13[[#This Row],[test_id]],experiments_specs!A:J,4,FALSE)</f>
        <v>3</v>
      </c>
      <c r="E393" s="38" t="str">
        <f>VLOOKUP(Tabella13[[#This Row],[test_id]],experiments_specs!A:J,5,FALSE)</f>
        <v>False</v>
      </c>
      <c r="F393" s="38" t="str">
        <f>VLOOKUP(Tabella13[[#This Row],[test_id]],experiments_specs!A:J,6,FALSE)</f>
        <v>False</v>
      </c>
      <c r="G393" s="38" t="str">
        <f>VLOOKUP(Tabella13[[#This Row],[test_id]],experiments_specs!A:J,7,FALSE)</f>
        <v>True</v>
      </c>
      <c r="H393" s="38" t="str">
        <f>VLOOKUP(Tabella13[[#This Row],[test_id]],experiments_specs!A:J,8,FALSE)</f>
        <v>False</v>
      </c>
      <c r="I393" s="38" t="str">
        <f>VLOOKUP(Tabella13[[#This Row],[test_id]],experiments_specs!A:J,9,FALSE)</f>
        <v>wup_similarity</v>
      </c>
      <c r="J393" s="38" t="str">
        <f>VLOOKUP(Tabella13[[#This Row],[test_id]],experiments_specs!A:J,10,FALSE)</f>
        <v>False</v>
      </c>
      <c r="K393" s="40" t="s">
        <v>17</v>
      </c>
      <c r="L393" s="36" t="s">
        <v>1367</v>
      </c>
      <c r="M393" s="36">
        <v>1</v>
      </c>
      <c r="N393" s="36">
        <v>1.4421E-3</v>
      </c>
      <c r="O393" s="36">
        <v>0.22222220000000001</v>
      </c>
    </row>
    <row r="394" spans="1:15" ht="85" x14ac:dyDescent="0.2">
      <c r="A394" s="36" t="s">
        <v>1272</v>
      </c>
      <c r="B394" s="45" t="str">
        <f>VLOOKUP(Tabella13[[#This Row],[test_id]],experiments_specs!A:J,2,FALSE)</f>
        <v>NN,VB,VBD,VBG,VBN,VBP,VBZ</v>
      </c>
      <c r="C394" s="38">
        <f>VLOOKUP(Tabella13[[#This Row],[test_id]],experiments_specs!A:J,3,FALSE)</f>
        <v>0</v>
      </c>
      <c r="D394" s="38">
        <f>VLOOKUP(Tabella13[[#This Row],[test_id]],experiments_specs!A:J,4,FALSE)</f>
        <v>3</v>
      </c>
      <c r="E394" s="38" t="str">
        <f>VLOOKUP(Tabella13[[#This Row],[test_id]],experiments_specs!A:J,5,FALSE)</f>
        <v>False</v>
      </c>
      <c r="F394" s="38" t="str">
        <f>VLOOKUP(Tabella13[[#This Row],[test_id]],experiments_specs!A:J,6,FALSE)</f>
        <v>False</v>
      </c>
      <c r="G394" s="38" t="str">
        <f>VLOOKUP(Tabella13[[#This Row],[test_id]],experiments_specs!A:J,7,FALSE)</f>
        <v>True</v>
      </c>
      <c r="H394" s="38" t="str">
        <f>VLOOKUP(Tabella13[[#This Row],[test_id]],experiments_specs!A:J,8,FALSE)</f>
        <v>False</v>
      </c>
      <c r="I394" s="38" t="str">
        <f>VLOOKUP(Tabella13[[#This Row],[test_id]],experiments_specs!A:J,9,FALSE)</f>
        <v>wup_similarity</v>
      </c>
      <c r="J394" s="38" t="str">
        <f>VLOOKUP(Tabella13[[#This Row],[test_id]],experiments_specs!A:J,10,FALSE)</f>
        <v>False</v>
      </c>
      <c r="K394" s="40" t="s">
        <v>18</v>
      </c>
      <c r="L394" s="36" t="s">
        <v>1369</v>
      </c>
      <c r="M394" s="36" t="s">
        <v>1354</v>
      </c>
      <c r="N394" s="36">
        <v>7.8540000000000001E-4</v>
      </c>
      <c r="O394" s="36" t="s">
        <v>1450</v>
      </c>
    </row>
    <row r="395" spans="1:15" ht="85" x14ac:dyDescent="0.2">
      <c r="A395" s="36" t="s">
        <v>1273</v>
      </c>
      <c r="B395" s="45" t="str">
        <f>VLOOKUP(Tabella13[[#This Row],[test_id]],experiments_specs!A:J,2,FALSE)</f>
        <v>NN,JJ,VB,VBD,VBG,VBN,VBP,VBZ</v>
      </c>
      <c r="C395" s="38">
        <f>VLOOKUP(Tabella13[[#This Row],[test_id]],experiments_specs!A:J,3,FALSE)</f>
        <v>0</v>
      </c>
      <c r="D395" s="38">
        <f>VLOOKUP(Tabella13[[#This Row],[test_id]],experiments_specs!A:J,4,FALSE)</f>
        <v>2</v>
      </c>
      <c r="E395" s="38" t="str">
        <f>VLOOKUP(Tabella13[[#This Row],[test_id]],experiments_specs!A:J,5,FALSE)</f>
        <v>False</v>
      </c>
      <c r="F395" s="38" t="str">
        <f>VLOOKUP(Tabella13[[#This Row],[test_id]],experiments_specs!A:J,6,FALSE)</f>
        <v>False</v>
      </c>
      <c r="G395" s="38" t="str">
        <f>VLOOKUP(Tabella13[[#This Row],[test_id]],experiments_specs!A:J,7,FALSE)</f>
        <v>True</v>
      </c>
      <c r="H395" s="38" t="str">
        <f>VLOOKUP(Tabella13[[#This Row],[test_id]],experiments_specs!A:J,8,FALSE)</f>
        <v>False</v>
      </c>
      <c r="I395" s="38" t="str">
        <f>VLOOKUP(Tabella13[[#This Row],[test_id]],experiments_specs!A:J,9,FALSE)</f>
        <v>wup_similarity</v>
      </c>
      <c r="J395" s="38" t="str">
        <f>VLOOKUP(Tabella13[[#This Row],[test_id]],experiments_specs!A:J,10,FALSE)</f>
        <v>False</v>
      </c>
      <c r="K395" s="40" t="s">
        <v>19</v>
      </c>
      <c r="L395" s="36" t="s">
        <v>1357</v>
      </c>
      <c r="M395" s="36">
        <v>3</v>
      </c>
      <c r="N395" s="36">
        <v>1.0395000000000001E-3</v>
      </c>
      <c r="O395" s="36">
        <v>0.18181810000000001</v>
      </c>
    </row>
    <row r="396" spans="1:15" ht="85" x14ac:dyDescent="0.2">
      <c r="A396" s="36" t="s">
        <v>1273</v>
      </c>
      <c r="B396" s="45" t="str">
        <f>VLOOKUP(Tabella13[[#This Row],[test_id]],experiments_specs!A:J,2,FALSE)</f>
        <v>NN,JJ,VB,VBD,VBG,VBN,VBP,VBZ</v>
      </c>
      <c r="C396" s="38">
        <f>VLOOKUP(Tabella13[[#This Row],[test_id]],experiments_specs!A:J,3,FALSE)</f>
        <v>0</v>
      </c>
      <c r="D396" s="38">
        <f>VLOOKUP(Tabella13[[#This Row],[test_id]],experiments_specs!A:J,4,FALSE)</f>
        <v>2</v>
      </c>
      <c r="E396" s="38" t="str">
        <f>VLOOKUP(Tabella13[[#This Row],[test_id]],experiments_specs!A:J,5,FALSE)</f>
        <v>False</v>
      </c>
      <c r="F396" s="38" t="str">
        <f>VLOOKUP(Tabella13[[#This Row],[test_id]],experiments_specs!A:J,6,FALSE)</f>
        <v>False</v>
      </c>
      <c r="G396" s="38" t="str">
        <f>VLOOKUP(Tabella13[[#This Row],[test_id]],experiments_specs!A:J,7,FALSE)</f>
        <v>True</v>
      </c>
      <c r="H396" s="38" t="str">
        <f>VLOOKUP(Tabella13[[#This Row],[test_id]],experiments_specs!A:J,8,FALSE)</f>
        <v>False</v>
      </c>
      <c r="I396" s="38" t="str">
        <f>VLOOKUP(Tabella13[[#This Row],[test_id]],experiments_specs!A:J,9,FALSE)</f>
        <v>wup_similarity</v>
      </c>
      <c r="J396" s="38" t="str">
        <f>VLOOKUP(Tabella13[[#This Row],[test_id]],experiments_specs!A:J,10,FALSE)</f>
        <v>False</v>
      </c>
      <c r="K396" s="40" t="s">
        <v>12</v>
      </c>
      <c r="L396" s="36" t="s">
        <v>236</v>
      </c>
      <c r="M396" s="36">
        <v>2</v>
      </c>
      <c r="N396" s="36">
        <v>9.0910000000000003E-4</v>
      </c>
      <c r="O396" s="36">
        <v>0.125</v>
      </c>
    </row>
    <row r="397" spans="1:15" ht="85" x14ac:dyDescent="0.2">
      <c r="A397" s="36" t="s">
        <v>1273</v>
      </c>
      <c r="B397" s="45" t="str">
        <f>VLOOKUP(Tabella13[[#This Row],[test_id]],experiments_specs!A:J,2,FALSE)</f>
        <v>NN,JJ,VB,VBD,VBG,VBN,VBP,VBZ</v>
      </c>
      <c r="C397" s="38">
        <f>VLOOKUP(Tabella13[[#This Row],[test_id]],experiments_specs!A:J,3,FALSE)</f>
        <v>0</v>
      </c>
      <c r="D397" s="38">
        <f>VLOOKUP(Tabella13[[#This Row],[test_id]],experiments_specs!A:J,4,FALSE)</f>
        <v>2</v>
      </c>
      <c r="E397" s="38" t="str">
        <f>VLOOKUP(Tabella13[[#This Row],[test_id]],experiments_specs!A:J,5,FALSE)</f>
        <v>False</v>
      </c>
      <c r="F397" s="38" t="str">
        <f>VLOOKUP(Tabella13[[#This Row],[test_id]],experiments_specs!A:J,6,FALSE)</f>
        <v>False</v>
      </c>
      <c r="G397" s="38" t="str">
        <f>VLOOKUP(Tabella13[[#This Row],[test_id]],experiments_specs!A:J,7,FALSE)</f>
        <v>True</v>
      </c>
      <c r="H397" s="38" t="str">
        <f>VLOOKUP(Tabella13[[#This Row],[test_id]],experiments_specs!A:J,8,FALSE)</f>
        <v>False</v>
      </c>
      <c r="I397" s="38" t="str">
        <f>VLOOKUP(Tabella13[[#This Row],[test_id]],experiments_specs!A:J,9,FALSE)</f>
        <v>wup_similarity</v>
      </c>
      <c r="J397" s="38" t="str">
        <f>VLOOKUP(Tabella13[[#This Row],[test_id]],experiments_specs!A:J,10,FALSE)</f>
        <v>False</v>
      </c>
      <c r="K397" s="40" t="s">
        <v>13</v>
      </c>
      <c r="L397" s="36" t="s">
        <v>1360</v>
      </c>
      <c r="M397" s="36">
        <v>1</v>
      </c>
      <c r="N397" s="36">
        <v>1.5648000000000001E-3</v>
      </c>
      <c r="O397" s="36">
        <v>0.22222220000000001</v>
      </c>
    </row>
    <row r="398" spans="1:15" ht="85" x14ac:dyDescent="0.2">
      <c r="A398" s="36" t="s">
        <v>1273</v>
      </c>
      <c r="B398" s="45" t="str">
        <f>VLOOKUP(Tabella13[[#This Row],[test_id]],experiments_specs!A:J,2,FALSE)</f>
        <v>NN,JJ,VB,VBD,VBG,VBN,VBP,VBZ</v>
      </c>
      <c r="C398" s="38">
        <f>VLOOKUP(Tabella13[[#This Row],[test_id]],experiments_specs!A:J,3,FALSE)</f>
        <v>0</v>
      </c>
      <c r="D398" s="38">
        <f>VLOOKUP(Tabella13[[#This Row],[test_id]],experiments_specs!A:J,4,FALSE)</f>
        <v>2</v>
      </c>
      <c r="E398" s="38" t="str">
        <f>VLOOKUP(Tabella13[[#This Row],[test_id]],experiments_specs!A:J,5,FALSE)</f>
        <v>False</v>
      </c>
      <c r="F398" s="38" t="str">
        <f>VLOOKUP(Tabella13[[#This Row],[test_id]],experiments_specs!A:J,6,FALSE)</f>
        <v>False</v>
      </c>
      <c r="G398" s="38" t="str">
        <f>VLOOKUP(Tabella13[[#This Row],[test_id]],experiments_specs!A:J,7,FALSE)</f>
        <v>True</v>
      </c>
      <c r="H398" s="38" t="str">
        <f>VLOOKUP(Tabella13[[#This Row],[test_id]],experiments_specs!A:J,8,FALSE)</f>
        <v>False</v>
      </c>
      <c r="I398" s="38" t="str">
        <f>VLOOKUP(Tabella13[[#This Row],[test_id]],experiments_specs!A:J,9,FALSE)</f>
        <v>wup_similarity</v>
      </c>
      <c r="J398" s="38" t="str">
        <f>VLOOKUP(Tabella13[[#This Row],[test_id]],experiments_specs!A:J,10,FALSE)</f>
        <v>False</v>
      </c>
      <c r="K398" s="40" t="s">
        <v>14</v>
      </c>
      <c r="L398" s="36" t="s">
        <v>1361</v>
      </c>
      <c r="M398" s="36">
        <v>3</v>
      </c>
      <c r="N398" s="36">
        <v>9.3199999999999999E-4</v>
      </c>
      <c r="O398" s="36">
        <v>0.30769229999999997</v>
      </c>
    </row>
    <row r="399" spans="1:15" ht="85" x14ac:dyDescent="0.2">
      <c r="A399" s="36" t="s">
        <v>1273</v>
      </c>
      <c r="B399" s="45" t="str">
        <f>VLOOKUP(Tabella13[[#This Row],[test_id]],experiments_specs!A:J,2,FALSE)</f>
        <v>NN,JJ,VB,VBD,VBG,VBN,VBP,VBZ</v>
      </c>
      <c r="C399" s="38">
        <f>VLOOKUP(Tabella13[[#This Row],[test_id]],experiments_specs!A:J,3,FALSE)</f>
        <v>0</v>
      </c>
      <c r="D399" s="38">
        <f>VLOOKUP(Tabella13[[#This Row],[test_id]],experiments_specs!A:J,4,FALSE)</f>
        <v>2</v>
      </c>
      <c r="E399" s="38" t="str">
        <f>VLOOKUP(Tabella13[[#This Row],[test_id]],experiments_specs!A:J,5,FALSE)</f>
        <v>False</v>
      </c>
      <c r="F399" s="38" t="str">
        <f>VLOOKUP(Tabella13[[#This Row],[test_id]],experiments_specs!A:J,6,FALSE)</f>
        <v>False</v>
      </c>
      <c r="G399" s="38" t="str">
        <f>VLOOKUP(Tabella13[[#This Row],[test_id]],experiments_specs!A:J,7,FALSE)</f>
        <v>True</v>
      </c>
      <c r="H399" s="38" t="str">
        <f>VLOOKUP(Tabella13[[#This Row],[test_id]],experiments_specs!A:J,8,FALSE)</f>
        <v>False</v>
      </c>
      <c r="I399" s="38" t="str">
        <f>VLOOKUP(Tabella13[[#This Row],[test_id]],experiments_specs!A:J,9,FALSE)</f>
        <v>wup_similarity</v>
      </c>
      <c r="J399" s="38" t="str">
        <f>VLOOKUP(Tabella13[[#This Row],[test_id]],experiments_specs!A:J,10,FALSE)</f>
        <v>False</v>
      </c>
      <c r="K399" s="40" t="s">
        <v>15</v>
      </c>
      <c r="L399" s="36" t="s">
        <v>597</v>
      </c>
      <c r="M399" s="36">
        <v>2</v>
      </c>
      <c r="N399" s="36">
        <v>1.3767E-3</v>
      </c>
      <c r="O399" s="36">
        <v>0.2</v>
      </c>
    </row>
    <row r="400" spans="1:15" ht="85" x14ac:dyDescent="0.2">
      <c r="A400" s="36" t="s">
        <v>1273</v>
      </c>
      <c r="B400" s="45" t="str">
        <f>VLOOKUP(Tabella13[[#This Row],[test_id]],experiments_specs!A:J,2,FALSE)</f>
        <v>NN,JJ,VB,VBD,VBG,VBN,VBP,VBZ</v>
      </c>
      <c r="C400" s="38">
        <f>VLOOKUP(Tabella13[[#This Row],[test_id]],experiments_specs!A:J,3,FALSE)</f>
        <v>0</v>
      </c>
      <c r="D400" s="38">
        <f>VLOOKUP(Tabella13[[#This Row],[test_id]],experiments_specs!A:J,4,FALSE)</f>
        <v>2</v>
      </c>
      <c r="E400" s="38" t="str">
        <f>VLOOKUP(Tabella13[[#This Row],[test_id]],experiments_specs!A:J,5,FALSE)</f>
        <v>False</v>
      </c>
      <c r="F400" s="38" t="str">
        <f>VLOOKUP(Tabella13[[#This Row],[test_id]],experiments_specs!A:J,6,FALSE)</f>
        <v>False</v>
      </c>
      <c r="G400" s="38" t="str">
        <f>VLOOKUP(Tabella13[[#This Row],[test_id]],experiments_specs!A:J,7,FALSE)</f>
        <v>True</v>
      </c>
      <c r="H400" s="38" t="str">
        <f>VLOOKUP(Tabella13[[#This Row],[test_id]],experiments_specs!A:J,8,FALSE)</f>
        <v>False</v>
      </c>
      <c r="I400" s="38" t="str">
        <f>VLOOKUP(Tabella13[[#This Row],[test_id]],experiments_specs!A:J,9,FALSE)</f>
        <v>wup_similarity</v>
      </c>
      <c r="J400" s="38" t="str">
        <f>VLOOKUP(Tabella13[[#This Row],[test_id]],experiments_specs!A:J,10,FALSE)</f>
        <v>False</v>
      </c>
      <c r="K400" s="40" t="s">
        <v>16</v>
      </c>
      <c r="L400" s="36" t="s">
        <v>554</v>
      </c>
      <c r="M400" s="36">
        <v>2</v>
      </c>
      <c r="N400" s="36">
        <v>1.1784E-3</v>
      </c>
      <c r="O400" s="36">
        <v>0.14285709999999999</v>
      </c>
    </row>
    <row r="401" spans="1:15" ht="85" x14ac:dyDescent="0.2">
      <c r="A401" s="36" t="s">
        <v>1273</v>
      </c>
      <c r="B401" s="45" t="str">
        <f>VLOOKUP(Tabella13[[#This Row],[test_id]],experiments_specs!A:J,2,FALSE)</f>
        <v>NN,JJ,VB,VBD,VBG,VBN,VBP,VBZ</v>
      </c>
      <c r="C401" s="38">
        <f>VLOOKUP(Tabella13[[#This Row],[test_id]],experiments_specs!A:J,3,FALSE)</f>
        <v>0</v>
      </c>
      <c r="D401" s="38">
        <f>VLOOKUP(Tabella13[[#This Row],[test_id]],experiments_specs!A:J,4,FALSE)</f>
        <v>2</v>
      </c>
      <c r="E401" s="38" t="str">
        <f>VLOOKUP(Tabella13[[#This Row],[test_id]],experiments_specs!A:J,5,FALSE)</f>
        <v>False</v>
      </c>
      <c r="F401" s="38" t="str">
        <f>VLOOKUP(Tabella13[[#This Row],[test_id]],experiments_specs!A:J,6,FALSE)</f>
        <v>False</v>
      </c>
      <c r="G401" s="38" t="str">
        <f>VLOOKUP(Tabella13[[#This Row],[test_id]],experiments_specs!A:J,7,FALSE)</f>
        <v>True</v>
      </c>
      <c r="H401" s="38" t="str">
        <f>VLOOKUP(Tabella13[[#This Row],[test_id]],experiments_specs!A:J,8,FALSE)</f>
        <v>False</v>
      </c>
      <c r="I401" s="38" t="str">
        <f>VLOOKUP(Tabella13[[#This Row],[test_id]],experiments_specs!A:J,9,FALSE)</f>
        <v>wup_similarity</v>
      </c>
      <c r="J401" s="38" t="str">
        <f>VLOOKUP(Tabella13[[#This Row],[test_id]],experiments_specs!A:J,10,FALSE)</f>
        <v>False</v>
      </c>
      <c r="K401" s="40" t="s">
        <v>17</v>
      </c>
      <c r="L401" s="36" t="s">
        <v>1367</v>
      </c>
      <c r="M401" s="36">
        <v>1</v>
      </c>
      <c r="N401" s="36">
        <v>1.3783999999999999E-3</v>
      </c>
      <c r="O401" s="36">
        <v>0.22222220000000001</v>
      </c>
    </row>
    <row r="402" spans="1:15" ht="85" x14ac:dyDescent="0.2">
      <c r="A402" s="36" t="s">
        <v>1273</v>
      </c>
      <c r="B402" s="45" t="str">
        <f>VLOOKUP(Tabella13[[#This Row],[test_id]],experiments_specs!A:J,2,FALSE)</f>
        <v>NN,JJ,VB,VBD,VBG,VBN,VBP,VBZ</v>
      </c>
      <c r="C402" s="38">
        <f>VLOOKUP(Tabella13[[#This Row],[test_id]],experiments_specs!A:J,3,FALSE)</f>
        <v>0</v>
      </c>
      <c r="D402" s="38">
        <f>VLOOKUP(Tabella13[[#This Row],[test_id]],experiments_specs!A:J,4,FALSE)</f>
        <v>2</v>
      </c>
      <c r="E402" s="38" t="str">
        <f>VLOOKUP(Tabella13[[#This Row],[test_id]],experiments_specs!A:J,5,FALSE)</f>
        <v>False</v>
      </c>
      <c r="F402" s="38" t="str">
        <f>VLOOKUP(Tabella13[[#This Row],[test_id]],experiments_specs!A:J,6,FALSE)</f>
        <v>False</v>
      </c>
      <c r="G402" s="38" t="str">
        <f>VLOOKUP(Tabella13[[#This Row],[test_id]],experiments_specs!A:J,7,FALSE)</f>
        <v>True</v>
      </c>
      <c r="H402" s="38" t="str">
        <f>VLOOKUP(Tabella13[[#This Row],[test_id]],experiments_specs!A:J,8,FALSE)</f>
        <v>False</v>
      </c>
      <c r="I402" s="38" t="str">
        <f>VLOOKUP(Tabella13[[#This Row],[test_id]],experiments_specs!A:J,9,FALSE)</f>
        <v>wup_similarity</v>
      </c>
      <c r="J402" s="38" t="str">
        <f>VLOOKUP(Tabella13[[#This Row],[test_id]],experiments_specs!A:J,10,FALSE)</f>
        <v>False</v>
      </c>
      <c r="K402" s="40" t="s">
        <v>18</v>
      </c>
      <c r="L402" s="36" t="s">
        <v>1369</v>
      </c>
      <c r="M402" s="36" t="s">
        <v>1354</v>
      </c>
      <c r="N402" s="36">
        <v>6.6370000000000003E-4</v>
      </c>
      <c r="O402" s="36" t="s">
        <v>1450</v>
      </c>
    </row>
    <row r="403" spans="1:15" ht="85" x14ac:dyDescent="0.2">
      <c r="A403" s="36" t="s">
        <v>1274</v>
      </c>
      <c r="B403" s="45" t="str">
        <f>VLOOKUP(Tabella13[[#This Row],[test_id]],experiments_specs!A:J,2,FALSE)</f>
        <v>NN,JJ,VB,VBD,VBG,VBN,VBP,VBZ</v>
      </c>
      <c r="C403" s="38">
        <f>VLOOKUP(Tabella13[[#This Row],[test_id]],experiments_specs!A:J,3,FALSE)</f>
        <v>0</v>
      </c>
      <c r="D403" s="38">
        <f>VLOOKUP(Tabella13[[#This Row],[test_id]],experiments_specs!A:J,4,FALSE)</f>
        <v>3</v>
      </c>
      <c r="E403" s="38" t="str">
        <f>VLOOKUP(Tabella13[[#This Row],[test_id]],experiments_specs!A:J,5,FALSE)</f>
        <v>False</v>
      </c>
      <c r="F403" s="38" t="str">
        <f>VLOOKUP(Tabella13[[#This Row],[test_id]],experiments_specs!A:J,6,FALSE)</f>
        <v>False</v>
      </c>
      <c r="G403" s="38" t="str">
        <f>VLOOKUP(Tabella13[[#This Row],[test_id]],experiments_specs!A:J,7,FALSE)</f>
        <v>True</v>
      </c>
      <c r="H403" s="38" t="str">
        <f>VLOOKUP(Tabella13[[#This Row],[test_id]],experiments_specs!A:J,8,FALSE)</f>
        <v>False</v>
      </c>
      <c r="I403" s="38" t="str">
        <f>VLOOKUP(Tabella13[[#This Row],[test_id]],experiments_specs!A:J,9,FALSE)</f>
        <v>wup_similarity</v>
      </c>
      <c r="J403" s="38" t="str">
        <f>VLOOKUP(Tabella13[[#This Row],[test_id]],experiments_specs!A:J,10,FALSE)</f>
        <v>False</v>
      </c>
      <c r="K403" s="40" t="s">
        <v>19</v>
      </c>
      <c r="L403" s="36" t="s">
        <v>1357</v>
      </c>
      <c r="M403" s="36">
        <v>3</v>
      </c>
      <c r="N403" s="36">
        <v>1.0395000000000001E-3</v>
      </c>
      <c r="O403" s="36">
        <v>0.18181810000000001</v>
      </c>
    </row>
    <row r="404" spans="1:15" ht="85" x14ac:dyDescent="0.2">
      <c r="A404" s="36" t="s">
        <v>1274</v>
      </c>
      <c r="B404" s="45" t="str">
        <f>VLOOKUP(Tabella13[[#This Row],[test_id]],experiments_specs!A:J,2,FALSE)</f>
        <v>NN,JJ,VB,VBD,VBG,VBN,VBP,VBZ</v>
      </c>
      <c r="C404" s="38">
        <f>VLOOKUP(Tabella13[[#This Row],[test_id]],experiments_specs!A:J,3,FALSE)</f>
        <v>0</v>
      </c>
      <c r="D404" s="38">
        <f>VLOOKUP(Tabella13[[#This Row],[test_id]],experiments_specs!A:J,4,FALSE)</f>
        <v>3</v>
      </c>
      <c r="E404" s="38" t="str">
        <f>VLOOKUP(Tabella13[[#This Row],[test_id]],experiments_specs!A:J,5,FALSE)</f>
        <v>False</v>
      </c>
      <c r="F404" s="38" t="str">
        <f>VLOOKUP(Tabella13[[#This Row],[test_id]],experiments_specs!A:J,6,FALSE)</f>
        <v>False</v>
      </c>
      <c r="G404" s="38" t="str">
        <f>VLOOKUP(Tabella13[[#This Row],[test_id]],experiments_specs!A:J,7,FALSE)</f>
        <v>True</v>
      </c>
      <c r="H404" s="38" t="str">
        <f>VLOOKUP(Tabella13[[#This Row],[test_id]],experiments_specs!A:J,8,FALSE)</f>
        <v>False</v>
      </c>
      <c r="I404" s="38" t="str">
        <f>VLOOKUP(Tabella13[[#This Row],[test_id]],experiments_specs!A:J,9,FALSE)</f>
        <v>wup_similarity</v>
      </c>
      <c r="J404" s="38" t="str">
        <f>VLOOKUP(Tabella13[[#This Row],[test_id]],experiments_specs!A:J,10,FALSE)</f>
        <v>False</v>
      </c>
      <c r="K404" s="40" t="s">
        <v>12</v>
      </c>
      <c r="L404" s="36" t="s">
        <v>236</v>
      </c>
      <c r="M404" s="36">
        <v>2</v>
      </c>
      <c r="N404" s="36">
        <v>9.0910000000000003E-4</v>
      </c>
      <c r="O404" s="36">
        <v>0.125</v>
      </c>
    </row>
    <row r="405" spans="1:15" ht="85" x14ac:dyDescent="0.2">
      <c r="A405" s="36" t="s">
        <v>1274</v>
      </c>
      <c r="B405" s="45" t="str">
        <f>VLOOKUP(Tabella13[[#This Row],[test_id]],experiments_specs!A:J,2,FALSE)</f>
        <v>NN,JJ,VB,VBD,VBG,VBN,VBP,VBZ</v>
      </c>
      <c r="C405" s="38">
        <f>VLOOKUP(Tabella13[[#This Row],[test_id]],experiments_specs!A:J,3,FALSE)</f>
        <v>0</v>
      </c>
      <c r="D405" s="38">
        <f>VLOOKUP(Tabella13[[#This Row],[test_id]],experiments_specs!A:J,4,FALSE)</f>
        <v>3</v>
      </c>
      <c r="E405" s="38" t="str">
        <f>VLOOKUP(Tabella13[[#This Row],[test_id]],experiments_specs!A:J,5,FALSE)</f>
        <v>False</v>
      </c>
      <c r="F405" s="38" t="str">
        <f>VLOOKUP(Tabella13[[#This Row],[test_id]],experiments_specs!A:J,6,FALSE)</f>
        <v>False</v>
      </c>
      <c r="G405" s="38" t="str">
        <f>VLOOKUP(Tabella13[[#This Row],[test_id]],experiments_specs!A:J,7,FALSE)</f>
        <v>True</v>
      </c>
      <c r="H405" s="38" t="str">
        <f>VLOOKUP(Tabella13[[#This Row],[test_id]],experiments_specs!A:J,8,FALSE)</f>
        <v>False</v>
      </c>
      <c r="I405" s="38" t="str">
        <f>VLOOKUP(Tabella13[[#This Row],[test_id]],experiments_specs!A:J,9,FALSE)</f>
        <v>wup_similarity</v>
      </c>
      <c r="J405" s="38" t="str">
        <f>VLOOKUP(Tabella13[[#This Row],[test_id]],experiments_specs!A:J,10,FALSE)</f>
        <v>False</v>
      </c>
      <c r="K405" s="40" t="s">
        <v>13</v>
      </c>
      <c r="L405" s="36" t="s">
        <v>1360</v>
      </c>
      <c r="M405" s="36">
        <v>1</v>
      </c>
      <c r="N405" s="36">
        <v>1.5648000000000001E-3</v>
      </c>
      <c r="O405" s="36">
        <v>0.22222220000000001</v>
      </c>
    </row>
    <row r="406" spans="1:15" ht="85" x14ac:dyDescent="0.2">
      <c r="A406" s="36" t="s">
        <v>1274</v>
      </c>
      <c r="B406" s="45" t="str">
        <f>VLOOKUP(Tabella13[[#This Row],[test_id]],experiments_specs!A:J,2,FALSE)</f>
        <v>NN,JJ,VB,VBD,VBG,VBN,VBP,VBZ</v>
      </c>
      <c r="C406" s="38">
        <f>VLOOKUP(Tabella13[[#This Row],[test_id]],experiments_specs!A:J,3,FALSE)</f>
        <v>0</v>
      </c>
      <c r="D406" s="38">
        <f>VLOOKUP(Tabella13[[#This Row],[test_id]],experiments_specs!A:J,4,FALSE)</f>
        <v>3</v>
      </c>
      <c r="E406" s="38" t="str">
        <f>VLOOKUP(Tabella13[[#This Row],[test_id]],experiments_specs!A:J,5,FALSE)</f>
        <v>False</v>
      </c>
      <c r="F406" s="38" t="str">
        <f>VLOOKUP(Tabella13[[#This Row],[test_id]],experiments_specs!A:J,6,FALSE)</f>
        <v>False</v>
      </c>
      <c r="G406" s="38" t="str">
        <f>VLOOKUP(Tabella13[[#This Row],[test_id]],experiments_specs!A:J,7,FALSE)</f>
        <v>True</v>
      </c>
      <c r="H406" s="38" t="str">
        <f>VLOOKUP(Tabella13[[#This Row],[test_id]],experiments_specs!A:J,8,FALSE)</f>
        <v>False</v>
      </c>
      <c r="I406" s="38" t="str">
        <f>VLOOKUP(Tabella13[[#This Row],[test_id]],experiments_specs!A:J,9,FALSE)</f>
        <v>wup_similarity</v>
      </c>
      <c r="J406" s="38" t="str">
        <f>VLOOKUP(Tabella13[[#This Row],[test_id]],experiments_specs!A:J,10,FALSE)</f>
        <v>False</v>
      </c>
      <c r="K406" s="40" t="s">
        <v>14</v>
      </c>
      <c r="L406" s="36" t="s">
        <v>1361</v>
      </c>
      <c r="M406" s="36">
        <v>3</v>
      </c>
      <c r="N406" s="36">
        <v>9.3199999999999999E-4</v>
      </c>
      <c r="O406" s="36">
        <v>0.30769229999999997</v>
      </c>
    </row>
    <row r="407" spans="1:15" ht="85" x14ac:dyDescent="0.2">
      <c r="A407" s="36" t="s">
        <v>1274</v>
      </c>
      <c r="B407" s="45" t="str">
        <f>VLOOKUP(Tabella13[[#This Row],[test_id]],experiments_specs!A:J,2,FALSE)</f>
        <v>NN,JJ,VB,VBD,VBG,VBN,VBP,VBZ</v>
      </c>
      <c r="C407" s="38">
        <f>VLOOKUP(Tabella13[[#This Row],[test_id]],experiments_specs!A:J,3,FALSE)</f>
        <v>0</v>
      </c>
      <c r="D407" s="38">
        <f>VLOOKUP(Tabella13[[#This Row],[test_id]],experiments_specs!A:J,4,FALSE)</f>
        <v>3</v>
      </c>
      <c r="E407" s="38" t="str">
        <f>VLOOKUP(Tabella13[[#This Row],[test_id]],experiments_specs!A:J,5,FALSE)</f>
        <v>False</v>
      </c>
      <c r="F407" s="38" t="str">
        <f>VLOOKUP(Tabella13[[#This Row],[test_id]],experiments_specs!A:J,6,FALSE)</f>
        <v>False</v>
      </c>
      <c r="G407" s="38" t="str">
        <f>VLOOKUP(Tabella13[[#This Row],[test_id]],experiments_specs!A:J,7,FALSE)</f>
        <v>True</v>
      </c>
      <c r="H407" s="38" t="str">
        <f>VLOOKUP(Tabella13[[#This Row],[test_id]],experiments_specs!A:J,8,FALSE)</f>
        <v>False</v>
      </c>
      <c r="I407" s="38" t="str">
        <f>VLOOKUP(Tabella13[[#This Row],[test_id]],experiments_specs!A:J,9,FALSE)</f>
        <v>wup_similarity</v>
      </c>
      <c r="J407" s="38" t="str">
        <f>VLOOKUP(Tabella13[[#This Row],[test_id]],experiments_specs!A:J,10,FALSE)</f>
        <v>False</v>
      </c>
      <c r="K407" s="40" t="s">
        <v>15</v>
      </c>
      <c r="L407" s="36" t="s">
        <v>597</v>
      </c>
      <c r="M407" s="36">
        <v>2</v>
      </c>
      <c r="N407" s="36">
        <v>1.3767E-3</v>
      </c>
      <c r="O407" s="36">
        <v>0.2</v>
      </c>
    </row>
    <row r="408" spans="1:15" ht="85" x14ac:dyDescent="0.2">
      <c r="A408" s="36" t="s">
        <v>1274</v>
      </c>
      <c r="B408" s="45" t="str">
        <f>VLOOKUP(Tabella13[[#This Row],[test_id]],experiments_specs!A:J,2,FALSE)</f>
        <v>NN,JJ,VB,VBD,VBG,VBN,VBP,VBZ</v>
      </c>
      <c r="C408" s="38">
        <f>VLOOKUP(Tabella13[[#This Row],[test_id]],experiments_specs!A:J,3,FALSE)</f>
        <v>0</v>
      </c>
      <c r="D408" s="38">
        <f>VLOOKUP(Tabella13[[#This Row],[test_id]],experiments_specs!A:J,4,FALSE)</f>
        <v>3</v>
      </c>
      <c r="E408" s="38" t="str">
        <f>VLOOKUP(Tabella13[[#This Row],[test_id]],experiments_specs!A:J,5,FALSE)</f>
        <v>False</v>
      </c>
      <c r="F408" s="38" t="str">
        <f>VLOOKUP(Tabella13[[#This Row],[test_id]],experiments_specs!A:J,6,FALSE)</f>
        <v>False</v>
      </c>
      <c r="G408" s="38" t="str">
        <f>VLOOKUP(Tabella13[[#This Row],[test_id]],experiments_specs!A:J,7,FALSE)</f>
        <v>True</v>
      </c>
      <c r="H408" s="38" t="str">
        <f>VLOOKUP(Tabella13[[#This Row],[test_id]],experiments_specs!A:J,8,FALSE)</f>
        <v>False</v>
      </c>
      <c r="I408" s="38" t="str">
        <f>VLOOKUP(Tabella13[[#This Row],[test_id]],experiments_specs!A:J,9,FALSE)</f>
        <v>wup_similarity</v>
      </c>
      <c r="J408" s="38" t="str">
        <f>VLOOKUP(Tabella13[[#This Row],[test_id]],experiments_specs!A:J,10,FALSE)</f>
        <v>False</v>
      </c>
      <c r="K408" s="40" t="s">
        <v>16</v>
      </c>
      <c r="L408" s="36" t="s">
        <v>554</v>
      </c>
      <c r="M408" s="36">
        <v>2</v>
      </c>
      <c r="N408" s="36">
        <v>1.1784E-3</v>
      </c>
      <c r="O408" s="36">
        <v>0.14285709999999999</v>
      </c>
    </row>
    <row r="409" spans="1:15" ht="85" x14ac:dyDescent="0.2">
      <c r="A409" s="36" t="s">
        <v>1274</v>
      </c>
      <c r="B409" s="45" t="str">
        <f>VLOOKUP(Tabella13[[#This Row],[test_id]],experiments_specs!A:J,2,FALSE)</f>
        <v>NN,JJ,VB,VBD,VBG,VBN,VBP,VBZ</v>
      </c>
      <c r="C409" s="38">
        <f>VLOOKUP(Tabella13[[#This Row],[test_id]],experiments_specs!A:J,3,FALSE)</f>
        <v>0</v>
      </c>
      <c r="D409" s="38">
        <f>VLOOKUP(Tabella13[[#This Row],[test_id]],experiments_specs!A:J,4,FALSE)</f>
        <v>3</v>
      </c>
      <c r="E409" s="38" t="str">
        <f>VLOOKUP(Tabella13[[#This Row],[test_id]],experiments_specs!A:J,5,FALSE)</f>
        <v>False</v>
      </c>
      <c r="F409" s="38" t="str">
        <f>VLOOKUP(Tabella13[[#This Row],[test_id]],experiments_specs!A:J,6,FALSE)</f>
        <v>False</v>
      </c>
      <c r="G409" s="38" t="str">
        <f>VLOOKUP(Tabella13[[#This Row],[test_id]],experiments_specs!A:J,7,FALSE)</f>
        <v>True</v>
      </c>
      <c r="H409" s="38" t="str">
        <f>VLOOKUP(Tabella13[[#This Row],[test_id]],experiments_specs!A:J,8,FALSE)</f>
        <v>False</v>
      </c>
      <c r="I409" s="38" t="str">
        <f>VLOOKUP(Tabella13[[#This Row],[test_id]],experiments_specs!A:J,9,FALSE)</f>
        <v>wup_similarity</v>
      </c>
      <c r="J409" s="38" t="str">
        <f>VLOOKUP(Tabella13[[#This Row],[test_id]],experiments_specs!A:J,10,FALSE)</f>
        <v>False</v>
      </c>
      <c r="K409" s="40" t="s">
        <v>17</v>
      </c>
      <c r="L409" s="36" t="s">
        <v>1367</v>
      </c>
      <c r="M409" s="36">
        <v>1</v>
      </c>
      <c r="N409" s="36">
        <v>1.3783999999999999E-3</v>
      </c>
      <c r="O409" s="36">
        <v>0.22222220000000001</v>
      </c>
    </row>
    <row r="410" spans="1:15" ht="85" x14ac:dyDescent="0.2">
      <c r="A410" s="36" t="s">
        <v>1274</v>
      </c>
      <c r="B410" s="45" t="str">
        <f>VLOOKUP(Tabella13[[#This Row],[test_id]],experiments_specs!A:J,2,FALSE)</f>
        <v>NN,JJ,VB,VBD,VBG,VBN,VBP,VBZ</v>
      </c>
      <c r="C410" s="38">
        <f>VLOOKUP(Tabella13[[#This Row],[test_id]],experiments_specs!A:J,3,FALSE)</f>
        <v>0</v>
      </c>
      <c r="D410" s="38">
        <f>VLOOKUP(Tabella13[[#This Row],[test_id]],experiments_specs!A:J,4,FALSE)</f>
        <v>3</v>
      </c>
      <c r="E410" s="38" t="str">
        <f>VLOOKUP(Tabella13[[#This Row],[test_id]],experiments_specs!A:J,5,FALSE)</f>
        <v>False</v>
      </c>
      <c r="F410" s="38" t="str">
        <f>VLOOKUP(Tabella13[[#This Row],[test_id]],experiments_specs!A:J,6,FALSE)</f>
        <v>False</v>
      </c>
      <c r="G410" s="38" t="str">
        <f>VLOOKUP(Tabella13[[#This Row],[test_id]],experiments_specs!A:J,7,FALSE)</f>
        <v>True</v>
      </c>
      <c r="H410" s="38" t="str">
        <f>VLOOKUP(Tabella13[[#This Row],[test_id]],experiments_specs!A:J,8,FALSE)</f>
        <v>False</v>
      </c>
      <c r="I410" s="38" t="str">
        <f>VLOOKUP(Tabella13[[#This Row],[test_id]],experiments_specs!A:J,9,FALSE)</f>
        <v>wup_similarity</v>
      </c>
      <c r="J410" s="38" t="str">
        <f>VLOOKUP(Tabella13[[#This Row],[test_id]],experiments_specs!A:J,10,FALSE)</f>
        <v>False</v>
      </c>
      <c r="K410" s="40" t="s">
        <v>18</v>
      </c>
      <c r="L410" s="36" t="s">
        <v>1369</v>
      </c>
      <c r="M410" s="36" t="s">
        <v>1354</v>
      </c>
      <c r="N410" s="36">
        <v>6.6370000000000003E-4</v>
      </c>
      <c r="O410" s="36" t="s">
        <v>1450</v>
      </c>
    </row>
    <row r="411" spans="1:15" ht="85" x14ac:dyDescent="0.2">
      <c r="A411" s="36" t="s">
        <v>1275</v>
      </c>
      <c r="B411" s="45" t="str">
        <f>VLOOKUP(Tabella13[[#This Row],[test_id]],experiments_specs!A:J,2,FALSE)</f>
        <v>NN,JJ</v>
      </c>
      <c r="C411" s="38">
        <f>VLOOKUP(Tabella13[[#This Row],[test_id]],experiments_specs!A:J,3,FALSE)</f>
        <v>0</v>
      </c>
      <c r="D411" s="38">
        <f>VLOOKUP(Tabella13[[#This Row],[test_id]],experiments_specs!A:J,4,FALSE)</f>
        <v>2</v>
      </c>
      <c r="E411" s="38" t="str">
        <f>VLOOKUP(Tabella13[[#This Row],[test_id]],experiments_specs!A:J,5,FALSE)</f>
        <v>True</v>
      </c>
      <c r="F411" s="38" t="str">
        <f>VLOOKUP(Tabella13[[#This Row],[test_id]],experiments_specs!A:J,6,FALSE)</f>
        <v>False</v>
      </c>
      <c r="G411" s="38" t="str">
        <f>VLOOKUP(Tabella13[[#This Row],[test_id]],experiments_specs!A:J,7,FALSE)</f>
        <v>True</v>
      </c>
      <c r="H411" s="38" t="str">
        <f>VLOOKUP(Tabella13[[#This Row],[test_id]],experiments_specs!A:J,8,FALSE)</f>
        <v>False</v>
      </c>
      <c r="I411" s="38" t="str">
        <f>VLOOKUP(Tabella13[[#This Row],[test_id]],experiments_specs!A:J,9,FALSE)</f>
        <v>wup_similarity</v>
      </c>
      <c r="J411" s="38" t="str">
        <f>VLOOKUP(Tabella13[[#This Row],[test_id]],experiments_specs!A:J,10,FALSE)</f>
        <v>False</v>
      </c>
      <c r="K411" s="40" t="s">
        <v>19</v>
      </c>
      <c r="L411" s="36" t="s">
        <v>1357</v>
      </c>
      <c r="M411" s="36">
        <v>3</v>
      </c>
      <c r="N411" s="36">
        <v>1.23401E-2</v>
      </c>
      <c r="O411" s="36">
        <v>0.18181810000000001</v>
      </c>
    </row>
    <row r="412" spans="1:15" ht="85" x14ac:dyDescent="0.2">
      <c r="A412" s="36" t="s">
        <v>1275</v>
      </c>
      <c r="B412" s="45" t="str">
        <f>VLOOKUP(Tabella13[[#This Row],[test_id]],experiments_specs!A:J,2,FALSE)</f>
        <v>NN,JJ</v>
      </c>
      <c r="C412" s="38">
        <f>VLOOKUP(Tabella13[[#This Row],[test_id]],experiments_specs!A:J,3,FALSE)</f>
        <v>0</v>
      </c>
      <c r="D412" s="38">
        <f>VLOOKUP(Tabella13[[#This Row],[test_id]],experiments_specs!A:J,4,FALSE)</f>
        <v>2</v>
      </c>
      <c r="E412" s="38" t="str">
        <f>VLOOKUP(Tabella13[[#This Row],[test_id]],experiments_specs!A:J,5,FALSE)</f>
        <v>True</v>
      </c>
      <c r="F412" s="38" t="str">
        <f>VLOOKUP(Tabella13[[#This Row],[test_id]],experiments_specs!A:J,6,FALSE)</f>
        <v>False</v>
      </c>
      <c r="G412" s="38" t="str">
        <f>VLOOKUP(Tabella13[[#This Row],[test_id]],experiments_specs!A:J,7,FALSE)</f>
        <v>True</v>
      </c>
      <c r="H412" s="38" t="str">
        <f>VLOOKUP(Tabella13[[#This Row],[test_id]],experiments_specs!A:J,8,FALSE)</f>
        <v>False</v>
      </c>
      <c r="I412" s="38" t="str">
        <f>VLOOKUP(Tabella13[[#This Row],[test_id]],experiments_specs!A:J,9,FALSE)</f>
        <v>wup_similarity</v>
      </c>
      <c r="J412" s="38" t="str">
        <f>VLOOKUP(Tabella13[[#This Row],[test_id]],experiments_specs!A:J,10,FALSE)</f>
        <v>False</v>
      </c>
      <c r="K412" s="40" t="s">
        <v>12</v>
      </c>
      <c r="L412" s="36" t="s">
        <v>1371</v>
      </c>
      <c r="M412" s="36" t="s">
        <v>1373</v>
      </c>
      <c r="N412" s="36">
        <v>1.4035799999999999E-2</v>
      </c>
      <c r="O412" s="36" t="s">
        <v>1452</v>
      </c>
    </row>
    <row r="413" spans="1:15" ht="85" x14ac:dyDescent="0.2">
      <c r="A413" s="36" t="s">
        <v>1275</v>
      </c>
      <c r="B413" s="45" t="str">
        <f>VLOOKUP(Tabella13[[#This Row],[test_id]],experiments_specs!A:J,2,FALSE)</f>
        <v>NN,JJ</v>
      </c>
      <c r="C413" s="38">
        <f>VLOOKUP(Tabella13[[#This Row],[test_id]],experiments_specs!A:J,3,FALSE)</f>
        <v>0</v>
      </c>
      <c r="D413" s="38">
        <f>VLOOKUP(Tabella13[[#This Row],[test_id]],experiments_specs!A:J,4,FALSE)</f>
        <v>2</v>
      </c>
      <c r="E413" s="38" t="str">
        <f>VLOOKUP(Tabella13[[#This Row],[test_id]],experiments_specs!A:J,5,FALSE)</f>
        <v>True</v>
      </c>
      <c r="F413" s="38" t="str">
        <f>VLOOKUP(Tabella13[[#This Row],[test_id]],experiments_specs!A:J,6,FALSE)</f>
        <v>False</v>
      </c>
      <c r="G413" s="38" t="str">
        <f>VLOOKUP(Tabella13[[#This Row],[test_id]],experiments_specs!A:J,7,FALSE)</f>
        <v>True</v>
      </c>
      <c r="H413" s="38" t="str">
        <f>VLOOKUP(Tabella13[[#This Row],[test_id]],experiments_specs!A:J,8,FALSE)</f>
        <v>False</v>
      </c>
      <c r="I413" s="38" t="str">
        <f>VLOOKUP(Tabella13[[#This Row],[test_id]],experiments_specs!A:J,9,FALSE)</f>
        <v>wup_similarity</v>
      </c>
      <c r="J413" s="38" t="str">
        <f>VLOOKUP(Tabella13[[#This Row],[test_id]],experiments_specs!A:J,10,FALSE)</f>
        <v>False</v>
      </c>
      <c r="K413" s="40" t="s">
        <v>13</v>
      </c>
      <c r="L413" s="36" t="s">
        <v>1375</v>
      </c>
      <c r="M413" s="36" t="s">
        <v>1314</v>
      </c>
      <c r="N413" s="36">
        <v>7.3264000000000003E-3</v>
      </c>
      <c r="O413" s="36" t="s">
        <v>1377</v>
      </c>
    </row>
    <row r="414" spans="1:15" ht="85" x14ac:dyDescent="0.2">
      <c r="A414" s="36" t="s">
        <v>1275</v>
      </c>
      <c r="B414" s="45" t="str">
        <f>VLOOKUP(Tabella13[[#This Row],[test_id]],experiments_specs!A:J,2,FALSE)</f>
        <v>NN,JJ</v>
      </c>
      <c r="C414" s="38">
        <f>VLOOKUP(Tabella13[[#This Row],[test_id]],experiments_specs!A:J,3,FALSE)</f>
        <v>0</v>
      </c>
      <c r="D414" s="38">
        <f>VLOOKUP(Tabella13[[#This Row],[test_id]],experiments_specs!A:J,4,FALSE)</f>
        <v>2</v>
      </c>
      <c r="E414" s="38" t="str">
        <f>VLOOKUP(Tabella13[[#This Row],[test_id]],experiments_specs!A:J,5,FALSE)</f>
        <v>True</v>
      </c>
      <c r="F414" s="38" t="str">
        <f>VLOOKUP(Tabella13[[#This Row],[test_id]],experiments_specs!A:J,6,FALSE)</f>
        <v>False</v>
      </c>
      <c r="G414" s="38" t="str">
        <f>VLOOKUP(Tabella13[[#This Row],[test_id]],experiments_specs!A:J,7,FALSE)</f>
        <v>True</v>
      </c>
      <c r="H414" s="38" t="str">
        <f>VLOOKUP(Tabella13[[#This Row],[test_id]],experiments_specs!A:J,8,FALSE)</f>
        <v>False</v>
      </c>
      <c r="I414" s="38" t="str">
        <f>VLOOKUP(Tabella13[[#This Row],[test_id]],experiments_specs!A:J,9,FALSE)</f>
        <v>wup_similarity</v>
      </c>
      <c r="J414" s="38" t="str">
        <f>VLOOKUP(Tabella13[[#This Row],[test_id]],experiments_specs!A:J,10,FALSE)</f>
        <v>False</v>
      </c>
      <c r="K414" s="40" t="s">
        <v>14</v>
      </c>
      <c r="L414" s="36" t="s">
        <v>1361</v>
      </c>
      <c r="M414" s="36">
        <v>3</v>
      </c>
      <c r="N414" s="36">
        <v>7.7761000000000002E-3</v>
      </c>
      <c r="O414" s="36">
        <v>0.30769229999999997</v>
      </c>
    </row>
    <row r="415" spans="1:15" ht="85" x14ac:dyDescent="0.2">
      <c r="A415" s="36" t="s">
        <v>1275</v>
      </c>
      <c r="B415" s="45" t="str">
        <f>VLOOKUP(Tabella13[[#This Row],[test_id]],experiments_specs!A:J,2,FALSE)</f>
        <v>NN,JJ</v>
      </c>
      <c r="C415" s="38">
        <f>VLOOKUP(Tabella13[[#This Row],[test_id]],experiments_specs!A:J,3,FALSE)</f>
        <v>0</v>
      </c>
      <c r="D415" s="38">
        <f>VLOOKUP(Tabella13[[#This Row],[test_id]],experiments_specs!A:J,4,FALSE)</f>
        <v>2</v>
      </c>
      <c r="E415" s="38" t="str">
        <f>VLOOKUP(Tabella13[[#This Row],[test_id]],experiments_specs!A:J,5,FALSE)</f>
        <v>True</v>
      </c>
      <c r="F415" s="38" t="str">
        <f>VLOOKUP(Tabella13[[#This Row],[test_id]],experiments_specs!A:J,6,FALSE)</f>
        <v>False</v>
      </c>
      <c r="G415" s="38" t="str">
        <f>VLOOKUP(Tabella13[[#This Row],[test_id]],experiments_specs!A:J,7,FALSE)</f>
        <v>True</v>
      </c>
      <c r="H415" s="38" t="str">
        <f>VLOOKUP(Tabella13[[#This Row],[test_id]],experiments_specs!A:J,8,FALSE)</f>
        <v>False</v>
      </c>
      <c r="I415" s="38" t="str">
        <f>VLOOKUP(Tabella13[[#This Row],[test_id]],experiments_specs!A:J,9,FALSE)</f>
        <v>wup_similarity</v>
      </c>
      <c r="J415" s="38" t="str">
        <f>VLOOKUP(Tabella13[[#This Row],[test_id]],experiments_specs!A:J,10,FALSE)</f>
        <v>False</v>
      </c>
      <c r="K415" s="40" t="s">
        <v>15</v>
      </c>
      <c r="L415" s="36" t="s">
        <v>1379</v>
      </c>
      <c r="M415" s="36" t="s">
        <v>1381</v>
      </c>
      <c r="N415" s="36">
        <v>6.7901000000000003E-3</v>
      </c>
      <c r="O415" s="36" t="s">
        <v>1454</v>
      </c>
    </row>
    <row r="416" spans="1:15" ht="85" x14ac:dyDescent="0.2">
      <c r="A416" s="36" t="s">
        <v>1275</v>
      </c>
      <c r="B416" s="45" t="str">
        <f>VLOOKUP(Tabella13[[#This Row],[test_id]],experiments_specs!A:J,2,FALSE)</f>
        <v>NN,JJ</v>
      </c>
      <c r="C416" s="38">
        <f>VLOOKUP(Tabella13[[#This Row],[test_id]],experiments_specs!A:J,3,FALSE)</f>
        <v>0</v>
      </c>
      <c r="D416" s="38">
        <f>VLOOKUP(Tabella13[[#This Row],[test_id]],experiments_specs!A:J,4,FALSE)</f>
        <v>2</v>
      </c>
      <c r="E416" s="38" t="str">
        <f>VLOOKUP(Tabella13[[#This Row],[test_id]],experiments_specs!A:J,5,FALSE)</f>
        <v>True</v>
      </c>
      <c r="F416" s="38" t="str">
        <f>VLOOKUP(Tabella13[[#This Row],[test_id]],experiments_specs!A:J,6,FALSE)</f>
        <v>False</v>
      </c>
      <c r="G416" s="38" t="str">
        <f>VLOOKUP(Tabella13[[#This Row],[test_id]],experiments_specs!A:J,7,FALSE)</f>
        <v>True</v>
      </c>
      <c r="H416" s="38" t="str">
        <f>VLOOKUP(Tabella13[[#This Row],[test_id]],experiments_specs!A:J,8,FALSE)</f>
        <v>False</v>
      </c>
      <c r="I416" s="38" t="str">
        <f>VLOOKUP(Tabella13[[#This Row],[test_id]],experiments_specs!A:J,9,FALSE)</f>
        <v>wup_similarity</v>
      </c>
      <c r="J416" s="38" t="str">
        <f>VLOOKUP(Tabella13[[#This Row],[test_id]],experiments_specs!A:J,10,FALSE)</f>
        <v>False</v>
      </c>
      <c r="K416" s="40" t="s">
        <v>16</v>
      </c>
      <c r="L416" s="36" t="s">
        <v>641</v>
      </c>
      <c r="M416" s="36">
        <v>2</v>
      </c>
      <c r="N416" s="36">
        <v>4.6296000000000002E-3</v>
      </c>
      <c r="O416" s="36">
        <v>0.13333329999999999</v>
      </c>
    </row>
    <row r="417" spans="1:15" ht="85" x14ac:dyDescent="0.2">
      <c r="A417" s="36" t="s">
        <v>1275</v>
      </c>
      <c r="B417" s="45" t="str">
        <f>VLOOKUP(Tabella13[[#This Row],[test_id]],experiments_specs!A:J,2,FALSE)</f>
        <v>NN,JJ</v>
      </c>
      <c r="C417" s="38">
        <f>VLOOKUP(Tabella13[[#This Row],[test_id]],experiments_specs!A:J,3,FALSE)</f>
        <v>0</v>
      </c>
      <c r="D417" s="38">
        <f>VLOOKUP(Tabella13[[#This Row],[test_id]],experiments_specs!A:J,4,FALSE)</f>
        <v>2</v>
      </c>
      <c r="E417" s="38" t="str">
        <f>VLOOKUP(Tabella13[[#This Row],[test_id]],experiments_specs!A:J,5,FALSE)</f>
        <v>True</v>
      </c>
      <c r="F417" s="38" t="str">
        <f>VLOOKUP(Tabella13[[#This Row],[test_id]],experiments_specs!A:J,6,FALSE)</f>
        <v>False</v>
      </c>
      <c r="G417" s="38" t="str">
        <f>VLOOKUP(Tabella13[[#This Row],[test_id]],experiments_specs!A:J,7,FALSE)</f>
        <v>True</v>
      </c>
      <c r="H417" s="38" t="str">
        <f>VLOOKUP(Tabella13[[#This Row],[test_id]],experiments_specs!A:J,8,FALSE)</f>
        <v>False</v>
      </c>
      <c r="I417" s="38" t="str">
        <f>VLOOKUP(Tabella13[[#This Row],[test_id]],experiments_specs!A:J,9,FALSE)</f>
        <v>wup_similarity</v>
      </c>
      <c r="J417" s="38" t="str">
        <f>VLOOKUP(Tabella13[[#This Row],[test_id]],experiments_specs!A:J,10,FALSE)</f>
        <v>False</v>
      </c>
      <c r="K417" s="40" t="s">
        <v>17</v>
      </c>
      <c r="L417" s="36" t="s">
        <v>1382</v>
      </c>
      <c r="M417" s="36">
        <v>1</v>
      </c>
      <c r="N417" s="36">
        <v>8.9087000000000003E-3</v>
      </c>
      <c r="O417" s="36">
        <v>0.18181810000000001</v>
      </c>
    </row>
    <row r="418" spans="1:15" ht="85" x14ac:dyDescent="0.2">
      <c r="A418" s="36" t="s">
        <v>1275</v>
      </c>
      <c r="B418" s="45" t="str">
        <f>VLOOKUP(Tabella13[[#This Row],[test_id]],experiments_specs!A:J,2,FALSE)</f>
        <v>NN,JJ</v>
      </c>
      <c r="C418" s="38">
        <f>VLOOKUP(Tabella13[[#This Row],[test_id]],experiments_specs!A:J,3,FALSE)</f>
        <v>0</v>
      </c>
      <c r="D418" s="38">
        <f>VLOOKUP(Tabella13[[#This Row],[test_id]],experiments_specs!A:J,4,FALSE)</f>
        <v>2</v>
      </c>
      <c r="E418" s="38" t="str">
        <f>VLOOKUP(Tabella13[[#This Row],[test_id]],experiments_specs!A:J,5,FALSE)</f>
        <v>True</v>
      </c>
      <c r="F418" s="38" t="str">
        <f>VLOOKUP(Tabella13[[#This Row],[test_id]],experiments_specs!A:J,6,FALSE)</f>
        <v>False</v>
      </c>
      <c r="G418" s="38" t="str">
        <f>VLOOKUP(Tabella13[[#This Row],[test_id]],experiments_specs!A:J,7,FALSE)</f>
        <v>True</v>
      </c>
      <c r="H418" s="38" t="str">
        <f>VLOOKUP(Tabella13[[#This Row],[test_id]],experiments_specs!A:J,8,FALSE)</f>
        <v>False</v>
      </c>
      <c r="I418" s="38" t="str">
        <f>VLOOKUP(Tabella13[[#This Row],[test_id]],experiments_specs!A:J,9,FALSE)</f>
        <v>wup_similarity</v>
      </c>
      <c r="J418" s="38" t="str">
        <f>VLOOKUP(Tabella13[[#This Row],[test_id]],experiments_specs!A:J,10,FALSE)</f>
        <v>False</v>
      </c>
      <c r="K418" s="40" t="s">
        <v>18</v>
      </c>
      <c r="L418" s="36" t="s">
        <v>652</v>
      </c>
      <c r="M418" s="36">
        <v>2</v>
      </c>
      <c r="N418" s="36">
        <v>7.8050999999999997E-3</v>
      </c>
      <c r="O418" s="36">
        <v>0.2105263</v>
      </c>
    </row>
    <row r="419" spans="1:15" ht="85" x14ac:dyDescent="0.2">
      <c r="A419" s="36" t="s">
        <v>1276</v>
      </c>
      <c r="B419" s="45" t="str">
        <f>VLOOKUP(Tabella13[[#This Row],[test_id]],experiments_specs!A:J,2,FALSE)</f>
        <v>NN,JJ</v>
      </c>
      <c r="C419" s="38">
        <f>VLOOKUP(Tabella13[[#This Row],[test_id]],experiments_specs!A:J,3,FALSE)</f>
        <v>0</v>
      </c>
      <c r="D419" s="38">
        <f>VLOOKUP(Tabella13[[#This Row],[test_id]],experiments_specs!A:J,4,FALSE)</f>
        <v>3</v>
      </c>
      <c r="E419" s="38" t="str">
        <f>VLOOKUP(Tabella13[[#This Row],[test_id]],experiments_specs!A:J,5,FALSE)</f>
        <v>True</v>
      </c>
      <c r="F419" s="38" t="str">
        <f>VLOOKUP(Tabella13[[#This Row],[test_id]],experiments_specs!A:J,6,FALSE)</f>
        <v>False</v>
      </c>
      <c r="G419" s="38" t="str">
        <f>VLOOKUP(Tabella13[[#This Row],[test_id]],experiments_specs!A:J,7,FALSE)</f>
        <v>True</v>
      </c>
      <c r="H419" s="38" t="str">
        <f>VLOOKUP(Tabella13[[#This Row],[test_id]],experiments_specs!A:J,8,FALSE)</f>
        <v>False</v>
      </c>
      <c r="I419" s="38" t="str">
        <f>VLOOKUP(Tabella13[[#This Row],[test_id]],experiments_specs!A:J,9,FALSE)</f>
        <v>wup_similarity</v>
      </c>
      <c r="J419" s="38" t="str">
        <f>VLOOKUP(Tabella13[[#This Row],[test_id]],experiments_specs!A:J,10,FALSE)</f>
        <v>False</v>
      </c>
      <c r="K419" s="40" t="s">
        <v>19</v>
      </c>
      <c r="L419" s="36" t="s">
        <v>1357</v>
      </c>
      <c r="M419" s="36">
        <v>3</v>
      </c>
      <c r="N419" s="36">
        <v>1.23401E-2</v>
      </c>
      <c r="O419" s="36">
        <v>0.18181810000000001</v>
      </c>
    </row>
    <row r="420" spans="1:15" ht="85" x14ac:dyDescent="0.2">
      <c r="A420" s="36" t="s">
        <v>1276</v>
      </c>
      <c r="B420" s="45" t="str">
        <f>VLOOKUP(Tabella13[[#This Row],[test_id]],experiments_specs!A:J,2,FALSE)</f>
        <v>NN,JJ</v>
      </c>
      <c r="C420" s="38">
        <f>VLOOKUP(Tabella13[[#This Row],[test_id]],experiments_specs!A:J,3,FALSE)</f>
        <v>0</v>
      </c>
      <c r="D420" s="38">
        <f>VLOOKUP(Tabella13[[#This Row],[test_id]],experiments_specs!A:J,4,FALSE)</f>
        <v>3</v>
      </c>
      <c r="E420" s="38" t="str">
        <f>VLOOKUP(Tabella13[[#This Row],[test_id]],experiments_specs!A:J,5,FALSE)</f>
        <v>True</v>
      </c>
      <c r="F420" s="38" t="str">
        <f>VLOOKUP(Tabella13[[#This Row],[test_id]],experiments_specs!A:J,6,FALSE)</f>
        <v>False</v>
      </c>
      <c r="G420" s="38" t="str">
        <f>VLOOKUP(Tabella13[[#This Row],[test_id]],experiments_specs!A:J,7,FALSE)</f>
        <v>True</v>
      </c>
      <c r="H420" s="38" t="str">
        <f>VLOOKUP(Tabella13[[#This Row],[test_id]],experiments_specs!A:J,8,FALSE)</f>
        <v>False</v>
      </c>
      <c r="I420" s="38" t="str">
        <f>VLOOKUP(Tabella13[[#This Row],[test_id]],experiments_specs!A:J,9,FALSE)</f>
        <v>wup_similarity</v>
      </c>
      <c r="J420" s="38" t="str">
        <f>VLOOKUP(Tabella13[[#This Row],[test_id]],experiments_specs!A:J,10,FALSE)</f>
        <v>False</v>
      </c>
      <c r="K420" s="40" t="s">
        <v>12</v>
      </c>
      <c r="L420" s="36" t="s">
        <v>1371</v>
      </c>
      <c r="M420" s="36" t="s">
        <v>1373</v>
      </c>
      <c r="N420" s="36">
        <v>1.4035799999999999E-2</v>
      </c>
      <c r="O420" s="36" t="s">
        <v>1452</v>
      </c>
    </row>
    <row r="421" spans="1:15" ht="85" x14ac:dyDescent="0.2">
      <c r="A421" s="36" t="s">
        <v>1276</v>
      </c>
      <c r="B421" s="45" t="str">
        <f>VLOOKUP(Tabella13[[#This Row],[test_id]],experiments_specs!A:J,2,FALSE)</f>
        <v>NN,JJ</v>
      </c>
      <c r="C421" s="38">
        <f>VLOOKUP(Tabella13[[#This Row],[test_id]],experiments_specs!A:J,3,FALSE)</f>
        <v>0</v>
      </c>
      <c r="D421" s="38">
        <f>VLOOKUP(Tabella13[[#This Row],[test_id]],experiments_specs!A:J,4,FALSE)</f>
        <v>3</v>
      </c>
      <c r="E421" s="38" t="str">
        <f>VLOOKUP(Tabella13[[#This Row],[test_id]],experiments_specs!A:J,5,FALSE)</f>
        <v>True</v>
      </c>
      <c r="F421" s="38" t="str">
        <f>VLOOKUP(Tabella13[[#This Row],[test_id]],experiments_specs!A:J,6,FALSE)</f>
        <v>False</v>
      </c>
      <c r="G421" s="38" t="str">
        <f>VLOOKUP(Tabella13[[#This Row],[test_id]],experiments_specs!A:J,7,FALSE)</f>
        <v>True</v>
      </c>
      <c r="H421" s="38" t="str">
        <f>VLOOKUP(Tabella13[[#This Row],[test_id]],experiments_specs!A:J,8,FALSE)</f>
        <v>False</v>
      </c>
      <c r="I421" s="38" t="str">
        <f>VLOOKUP(Tabella13[[#This Row],[test_id]],experiments_specs!A:J,9,FALSE)</f>
        <v>wup_similarity</v>
      </c>
      <c r="J421" s="38" t="str">
        <f>VLOOKUP(Tabella13[[#This Row],[test_id]],experiments_specs!A:J,10,FALSE)</f>
        <v>False</v>
      </c>
      <c r="K421" s="40" t="s">
        <v>13</v>
      </c>
      <c r="L421" s="36" t="s">
        <v>1375</v>
      </c>
      <c r="M421" s="36" t="s">
        <v>1314</v>
      </c>
      <c r="N421" s="36">
        <v>7.3264000000000003E-3</v>
      </c>
      <c r="O421" s="36" t="s">
        <v>1377</v>
      </c>
    </row>
    <row r="422" spans="1:15" ht="85" x14ac:dyDescent="0.2">
      <c r="A422" s="36" t="s">
        <v>1276</v>
      </c>
      <c r="B422" s="45" t="str">
        <f>VLOOKUP(Tabella13[[#This Row],[test_id]],experiments_specs!A:J,2,FALSE)</f>
        <v>NN,JJ</v>
      </c>
      <c r="C422" s="38">
        <f>VLOOKUP(Tabella13[[#This Row],[test_id]],experiments_specs!A:J,3,FALSE)</f>
        <v>0</v>
      </c>
      <c r="D422" s="38">
        <f>VLOOKUP(Tabella13[[#This Row],[test_id]],experiments_specs!A:J,4,FALSE)</f>
        <v>3</v>
      </c>
      <c r="E422" s="38" t="str">
        <f>VLOOKUP(Tabella13[[#This Row],[test_id]],experiments_specs!A:J,5,FALSE)</f>
        <v>True</v>
      </c>
      <c r="F422" s="38" t="str">
        <f>VLOOKUP(Tabella13[[#This Row],[test_id]],experiments_specs!A:J,6,FALSE)</f>
        <v>False</v>
      </c>
      <c r="G422" s="38" t="str">
        <f>VLOOKUP(Tabella13[[#This Row],[test_id]],experiments_specs!A:J,7,FALSE)</f>
        <v>True</v>
      </c>
      <c r="H422" s="38" t="str">
        <f>VLOOKUP(Tabella13[[#This Row],[test_id]],experiments_specs!A:J,8,FALSE)</f>
        <v>False</v>
      </c>
      <c r="I422" s="38" t="str">
        <f>VLOOKUP(Tabella13[[#This Row],[test_id]],experiments_specs!A:J,9,FALSE)</f>
        <v>wup_similarity</v>
      </c>
      <c r="J422" s="38" t="str">
        <f>VLOOKUP(Tabella13[[#This Row],[test_id]],experiments_specs!A:J,10,FALSE)</f>
        <v>False</v>
      </c>
      <c r="K422" s="40" t="s">
        <v>14</v>
      </c>
      <c r="L422" s="36" t="s">
        <v>1361</v>
      </c>
      <c r="M422" s="36">
        <v>3</v>
      </c>
      <c r="N422" s="36">
        <v>7.7761000000000002E-3</v>
      </c>
      <c r="O422" s="36">
        <v>0.30769229999999997</v>
      </c>
    </row>
    <row r="423" spans="1:15" ht="85" x14ac:dyDescent="0.2">
      <c r="A423" s="36" t="s">
        <v>1276</v>
      </c>
      <c r="B423" s="45" t="str">
        <f>VLOOKUP(Tabella13[[#This Row],[test_id]],experiments_specs!A:J,2,FALSE)</f>
        <v>NN,JJ</v>
      </c>
      <c r="C423" s="38">
        <f>VLOOKUP(Tabella13[[#This Row],[test_id]],experiments_specs!A:J,3,FALSE)</f>
        <v>0</v>
      </c>
      <c r="D423" s="38">
        <f>VLOOKUP(Tabella13[[#This Row],[test_id]],experiments_specs!A:J,4,FALSE)</f>
        <v>3</v>
      </c>
      <c r="E423" s="38" t="str">
        <f>VLOOKUP(Tabella13[[#This Row],[test_id]],experiments_specs!A:J,5,FALSE)</f>
        <v>True</v>
      </c>
      <c r="F423" s="38" t="str">
        <f>VLOOKUP(Tabella13[[#This Row],[test_id]],experiments_specs!A:J,6,FALSE)</f>
        <v>False</v>
      </c>
      <c r="G423" s="38" t="str">
        <f>VLOOKUP(Tabella13[[#This Row],[test_id]],experiments_specs!A:J,7,FALSE)</f>
        <v>True</v>
      </c>
      <c r="H423" s="38" t="str">
        <f>VLOOKUP(Tabella13[[#This Row],[test_id]],experiments_specs!A:J,8,FALSE)</f>
        <v>False</v>
      </c>
      <c r="I423" s="38" t="str">
        <f>VLOOKUP(Tabella13[[#This Row],[test_id]],experiments_specs!A:J,9,FALSE)</f>
        <v>wup_similarity</v>
      </c>
      <c r="J423" s="38" t="str">
        <f>VLOOKUP(Tabella13[[#This Row],[test_id]],experiments_specs!A:J,10,FALSE)</f>
        <v>False</v>
      </c>
      <c r="K423" s="40" t="s">
        <v>15</v>
      </c>
      <c r="L423" s="36" t="s">
        <v>1379</v>
      </c>
      <c r="M423" s="36" t="s">
        <v>1381</v>
      </c>
      <c r="N423" s="36">
        <v>6.7901000000000003E-3</v>
      </c>
      <c r="O423" s="36" t="s">
        <v>1454</v>
      </c>
    </row>
    <row r="424" spans="1:15" ht="85" x14ac:dyDescent="0.2">
      <c r="A424" s="36" t="s">
        <v>1276</v>
      </c>
      <c r="B424" s="45" t="str">
        <f>VLOOKUP(Tabella13[[#This Row],[test_id]],experiments_specs!A:J,2,FALSE)</f>
        <v>NN,JJ</v>
      </c>
      <c r="C424" s="38">
        <f>VLOOKUP(Tabella13[[#This Row],[test_id]],experiments_specs!A:J,3,FALSE)</f>
        <v>0</v>
      </c>
      <c r="D424" s="38">
        <f>VLOOKUP(Tabella13[[#This Row],[test_id]],experiments_specs!A:J,4,FALSE)</f>
        <v>3</v>
      </c>
      <c r="E424" s="38" t="str">
        <f>VLOOKUP(Tabella13[[#This Row],[test_id]],experiments_specs!A:J,5,FALSE)</f>
        <v>True</v>
      </c>
      <c r="F424" s="38" t="str">
        <f>VLOOKUP(Tabella13[[#This Row],[test_id]],experiments_specs!A:J,6,FALSE)</f>
        <v>False</v>
      </c>
      <c r="G424" s="38" t="str">
        <f>VLOOKUP(Tabella13[[#This Row],[test_id]],experiments_specs!A:J,7,FALSE)</f>
        <v>True</v>
      </c>
      <c r="H424" s="38" t="str">
        <f>VLOOKUP(Tabella13[[#This Row],[test_id]],experiments_specs!A:J,8,FALSE)</f>
        <v>False</v>
      </c>
      <c r="I424" s="38" t="str">
        <f>VLOOKUP(Tabella13[[#This Row],[test_id]],experiments_specs!A:J,9,FALSE)</f>
        <v>wup_similarity</v>
      </c>
      <c r="J424" s="38" t="str">
        <f>VLOOKUP(Tabella13[[#This Row],[test_id]],experiments_specs!A:J,10,FALSE)</f>
        <v>False</v>
      </c>
      <c r="K424" s="40" t="s">
        <v>16</v>
      </c>
      <c r="L424" s="36" t="s">
        <v>641</v>
      </c>
      <c r="M424" s="36">
        <v>2</v>
      </c>
      <c r="N424" s="36">
        <v>4.6296000000000002E-3</v>
      </c>
      <c r="O424" s="36">
        <v>0.13333329999999999</v>
      </c>
    </row>
    <row r="425" spans="1:15" ht="85" x14ac:dyDescent="0.2">
      <c r="A425" s="36" t="s">
        <v>1276</v>
      </c>
      <c r="B425" s="45" t="str">
        <f>VLOOKUP(Tabella13[[#This Row],[test_id]],experiments_specs!A:J,2,FALSE)</f>
        <v>NN,JJ</v>
      </c>
      <c r="C425" s="38">
        <f>VLOOKUP(Tabella13[[#This Row],[test_id]],experiments_specs!A:J,3,FALSE)</f>
        <v>0</v>
      </c>
      <c r="D425" s="38">
        <f>VLOOKUP(Tabella13[[#This Row],[test_id]],experiments_specs!A:J,4,FALSE)</f>
        <v>3</v>
      </c>
      <c r="E425" s="38" t="str">
        <f>VLOOKUP(Tabella13[[#This Row],[test_id]],experiments_specs!A:J,5,FALSE)</f>
        <v>True</v>
      </c>
      <c r="F425" s="38" t="str">
        <f>VLOOKUP(Tabella13[[#This Row],[test_id]],experiments_specs!A:J,6,FALSE)</f>
        <v>False</v>
      </c>
      <c r="G425" s="38" t="str">
        <f>VLOOKUP(Tabella13[[#This Row],[test_id]],experiments_specs!A:J,7,FALSE)</f>
        <v>True</v>
      </c>
      <c r="H425" s="38" t="str">
        <f>VLOOKUP(Tabella13[[#This Row],[test_id]],experiments_specs!A:J,8,FALSE)</f>
        <v>False</v>
      </c>
      <c r="I425" s="38" t="str">
        <f>VLOOKUP(Tabella13[[#This Row],[test_id]],experiments_specs!A:J,9,FALSE)</f>
        <v>wup_similarity</v>
      </c>
      <c r="J425" s="38" t="str">
        <f>VLOOKUP(Tabella13[[#This Row],[test_id]],experiments_specs!A:J,10,FALSE)</f>
        <v>False</v>
      </c>
      <c r="K425" s="40" t="s">
        <v>17</v>
      </c>
      <c r="L425" s="36" t="s">
        <v>1382</v>
      </c>
      <c r="M425" s="36">
        <v>1</v>
      </c>
      <c r="N425" s="36">
        <v>8.9087000000000003E-3</v>
      </c>
      <c r="O425" s="36">
        <v>0.18181810000000001</v>
      </c>
    </row>
    <row r="426" spans="1:15" ht="85" x14ac:dyDescent="0.2">
      <c r="A426" s="36" t="s">
        <v>1276</v>
      </c>
      <c r="B426" s="45" t="str">
        <f>VLOOKUP(Tabella13[[#This Row],[test_id]],experiments_specs!A:J,2,FALSE)</f>
        <v>NN,JJ</v>
      </c>
      <c r="C426" s="38">
        <f>VLOOKUP(Tabella13[[#This Row],[test_id]],experiments_specs!A:J,3,FALSE)</f>
        <v>0</v>
      </c>
      <c r="D426" s="38">
        <f>VLOOKUP(Tabella13[[#This Row],[test_id]],experiments_specs!A:J,4,FALSE)</f>
        <v>3</v>
      </c>
      <c r="E426" s="38" t="str">
        <f>VLOOKUP(Tabella13[[#This Row],[test_id]],experiments_specs!A:J,5,FALSE)</f>
        <v>True</v>
      </c>
      <c r="F426" s="38" t="str">
        <f>VLOOKUP(Tabella13[[#This Row],[test_id]],experiments_specs!A:J,6,FALSE)</f>
        <v>False</v>
      </c>
      <c r="G426" s="38" t="str">
        <f>VLOOKUP(Tabella13[[#This Row],[test_id]],experiments_specs!A:J,7,FALSE)</f>
        <v>True</v>
      </c>
      <c r="H426" s="38" t="str">
        <f>VLOOKUP(Tabella13[[#This Row],[test_id]],experiments_specs!A:J,8,FALSE)</f>
        <v>False</v>
      </c>
      <c r="I426" s="38" t="str">
        <f>VLOOKUP(Tabella13[[#This Row],[test_id]],experiments_specs!A:J,9,FALSE)</f>
        <v>wup_similarity</v>
      </c>
      <c r="J426" s="38" t="str">
        <f>VLOOKUP(Tabella13[[#This Row],[test_id]],experiments_specs!A:J,10,FALSE)</f>
        <v>False</v>
      </c>
      <c r="K426" s="40" t="s">
        <v>18</v>
      </c>
      <c r="L426" s="36" t="s">
        <v>652</v>
      </c>
      <c r="M426" s="36">
        <v>2</v>
      </c>
      <c r="N426" s="36">
        <v>7.8050999999999997E-3</v>
      </c>
      <c r="O426" s="36">
        <v>0.2105263</v>
      </c>
    </row>
    <row r="427" spans="1:15" ht="85" x14ac:dyDescent="0.2">
      <c r="A427" s="36" t="s">
        <v>1277</v>
      </c>
      <c r="B427" s="45" t="str">
        <f>VLOOKUP(Tabella13[[#This Row],[test_id]],experiments_specs!A:J,2,FALSE)</f>
        <v>NN,VB,VBD,VBG,VBN,VBP,VBZ</v>
      </c>
      <c r="C427" s="38">
        <f>VLOOKUP(Tabella13[[#This Row],[test_id]],experiments_specs!A:J,3,FALSE)</f>
        <v>0</v>
      </c>
      <c r="D427" s="38">
        <f>VLOOKUP(Tabella13[[#This Row],[test_id]],experiments_specs!A:J,4,FALSE)</f>
        <v>2</v>
      </c>
      <c r="E427" s="38" t="str">
        <f>VLOOKUP(Tabella13[[#This Row],[test_id]],experiments_specs!A:J,5,FALSE)</f>
        <v>True</v>
      </c>
      <c r="F427" s="38" t="str">
        <f>VLOOKUP(Tabella13[[#This Row],[test_id]],experiments_specs!A:J,6,FALSE)</f>
        <v>False</v>
      </c>
      <c r="G427" s="38" t="str">
        <f>VLOOKUP(Tabella13[[#This Row],[test_id]],experiments_specs!A:J,7,FALSE)</f>
        <v>True</v>
      </c>
      <c r="H427" s="38" t="str">
        <f>VLOOKUP(Tabella13[[#This Row],[test_id]],experiments_specs!A:J,8,FALSE)</f>
        <v>False</v>
      </c>
      <c r="I427" s="38" t="str">
        <f>VLOOKUP(Tabella13[[#This Row],[test_id]],experiments_specs!A:J,9,FALSE)</f>
        <v>wup_similarity</v>
      </c>
      <c r="J427" s="38" t="str">
        <f>VLOOKUP(Tabella13[[#This Row],[test_id]],experiments_specs!A:J,10,FALSE)</f>
        <v>False</v>
      </c>
      <c r="K427" s="40" t="s">
        <v>19</v>
      </c>
      <c r="L427" s="36" t="s">
        <v>1357</v>
      </c>
      <c r="M427" s="36">
        <v>3</v>
      </c>
      <c r="N427" s="36">
        <v>1.19545E-2</v>
      </c>
      <c r="O427" s="36">
        <v>0.18181810000000001</v>
      </c>
    </row>
    <row r="428" spans="1:15" ht="85" x14ac:dyDescent="0.2">
      <c r="A428" s="36" t="s">
        <v>1277</v>
      </c>
      <c r="B428" s="45" t="str">
        <f>VLOOKUP(Tabella13[[#This Row],[test_id]],experiments_specs!A:J,2,FALSE)</f>
        <v>NN,VB,VBD,VBG,VBN,VBP,VBZ</v>
      </c>
      <c r="C428" s="38">
        <f>VLOOKUP(Tabella13[[#This Row],[test_id]],experiments_specs!A:J,3,FALSE)</f>
        <v>0</v>
      </c>
      <c r="D428" s="38">
        <f>VLOOKUP(Tabella13[[#This Row],[test_id]],experiments_specs!A:J,4,FALSE)</f>
        <v>2</v>
      </c>
      <c r="E428" s="38" t="str">
        <f>VLOOKUP(Tabella13[[#This Row],[test_id]],experiments_specs!A:J,5,FALSE)</f>
        <v>True</v>
      </c>
      <c r="F428" s="38" t="str">
        <f>VLOOKUP(Tabella13[[#This Row],[test_id]],experiments_specs!A:J,6,FALSE)</f>
        <v>False</v>
      </c>
      <c r="G428" s="38" t="str">
        <f>VLOOKUP(Tabella13[[#This Row],[test_id]],experiments_specs!A:J,7,FALSE)</f>
        <v>True</v>
      </c>
      <c r="H428" s="38" t="str">
        <f>VLOOKUP(Tabella13[[#This Row],[test_id]],experiments_specs!A:J,8,FALSE)</f>
        <v>False</v>
      </c>
      <c r="I428" s="38" t="str">
        <f>VLOOKUP(Tabella13[[#This Row],[test_id]],experiments_specs!A:J,9,FALSE)</f>
        <v>wup_similarity</v>
      </c>
      <c r="J428" s="38" t="str">
        <f>VLOOKUP(Tabella13[[#This Row],[test_id]],experiments_specs!A:J,10,FALSE)</f>
        <v>False</v>
      </c>
      <c r="K428" s="40" t="s">
        <v>12</v>
      </c>
      <c r="L428" s="36" t="s">
        <v>1371</v>
      </c>
      <c r="M428" s="36" t="s">
        <v>1373</v>
      </c>
      <c r="N428" s="36">
        <v>1.16965E-2</v>
      </c>
      <c r="O428" s="36" t="s">
        <v>1452</v>
      </c>
    </row>
    <row r="429" spans="1:15" ht="85" x14ac:dyDescent="0.2">
      <c r="A429" s="36" t="s">
        <v>1277</v>
      </c>
      <c r="B429" s="45" t="str">
        <f>VLOOKUP(Tabella13[[#This Row],[test_id]],experiments_specs!A:J,2,FALSE)</f>
        <v>NN,VB,VBD,VBG,VBN,VBP,VBZ</v>
      </c>
      <c r="C429" s="38">
        <f>VLOOKUP(Tabella13[[#This Row],[test_id]],experiments_specs!A:J,3,FALSE)</f>
        <v>0</v>
      </c>
      <c r="D429" s="38">
        <f>VLOOKUP(Tabella13[[#This Row],[test_id]],experiments_specs!A:J,4,FALSE)</f>
        <v>2</v>
      </c>
      <c r="E429" s="38" t="str">
        <f>VLOOKUP(Tabella13[[#This Row],[test_id]],experiments_specs!A:J,5,FALSE)</f>
        <v>True</v>
      </c>
      <c r="F429" s="38" t="str">
        <f>VLOOKUP(Tabella13[[#This Row],[test_id]],experiments_specs!A:J,6,FALSE)</f>
        <v>False</v>
      </c>
      <c r="G429" s="38" t="str">
        <f>VLOOKUP(Tabella13[[#This Row],[test_id]],experiments_specs!A:J,7,FALSE)</f>
        <v>True</v>
      </c>
      <c r="H429" s="38" t="str">
        <f>VLOOKUP(Tabella13[[#This Row],[test_id]],experiments_specs!A:J,8,FALSE)</f>
        <v>False</v>
      </c>
      <c r="I429" s="38" t="str">
        <f>VLOOKUP(Tabella13[[#This Row],[test_id]],experiments_specs!A:J,9,FALSE)</f>
        <v>wup_similarity</v>
      </c>
      <c r="J429" s="38" t="str">
        <f>VLOOKUP(Tabella13[[#This Row],[test_id]],experiments_specs!A:J,10,FALSE)</f>
        <v>False</v>
      </c>
      <c r="K429" s="40" t="s">
        <v>13</v>
      </c>
      <c r="L429" s="36" t="s">
        <v>1375</v>
      </c>
      <c r="M429" s="36" t="s">
        <v>1314</v>
      </c>
      <c r="N429" s="36">
        <v>8.6759999999999997E-3</v>
      </c>
      <c r="O429" s="36" t="s">
        <v>1377</v>
      </c>
    </row>
    <row r="430" spans="1:15" ht="85" x14ac:dyDescent="0.2">
      <c r="A430" s="36" t="s">
        <v>1277</v>
      </c>
      <c r="B430" s="45" t="str">
        <f>VLOOKUP(Tabella13[[#This Row],[test_id]],experiments_specs!A:J,2,FALSE)</f>
        <v>NN,VB,VBD,VBG,VBN,VBP,VBZ</v>
      </c>
      <c r="C430" s="38">
        <f>VLOOKUP(Tabella13[[#This Row],[test_id]],experiments_specs!A:J,3,FALSE)</f>
        <v>0</v>
      </c>
      <c r="D430" s="38">
        <f>VLOOKUP(Tabella13[[#This Row],[test_id]],experiments_specs!A:J,4,FALSE)</f>
        <v>2</v>
      </c>
      <c r="E430" s="38" t="str">
        <f>VLOOKUP(Tabella13[[#This Row],[test_id]],experiments_specs!A:J,5,FALSE)</f>
        <v>True</v>
      </c>
      <c r="F430" s="38" t="str">
        <f>VLOOKUP(Tabella13[[#This Row],[test_id]],experiments_specs!A:J,6,FALSE)</f>
        <v>False</v>
      </c>
      <c r="G430" s="38" t="str">
        <f>VLOOKUP(Tabella13[[#This Row],[test_id]],experiments_specs!A:J,7,FALSE)</f>
        <v>True</v>
      </c>
      <c r="H430" s="38" t="str">
        <f>VLOOKUP(Tabella13[[#This Row],[test_id]],experiments_specs!A:J,8,FALSE)</f>
        <v>False</v>
      </c>
      <c r="I430" s="38" t="str">
        <f>VLOOKUP(Tabella13[[#This Row],[test_id]],experiments_specs!A:J,9,FALSE)</f>
        <v>wup_similarity</v>
      </c>
      <c r="J430" s="38" t="str">
        <f>VLOOKUP(Tabella13[[#This Row],[test_id]],experiments_specs!A:J,10,FALSE)</f>
        <v>False</v>
      </c>
      <c r="K430" s="40" t="s">
        <v>14</v>
      </c>
      <c r="L430" s="36" t="s">
        <v>1361</v>
      </c>
      <c r="M430" s="36">
        <v>3</v>
      </c>
      <c r="N430" s="36">
        <v>6.6381000000000001E-3</v>
      </c>
      <c r="O430" s="36">
        <v>0.30769229999999997</v>
      </c>
    </row>
    <row r="431" spans="1:15" ht="85" x14ac:dyDescent="0.2">
      <c r="A431" s="36" t="s">
        <v>1277</v>
      </c>
      <c r="B431" s="45" t="str">
        <f>VLOOKUP(Tabella13[[#This Row],[test_id]],experiments_specs!A:J,2,FALSE)</f>
        <v>NN,VB,VBD,VBG,VBN,VBP,VBZ</v>
      </c>
      <c r="C431" s="38">
        <f>VLOOKUP(Tabella13[[#This Row],[test_id]],experiments_specs!A:J,3,FALSE)</f>
        <v>0</v>
      </c>
      <c r="D431" s="38">
        <f>VLOOKUP(Tabella13[[#This Row],[test_id]],experiments_specs!A:J,4,FALSE)</f>
        <v>2</v>
      </c>
      <c r="E431" s="38" t="str">
        <f>VLOOKUP(Tabella13[[#This Row],[test_id]],experiments_specs!A:J,5,FALSE)</f>
        <v>True</v>
      </c>
      <c r="F431" s="38" t="str">
        <f>VLOOKUP(Tabella13[[#This Row],[test_id]],experiments_specs!A:J,6,FALSE)</f>
        <v>False</v>
      </c>
      <c r="G431" s="38" t="str">
        <f>VLOOKUP(Tabella13[[#This Row],[test_id]],experiments_specs!A:J,7,FALSE)</f>
        <v>True</v>
      </c>
      <c r="H431" s="38" t="str">
        <f>VLOOKUP(Tabella13[[#This Row],[test_id]],experiments_specs!A:J,8,FALSE)</f>
        <v>False</v>
      </c>
      <c r="I431" s="38" t="str">
        <f>VLOOKUP(Tabella13[[#This Row],[test_id]],experiments_specs!A:J,9,FALSE)</f>
        <v>wup_similarity</v>
      </c>
      <c r="J431" s="38" t="str">
        <f>VLOOKUP(Tabella13[[#This Row],[test_id]],experiments_specs!A:J,10,FALSE)</f>
        <v>False</v>
      </c>
      <c r="K431" s="40" t="s">
        <v>15</v>
      </c>
      <c r="L431" s="36" t="s">
        <v>410</v>
      </c>
      <c r="M431" s="36">
        <v>2</v>
      </c>
      <c r="N431" s="36">
        <v>9.0119999999999992E-3</v>
      </c>
      <c r="O431" s="36">
        <v>0.22222220000000001</v>
      </c>
    </row>
    <row r="432" spans="1:15" ht="85" x14ac:dyDescent="0.2">
      <c r="A432" s="36" t="s">
        <v>1277</v>
      </c>
      <c r="B432" s="45" t="str">
        <f>VLOOKUP(Tabella13[[#This Row],[test_id]],experiments_specs!A:J,2,FALSE)</f>
        <v>NN,VB,VBD,VBG,VBN,VBP,VBZ</v>
      </c>
      <c r="C432" s="38">
        <f>VLOOKUP(Tabella13[[#This Row],[test_id]],experiments_specs!A:J,3,FALSE)</f>
        <v>0</v>
      </c>
      <c r="D432" s="38">
        <f>VLOOKUP(Tabella13[[#This Row],[test_id]],experiments_specs!A:J,4,FALSE)</f>
        <v>2</v>
      </c>
      <c r="E432" s="38" t="str">
        <f>VLOOKUP(Tabella13[[#This Row],[test_id]],experiments_specs!A:J,5,FALSE)</f>
        <v>True</v>
      </c>
      <c r="F432" s="38" t="str">
        <f>VLOOKUP(Tabella13[[#This Row],[test_id]],experiments_specs!A:J,6,FALSE)</f>
        <v>False</v>
      </c>
      <c r="G432" s="38" t="str">
        <f>VLOOKUP(Tabella13[[#This Row],[test_id]],experiments_specs!A:J,7,FALSE)</f>
        <v>True</v>
      </c>
      <c r="H432" s="38" t="str">
        <f>VLOOKUP(Tabella13[[#This Row],[test_id]],experiments_specs!A:J,8,FALSE)</f>
        <v>False</v>
      </c>
      <c r="I432" s="38" t="str">
        <f>VLOOKUP(Tabella13[[#This Row],[test_id]],experiments_specs!A:J,9,FALSE)</f>
        <v>wup_similarity</v>
      </c>
      <c r="J432" s="38" t="str">
        <f>VLOOKUP(Tabella13[[#This Row],[test_id]],experiments_specs!A:J,10,FALSE)</f>
        <v>False</v>
      </c>
      <c r="K432" s="40" t="s">
        <v>16</v>
      </c>
      <c r="L432" s="36" t="s">
        <v>641</v>
      </c>
      <c r="M432" s="36">
        <v>2</v>
      </c>
      <c r="N432" s="36">
        <v>3.4721999999999999E-3</v>
      </c>
      <c r="O432" s="36">
        <v>0.13333329999999999</v>
      </c>
    </row>
    <row r="433" spans="1:15" ht="85" x14ac:dyDescent="0.2">
      <c r="A433" s="36" t="s">
        <v>1277</v>
      </c>
      <c r="B433" s="45" t="str">
        <f>VLOOKUP(Tabella13[[#This Row],[test_id]],experiments_specs!A:J,2,FALSE)</f>
        <v>NN,VB,VBD,VBG,VBN,VBP,VBZ</v>
      </c>
      <c r="C433" s="38">
        <f>VLOOKUP(Tabella13[[#This Row],[test_id]],experiments_specs!A:J,3,FALSE)</f>
        <v>0</v>
      </c>
      <c r="D433" s="38">
        <f>VLOOKUP(Tabella13[[#This Row],[test_id]],experiments_specs!A:J,4,FALSE)</f>
        <v>2</v>
      </c>
      <c r="E433" s="38" t="str">
        <f>VLOOKUP(Tabella13[[#This Row],[test_id]],experiments_specs!A:J,5,FALSE)</f>
        <v>True</v>
      </c>
      <c r="F433" s="38" t="str">
        <f>VLOOKUP(Tabella13[[#This Row],[test_id]],experiments_specs!A:J,6,FALSE)</f>
        <v>False</v>
      </c>
      <c r="G433" s="38" t="str">
        <f>VLOOKUP(Tabella13[[#This Row],[test_id]],experiments_specs!A:J,7,FALSE)</f>
        <v>True</v>
      </c>
      <c r="H433" s="38" t="str">
        <f>VLOOKUP(Tabella13[[#This Row],[test_id]],experiments_specs!A:J,8,FALSE)</f>
        <v>False</v>
      </c>
      <c r="I433" s="38" t="str">
        <f>VLOOKUP(Tabella13[[#This Row],[test_id]],experiments_specs!A:J,9,FALSE)</f>
        <v>wup_similarity</v>
      </c>
      <c r="J433" s="38" t="str">
        <f>VLOOKUP(Tabella13[[#This Row],[test_id]],experiments_specs!A:J,10,FALSE)</f>
        <v>False</v>
      </c>
      <c r="K433" s="40" t="s">
        <v>17</v>
      </c>
      <c r="L433" s="36" t="s">
        <v>1384</v>
      </c>
      <c r="M433" s="36" t="s">
        <v>1314</v>
      </c>
      <c r="N433" s="36">
        <v>1.5683300000000001E-2</v>
      </c>
      <c r="O433" s="36" t="s">
        <v>1432</v>
      </c>
    </row>
    <row r="434" spans="1:15" ht="85" x14ac:dyDescent="0.2">
      <c r="A434" s="36" t="s">
        <v>1277</v>
      </c>
      <c r="B434" s="45" t="str">
        <f>VLOOKUP(Tabella13[[#This Row],[test_id]],experiments_specs!A:J,2,FALSE)</f>
        <v>NN,VB,VBD,VBG,VBN,VBP,VBZ</v>
      </c>
      <c r="C434" s="38">
        <f>VLOOKUP(Tabella13[[#This Row],[test_id]],experiments_specs!A:J,3,FALSE)</f>
        <v>0</v>
      </c>
      <c r="D434" s="38">
        <f>VLOOKUP(Tabella13[[#This Row],[test_id]],experiments_specs!A:J,4,FALSE)</f>
        <v>2</v>
      </c>
      <c r="E434" s="38" t="str">
        <f>VLOOKUP(Tabella13[[#This Row],[test_id]],experiments_specs!A:J,5,FALSE)</f>
        <v>True</v>
      </c>
      <c r="F434" s="38" t="str">
        <f>VLOOKUP(Tabella13[[#This Row],[test_id]],experiments_specs!A:J,6,FALSE)</f>
        <v>False</v>
      </c>
      <c r="G434" s="38" t="str">
        <f>VLOOKUP(Tabella13[[#This Row],[test_id]],experiments_specs!A:J,7,FALSE)</f>
        <v>True</v>
      </c>
      <c r="H434" s="38" t="str">
        <f>VLOOKUP(Tabella13[[#This Row],[test_id]],experiments_specs!A:J,8,FALSE)</f>
        <v>False</v>
      </c>
      <c r="I434" s="38" t="str">
        <f>VLOOKUP(Tabella13[[#This Row],[test_id]],experiments_specs!A:J,9,FALSE)</f>
        <v>wup_similarity</v>
      </c>
      <c r="J434" s="38" t="str">
        <f>VLOOKUP(Tabella13[[#This Row],[test_id]],experiments_specs!A:J,10,FALSE)</f>
        <v>False</v>
      </c>
      <c r="K434" s="40" t="s">
        <v>18</v>
      </c>
      <c r="L434" s="36" t="s">
        <v>652</v>
      </c>
      <c r="M434" s="36">
        <v>2</v>
      </c>
      <c r="N434" s="36">
        <v>5.9756999999999996E-3</v>
      </c>
      <c r="O434" s="36">
        <v>0.2105263</v>
      </c>
    </row>
    <row r="435" spans="1:15" ht="85" x14ac:dyDescent="0.2">
      <c r="A435" s="36" t="s">
        <v>1278</v>
      </c>
      <c r="B435" s="45" t="str">
        <f>VLOOKUP(Tabella13[[#This Row],[test_id]],experiments_specs!A:J,2,FALSE)</f>
        <v>NN,VB,VBD,VBG,VBN,VBP,VBZ</v>
      </c>
      <c r="C435" s="38">
        <f>VLOOKUP(Tabella13[[#This Row],[test_id]],experiments_specs!A:J,3,FALSE)</f>
        <v>0</v>
      </c>
      <c r="D435" s="38">
        <f>VLOOKUP(Tabella13[[#This Row],[test_id]],experiments_specs!A:J,4,FALSE)</f>
        <v>3</v>
      </c>
      <c r="E435" s="38" t="str">
        <f>VLOOKUP(Tabella13[[#This Row],[test_id]],experiments_specs!A:J,5,FALSE)</f>
        <v>True</v>
      </c>
      <c r="F435" s="38" t="str">
        <f>VLOOKUP(Tabella13[[#This Row],[test_id]],experiments_specs!A:J,6,FALSE)</f>
        <v>False</v>
      </c>
      <c r="G435" s="38" t="str">
        <f>VLOOKUP(Tabella13[[#This Row],[test_id]],experiments_specs!A:J,7,FALSE)</f>
        <v>True</v>
      </c>
      <c r="H435" s="38" t="str">
        <f>VLOOKUP(Tabella13[[#This Row],[test_id]],experiments_specs!A:J,8,FALSE)</f>
        <v>False</v>
      </c>
      <c r="I435" s="38" t="str">
        <f>VLOOKUP(Tabella13[[#This Row],[test_id]],experiments_specs!A:J,9,FALSE)</f>
        <v>wup_similarity</v>
      </c>
      <c r="J435" s="38" t="str">
        <f>VLOOKUP(Tabella13[[#This Row],[test_id]],experiments_specs!A:J,10,FALSE)</f>
        <v>False</v>
      </c>
      <c r="K435" s="40" t="s">
        <v>19</v>
      </c>
      <c r="L435" s="36" t="s">
        <v>1357</v>
      </c>
      <c r="M435" s="36">
        <v>3</v>
      </c>
      <c r="N435" s="36">
        <v>1.19545E-2</v>
      </c>
      <c r="O435" s="36">
        <v>0.18181810000000001</v>
      </c>
    </row>
    <row r="436" spans="1:15" ht="85" x14ac:dyDescent="0.2">
      <c r="A436" s="36" t="s">
        <v>1278</v>
      </c>
      <c r="B436" s="45" t="str">
        <f>VLOOKUP(Tabella13[[#This Row],[test_id]],experiments_specs!A:J,2,FALSE)</f>
        <v>NN,VB,VBD,VBG,VBN,VBP,VBZ</v>
      </c>
      <c r="C436" s="38">
        <f>VLOOKUP(Tabella13[[#This Row],[test_id]],experiments_specs!A:J,3,FALSE)</f>
        <v>0</v>
      </c>
      <c r="D436" s="38">
        <f>VLOOKUP(Tabella13[[#This Row],[test_id]],experiments_specs!A:J,4,FALSE)</f>
        <v>3</v>
      </c>
      <c r="E436" s="38" t="str">
        <f>VLOOKUP(Tabella13[[#This Row],[test_id]],experiments_specs!A:J,5,FALSE)</f>
        <v>True</v>
      </c>
      <c r="F436" s="38" t="str">
        <f>VLOOKUP(Tabella13[[#This Row],[test_id]],experiments_specs!A:J,6,FALSE)</f>
        <v>False</v>
      </c>
      <c r="G436" s="38" t="str">
        <f>VLOOKUP(Tabella13[[#This Row],[test_id]],experiments_specs!A:J,7,FALSE)</f>
        <v>True</v>
      </c>
      <c r="H436" s="38" t="str">
        <f>VLOOKUP(Tabella13[[#This Row],[test_id]],experiments_specs!A:J,8,FALSE)</f>
        <v>False</v>
      </c>
      <c r="I436" s="38" t="str">
        <f>VLOOKUP(Tabella13[[#This Row],[test_id]],experiments_specs!A:J,9,FALSE)</f>
        <v>wup_similarity</v>
      </c>
      <c r="J436" s="38" t="str">
        <f>VLOOKUP(Tabella13[[#This Row],[test_id]],experiments_specs!A:J,10,FALSE)</f>
        <v>False</v>
      </c>
      <c r="K436" s="40" t="s">
        <v>12</v>
      </c>
      <c r="L436" s="36" t="s">
        <v>1371</v>
      </c>
      <c r="M436" s="36" t="s">
        <v>1373</v>
      </c>
      <c r="N436" s="36">
        <v>1.16965E-2</v>
      </c>
      <c r="O436" s="36" t="s">
        <v>1452</v>
      </c>
    </row>
    <row r="437" spans="1:15" ht="85" x14ac:dyDescent="0.2">
      <c r="A437" s="36" t="s">
        <v>1278</v>
      </c>
      <c r="B437" s="45" t="str">
        <f>VLOOKUP(Tabella13[[#This Row],[test_id]],experiments_specs!A:J,2,FALSE)</f>
        <v>NN,VB,VBD,VBG,VBN,VBP,VBZ</v>
      </c>
      <c r="C437" s="38">
        <f>VLOOKUP(Tabella13[[#This Row],[test_id]],experiments_specs!A:J,3,FALSE)</f>
        <v>0</v>
      </c>
      <c r="D437" s="38">
        <f>VLOOKUP(Tabella13[[#This Row],[test_id]],experiments_specs!A:J,4,FALSE)</f>
        <v>3</v>
      </c>
      <c r="E437" s="38" t="str">
        <f>VLOOKUP(Tabella13[[#This Row],[test_id]],experiments_specs!A:J,5,FALSE)</f>
        <v>True</v>
      </c>
      <c r="F437" s="38" t="str">
        <f>VLOOKUP(Tabella13[[#This Row],[test_id]],experiments_specs!A:J,6,FALSE)</f>
        <v>False</v>
      </c>
      <c r="G437" s="38" t="str">
        <f>VLOOKUP(Tabella13[[#This Row],[test_id]],experiments_specs!A:J,7,FALSE)</f>
        <v>True</v>
      </c>
      <c r="H437" s="38" t="str">
        <f>VLOOKUP(Tabella13[[#This Row],[test_id]],experiments_specs!A:J,8,FALSE)</f>
        <v>False</v>
      </c>
      <c r="I437" s="38" t="str">
        <f>VLOOKUP(Tabella13[[#This Row],[test_id]],experiments_specs!A:J,9,FALSE)</f>
        <v>wup_similarity</v>
      </c>
      <c r="J437" s="38" t="str">
        <f>VLOOKUP(Tabella13[[#This Row],[test_id]],experiments_specs!A:J,10,FALSE)</f>
        <v>False</v>
      </c>
      <c r="K437" s="40" t="s">
        <v>13</v>
      </c>
      <c r="L437" s="36" t="s">
        <v>1375</v>
      </c>
      <c r="M437" s="36" t="s">
        <v>1314</v>
      </c>
      <c r="N437" s="36">
        <v>8.6759999999999997E-3</v>
      </c>
      <c r="O437" s="36" t="s">
        <v>1377</v>
      </c>
    </row>
    <row r="438" spans="1:15" ht="85" x14ac:dyDescent="0.2">
      <c r="A438" s="36" t="s">
        <v>1278</v>
      </c>
      <c r="B438" s="45" t="str">
        <f>VLOOKUP(Tabella13[[#This Row],[test_id]],experiments_specs!A:J,2,FALSE)</f>
        <v>NN,VB,VBD,VBG,VBN,VBP,VBZ</v>
      </c>
      <c r="C438" s="38">
        <f>VLOOKUP(Tabella13[[#This Row],[test_id]],experiments_specs!A:J,3,FALSE)</f>
        <v>0</v>
      </c>
      <c r="D438" s="38">
        <f>VLOOKUP(Tabella13[[#This Row],[test_id]],experiments_specs!A:J,4,FALSE)</f>
        <v>3</v>
      </c>
      <c r="E438" s="38" t="str">
        <f>VLOOKUP(Tabella13[[#This Row],[test_id]],experiments_specs!A:J,5,FALSE)</f>
        <v>True</v>
      </c>
      <c r="F438" s="38" t="str">
        <f>VLOOKUP(Tabella13[[#This Row],[test_id]],experiments_specs!A:J,6,FALSE)</f>
        <v>False</v>
      </c>
      <c r="G438" s="38" t="str">
        <f>VLOOKUP(Tabella13[[#This Row],[test_id]],experiments_specs!A:J,7,FALSE)</f>
        <v>True</v>
      </c>
      <c r="H438" s="38" t="str">
        <f>VLOOKUP(Tabella13[[#This Row],[test_id]],experiments_specs!A:J,8,FALSE)</f>
        <v>False</v>
      </c>
      <c r="I438" s="38" t="str">
        <f>VLOOKUP(Tabella13[[#This Row],[test_id]],experiments_specs!A:J,9,FALSE)</f>
        <v>wup_similarity</v>
      </c>
      <c r="J438" s="38" t="str">
        <f>VLOOKUP(Tabella13[[#This Row],[test_id]],experiments_specs!A:J,10,FALSE)</f>
        <v>False</v>
      </c>
      <c r="K438" s="40" t="s">
        <v>14</v>
      </c>
      <c r="L438" s="36" t="s">
        <v>1361</v>
      </c>
      <c r="M438" s="36">
        <v>3</v>
      </c>
      <c r="N438" s="36">
        <v>6.6381000000000001E-3</v>
      </c>
      <c r="O438" s="36">
        <v>0.30769229999999997</v>
      </c>
    </row>
    <row r="439" spans="1:15" ht="85" x14ac:dyDescent="0.2">
      <c r="A439" s="36" t="s">
        <v>1278</v>
      </c>
      <c r="B439" s="45" t="str">
        <f>VLOOKUP(Tabella13[[#This Row],[test_id]],experiments_specs!A:J,2,FALSE)</f>
        <v>NN,VB,VBD,VBG,VBN,VBP,VBZ</v>
      </c>
      <c r="C439" s="38">
        <f>VLOOKUP(Tabella13[[#This Row],[test_id]],experiments_specs!A:J,3,FALSE)</f>
        <v>0</v>
      </c>
      <c r="D439" s="38">
        <f>VLOOKUP(Tabella13[[#This Row],[test_id]],experiments_specs!A:J,4,FALSE)</f>
        <v>3</v>
      </c>
      <c r="E439" s="38" t="str">
        <f>VLOOKUP(Tabella13[[#This Row],[test_id]],experiments_specs!A:J,5,FALSE)</f>
        <v>True</v>
      </c>
      <c r="F439" s="38" t="str">
        <f>VLOOKUP(Tabella13[[#This Row],[test_id]],experiments_specs!A:J,6,FALSE)</f>
        <v>False</v>
      </c>
      <c r="G439" s="38" t="str">
        <f>VLOOKUP(Tabella13[[#This Row],[test_id]],experiments_specs!A:J,7,FALSE)</f>
        <v>True</v>
      </c>
      <c r="H439" s="38" t="str">
        <f>VLOOKUP(Tabella13[[#This Row],[test_id]],experiments_specs!A:J,8,FALSE)</f>
        <v>False</v>
      </c>
      <c r="I439" s="38" t="str">
        <f>VLOOKUP(Tabella13[[#This Row],[test_id]],experiments_specs!A:J,9,FALSE)</f>
        <v>wup_similarity</v>
      </c>
      <c r="J439" s="38" t="str">
        <f>VLOOKUP(Tabella13[[#This Row],[test_id]],experiments_specs!A:J,10,FALSE)</f>
        <v>False</v>
      </c>
      <c r="K439" s="40" t="s">
        <v>15</v>
      </c>
      <c r="L439" s="36" t="s">
        <v>410</v>
      </c>
      <c r="M439" s="36">
        <v>2</v>
      </c>
      <c r="N439" s="36">
        <v>9.0119999999999992E-3</v>
      </c>
      <c r="O439" s="36">
        <v>0.22222220000000001</v>
      </c>
    </row>
    <row r="440" spans="1:15" ht="85" x14ac:dyDescent="0.2">
      <c r="A440" s="36" t="s">
        <v>1278</v>
      </c>
      <c r="B440" s="45" t="str">
        <f>VLOOKUP(Tabella13[[#This Row],[test_id]],experiments_specs!A:J,2,FALSE)</f>
        <v>NN,VB,VBD,VBG,VBN,VBP,VBZ</v>
      </c>
      <c r="C440" s="38">
        <f>VLOOKUP(Tabella13[[#This Row],[test_id]],experiments_specs!A:J,3,FALSE)</f>
        <v>0</v>
      </c>
      <c r="D440" s="38">
        <f>VLOOKUP(Tabella13[[#This Row],[test_id]],experiments_specs!A:J,4,FALSE)</f>
        <v>3</v>
      </c>
      <c r="E440" s="38" t="str">
        <f>VLOOKUP(Tabella13[[#This Row],[test_id]],experiments_specs!A:J,5,FALSE)</f>
        <v>True</v>
      </c>
      <c r="F440" s="38" t="str">
        <f>VLOOKUP(Tabella13[[#This Row],[test_id]],experiments_specs!A:J,6,FALSE)</f>
        <v>False</v>
      </c>
      <c r="G440" s="38" t="str">
        <f>VLOOKUP(Tabella13[[#This Row],[test_id]],experiments_specs!A:J,7,FALSE)</f>
        <v>True</v>
      </c>
      <c r="H440" s="38" t="str">
        <f>VLOOKUP(Tabella13[[#This Row],[test_id]],experiments_specs!A:J,8,FALSE)</f>
        <v>False</v>
      </c>
      <c r="I440" s="38" t="str">
        <f>VLOOKUP(Tabella13[[#This Row],[test_id]],experiments_specs!A:J,9,FALSE)</f>
        <v>wup_similarity</v>
      </c>
      <c r="J440" s="38" t="str">
        <f>VLOOKUP(Tabella13[[#This Row],[test_id]],experiments_specs!A:J,10,FALSE)</f>
        <v>False</v>
      </c>
      <c r="K440" s="40" t="s">
        <v>16</v>
      </c>
      <c r="L440" s="36" t="s">
        <v>641</v>
      </c>
      <c r="M440" s="36">
        <v>2</v>
      </c>
      <c r="N440" s="36">
        <v>3.4721999999999999E-3</v>
      </c>
      <c r="O440" s="36">
        <v>0.13333329999999999</v>
      </c>
    </row>
    <row r="441" spans="1:15" ht="85" x14ac:dyDescent="0.2">
      <c r="A441" s="36" t="s">
        <v>1278</v>
      </c>
      <c r="B441" s="45" t="str">
        <f>VLOOKUP(Tabella13[[#This Row],[test_id]],experiments_specs!A:J,2,FALSE)</f>
        <v>NN,VB,VBD,VBG,VBN,VBP,VBZ</v>
      </c>
      <c r="C441" s="38">
        <f>VLOOKUP(Tabella13[[#This Row],[test_id]],experiments_specs!A:J,3,FALSE)</f>
        <v>0</v>
      </c>
      <c r="D441" s="38">
        <f>VLOOKUP(Tabella13[[#This Row],[test_id]],experiments_specs!A:J,4,FALSE)</f>
        <v>3</v>
      </c>
      <c r="E441" s="38" t="str">
        <f>VLOOKUP(Tabella13[[#This Row],[test_id]],experiments_specs!A:J,5,FALSE)</f>
        <v>True</v>
      </c>
      <c r="F441" s="38" t="str">
        <f>VLOOKUP(Tabella13[[#This Row],[test_id]],experiments_specs!A:J,6,FALSE)</f>
        <v>False</v>
      </c>
      <c r="G441" s="38" t="str">
        <f>VLOOKUP(Tabella13[[#This Row],[test_id]],experiments_specs!A:J,7,FALSE)</f>
        <v>True</v>
      </c>
      <c r="H441" s="38" t="str">
        <f>VLOOKUP(Tabella13[[#This Row],[test_id]],experiments_specs!A:J,8,FALSE)</f>
        <v>False</v>
      </c>
      <c r="I441" s="38" t="str">
        <f>VLOOKUP(Tabella13[[#This Row],[test_id]],experiments_specs!A:J,9,FALSE)</f>
        <v>wup_similarity</v>
      </c>
      <c r="J441" s="38" t="str">
        <f>VLOOKUP(Tabella13[[#This Row],[test_id]],experiments_specs!A:J,10,FALSE)</f>
        <v>False</v>
      </c>
      <c r="K441" s="40" t="s">
        <v>17</v>
      </c>
      <c r="L441" s="36" t="s">
        <v>1384</v>
      </c>
      <c r="M441" s="36" t="s">
        <v>1314</v>
      </c>
      <c r="N441" s="36">
        <v>1.5683300000000001E-2</v>
      </c>
      <c r="O441" s="36" t="s">
        <v>1432</v>
      </c>
    </row>
    <row r="442" spans="1:15" ht="85" x14ac:dyDescent="0.2">
      <c r="A442" s="36" t="s">
        <v>1278</v>
      </c>
      <c r="B442" s="45" t="str">
        <f>VLOOKUP(Tabella13[[#This Row],[test_id]],experiments_specs!A:J,2,FALSE)</f>
        <v>NN,VB,VBD,VBG,VBN,VBP,VBZ</v>
      </c>
      <c r="C442" s="38">
        <f>VLOOKUP(Tabella13[[#This Row],[test_id]],experiments_specs!A:J,3,FALSE)</f>
        <v>0</v>
      </c>
      <c r="D442" s="38">
        <f>VLOOKUP(Tabella13[[#This Row],[test_id]],experiments_specs!A:J,4,FALSE)</f>
        <v>3</v>
      </c>
      <c r="E442" s="38" t="str">
        <f>VLOOKUP(Tabella13[[#This Row],[test_id]],experiments_specs!A:J,5,FALSE)</f>
        <v>True</v>
      </c>
      <c r="F442" s="38" t="str">
        <f>VLOOKUP(Tabella13[[#This Row],[test_id]],experiments_specs!A:J,6,FALSE)</f>
        <v>False</v>
      </c>
      <c r="G442" s="38" t="str">
        <f>VLOOKUP(Tabella13[[#This Row],[test_id]],experiments_specs!A:J,7,FALSE)</f>
        <v>True</v>
      </c>
      <c r="H442" s="38" t="str">
        <f>VLOOKUP(Tabella13[[#This Row],[test_id]],experiments_specs!A:J,8,FALSE)</f>
        <v>False</v>
      </c>
      <c r="I442" s="38" t="str">
        <f>VLOOKUP(Tabella13[[#This Row],[test_id]],experiments_specs!A:J,9,FALSE)</f>
        <v>wup_similarity</v>
      </c>
      <c r="J442" s="38" t="str">
        <f>VLOOKUP(Tabella13[[#This Row],[test_id]],experiments_specs!A:J,10,FALSE)</f>
        <v>False</v>
      </c>
      <c r="K442" s="40" t="s">
        <v>18</v>
      </c>
      <c r="L442" s="36" t="s">
        <v>652</v>
      </c>
      <c r="M442" s="36">
        <v>2</v>
      </c>
      <c r="N442" s="36">
        <v>5.9756999999999996E-3</v>
      </c>
      <c r="O442" s="36">
        <v>0.2105263</v>
      </c>
    </row>
    <row r="443" spans="1:15" ht="85" x14ac:dyDescent="0.2">
      <c r="A443" s="36" t="s">
        <v>1279</v>
      </c>
      <c r="B443" s="45" t="str">
        <f>VLOOKUP(Tabella13[[#This Row],[test_id]],experiments_specs!A:J,2,FALSE)</f>
        <v>NN,JJ,VB,VBD,VBG,VBN,VBP,VBZ</v>
      </c>
      <c r="C443" s="38">
        <f>VLOOKUP(Tabella13[[#This Row],[test_id]],experiments_specs!A:J,3,FALSE)</f>
        <v>0</v>
      </c>
      <c r="D443" s="38">
        <f>VLOOKUP(Tabella13[[#This Row],[test_id]],experiments_specs!A:J,4,FALSE)</f>
        <v>2</v>
      </c>
      <c r="E443" s="38" t="str">
        <f>VLOOKUP(Tabella13[[#This Row],[test_id]],experiments_specs!A:J,5,FALSE)</f>
        <v>True</v>
      </c>
      <c r="F443" s="38" t="str">
        <f>VLOOKUP(Tabella13[[#This Row],[test_id]],experiments_specs!A:J,6,FALSE)</f>
        <v>False</v>
      </c>
      <c r="G443" s="38" t="str">
        <f>VLOOKUP(Tabella13[[#This Row],[test_id]],experiments_specs!A:J,7,FALSE)</f>
        <v>True</v>
      </c>
      <c r="H443" s="38" t="str">
        <f>VLOOKUP(Tabella13[[#This Row],[test_id]],experiments_specs!A:J,8,FALSE)</f>
        <v>False</v>
      </c>
      <c r="I443" s="38" t="str">
        <f>VLOOKUP(Tabella13[[#This Row],[test_id]],experiments_specs!A:J,9,FALSE)</f>
        <v>wup_similarity</v>
      </c>
      <c r="J443" s="38" t="str">
        <f>VLOOKUP(Tabella13[[#This Row],[test_id]],experiments_specs!A:J,10,FALSE)</f>
        <v>False</v>
      </c>
      <c r="K443" s="40" t="s">
        <v>19</v>
      </c>
      <c r="L443" s="36" t="s">
        <v>1357</v>
      </c>
      <c r="M443" s="36">
        <v>3</v>
      </c>
      <c r="N443" s="36">
        <v>9.3302999999999997E-3</v>
      </c>
      <c r="O443" s="36">
        <v>0.18181810000000001</v>
      </c>
    </row>
    <row r="444" spans="1:15" ht="85" x14ac:dyDescent="0.2">
      <c r="A444" s="36" t="s">
        <v>1279</v>
      </c>
      <c r="B444" s="45" t="str">
        <f>VLOOKUP(Tabella13[[#This Row],[test_id]],experiments_specs!A:J,2,FALSE)</f>
        <v>NN,JJ,VB,VBD,VBG,VBN,VBP,VBZ</v>
      </c>
      <c r="C444" s="38">
        <f>VLOOKUP(Tabella13[[#This Row],[test_id]],experiments_specs!A:J,3,FALSE)</f>
        <v>0</v>
      </c>
      <c r="D444" s="38">
        <f>VLOOKUP(Tabella13[[#This Row],[test_id]],experiments_specs!A:J,4,FALSE)</f>
        <v>2</v>
      </c>
      <c r="E444" s="38" t="str">
        <f>VLOOKUP(Tabella13[[#This Row],[test_id]],experiments_specs!A:J,5,FALSE)</f>
        <v>True</v>
      </c>
      <c r="F444" s="38" t="str">
        <f>VLOOKUP(Tabella13[[#This Row],[test_id]],experiments_specs!A:J,6,FALSE)</f>
        <v>False</v>
      </c>
      <c r="G444" s="38" t="str">
        <f>VLOOKUP(Tabella13[[#This Row],[test_id]],experiments_specs!A:J,7,FALSE)</f>
        <v>True</v>
      </c>
      <c r="H444" s="38" t="str">
        <f>VLOOKUP(Tabella13[[#This Row],[test_id]],experiments_specs!A:J,8,FALSE)</f>
        <v>False</v>
      </c>
      <c r="I444" s="38" t="str">
        <f>VLOOKUP(Tabella13[[#This Row],[test_id]],experiments_specs!A:J,9,FALSE)</f>
        <v>wup_similarity</v>
      </c>
      <c r="J444" s="38" t="str">
        <f>VLOOKUP(Tabella13[[#This Row],[test_id]],experiments_specs!A:J,10,FALSE)</f>
        <v>False</v>
      </c>
      <c r="K444" s="40" t="s">
        <v>12</v>
      </c>
      <c r="L444" s="36" t="s">
        <v>1371</v>
      </c>
      <c r="M444" s="36" t="s">
        <v>1373</v>
      </c>
      <c r="N444" s="36">
        <v>8.7723999999999996E-3</v>
      </c>
      <c r="O444" s="36" t="s">
        <v>1452</v>
      </c>
    </row>
    <row r="445" spans="1:15" ht="85" x14ac:dyDescent="0.2">
      <c r="A445" s="36" t="s">
        <v>1279</v>
      </c>
      <c r="B445" s="45" t="str">
        <f>VLOOKUP(Tabella13[[#This Row],[test_id]],experiments_specs!A:J,2,FALSE)</f>
        <v>NN,JJ,VB,VBD,VBG,VBN,VBP,VBZ</v>
      </c>
      <c r="C445" s="38">
        <f>VLOOKUP(Tabella13[[#This Row],[test_id]],experiments_specs!A:J,3,FALSE)</f>
        <v>0</v>
      </c>
      <c r="D445" s="38">
        <f>VLOOKUP(Tabella13[[#This Row],[test_id]],experiments_specs!A:J,4,FALSE)</f>
        <v>2</v>
      </c>
      <c r="E445" s="38" t="str">
        <f>VLOOKUP(Tabella13[[#This Row],[test_id]],experiments_specs!A:J,5,FALSE)</f>
        <v>True</v>
      </c>
      <c r="F445" s="38" t="str">
        <f>VLOOKUP(Tabella13[[#This Row],[test_id]],experiments_specs!A:J,6,FALSE)</f>
        <v>False</v>
      </c>
      <c r="G445" s="38" t="str">
        <f>VLOOKUP(Tabella13[[#This Row],[test_id]],experiments_specs!A:J,7,FALSE)</f>
        <v>True</v>
      </c>
      <c r="H445" s="38" t="str">
        <f>VLOOKUP(Tabella13[[#This Row],[test_id]],experiments_specs!A:J,8,FALSE)</f>
        <v>False</v>
      </c>
      <c r="I445" s="38" t="str">
        <f>VLOOKUP(Tabella13[[#This Row],[test_id]],experiments_specs!A:J,9,FALSE)</f>
        <v>wup_similarity</v>
      </c>
      <c r="J445" s="38" t="str">
        <f>VLOOKUP(Tabella13[[#This Row],[test_id]],experiments_specs!A:J,10,FALSE)</f>
        <v>False</v>
      </c>
      <c r="K445" s="40" t="s">
        <v>13</v>
      </c>
      <c r="L445" s="36" t="s">
        <v>1375</v>
      </c>
      <c r="M445" s="36" t="s">
        <v>1314</v>
      </c>
      <c r="N445" s="36">
        <v>6.5938000000000004E-3</v>
      </c>
      <c r="O445" s="36" t="s">
        <v>1377</v>
      </c>
    </row>
    <row r="446" spans="1:15" ht="85" x14ac:dyDescent="0.2">
      <c r="A446" s="36" t="s">
        <v>1279</v>
      </c>
      <c r="B446" s="45" t="str">
        <f>VLOOKUP(Tabella13[[#This Row],[test_id]],experiments_specs!A:J,2,FALSE)</f>
        <v>NN,JJ,VB,VBD,VBG,VBN,VBP,VBZ</v>
      </c>
      <c r="C446" s="38">
        <f>VLOOKUP(Tabella13[[#This Row],[test_id]],experiments_specs!A:J,3,FALSE)</f>
        <v>0</v>
      </c>
      <c r="D446" s="38">
        <f>VLOOKUP(Tabella13[[#This Row],[test_id]],experiments_specs!A:J,4,FALSE)</f>
        <v>2</v>
      </c>
      <c r="E446" s="38" t="str">
        <f>VLOOKUP(Tabella13[[#This Row],[test_id]],experiments_specs!A:J,5,FALSE)</f>
        <v>True</v>
      </c>
      <c r="F446" s="38" t="str">
        <f>VLOOKUP(Tabella13[[#This Row],[test_id]],experiments_specs!A:J,6,FALSE)</f>
        <v>False</v>
      </c>
      <c r="G446" s="38" t="str">
        <f>VLOOKUP(Tabella13[[#This Row],[test_id]],experiments_specs!A:J,7,FALSE)</f>
        <v>True</v>
      </c>
      <c r="H446" s="38" t="str">
        <f>VLOOKUP(Tabella13[[#This Row],[test_id]],experiments_specs!A:J,8,FALSE)</f>
        <v>False</v>
      </c>
      <c r="I446" s="38" t="str">
        <f>VLOOKUP(Tabella13[[#This Row],[test_id]],experiments_specs!A:J,9,FALSE)</f>
        <v>wup_similarity</v>
      </c>
      <c r="J446" s="38" t="str">
        <f>VLOOKUP(Tabella13[[#This Row],[test_id]],experiments_specs!A:J,10,FALSE)</f>
        <v>False</v>
      </c>
      <c r="K446" s="40" t="s">
        <v>14</v>
      </c>
      <c r="L446" s="36" t="s">
        <v>1361</v>
      </c>
      <c r="M446" s="36">
        <v>3</v>
      </c>
      <c r="N446" s="36">
        <v>5.6701E-3</v>
      </c>
      <c r="O446" s="36">
        <v>0.30769229999999997</v>
      </c>
    </row>
    <row r="447" spans="1:15" ht="85" x14ac:dyDescent="0.2">
      <c r="A447" s="36" t="s">
        <v>1279</v>
      </c>
      <c r="B447" s="45" t="str">
        <f>VLOOKUP(Tabella13[[#This Row],[test_id]],experiments_specs!A:J,2,FALSE)</f>
        <v>NN,JJ,VB,VBD,VBG,VBN,VBP,VBZ</v>
      </c>
      <c r="C447" s="38">
        <f>VLOOKUP(Tabella13[[#This Row],[test_id]],experiments_specs!A:J,3,FALSE)</f>
        <v>0</v>
      </c>
      <c r="D447" s="38">
        <f>VLOOKUP(Tabella13[[#This Row],[test_id]],experiments_specs!A:J,4,FALSE)</f>
        <v>2</v>
      </c>
      <c r="E447" s="38" t="str">
        <f>VLOOKUP(Tabella13[[#This Row],[test_id]],experiments_specs!A:J,5,FALSE)</f>
        <v>True</v>
      </c>
      <c r="F447" s="38" t="str">
        <f>VLOOKUP(Tabella13[[#This Row],[test_id]],experiments_specs!A:J,6,FALSE)</f>
        <v>False</v>
      </c>
      <c r="G447" s="38" t="str">
        <f>VLOOKUP(Tabella13[[#This Row],[test_id]],experiments_specs!A:J,7,FALSE)</f>
        <v>True</v>
      </c>
      <c r="H447" s="38" t="str">
        <f>VLOOKUP(Tabella13[[#This Row],[test_id]],experiments_specs!A:J,8,FALSE)</f>
        <v>False</v>
      </c>
      <c r="I447" s="38" t="str">
        <f>VLOOKUP(Tabella13[[#This Row],[test_id]],experiments_specs!A:J,9,FALSE)</f>
        <v>wup_similarity</v>
      </c>
      <c r="J447" s="38" t="str">
        <f>VLOOKUP(Tabella13[[#This Row],[test_id]],experiments_specs!A:J,10,FALSE)</f>
        <v>False</v>
      </c>
      <c r="K447" s="40" t="s">
        <v>15</v>
      </c>
      <c r="L447" s="36" t="s">
        <v>410</v>
      </c>
      <c r="M447" s="36">
        <v>2</v>
      </c>
      <c r="N447" s="36">
        <v>6.9842999999999997E-3</v>
      </c>
      <c r="O447" s="36">
        <v>0.22222220000000001</v>
      </c>
    </row>
    <row r="448" spans="1:15" ht="85" x14ac:dyDescent="0.2">
      <c r="A448" s="36" t="s">
        <v>1279</v>
      </c>
      <c r="B448" s="45" t="str">
        <f>VLOOKUP(Tabella13[[#This Row],[test_id]],experiments_specs!A:J,2,FALSE)</f>
        <v>NN,JJ,VB,VBD,VBG,VBN,VBP,VBZ</v>
      </c>
      <c r="C448" s="38">
        <f>VLOOKUP(Tabella13[[#This Row],[test_id]],experiments_specs!A:J,3,FALSE)</f>
        <v>0</v>
      </c>
      <c r="D448" s="38">
        <f>VLOOKUP(Tabella13[[#This Row],[test_id]],experiments_specs!A:J,4,FALSE)</f>
        <v>2</v>
      </c>
      <c r="E448" s="38" t="str">
        <f>VLOOKUP(Tabella13[[#This Row],[test_id]],experiments_specs!A:J,5,FALSE)</f>
        <v>True</v>
      </c>
      <c r="F448" s="38" t="str">
        <f>VLOOKUP(Tabella13[[#This Row],[test_id]],experiments_specs!A:J,6,FALSE)</f>
        <v>False</v>
      </c>
      <c r="G448" s="38" t="str">
        <f>VLOOKUP(Tabella13[[#This Row],[test_id]],experiments_specs!A:J,7,FALSE)</f>
        <v>True</v>
      </c>
      <c r="H448" s="38" t="str">
        <f>VLOOKUP(Tabella13[[#This Row],[test_id]],experiments_specs!A:J,8,FALSE)</f>
        <v>False</v>
      </c>
      <c r="I448" s="38" t="str">
        <f>VLOOKUP(Tabella13[[#This Row],[test_id]],experiments_specs!A:J,9,FALSE)</f>
        <v>wup_similarity</v>
      </c>
      <c r="J448" s="38" t="str">
        <f>VLOOKUP(Tabella13[[#This Row],[test_id]],experiments_specs!A:J,10,FALSE)</f>
        <v>False</v>
      </c>
      <c r="K448" s="40" t="s">
        <v>16</v>
      </c>
      <c r="L448" s="36" t="s">
        <v>641</v>
      </c>
      <c r="M448" s="36">
        <v>2</v>
      </c>
      <c r="N448" s="36">
        <v>3.2050999999999998E-3</v>
      </c>
      <c r="O448" s="36">
        <v>0.13333329999999999</v>
      </c>
    </row>
    <row r="449" spans="1:15" ht="85" x14ac:dyDescent="0.2">
      <c r="A449" s="36" t="s">
        <v>1279</v>
      </c>
      <c r="B449" s="45" t="str">
        <f>VLOOKUP(Tabella13[[#This Row],[test_id]],experiments_specs!A:J,2,FALSE)</f>
        <v>NN,JJ,VB,VBD,VBG,VBN,VBP,VBZ</v>
      </c>
      <c r="C449" s="38">
        <f>VLOOKUP(Tabella13[[#This Row],[test_id]],experiments_specs!A:J,3,FALSE)</f>
        <v>0</v>
      </c>
      <c r="D449" s="38">
        <f>VLOOKUP(Tabella13[[#This Row],[test_id]],experiments_specs!A:J,4,FALSE)</f>
        <v>2</v>
      </c>
      <c r="E449" s="38" t="str">
        <f>VLOOKUP(Tabella13[[#This Row],[test_id]],experiments_specs!A:J,5,FALSE)</f>
        <v>True</v>
      </c>
      <c r="F449" s="38" t="str">
        <f>VLOOKUP(Tabella13[[#This Row],[test_id]],experiments_specs!A:J,6,FALSE)</f>
        <v>False</v>
      </c>
      <c r="G449" s="38" t="str">
        <f>VLOOKUP(Tabella13[[#This Row],[test_id]],experiments_specs!A:J,7,FALSE)</f>
        <v>True</v>
      </c>
      <c r="H449" s="38" t="str">
        <f>VLOOKUP(Tabella13[[#This Row],[test_id]],experiments_specs!A:J,8,FALSE)</f>
        <v>False</v>
      </c>
      <c r="I449" s="38" t="str">
        <f>VLOOKUP(Tabella13[[#This Row],[test_id]],experiments_specs!A:J,9,FALSE)</f>
        <v>wup_similarity</v>
      </c>
      <c r="J449" s="38" t="str">
        <f>VLOOKUP(Tabella13[[#This Row],[test_id]],experiments_specs!A:J,10,FALSE)</f>
        <v>False</v>
      </c>
      <c r="K449" s="40" t="s">
        <v>17</v>
      </c>
      <c r="L449" s="36" t="s">
        <v>1384</v>
      </c>
      <c r="M449" s="36" t="s">
        <v>1314</v>
      </c>
      <c r="N449" s="36">
        <v>1.4082900000000001E-2</v>
      </c>
      <c r="O449" s="36" t="s">
        <v>1432</v>
      </c>
    </row>
    <row r="450" spans="1:15" ht="85" x14ac:dyDescent="0.2">
      <c r="A450" s="36" t="s">
        <v>1279</v>
      </c>
      <c r="B450" s="45" t="str">
        <f>VLOOKUP(Tabella13[[#This Row],[test_id]],experiments_specs!A:J,2,FALSE)</f>
        <v>NN,JJ,VB,VBD,VBG,VBN,VBP,VBZ</v>
      </c>
      <c r="C450" s="38">
        <f>VLOOKUP(Tabella13[[#This Row],[test_id]],experiments_specs!A:J,3,FALSE)</f>
        <v>0</v>
      </c>
      <c r="D450" s="38">
        <f>VLOOKUP(Tabella13[[#This Row],[test_id]],experiments_specs!A:J,4,FALSE)</f>
        <v>2</v>
      </c>
      <c r="E450" s="38" t="str">
        <f>VLOOKUP(Tabella13[[#This Row],[test_id]],experiments_specs!A:J,5,FALSE)</f>
        <v>True</v>
      </c>
      <c r="F450" s="38" t="str">
        <f>VLOOKUP(Tabella13[[#This Row],[test_id]],experiments_specs!A:J,6,FALSE)</f>
        <v>False</v>
      </c>
      <c r="G450" s="38" t="str">
        <f>VLOOKUP(Tabella13[[#This Row],[test_id]],experiments_specs!A:J,7,FALSE)</f>
        <v>True</v>
      </c>
      <c r="H450" s="38" t="str">
        <f>VLOOKUP(Tabella13[[#This Row],[test_id]],experiments_specs!A:J,8,FALSE)</f>
        <v>False</v>
      </c>
      <c r="I450" s="38" t="str">
        <f>VLOOKUP(Tabella13[[#This Row],[test_id]],experiments_specs!A:J,9,FALSE)</f>
        <v>wup_similarity</v>
      </c>
      <c r="J450" s="38" t="str">
        <f>VLOOKUP(Tabella13[[#This Row],[test_id]],experiments_specs!A:J,10,FALSE)</f>
        <v>False</v>
      </c>
      <c r="K450" s="40" t="s">
        <v>18</v>
      </c>
      <c r="L450" s="36" t="s">
        <v>652</v>
      </c>
      <c r="M450" s="36">
        <v>2</v>
      </c>
      <c r="N450" s="36">
        <v>4.8411000000000001E-3</v>
      </c>
      <c r="O450" s="36">
        <v>0.2105263</v>
      </c>
    </row>
    <row r="451" spans="1:15" ht="85" x14ac:dyDescent="0.2">
      <c r="A451" s="36" t="s">
        <v>1280</v>
      </c>
      <c r="B451" s="45" t="str">
        <f>VLOOKUP(Tabella13[[#This Row],[test_id]],experiments_specs!A:J,2,FALSE)</f>
        <v>NN,JJ,VB,VBD,VBG,VBN,VBP,VBZ</v>
      </c>
      <c r="C451" s="38">
        <f>VLOOKUP(Tabella13[[#This Row],[test_id]],experiments_specs!A:J,3,FALSE)</f>
        <v>0</v>
      </c>
      <c r="D451" s="38">
        <f>VLOOKUP(Tabella13[[#This Row],[test_id]],experiments_specs!A:J,4,FALSE)</f>
        <v>3</v>
      </c>
      <c r="E451" s="38" t="str">
        <f>VLOOKUP(Tabella13[[#This Row],[test_id]],experiments_specs!A:J,5,FALSE)</f>
        <v>True</v>
      </c>
      <c r="F451" s="38" t="str">
        <f>VLOOKUP(Tabella13[[#This Row],[test_id]],experiments_specs!A:J,6,FALSE)</f>
        <v>False</v>
      </c>
      <c r="G451" s="38" t="str">
        <f>VLOOKUP(Tabella13[[#This Row],[test_id]],experiments_specs!A:J,7,FALSE)</f>
        <v>True</v>
      </c>
      <c r="H451" s="38" t="str">
        <f>VLOOKUP(Tabella13[[#This Row],[test_id]],experiments_specs!A:J,8,FALSE)</f>
        <v>False</v>
      </c>
      <c r="I451" s="38" t="str">
        <f>VLOOKUP(Tabella13[[#This Row],[test_id]],experiments_specs!A:J,9,FALSE)</f>
        <v>wup_similarity</v>
      </c>
      <c r="J451" s="38" t="str">
        <f>VLOOKUP(Tabella13[[#This Row],[test_id]],experiments_specs!A:J,10,FALSE)</f>
        <v>False</v>
      </c>
      <c r="K451" s="40" t="s">
        <v>19</v>
      </c>
      <c r="L451" s="36" t="s">
        <v>1357</v>
      </c>
      <c r="M451" s="36">
        <v>3</v>
      </c>
      <c r="N451" s="36">
        <v>9.3302999999999997E-3</v>
      </c>
      <c r="O451" s="36">
        <v>0.18181810000000001</v>
      </c>
    </row>
    <row r="452" spans="1:15" ht="85" x14ac:dyDescent="0.2">
      <c r="A452" s="36" t="s">
        <v>1280</v>
      </c>
      <c r="B452" s="45" t="str">
        <f>VLOOKUP(Tabella13[[#This Row],[test_id]],experiments_specs!A:J,2,FALSE)</f>
        <v>NN,JJ,VB,VBD,VBG,VBN,VBP,VBZ</v>
      </c>
      <c r="C452" s="38">
        <f>VLOOKUP(Tabella13[[#This Row],[test_id]],experiments_specs!A:J,3,FALSE)</f>
        <v>0</v>
      </c>
      <c r="D452" s="38">
        <f>VLOOKUP(Tabella13[[#This Row],[test_id]],experiments_specs!A:J,4,FALSE)</f>
        <v>3</v>
      </c>
      <c r="E452" s="38" t="str">
        <f>VLOOKUP(Tabella13[[#This Row],[test_id]],experiments_specs!A:J,5,FALSE)</f>
        <v>True</v>
      </c>
      <c r="F452" s="38" t="str">
        <f>VLOOKUP(Tabella13[[#This Row],[test_id]],experiments_specs!A:J,6,FALSE)</f>
        <v>False</v>
      </c>
      <c r="G452" s="38" t="str">
        <f>VLOOKUP(Tabella13[[#This Row],[test_id]],experiments_specs!A:J,7,FALSE)</f>
        <v>True</v>
      </c>
      <c r="H452" s="38" t="str">
        <f>VLOOKUP(Tabella13[[#This Row],[test_id]],experiments_specs!A:J,8,FALSE)</f>
        <v>False</v>
      </c>
      <c r="I452" s="38" t="str">
        <f>VLOOKUP(Tabella13[[#This Row],[test_id]],experiments_specs!A:J,9,FALSE)</f>
        <v>wup_similarity</v>
      </c>
      <c r="J452" s="38" t="str">
        <f>VLOOKUP(Tabella13[[#This Row],[test_id]],experiments_specs!A:J,10,FALSE)</f>
        <v>False</v>
      </c>
      <c r="K452" s="40" t="s">
        <v>12</v>
      </c>
      <c r="L452" s="36" t="s">
        <v>1371</v>
      </c>
      <c r="M452" s="36" t="s">
        <v>1373</v>
      </c>
      <c r="N452" s="36">
        <v>8.7723999999999996E-3</v>
      </c>
      <c r="O452" s="36" t="s">
        <v>1452</v>
      </c>
    </row>
    <row r="453" spans="1:15" ht="85" x14ac:dyDescent="0.2">
      <c r="A453" s="36" t="s">
        <v>1280</v>
      </c>
      <c r="B453" s="45" t="str">
        <f>VLOOKUP(Tabella13[[#This Row],[test_id]],experiments_specs!A:J,2,FALSE)</f>
        <v>NN,JJ,VB,VBD,VBG,VBN,VBP,VBZ</v>
      </c>
      <c r="C453" s="38">
        <f>VLOOKUP(Tabella13[[#This Row],[test_id]],experiments_specs!A:J,3,FALSE)</f>
        <v>0</v>
      </c>
      <c r="D453" s="38">
        <f>VLOOKUP(Tabella13[[#This Row],[test_id]],experiments_specs!A:J,4,FALSE)</f>
        <v>3</v>
      </c>
      <c r="E453" s="38" t="str">
        <f>VLOOKUP(Tabella13[[#This Row],[test_id]],experiments_specs!A:J,5,FALSE)</f>
        <v>True</v>
      </c>
      <c r="F453" s="38" t="str">
        <f>VLOOKUP(Tabella13[[#This Row],[test_id]],experiments_specs!A:J,6,FALSE)</f>
        <v>False</v>
      </c>
      <c r="G453" s="38" t="str">
        <f>VLOOKUP(Tabella13[[#This Row],[test_id]],experiments_specs!A:J,7,FALSE)</f>
        <v>True</v>
      </c>
      <c r="H453" s="38" t="str">
        <f>VLOOKUP(Tabella13[[#This Row],[test_id]],experiments_specs!A:J,8,FALSE)</f>
        <v>False</v>
      </c>
      <c r="I453" s="38" t="str">
        <f>VLOOKUP(Tabella13[[#This Row],[test_id]],experiments_specs!A:J,9,FALSE)</f>
        <v>wup_similarity</v>
      </c>
      <c r="J453" s="38" t="str">
        <f>VLOOKUP(Tabella13[[#This Row],[test_id]],experiments_specs!A:J,10,FALSE)</f>
        <v>False</v>
      </c>
      <c r="K453" s="40" t="s">
        <v>13</v>
      </c>
      <c r="L453" s="36" t="s">
        <v>1375</v>
      </c>
      <c r="M453" s="36" t="s">
        <v>1314</v>
      </c>
      <c r="N453" s="36">
        <v>6.5938000000000004E-3</v>
      </c>
      <c r="O453" s="36" t="s">
        <v>1377</v>
      </c>
    </row>
    <row r="454" spans="1:15" ht="85" x14ac:dyDescent="0.2">
      <c r="A454" s="36" t="s">
        <v>1280</v>
      </c>
      <c r="B454" s="45" t="str">
        <f>VLOOKUP(Tabella13[[#This Row],[test_id]],experiments_specs!A:J,2,FALSE)</f>
        <v>NN,JJ,VB,VBD,VBG,VBN,VBP,VBZ</v>
      </c>
      <c r="C454" s="38">
        <f>VLOOKUP(Tabella13[[#This Row],[test_id]],experiments_specs!A:J,3,FALSE)</f>
        <v>0</v>
      </c>
      <c r="D454" s="38">
        <f>VLOOKUP(Tabella13[[#This Row],[test_id]],experiments_specs!A:J,4,FALSE)</f>
        <v>3</v>
      </c>
      <c r="E454" s="38" t="str">
        <f>VLOOKUP(Tabella13[[#This Row],[test_id]],experiments_specs!A:J,5,FALSE)</f>
        <v>True</v>
      </c>
      <c r="F454" s="38" t="str">
        <f>VLOOKUP(Tabella13[[#This Row],[test_id]],experiments_specs!A:J,6,FALSE)</f>
        <v>False</v>
      </c>
      <c r="G454" s="38" t="str">
        <f>VLOOKUP(Tabella13[[#This Row],[test_id]],experiments_specs!A:J,7,FALSE)</f>
        <v>True</v>
      </c>
      <c r="H454" s="38" t="str">
        <f>VLOOKUP(Tabella13[[#This Row],[test_id]],experiments_specs!A:J,8,FALSE)</f>
        <v>False</v>
      </c>
      <c r="I454" s="38" t="str">
        <f>VLOOKUP(Tabella13[[#This Row],[test_id]],experiments_specs!A:J,9,FALSE)</f>
        <v>wup_similarity</v>
      </c>
      <c r="J454" s="38" t="str">
        <f>VLOOKUP(Tabella13[[#This Row],[test_id]],experiments_specs!A:J,10,FALSE)</f>
        <v>False</v>
      </c>
      <c r="K454" s="40" t="s">
        <v>14</v>
      </c>
      <c r="L454" s="36" t="s">
        <v>1361</v>
      </c>
      <c r="M454" s="36">
        <v>3</v>
      </c>
      <c r="N454" s="36">
        <v>5.6701E-3</v>
      </c>
      <c r="O454" s="36">
        <v>0.30769229999999997</v>
      </c>
    </row>
    <row r="455" spans="1:15" ht="85" x14ac:dyDescent="0.2">
      <c r="A455" s="36" t="s">
        <v>1280</v>
      </c>
      <c r="B455" s="45" t="str">
        <f>VLOOKUP(Tabella13[[#This Row],[test_id]],experiments_specs!A:J,2,FALSE)</f>
        <v>NN,JJ,VB,VBD,VBG,VBN,VBP,VBZ</v>
      </c>
      <c r="C455" s="38">
        <f>VLOOKUP(Tabella13[[#This Row],[test_id]],experiments_specs!A:J,3,FALSE)</f>
        <v>0</v>
      </c>
      <c r="D455" s="38">
        <f>VLOOKUP(Tabella13[[#This Row],[test_id]],experiments_specs!A:J,4,FALSE)</f>
        <v>3</v>
      </c>
      <c r="E455" s="38" t="str">
        <f>VLOOKUP(Tabella13[[#This Row],[test_id]],experiments_specs!A:J,5,FALSE)</f>
        <v>True</v>
      </c>
      <c r="F455" s="38" t="str">
        <f>VLOOKUP(Tabella13[[#This Row],[test_id]],experiments_specs!A:J,6,FALSE)</f>
        <v>False</v>
      </c>
      <c r="G455" s="38" t="str">
        <f>VLOOKUP(Tabella13[[#This Row],[test_id]],experiments_specs!A:J,7,FALSE)</f>
        <v>True</v>
      </c>
      <c r="H455" s="38" t="str">
        <f>VLOOKUP(Tabella13[[#This Row],[test_id]],experiments_specs!A:J,8,FALSE)</f>
        <v>False</v>
      </c>
      <c r="I455" s="38" t="str">
        <f>VLOOKUP(Tabella13[[#This Row],[test_id]],experiments_specs!A:J,9,FALSE)</f>
        <v>wup_similarity</v>
      </c>
      <c r="J455" s="38" t="str">
        <f>VLOOKUP(Tabella13[[#This Row],[test_id]],experiments_specs!A:J,10,FALSE)</f>
        <v>False</v>
      </c>
      <c r="K455" s="40" t="s">
        <v>15</v>
      </c>
      <c r="L455" s="36" t="s">
        <v>410</v>
      </c>
      <c r="M455" s="36">
        <v>2</v>
      </c>
      <c r="N455" s="36">
        <v>6.9842999999999997E-3</v>
      </c>
      <c r="O455" s="36">
        <v>0.22222220000000001</v>
      </c>
    </row>
    <row r="456" spans="1:15" ht="85" x14ac:dyDescent="0.2">
      <c r="A456" s="36" t="s">
        <v>1280</v>
      </c>
      <c r="B456" s="45" t="str">
        <f>VLOOKUP(Tabella13[[#This Row],[test_id]],experiments_specs!A:J,2,FALSE)</f>
        <v>NN,JJ,VB,VBD,VBG,VBN,VBP,VBZ</v>
      </c>
      <c r="C456" s="38">
        <f>VLOOKUP(Tabella13[[#This Row],[test_id]],experiments_specs!A:J,3,FALSE)</f>
        <v>0</v>
      </c>
      <c r="D456" s="38">
        <f>VLOOKUP(Tabella13[[#This Row],[test_id]],experiments_specs!A:J,4,FALSE)</f>
        <v>3</v>
      </c>
      <c r="E456" s="38" t="str">
        <f>VLOOKUP(Tabella13[[#This Row],[test_id]],experiments_specs!A:J,5,FALSE)</f>
        <v>True</v>
      </c>
      <c r="F456" s="38" t="str">
        <f>VLOOKUP(Tabella13[[#This Row],[test_id]],experiments_specs!A:J,6,FALSE)</f>
        <v>False</v>
      </c>
      <c r="G456" s="38" t="str">
        <f>VLOOKUP(Tabella13[[#This Row],[test_id]],experiments_specs!A:J,7,FALSE)</f>
        <v>True</v>
      </c>
      <c r="H456" s="38" t="str">
        <f>VLOOKUP(Tabella13[[#This Row],[test_id]],experiments_specs!A:J,8,FALSE)</f>
        <v>False</v>
      </c>
      <c r="I456" s="38" t="str">
        <f>VLOOKUP(Tabella13[[#This Row],[test_id]],experiments_specs!A:J,9,FALSE)</f>
        <v>wup_similarity</v>
      </c>
      <c r="J456" s="38" t="str">
        <f>VLOOKUP(Tabella13[[#This Row],[test_id]],experiments_specs!A:J,10,FALSE)</f>
        <v>False</v>
      </c>
      <c r="K456" s="40" t="s">
        <v>16</v>
      </c>
      <c r="L456" s="36" t="s">
        <v>641</v>
      </c>
      <c r="M456" s="36">
        <v>2</v>
      </c>
      <c r="N456" s="36">
        <v>3.2050999999999998E-3</v>
      </c>
      <c r="O456" s="36">
        <v>0.13333329999999999</v>
      </c>
    </row>
    <row r="457" spans="1:15" ht="85" x14ac:dyDescent="0.2">
      <c r="A457" s="36" t="s">
        <v>1280</v>
      </c>
      <c r="B457" s="45" t="str">
        <f>VLOOKUP(Tabella13[[#This Row],[test_id]],experiments_specs!A:J,2,FALSE)</f>
        <v>NN,JJ,VB,VBD,VBG,VBN,VBP,VBZ</v>
      </c>
      <c r="C457" s="38">
        <f>VLOOKUP(Tabella13[[#This Row],[test_id]],experiments_specs!A:J,3,FALSE)</f>
        <v>0</v>
      </c>
      <c r="D457" s="38">
        <f>VLOOKUP(Tabella13[[#This Row],[test_id]],experiments_specs!A:J,4,FALSE)</f>
        <v>3</v>
      </c>
      <c r="E457" s="38" t="str">
        <f>VLOOKUP(Tabella13[[#This Row],[test_id]],experiments_specs!A:J,5,FALSE)</f>
        <v>True</v>
      </c>
      <c r="F457" s="38" t="str">
        <f>VLOOKUP(Tabella13[[#This Row],[test_id]],experiments_specs!A:J,6,FALSE)</f>
        <v>False</v>
      </c>
      <c r="G457" s="38" t="str">
        <f>VLOOKUP(Tabella13[[#This Row],[test_id]],experiments_specs!A:J,7,FALSE)</f>
        <v>True</v>
      </c>
      <c r="H457" s="38" t="str">
        <f>VLOOKUP(Tabella13[[#This Row],[test_id]],experiments_specs!A:J,8,FALSE)</f>
        <v>False</v>
      </c>
      <c r="I457" s="38" t="str">
        <f>VLOOKUP(Tabella13[[#This Row],[test_id]],experiments_specs!A:J,9,FALSE)</f>
        <v>wup_similarity</v>
      </c>
      <c r="J457" s="38" t="str">
        <f>VLOOKUP(Tabella13[[#This Row],[test_id]],experiments_specs!A:J,10,FALSE)</f>
        <v>False</v>
      </c>
      <c r="K457" s="40" t="s">
        <v>17</v>
      </c>
      <c r="L457" s="36" t="s">
        <v>1384</v>
      </c>
      <c r="M457" s="36" t="s">
        <v>1314</v>
      </c>
      <c r="N457" s="36">
        <v>1.4082900000000001E-2</v>
      </c>
      <c r="O457" s="36" t="s">
        <v>1432</v>
      </c>
    </row>
    <row r="458" spans="1:15" ht="85" x14ac:dyDescent="0.2">
      <c r="A458" s="36" t="s">
        <v>1280</v>
      </c>
      <c r="B458" s="45" t="str">
        <f>VLOOKUP(Tabella13[[#This Row],[test_id]],experiments_specs!A:J,2,FALSE)</f>
        <v>NN,JJ,VB,VBD,VBG,VBN,VBP,VBZ</v>
      </c>
      <c r="C458" s="38">
        <f>VLOOKUP(Tabella13[[#This Row],[test_id]],experiments_specs!A:J,3,FALSE)</f>
        <v>0</v>
      </c>
      <c r="D458" s="38">
        <f>VLOOKUP(Tabella13[[#This Row],[test_id]],experiments_specs!A:J,4,FALSE)</f>
        <v>3</v>
      </c>
      <c r="E458" s="38" t="str">
        <f>VLOOKUP(Tabella13[[#This Row],[test_id]],experiments_specs!A:J,5,FALSE)</f>
        <v>True</v>
      </c>
      <c r="F458" s="38" t="str">
        <f>VLOOKUP(Tabella13[[#This Row],[test_id]],experiments_specs!A:J,6,FALSE)</f>
        <v>False</v>
      </c>
      <c r="G458" s="38" t="str">
        <f>VLOOKUP(Tabella13[[#This Row],[test_id]],experiments_specs!A:J,7,FALSE)</f>
        <v>True</v>
      </c>
      <c r="H458" s="38" t="str">
        <f>VLOOKUP(Tabella13[[#This Row],[test_id]],experiments_specs!A:J,8,FALSE)</f>
        <v>False</v>
      </c>
      <c r="I458" s="38" t="str">
        <f>VLOOKUP(Tabella13[[#This Row],[test_id]],experiments_specs!A:J,9,FALSE)</f>
        <v>wup_similarity</v>
      </c>
      <c r="J458" s="38" t="str">
        <f>VLOOKUP(Tabella13[[#This Row],[test_id]],experiments_specs!A:J,10,FALSE)</f>
        <v>False</v>
      </c>
      <c r="K458" s="40" t="s">
        <v>18</v>
      </c>
      <c r="L458" s="36" t="s">
        <v>652</v>
      </c>
      <c r="M458" s="36">
        <v>2</v>
      </c>
      <c r="N458" s="36">
        <v>4.8411000000000001E-3</v>
      </c>
      <c r="O458" s="36">
        <v>0.2105263</v>
      </c>
    </row>
    <row r="459" spans="1:15" ht="85" x14ac:dyDescent="0.2">
      <c r="A459" s="36" t="s">
        <v>1281</v>
      </c>
      <c r="B459" s="45" t="str">
        <f>VLOOKUP(Tabella13[[#This Row],[test_id]],experiments_specs!A:J,2,FALSE)</f>
        <v>NN,JJ</v>
      </c>
      <c r="C459" s="38">
        <f>VLOOKUP(Tabella13[[#This Row],[test_id]],experiments_specs!A:J,3,FALSE)</f>
        <v>0</v>
      </c>
      <c r="D459" s="38">
        <f>VLOOKUP(Tabella13[[#This Row],[test_id]],experiments_specs!A:J,4,FALSE)</f>
        <v>2</v>
      </c>
      <c r="E459" s="38" t="str">
        <f>VLOOKUP(Tabella13[[#This Row],[test_id]],experiments_specs!A:J,5,FALSE)</f>
        <v>False</v>
      </c>
      <c r="F459" s="38" t="str">
        <f>VLOOKUP(Tabella13[[#This Row],[test_id]],experiments_specs!A:J,6,FALSE)</f>
        <v>False</v>
      </c>
      <c r="G459" s="38" t="str">
        <f>VLOOKUP(Tabella13[[#This Row],[test_id]],experiments_specs!A:J,7,FALSE)</f>
        <v>True</v>
      </c>
      <c r="H459" s="38" t="str">
        <f>VLOOKUP(Tabella13[[#This Row],[test_id]],experiments_specs!A:J,8,FALSE)</f>
        <v>False</v>
      </c>
      <c r="I459" s="38" t="str">
        <f>VLOOKUP(Tabella13[[#This Row],[test_id]],experiments_specs!A:J,9,FALSE)</f>
        <v>wup_similarity</v>
      </c>
      <c r="J459" s="38" t="str">
        <f>VLOOKUP(Tabella13[[#This Row],[test_id]],experiments_specs!A:J,10,FALSE)</f>
        <v>True</v>
      </c>
      <c r="K459" s="40" t="s">
        <v>19</v>
      </c>
      <c r="L459" s="36" t="s">
        <v>1357</v>
      </c>
      <c r="M459" s="36">
        <v>3</v>
      </c>
      <c r="N459" s="36">
        <v>1.3236000000000001E-3</v>
      </c>
      <c r="O459" s="36">
        <v>0.18181810000000001</v>
      </c>
    </row>
    <row r="460" spans="1:15" ht="85" x14ac:dyDescent="0.2">
      <c r="A460" s="36" t="s">
        <v>1281</v>
      </c>
      <c r="B460" s="45" t="str">
        <f>VLOOKUP(Tabella13[[#This Row],[test_id]],experiments_specs!A:J,2,FALSE)</f>
        <v>NN,JJ</v>
      </c>
      <c r="C460" s="38">
        <f>VLOOKUP(Tabella13[[#This Row],[test_id]],experiments_specs!A:J,3,FALSE)</f>
        <v>0</v>
      </c>
      <c r="D460" s="38">
        <f>VLOOKUP(Tabella13[[#This Row],[test_id]],experiments_specs!A:J,4,FALSE)</f>
        <v>2</v>
      </c>
      <c r="E460" s="38" t="str">
        <f>VLOOKUP(Tabella13[[#This Row],[test_id]],experiments_specs!A:J,5,FALSE)</f>
        <v>False</v>
      </c>
      <c r="F460" s="38" t="str">
        <f>VLOOKUP(Tabella13[[#This Row],[test_id]],experiments_specs!A:J,6,FALSE)</f>
        <v>False</v>
      </c>
      <c r="G460" s="38" t="str">
        <f>VLOOKUP(Tabella13[[#This Row],[test_id]],experiments_specs!A:J,7,FALSE)</f>
        <v>True</v>
      </c>
      <c r="H460" s="38" t="str">
        <f>VLOOKUP(Tabella13[[#This Row],[test_id]],experiments_specs!A:J,8,FALSE)</f>
        <v>False</v>
      </c>
      <c r="I460" s="38" t="str">
        <f>VLOOKUP(Tabella13[[#This Row],[test_id]],experiments_specs!A:J,9,FALSE)</f>
        <v>wup_similarity</v>
      </c>
      <c r="J460" s="38" t="str">
        <f>VLOOKUP(Tabella13[[#This Row],[test_id]],experiments_specs!A:J,10,FALSE)</f>
        <v>True</v>
      </c>
      <c r="K460" s="40" t="s">
        <v>12</v>
      </c>
      <c r="L460" s="36" t="s">
        <v>1359</v>
      </c>
      <c r="M460" s="36" t="s">
        <v>1314</v>
      </c>
      <c r="N460" s="36">
        <v>9.9649999999999999E-4</v>
      </c>
      <c r="O460" s="36" t="s">
        <v>1444</v>
      </c>
    </row>
    <row r="461" spans="1:15" ht="85" x14ac:dyDescent="0.2">
      <c r="A461" s="36" t="s">
        <v>1281</v>
      </c>
      <c r="B461" s="45" t="str">
        <f>VLOOKUP(Tabella13[[#This Row],[test_id]],experiments_specs!A:J,2,FALSE)</f>
        <v>NN,JJ</v>
      </c>
      <c r="C461" s="38">
        <f>VLOOKUP(Tabella13[[#This Row],[test_id]],experiments_specs!A:J,3,FALSE)</f>
        <v>0</v>
      </c>
      <c r="D461" s="38">
        <f>VLOOKUP(Tabella13[[#This Row],[test_id]],experiments_specs!A:J,4,FALSE)</f>
        <v>2</v>
      </c>
      <c r="E461" s="38" t="str">
        <f>VLOOKUP(Tabella13[[#This Row],[test_id]],experiments_specs!A:J,5,FALSE)</f>
        <v>False</v>
      </c>
      <c r="F461" s="38" t="str">
        <f>VLOOKUP(Tabella13[[#This Row],[test_id]],experiments_specs!A:J,6,FALSE)</f>
        <v>False</v>
      </c>
      <c r="G461" s="38" t="str">
        <f>VLOOKUP(Tabella13[[#This Row],[test_id]],experiments_specs!A:J,7,FALSE)</f>
        <v>True</v>
      </c>
      <c r="H461" s="38" t="str">
        <f>VLOOKUP(Tabella13[[#This Row],[test_id]],experiments_specs!A:J,8,FALSE)</f>
        <v>False</v>
      </c>
      <c r="I461" s="38" t="str">
        <f>VLOOKUP(Tabella13[[#This Row],[test_id]],experiments_specs!A:J,9,FALSE)</f>
        <v>wup_similarity</v>
      </c>
      <c r="J461" s="38" t="str">
        <f>VLOOKUP(Tabella13[[#This Row],[test_id]],experiments_specs!A:J,10,FALSE)</f>
        <v>True</v>
      </c>
      <c r="K461" s="40" t="s">
        <v>13</v>
      </c>
      <c r="L461" s="36" t="s">
        <v>1360</v>
      </c>
      <c r="M461" s="36">
        <v>1</v>
      </c>
      <c r="N461" s="36">
        <v>2.0148000000000002E-3</v>
      </c>
      <c r="O461" s="36">
        <v>0.22222220000000001</v>
      </c>
    </row>
    <row r="462" spans="1:15" ht="85" x14ac:dyDescent="0.2">
      <c r="A462" s="36" t="s">
        <v>1281</v>
      </c>
      <c r="B462" s="45" t="str">
        <f>VLOOKUP(Tabella13[[#This Row],[test_id]],experiments_specs!A:J,2,FALSE)</f>
        <v>NN,JJ</v>
      </c>
      <c r="C462" s="38">
        <f>VLOOKUP(Tabella13[[#This Row],[test_id]],experiments_specs!A:J,3,FALSE)</f>
        <v>0</v>
      </c>
      <c r="D462" s="38">
        <f>VLOOKUP(Tabella13[[#This Row],[test_id]],experiments_specs!A:J,4,FALSE)</f>
        <v>2</v>
      </c>
      <c r="E462" s="38" t="str">
        <f>VLOOKUP(Tabella13[[#This Row],[test_id]],experiments_specs!A:J,5,FALSE)</f>
        <v>False</v>
      </c>
      <c r="F462" s="38" t="str">
        <f>VLOOKUP(Tabella13[[#This Row],[test_id]],experiments_specs!A:J,6,FALSE)</f>
        <v>False</v>
      </c>
      <c r="G462" s="38" t="str">
        <f>VLOOKUP(Tabella13[[#This Row],[test_id]],experiments_specs!A:J,7,FALSE)</f>
        <v>True</v>
      </c>
      <c r="H462" s="38" t="str">
        <f>VLOOKUP(Tabella13[[#This Row],[test_id]],experiments_specs!A:J,8,FALSE)</f>
        <v>False</v>
      </c>
      <c r="I462" s="38" t="str">
        <f>VLOOKUP(Tabella13[[#This Row],[test_id]],experiments_specs!A:J,9,FALSE)</f>
        <v>wup_similarity</v>
      </c>
      <c r="J462" s="38" t="str">
        <f>VLOOKUP(Tabella13[[#This Row],[test_id]],experiments_specs!A:J,10,FALSE)</f>
        <v>True</v>
      </c>
      <c r="K462" s="40" t="s">
        <v>14</v>
      </c>
      <c r="L462" s="36" t="s">
        <v>1361</v>
      </c>
      <c r="M462" s="36">
        <v>3</v>
      </c>
      <c r="N462" s="36">
        <v>1.2898E-3</v>
      </c>
      <c r="O462" s="36">
        <v>0.30769229999999997</v>
      </c>
    </row>
    <row r="463" spans="1:15" ht="85" x14ac:dyDescent="0.2">
      <c r="A463" s="36" t="s">
        <v>1281</v>
      </c>
      <c r="B463" s="45" t="str">
        <f>VLOOKUP(Tabella13[[#This Row],[test_id]],experiments_specs!A:J,2,FALSE)</f>
        <v>NN,JJ</v>
      </c>
      <c r="C463" s="38">
        <f>VLOOKUP(Tabella13[[#This Row],[test_id]],experiments_specs!A:J,3,FALSE)</f>
        <v>0</v>
      </c>
      <c r="D463" s="38">
        <f>VLOOKUP(Tabella13[[#This Row],[test_id]],experiments_specs!A:J,4,FALSE)</f>
        <v>2</v>
      </c>
      <c r="E463" s="38" t="str">
        <f>VLOOKUP(Tabella13[[#This Row],[test_id]],experiments_specs!A:J,5,FALSE)</f>
        <v>False</v>
      </c>
      <c r="F463" s="38" t="str">
        <f>VLOOKUP(Tabella13[[#This Row],[test_id]],experiments_specs!A:J,6,FALSE)</f>
        <v>False</v>
      </c>
      <c r="G463" s="38" t="str">
        <f>VLOOKUP(Tabella13[[#This Row],[test_id]],experiments_specs!A:J,7,FALSE)</f>
        <v>True</v>
      </c>
      <c r="H463" s="38" t="str">
        <f>VLOOKUP(Tabella13[[#This Row],[test_id]],experiments_specs!A:J,8,FALSE)</f>
        <v>False</v>
      </c>
      <c r="I463" s="38" t="str">
        <f>VLOOKUP(Tabella13[[#This Row],[test_id]],experiments_specs!A:J,9,FALSE)</f>
        <v>wup_similarity</v>
      </c>
      <c r="J463" s="38" t="str">
        <f>VLOOKUP(Tabella13[[#This Row],[test_id]],experiments_specs!A:J,10,FALSE)</f>
        <v>True</v>
      </c>
      <c r="K463" s="40" t="s">
        <v>15</v>
      </c>
      <c r="L463" s="36" t="s">
        <v>1362</v>
      </c>
      <c r="M463" s="36">
        <v>1</v>
      </c>
      <c r="N463" s="36">
        <v>1.8205999999999999E-3</v>
      </c>
      <c r="O463" s="36">
        <v>0.2</v>
      </c>
    </row>
    <row r="464" spans="1:15" ht="85" x14ac:dyDescent="0.2">
      <c r="A464" s="36" t="s">
        <v>1281</v>
      </c>
      <c r="B464" s="45" t="str">
        <f>VLOOKUP(Tabella13[[#This Row],[test_id]],experiments_specs!A:J,2,FALSE)</f>
        <v>NN,JJ</v>
      </c>
      <c r="C464" s="38">
        <f>VLOOKUP(Tabella13[[#This Row],[test_id]],experiments_specs!A:J,3,FALSE)</f>
        <v>0</v>
      </c>
      <c r="D464" s="38">
        <f>VLOOKUP(Tabella13[[#This Row],[test_id]],experiments_specs!A:J,4,FALSE)</f>
        <v>2</v>
      </c>
      <c r="E464" s="38" t="str">
        <f>VLOOKUP(Tabella13[[#This Row],[test_id]],experiments_specs!A:J,5,FALSE)</f>
        <v>False</v>
      </c>
      <c r="F464" s="38" t="str">
        <f>VLOOKUP(Tabella13[[#This Row],[test_id]],experiments_specs!A:J,6,FALSE)</f>
        <v>False</v>
      </c>
      <c r="G464" s="38" t="str">
        <f>VLOOKUP(Tabella13[[#This Row],[test_id]],experiments_specs!A:J,7,FALSE)</f>
        <v>True</v>
      </c>
      <c r="H464" s="38" t="str">
        <f>VLOOKUP(Tabella13[[#This Row],[test_id]],experiments_specs!A:J,8,FALSE)</f>
        <v>False</v>
      </c>
      <c r="I464" s="38" t="str">
        <f>VLOOKUP(Tabella13[[#This Row],[test_id]],experiments_specs!A:J,9,FALSE)</f>
        <v>wup_similarity</v>
      </c>
      <c r="J464" s="38" t="str">
        <f>VLOOKUP(Tabella13[[#This Row],[test_id]],experiments_specs!A:J,10,FALSE)</f>
        <v>True</v>
      </c>
      <c r="K464" s="40" t="s">
        <v>16</v>
      </c>
      <c r="L464" s="36" t="s">
        <v>554</v>
      </c>
      <c r="M464" s="36">
        <v>2</v>
      </c>
      <c r="N464" s="36">
        <v>1.2290999999999999E-3</v>
      </c>
      <c r="O464" s="36">
        <v>0.14285709999999999</v>
      </c>
    </row>
    <row r="465" spans="1:15" ht="85" x14ac:dyDescent="0.2">
      <c r="A465" s="36" t="s">
        <v>1281</v>
      </c>
      <c r="B465" s="45" t="str">
        <f>VLOOKUP(Tabella13[[#This Row],[test_id]],experiments_specs!A:J,2,FALSE)</f>
        <v>NN,JJ</v>
      </c>
      <c r="C465" s="38">
        <f>VLOOKUP(Tabella13[[#This Row],[test_id]],experiments_specs!A:J,3,FALSE)</f>
        <v>0</v>
      </c>
      <c r="D465" s="38">
        <f>VLOOKUP(Tabella13[[#This Row],[test_id]],experiments_specs!A:J,4,FALSE)</f>
        <v>2</v>
      </c>
      <c r="E465" s="38" t="str">
        <f>VLOOKUP(Tabella13[[#This Row],[test_id]],experiments_specs!A:J,5,FALSE)</f>
        <v>False</v>
      </c>
      <c r="F465" s="38" t="str">
        <f>VLOOKUP(Tabella13[[#This Row],[test_id]],experiments_specs!A:J,6,FALSE)</f>
        <v>False</v>
      </c>
      <c r="G465" s="38" t="str">
        <f>VLOOKUP(Tabella13[[#This Row],[test_id]],experiments_specs!A:J,7,FALSE)</f>
        <v>True</v>
      </c>
      <c r="H465" s="38" t="str">
        <f>VLOOKUP(Tabella13[[#This Row],[test_id]],experiments_specs!A:J,8,FALSE)</f>
        <v>False</v>
      </c>
      <c r="I465" s="38" t="str">
        <f>VLOOKUP(Tabella13[[#This Row],[test_id]],experiments_specs!A:J,9,FALSE)</f>
        <v>wup_similarity</v>
      </c>
      <c r="J465" s="38" t="str">
        <f>VLOOKUP(Tabella13[[#This Row],[test_id]],experiments_specs!A:J,10,FALSE)</f>
        <v>True</v>
      </c>
      <c r="K465" s="40" t="s">
        <v>17</v>
      </c>
      <c r="L465" s="36" t="s">
        <v>1364</v>
      </c>
      <c r="M465" s="36" t="s">
        <v>1366</v>
      </c>
      <c r="N465" s="36">
        <v>1.1877999999999999E-3</v>
      </c>
      <c r="O465" s="36" t="s">
        <v>1448</v>
      </c>
    </row>
    <row r="466" spans="1:15" ht="85" x14ac:dyDescent="0.2">
      <c r="A466" s="36" t="s">
        <v>1281</v>
      </c>
      <c r="B466" s="45" t="str">
        <f>VLOOKUP(Tabella13[[#This Row],[test_id]],experiments_specs!A:J,2,FALSE)</f>
        <v>NN,JJ</v>
      </c>
      <c r="C466" s="38">
        <f>VLOOKUP(Tabella13[[#This Row],[test_id]],experiments_specs!A:J,3,FALSE)</f>
        <v>0</v>
      </c>
      <c r="D466" s="38">
        <f>VLOOKUP(Tabella13[[#This Row],[test_id]],experiments_specs!A:J,4,FALSE)</f>
        <v>2</v>
      </c>
      <c r="E466" s="38" t="str">
        <f>VLOOKUP(Tabella13[[#This Row],[test_id]],experiments_specs!A:J,5,FALSE)</f>
        <v>False</v>
      </c>
      <c r="F466" s="38" t="str">
        <f>VLOOKUP(Tabella13[[#This Row],[test_id]],experiments_specs!A:J,6,FALSE)</f>
        <v>False</v>
      </c>
      <c r="G466" s="38" t="str">
        <f>VLOOKUP(Tabella13[[#This Row],[test_id]],experiments_specs!A:J,7,FALSE)</f>
        <v>True</v>
      </c>
      <c r="H466" s="38" t="str">
        <f>VLOOKUP(Tabella13[[#This Row],[test_id]],experiments_specs!A:J,8,FALSE)</f>
        <v>False</v>
      </c>
      <c r="I466" s="38" t="str">
        <f>VLOOKUP(Tabella13[[#This Row],[test_id]],experiments_specs!A:J,9,FALSE)</f>
        <v>wup_similarity</v>
      </c>
      <c r="J466" s="38" t="str">
        <f>VLOOKUP(Tabella13[[#This Row],[test_id]],experiments_specs!A:J,10,FALSE)</f>
        <v>True</v>
      </c>
      <c r="K466" s="40" t="s">
        <v>18</v>
      </c>
      <c r="L466" s="36" t="s">
        <v>560</v>
      </c>
      <c r="M466" s="36">
        <v>2</v>
      </c>
      <c r="N466" s="36">
        <v>1.1735000000000001E-3</v>
      </c>
      <c r="O466" s="36">
        <v>0.1111111</v>
      </c>
    </row>
    <row r="467" spans="1:15" ht="85" x14ac:dyDescent="0.2">
      <c r="A467" s="36" t="s">
        <v>1282</v>
      </c>
      <c r="B467" s="45" t="str">
        <f>VLOOKUP(Tabella13[[#This Row],[test_id]],experiments_specs!A:J,2,FALSE)</f>
        <v>NN,JJ</v>
      </c>
      <c r="C467" s="38">
        <f>VLOOKUP(Tabella13[[#This Row],[test_id]],experiments_specs!A:J,3,FALSE)</f>
        <v>0</v>
      </c>
      <c r="D467" s="38">
        <f>VLOOKUP(Tabella13[[#This Row],[test_id]],experiments_specs!A:J,4,FALSE)</f>
        <v>3</v>
      </c>
      <c r="E467" s="38" t="str">
        <f>VLOOKUP(Tabella13[[#This Row],[test_id]],experiments_specs!A:J,5,FALSE)</f>
        <v>True</v>
      </c>
      <c r="F467" s="38" t="str">
        <f>VLOOKUP(Tabella13[[#This Row],[test_id]],experiments_specs!A:J,6,FALSE)</f>
        <v>False</v>
      </c>
      <c r="G467" s="38" t="str">
        <f>VLOOKUP(Tabella13[[#This Row],[test_id]],experiments_specs!A:J,7,FALSE)</f>
        <v>True</v>
      </c>
      <c r="H467" s="38" t="str">
        <f>VLOOKUP(Tabella13[[#This Row],[test_id]],experiments_specs!A:J,8,FALSE)</f>
        <v>False</v>
      </c>
      <c r="I467" s="38" t="str">
        <f>VLOOKUP(Tabella13[[#This Row],[test_id]],experiments_specs!A:J,9,FALSE)</f>
        <v>wup_similarity</v>
      </c>
      <c r="J467" s="38" t="str">
        <f>VLOOKUP(Tabella13[[#This Row],[test_id]],experiments_specs!A:J,10,FALSE)</f>
        <v>True</v>
      </c>
      <c r="K467" s="40" t="s">
        <v>19</v>
      </c>
      <c r="L467" s="36" t="s">
        <v>1357</v>
      </c>
      <c r="M467" s="36">
        <v>3</v>
      </c>
      <c r="N467" s="36">
        <v>1.31912E-2</v>
      </c>
      <c r="O467" s="36">
        <v>0.18181810000000001</v>
      </c>
    </row>
    <row r="468" spans="1:15" ht="85" x14ac:dyDescent="0.2">
      <c r="A468" s="36" t="s">
        <v>1282</v>
      </c>
      <c r="B468" s="45" t="str">
        <f>VLOOKUP(Tabella13[[#This Row],[test_id]],experiments_specs!A:J,2,FALSE)</f>
        <v>NN,JJ</v>
      </c>
      <c r="C468" s="38">
        <f>VLOOKUP(Tabella13[[#This Row],[test_id]],experiments_specs!A:J,3,FALSE)</f>
        <v>0</v>
      </c>
      <c r="D468" s="38">
        <f>VLOOKUP(Tabella13[[#This Row],[test_id]],experiments_specs!A:J,4,FALSE)</f>
        <v>3</v>
      </c>
      <c r="E468" s="38" t="str">
        <f>VLOOKUP(Tabella13[[#This Row],[test_id]],experiments_specs!A:J,5,FALSE)</f>
        <v>True</v>
      </c>
      <c r="F468" s="38" t="str">
        <f>VLOOKUP(Tabella13[[#This Row],[test_id]],experiments_specs!A:J,6,FALSE)</f>
        <v>False</v>
      </c>
      <c r="G468" s="38" t="str">
        <f>VLOOKUP(Tabella13[[#This Row],[test_id]],experiments_specs!A:J,7,FALSE)</f>
        <v>True</v>
      </c>
      <c r="H468" s="38" t="str">
        <f>VLOOKUP(Tabella13[[#This Row],[test_id]],experiments_specs!A:J,8,FALSE)</f>
        <v>False</v>
      </c>
      <c r="I468" s="38" t="str">
        <f>VLOOKUP(Tabella13[[#This Row],[test_id]],experiments_specs!A:J,9,FALSE)</f>
        <v>wup_similarity</v>
      </c>
      <c r="J468" s="38" t="str">
        <f>VLOOKUP(Tabella13[[#This Row],[test_id]],experiments_specs!A:J,10,FALSE)</f>
        <v>True</v>
      </c>
      <c r="K468" s="40" t="s">
        <v>12</v>
      </c>
      <c r="L468" s="36" t="s">
        <v>1371</v>
      </c>
      <c r="M468" s="36" t="s">
        <v>1373</v>
      </c>
      <c r="N468" s="36">
        <v>1.9139799999999998E-2</v>
      </c>
      <c r="O468" s="36" t="s">
        <v>1452</v>
      </c>
    </row>
    <row r="469" spans="1:15" ht="85" x14ac:dyDescent="0.2">
      <c r="A469" s="36" t="s">
        <v>1282</v>
      </c>
      <c r="B469" s="45" t="str">
        <f>VLOOKUP(Tabella13[[#This Row],[test_id]],experiments_specs!A:J,2,FALSE)</f>
        <v>NN,JJ</v>
      </c>
      <c r="C469" s="38">
        <f>VLOOKUP(Tabella13[[#This Row],[test_id]],experiments_specs!A:J,3,FALSE)</f>
        <v>0</v>
      </c>
      <c r="D469" s="38">
        <f>VLOOKUP(Tabella13[[#This Row],[test_id]],experiments_specs!A:J,4,FALSE)</f>
        <v>3</v>
      </c>
      <c r="E469" s="38" t="str">
        <f>VLOOKUP(Tabella13[[#This Row],[test_id]],experiments_specs!A:J,5,FALSE)</f>
        <v>True</v>
      </c>
      <c r="F469" s="38" t="str">
        <f>VLOOKUP(Tabella13[[#This Row],[test_id]],experiments_specs!A:J,6,FALSE)</f>
        <v>False</v>
      </c>
      <c r="G469" s="38" t="str">
        <f>VLOOKUP(Tabella13[[#This Row],[test_id]],experiments_specs!A:J,7,FALSE)</f>
        <v>True</v>
      </c>
      <c r="H469" s="38" t="str">
        <f>VLOOKUP(Tabella13[[#This Row],[test_id]],experiments_specs!A:J,8,FALSE)</f>
        <v>False</v>
      </c>
      <c r="I469" s="38" t="str">
        <f>VLOOKUP(Tabella13[[#This Row],[test_id]],experiments_specs!A:J,9,FALSE)</f>
        <v>wup_similarity</v>
      </c>
      <c r="J469" s="38" t="str">
        <f>VLOOKUP(Tabella13[[#This Row],[test_id]],experiments_specs!A:J,10,FALSE)</f>
        <v>True</v>
      </c>
      <c r="K469" s="40" t="s">
        <v>13</v>
      </c>
      <c r="L469" s="36" t="s">
        <v>1385</v>
      </c>
      <c r="M469" s="36">
        <v>1</v>
      </c>
      <c r="N469" s="36">
        <v>4.6439000000000003E-3</v>
      </c>
      <c r="O469" s="36" t="s">
        <v>25</v>
      </c>
    </row>
    <row r="470" spans="1:15" ht="85" x14ac:dyDescent="0.2">
      <c r="A470" s="36" t="s">
        <v>1282</v>
      </c>
      <c r="B470" s="45" t="str">
        <f>VLOOKUP(Tabella13[[#This Row],[test_id]],experiments_specs!A:J,2,FALSE)</f>
        <v>NN,JJ</v>
      </c>
      <c r="C470" s="38">
        <f>VLOOKUP(Tabella13[[#This Row],[test_id]],experiments_specs!A:J,3,FALSE)</f>
        <v>0</v>
      </c>
      <c r="D470" s="38">
        <f>VLOOKUP(Tabella13[[#This Row],[test_id]],experiments_specs!A:J,4,FALSE)</f>
        <v>3</v>
      </c>
      <c r="E470" s="38" t="str">
        <f>VLOOKUP(Tabella13[[#This Row],[test_id]],experiments_specs!A:J,5,FALSE)</f>
        <v>True</v>
      </c>
      <c r="F470" s="38" t="str">
        <f>VLOOKUP(Tabella13[[#This Row],[test_id]],experiments_specs!A:J,6,FALSE)</f>
        <v>False</v>
      </c>
      <c r="G470" s="38" t="str">
        <f>VLOOKUP(Tabella13[[#This Row],[test_id]],experiments_specs!A:J,7,FALSE)</f>
        <v>True</v>
      </c>
      <c r="H470" s="38" t="str">
        <f>VLOOKUP(Tabella13[[#This Row],[test_id]],experiments_specs!A:J,8,FALSE)</f>
        <v>False</v>
      </c>
      <c r="I470" s="38" t="str">
        <f>VLOOKUP(Tabella13[[#This Row],[test_id]],experiments_specs!A:J,9,FALSE)</f>
        <v>wup_similarity</v>
      </c>
      <c r="J470" s="38" t="str">
        <f>VLOOKUP(Tabella13[[#This Row],[test_id]],experiments_specs!A:J,10,FALSE)</f>
        <v>True</v>
      </c>
      <c r="K470" s="40" t="s">
        <v>14</v>
      </c>
      <c r="L470" s="36" t="s">
        <v>1361</v>
      </c>
      <c r="M470" s="36">
        <v>3</v>
      </c>
      <c r="N470" s="36">
        <v>8.2474000000000002E-3</v>
      </c>
      <c r="O470" s="36">
        <v>0.30769229999999997</v>
      </c>
    </row>
    <row r="471" spans="1:15" ht="85" x14ac:dyDescent="0.2">
      <c r="A471" s="36" t="s">
        <v>1282</v>
      </c>
      <c r="B471" s="45" t="str">
        <f>VLOOKUP(Tabella13[[#This Row],[test_id]],experiments_specs!A:J,2,FALSE)</f>
        <v>NN,JJ</v>
      </c>
      <c r="C471" s="38">
        <f>VLOOKUP(Tabella13[[#This Row],[test_id]],experiments_specs!A:J,3,FALSE)</f>
        <v>0</v>
      </c>
      <c r="D471" s="38">
        <f>VLOOKUP(Tabella13[[#This Row],[test_id]],experiments_specs!A:J,4,FALSE)</f>
        <v>3</v>
      </c>
      <c r="E471" s="38" t="str">
        <f>VLOOKUP(Tabella13[[#This Row],[test_id]],experiments_specs!A:J,5,FALSE)</f>
        <v>True</v>
      </c>
      <c r="F471" s="38" t="str">
        <f>VLOOKUP(Tabella13[[#This Row],[test_id]],experiments_specs!A:J,6,FALSE)</f>
        <v>False</v>
      </c>
      <c r="G471" s="38" t="str">
        <f>VLOOKUP(Tabella13[[#This Row],[test_id]],experiments_specs!A:J,7,FALSE)</f>
        <v>True</v>
      </c>
      <c r="H471" s="38" t="str">
        <f>VLOOKUP(Tabella13[[#This Row],[test_id]],experiments_specs!A:J,8,FALSE)</f>
        <v>False</v>
      </c>
      <c r="I471" s="38" t="str">
        <f>VLOOKUP(Tabella13[[#This Row],[test_id]],experiments_specs!A:J,9,FALSE)</f>
        <v>wup_similarity</v>
      </c>
      <c r="J471" s="38" t="str">
        <f>VLOOKUP(Tabella13[[#This Row],[test_id]],experiments_specs!A:J,10,FALSE)</f>
        <v>True</v>
      </c>
      <c r="K471" s="40" t="s">
        <v>15</v>
      </c>
      <c r="L471" s="36" t="s">
        <v>1379</v>
      </c>
      <c r="M471" s="36" t="s">
        <v>1381</v>
      </c>
      <c r="N471" s="36">
        <v>7.8085999999999997E-3</v>
      </c>
      <c r="O471" s="36" t="s">
        <v>1454</v>
      </c>
    </row>
    <row r="472" spans="1:15" ht="85" x14ac:dyDescent="0.2">
      <c r="A472" s="36" t="s">
        <v>1282</v>
      </c>
      <c r="B472" s="45" t="str">
        <f>VLOOKUP(Tabella13[[#This Row],[test_id]],experiments_specs!A:J,2,FALSE)</f>
        <v>NN,JJ</v>
      </c>
      <c r="C472" s="38">
        <f>VLOOKUP(Tabella13[[#This Row],[test_id]],experiments_specs!A:J,3,FALSE)</f>
        <v>0</v>
      </c>
      <c r="D472" s="38">
        <f>VLOOKUP(Tabella13[[#This Row],[test_id]],experiments_specs!A:J,4,FALSE)</f>
        <v>3</v>
      </c>
      <c r="E472" s="38" t="str">
        <f>VLOOKUP(Tabella13[[#This Row],[test_id]],experiments_specs!A:J,5,FALSE)</f>
        <v>True</v>
      </c>
      <c r="F472" s="38" t="str">
        <f>VLOOKUP(Tabella13[[#This Row],[test_id]],experiments_specs!A:J,6,FALSE)</f>
        <v>False</v>
      </c>
      <c r="G472" s="38" t="str">
        <f>VLOOKUP(Tabella13[[#This Row],[test_id]],experiments_specs!A:J,7,FALSE)</f>
        <v>True</v>
      </c>
      <c r="H472" s="38" t="str">
        <f>VLOOKUP(Tabella13[[#This Row],[test_id]],experiments_specs!A:J,8,FALSE)</f>
        <v>False</v>
      </c>
      <c r="I472" s="38" t="str">
        <f>VLOOKUP(Tabella13[[#This Row],[test_id]],experiments_specs!A:J,9,FALSE)</f>
        <v>wup_similarity</v>
      </c>
      <c r="J472" s="38" t="str">
        <f>VLOOKUP(Tabella13[[#This Row],[test_id]],experiments_specs!A:J,10,FALSE)</f>
        <v>True</v>
      </c>
      <c r="K472" s="40" t="s">
        <v>16</v>
      </c>
      <c r="L472" s="36" t="s">
        <v>641</v>
      </c>
      <c r="M472" s="36">
        <v>2</v>
      </c>
      <c r="N472" s="36">
        <v>5.2082999999999999E-3</v>
      </c>
      <c r="O472" s="36">
        <v>0.13333329999999999</v>
      </c>
    </row>
    <row r="473" spans="1:15" ht="85" x14ac:dyDescent="0.2">
      <c r="A473" s="36" t="s">
        <v>1282</v>
      </c>
      <c r="B473" s="45" t="str">
        <f>VLOOKUP(Tabella13[[#This Row],[test_id]],experiments_specs!A:J,2,FALSE)</f>
        <v>NN,JJ</v>
      </c>
      <c r="C473" s="38">
        <f>VLOOKUP(Tabella13[[#This Row],[test_id]],experiments_specs!A:J,3,FALSE)</f>
        <v>0</v>
      </c>
      <c r="D473" s="38">
        <f>VLOOKUP(Tabella13[[#This Row],[test_id]],experiments_specs!A:J,4,FALSE)</f>
        <v>3</v>
      </c>
      <c r="E473" s="38" t="str">
        <f>VLOOKUP(Tabella13[[#This Row],[test_id]],experiments_specs!A:J,5,FALSE)</f>
        <v>True</v>
      </c>
      <c r="F473" s="38" t="str">
        <f>VLOOKUP(Tabella13[[#This Row],[test_id]],experiments_specs!A:J,6,FALSE)</f>
        <v>False</v>
      </c>
      <c r="G473" s="38" t="str">
        <f>VLOOKUP(Tabella13[[#This Row],[test_id]],experiments_specs!A:J,7,FALSE)</f>
        <v>True</v>
      </c>
      <c r="H473" s="38" t="str">
        <f>VLOOKUP(Tabella13[[#This Row],[test_id]],experiments_specs!A:J,8,FALSE)</f>
        <v>False</v>
      </c>
      <c r="I473" s="38" t="str">
        <f>VLOOKUP(Tabella13[[#This Row],[test_id]],experiments_specs!A:J,9,FALSE)</f>
        <v>wup_similarity</v>
      </c>
      <c r="J473" s="38" t="str">
        <f>VLOOKUP(Tabella13[[#This Row],[test_id]],experiments_specs!A:J,10,FALSE)</f>
        <v>True</v>
      </c>
      <c r="K473" s="40" t="s">
        <v>17</v>
      </c>
      <c r="L473" s="36" t="s">
        <v>1382</v>
      </c>
      <c r="M473" s="36">
        <v>1</v>
      </c>
      <c r="N473" s="36">
        <v>9.8984999999999993E-3</v>
      </c>
      <c r="O473" s="36">
        <v>0.18181810000000001</v>
      </c>
    </row>
    <row r="474" spans="1:15" ht="85" x14ac:dyDescent="0.2">
      <c r="A474" s="36" t="s">
        <v>1282</v>
      </c>
      <c r="B474" s="45" t="str">
        <f>VLOOKUP(Tabella13[[#This Row],[test_id]],experiments_specs!A:J,2,FALSE)</f>
        <v>NN,JJ</v>
      </c>
      <c r="C474" s="38">
        <f>VLOOKUP(Tabella13[[#This Row],[test_id]],experiments_specs!A:J,3,FALSE)</f>
        <v>0</v>
      </c>
      <c r="D474" s="38">
        <f>VLOOKUP(Tabella13[[#This Row],[test_id]],experiments_specs!A:J,4,FALSE)</f>
        <v>3</v>
      </c>
      <c r="E474" s="38" t="str">
        <f>VLOOKUP(Tabella13[[#This Row],[test_id]],experiments_specs!A:J,5,FALSE)</f>
        <v>True</v>
      </c>
      <c r="F474" s="38" t="str">
        <f>VLOOKUP(Tabella13[[#This Row],[test_id]],experiments_specs!A:J,6,FALSE)</f>
        <v>False</v>
      </c>
      <c r="G474" s="38" t="str">
        <f>VLOOKUP(Tabella13[[#This Row],[test_id]],experiments_specs!A:J,7,FALSE)</f>
        <v>True</v>
      </c>
      <c r="H474" s="38" t="str">
        <f>VLOOKUP(Tabella13[[#This Row],[test_id]],experiments_specs!A:J,8,FALSE)</f>
        <v>False</v>
      </c>
      <c r="I474" s="38" t="str">
        <f>VLOOKUP(Tabella13[[#This Row],[test_id]],experiments_specs!A:J,9,FALSE)</f>
        <v>wup_similarity</v>
      </c>
      <c r="J474" s="38" t="str">
        <f>VLOOKUP(Tabella13[[#This Row],[test_id]],experiments_specs!A:J,10,FALSE)</f>
        <v>True</v>
      </c>
      <c r="K474" s="40" t="s">
        <v>18</v>
      </c>
      <c r="L474" s="36" t="s">
        <v>652</v>
      </c>
      <c r="M474" s="36">
        <v>2</v>
      </c>
      <c r="N474" s="36">
        <v>1.03365E-2</v>
      </c>
      <c r="O474" s="36">
        <v>0.2105263</v>
      </c>
    </row>
    <row r="475" spans="1:15" ht="85" x14ac:dyDescent="0.2">
      <c r="A475" s="36" t="s">
        <v>1283</v>
      </c>
      <c r="B475" s="45" t="str">
        <f>VLOOKUP(Tabella13[[#This Row],[test_id]],experiments_specs!A:J,2,FALSE)</f>
        <v>NN,VB,VBD,VBG,VBN,VBP,VBZ</v>
      </c>
      <c r="C475" s="38">
        <f>VLOOKUP(Tabella13[[#This Row],[test_id]],experiments_specs!A:J,3,FALSE)</f>
        <v>0</v>
      </c>
      <c r="D475" s="38">
        <f>VLOOKUP(Tabella13[[#This Row],[test_id]],experiments_specs!A:J,4,FALSE)</f>
        <v>2</v>
      </c>
      <c r="E475" s="38" t="str">
        <f>VLOOKUP(Tabella13[[#This Row],[test_id]],experiments_specs!A:J,5,FALSE)</f>
        <v>True</v>
      </c>
      <c r="F475" s="38" t="str">
        <f>VLOOKUP(Tabella13[[#This Row],[test_id]],experiments_specs!A:J,6,FALSE)</f>
        <v>False</v>
      </c>
      <c r="G475" s="38" t="str">
        <f>VLOOKUP(Tabella13[[#This Row],[test_id]],experiments_specs!A:J,7,FALSE)</f>
        <v>True</v>
      </c>
      <c r="H475" s="38" t="str">
        <f>VLOOKUP(Tabella13[[#This Row],[test_id]],experiments_specs!A:J,8,FALSE)</f>
        <v>False</v>
      </c>
      <c r="I475" s="38" t="str">
        <f>VLOOKUP(Tabella13[[#This Row],[test_id]],experiments_specs!A:J,9,FALSE)</f>
        <v>wup_similarity</v>
      </c>
      <c r="J475" s="38" t="str">
        <f>VLOOKUP(Tabella13[[#This Row],[test_id]],experiments_specs!A:J,10,FALSE)</f>
        <v>True</v>
      </c>
      <c r="K475" s="40" t="s">
        <v>19</v>
      </c>
      <c r="L475" s="36" t="s">
        <v>1357</v>
      </c>
      <c r="M475" s="36">
        <v>3</v>
      </c>
      <c r="N475" s="36">
        <v>1.6632399999999999E-2</v>
      </c>
      <c r="O475" s="36">
        <v>0.18181810000000001</v>
      </c>
    </row>
    <row r="476" spans="1:15" ht="85" x14ac:dyDescent="0.2">
      <c r="A476" s="36" t="s">
        <v>1283</v>
      </c>
      <c r="B476" s="45" t="str">
        <f>VLOOKUP(Tabella13[[#This Row],[test_id]],experiments_specs!A:J,2,FALSE)</f>
        <v>NN,VB,VBD,VBG,VBN,VBP,VBZ</v>
      </c>
      <c r="C476" s="38">
        <f>VLOOKUP(Tabella13[[#This Row],[test_id]],experiments_specs!A:J,3,FALSE)</f>
        <v>0</v>
      </c>
      <c r="D476" s="38">
        <f>VLOOKUP(Tabella13[[#This Row],[test_id]],experiments_specs!A:J,4,FALSE)</f>
        <v>2</v>
      </c>
      <c r="E476" s="38" t="str">
        <f>VLOOKUP(Tabella13[[#This Row],[test_id]],experiments_specs!A:J,5,FALSE)</f>
        <v>True</v>
      </c>
      <c r="F476" s="38" t="str">
        <f>VLOOKUP(Tabella13[[#This Row],[test_id]],experiments_specs!A:J,6,FALSE)</f>
        <v>False</v>
      </c>
      <c r="G476" s="38" t="str">
        <f>VLOOKUP(Tabella13[[#This Row],[test_id]],experiments_specs!A:J,7,FALSE)</f>
        <v>True</v>
      </c>
      <c r="H476" s="38" t="str">
        <f>VLOOKUP(Tabella13[[#This Row],[test_id]],experiments_specs!A:J,8,FALSE)</f>
        <v>False</v>
      </c>
      <c r="I476" s="38" t="str">
        <f>VLOOKUP(Tabella13[[#This Row],[test_id]],experiments_specs!A:J,9,FALSE)</f>
        <v>wup_similarity</v>
      </c>
      <c r="J476" s="38" t="str">
        <f>VLOOKUP(Tabella13[[#This Row],[test_id]],experiments_specs!A:J,10,FALSE)</f>
        <v>True</v>
      </c>
      <c r="K476" s="40" t="s">
        <v>12</v>
      </c>
      <c r="L476" s="36" t="s">
        <v>1371</v>
      </c>
      <c r="M476" s="36" t="s">
        <v>1373</v>
      </c>
      <c r="N476" s="36">
        <v>1.6843E-2</v>
      </c>
      <c r="O476" s="36" t="s">
        <v>1452</v>
      </c>
    </row>
    <row r="477" spans="1:15" ht="85" x14ac:dyDescent="0.2">
      <c r="A477" s="36" t="s">
        <v>1283</v>
      </c>
      <c r="B477" s="45" t="str">
        <f>VLOOKUP(Tabella13[[#This Row],[test_id]],experiments_specs!A:J,2,FALSE)</f>
        <v>NN,VB,VBD,VBG,VBN,VBP,VBZ</v>
      </c>
      <c r="C477" s="38">
        <f>VLOOKUP(Tabella13[[#This Row],[test_id]],experiments_specs!A:J,3,FALSE)</f>
        <v>0</v>
      </c>
      <c r="D477" s="38">
        <f>VLOOKUP(Tabella13[[#This Row],[test_id]],experiments_specs!A:J,4,FALSE)</f>
        <v>2</v>
      </c>
      <c r="E477" s="38" t="str">
        <f>VLOOKUP(Tabella13[[#This Row],[test_id]],experiments_specs!A:J,5,FALSE)</f>
        <v>True</v>
      </c>
      <c r="F477" s="38" t="str">
        <f>VLOOKUP(Tabella13[[#This Row],[test_id]],experiments_specs!A:J,6,FALSE)</f>
        <v>False</v>
      </c>
      <c r="G477" s="38" t="str">
        <f>VLOOKUP(Tabella13[[#This Row],[test_id]],experiments_specs!A:J,7,FALSE)</f>
        <v>True</v>
      </c>
      <c r="H477" s="38" t="str">
        <f>VLOOKUP(Tabella13[[#This Row],[test_id]],experiments_specs!A:J,8,FALSE)</f>
        <v>False</v>
      </c>
      <c r="I477" s="38" t="str">
        <f>VLOOKUP(Tabella13[[#This Row],[test_id]],experiments_specs!A:J,9,FALSE)</f>
        <v>wup_similarity</v>
      </c>
      <c r="J477" s="38" t="str">
        <f>VLOOKUP(Tabella13[[#This Row],[test_id]],experiments_specs!A:J,10,FALSE)</f>
        <v>True</v>
      </c>
      <c r="K477" s="40" t="s">
        <v>13</v>
      </c>
      <c r="L477" s="36" t="s">
        <v>1385</v>
      </c>
      <c r="M477" s="36">
        <v>1</v>
      </c>
      <c r="N477" s="36">
        <v>3.7150999999999998E-3</v>
      </c>
      <c r="O477" s="36" t="s">
        <v>25</v>
      </c>
    </row>
    <row r="478" spans="1:15" ht="85" x14ac:dyDescent="0.2">
      <c r="A478" s="36" t="s">
        <v>1283</v>
      </c>
      <c r="B478" s="45" t="str">
        <f>VLOOKUP(Tabella13[[#This Row],[test_id]],experiments_specs!A:J,2,FALSE)</f>
        <v>NN,VB,VBD,VBG,VBN,VBP,VBZ</v>
      </c>
      <c r="C478" s="38">
        <f>VLOOKUP(Tabella13[[#This Row],[test_id]],experiments_specs!A:J,3,FALSE)</f>
        <v>0</v>
      </c>
      <c r="D478" s="38">
        <f>VLOOKUP(Tabella13[[#This Row],[test_id]],experiments_specs!A:J,4,FALSE)</f>
        <v>2</v>
      </c>
      <c r="E478" s="38" t="str">
        <f>VLOOKUP(Tabella13[[#This Row],[test_id]],experiments_specs!A:J,5,FALSE)</f>
        <v>True</v>
      </c>
      <c r="F478" s="38" t="str">
        <f>VLOOKUP(Tabella13[[#This Row],[test_id]],experiments_specs!A:J,6,FALSE)</f>
        <v>False</v>
      </c>
      <c r="G478" s="38" t="str">
        <f>VLOOKUP(Tabella13[[#This Row],[test_id]],experiments_specs!A:J,7,FALSE)</f>
        <v>True</v>
      </c>
      <c r="H478" s="38" t="str">
        <f>VLOOKUP(Tabella13[[#This Row],[test_id]],experiments_specs!A:J,8,FALSE)</f>
        <v>False</v>
      </c>
      <c r="I478" s="38" t="str">
        <f>VLOOKUP(Tabella13[[#This Row],[test_id]],experiments_specs!A:J,9,FALSE)</f>
        <v>wup_similarity</v>
      </c>
      <c r="J478" s="38" t="str">
        <f>VLOOKUP(Tabella13[[#This Row],[test_id]],experiments_specs!A:J,10,FALSE)</f>
        <v>True</v>
      </c>
      <c r="K478" s="40" t="s">
        <v>14</v>
      </c>
      <c r="L478" s="36" t="s">
        <v>1361</v>
      </c>
      <c r="M478" s="36">
        <v>3</v>
      </c>
      <c r="N478" s="36">
        <v>8.0047999999999994E-3</v>
      </c>
      <c r="O478" s="36">
        <v>0.30769229999999997</v>
      </c>
    </row>
    <row r="479" spans="1:15" ht="85" x14ac:dyDescent="0.2">
      <c r="A479" s="36" t="s">
        <v>1283</v>
      </c>
      <c r="B479" s="45" t="str">
        <f>VLOOKUP(Tabella13[[#This Row],[test_id]],experiments_specs!A:J,2,FALSE)</f>
        <v>NN,VB,VBD,VBG,VBN,VBP,VBZ</v>
      </c>
      <c r="C479" s="38">
        <f>VLOOKUP(Tabella13[[#This Row],[test_id]],experiments_specs!A:J,3,FALSE)</f>
        <v>0</v>
      </c>
      <c r="D479" s="38">
        <f>VLOOKUP(Tabella13[[#This Row],[test_id]],experiments_specs!A:J,4,FALSE)</f>
        <v>2</v>
      </c>
      <c r="E479" s="38" t="str">
        <f>VLOOKUP(Tabella13[[#This Row],[test_id]],experiments_specs!A:J,5,FALSE)</f>
        <v>True</v>
      </c>
      <c r="F479" s="38" t="str">
        <f>VLOOKUP(Tabella13[[#This Row],[test_id]],experiments_specs!A:J,6,FALSE)</f>
        <v>False</v>
      </c>
      <c r="G479" s="38" t="str">
        <f>VLOOKUP(Tabella13[[#This Row],[test_id]],experiments_specs!A:J,7,FALSE)</f>
        <v>True</v>
      </c>
      <c r="H479" s="38" t="str">
        <f>VLOOKUP(Tabella13[[#This Row],[test_id]],experiments_specs!A:J,8,FALSE)</f>
        <v>False</v>
      </c>
      <c r="I479" s="38" t="str">
        <f>VLOOKUP(Tabella13[[#This Row],[test_id]],experiments_specs!A:J,9,FALSE)</f>
        <v>wup_similarity</v>
      </c>
      <c r="J479" s="38" t="str">
        <f>VLOOKUP(Tabella13[[#This Row],[test_id]],experiments_specs!A:J,10,FALSE)</f>
        <v>True</v>
      </c>
      <c r="K479" s="40" t="s">
        <v>15</v>
      </c>
      <c r="L479" s="36" t="s">
        <v>1379</v>
      </c>
      <c r="M479" s="36" t="s">
        <v>1381</v>
      </c>
      <c r="N479" s="36">
        <v>8.6762999999999996E-3</v>
      </c>
      <c r="O479" s="36" t="s">
        <v>1454</v>
      </c>
    </row>
    <row r="480" spans="1:15" ht="85" x14ac:dyDescent="0.2">
      <c r="A480" s="36" t="s">
        <v>1283</v>
      </c>
      <c r="B480" s="45" t="str">
        <f>VLOOKUP(Tabella13[[#This Row],[test_id]],experiments_specs!A:J,2,FALSE)</f>
        <v>NN,VB,VBD,VBG,VBN,VBP,VBZ</v>
      </c>
      <c r="C480" s="38">
        <f>VLOOKUP(Tabella13[[#This Row],[test_id]],experiments_specs!A:J,3,FALSE)</f>
        <v>0</v>
      </c>
      <c r="D480" s="38">
        <f>VLOOKUP(Tabella13[[#This Row],[test_id]],experiments_specs!A:J,4,FALSE)</f>
        <v>2</v>
      </c>
      <c r="E480" s="38" t="str">
        <f>VLOOKUP(Tabella13[[#This Row],[test_id]],experiments_specs!A:J,5,FALSE)</f>
        <v>True</v>
      </c>
      <c r="F480" s="38" t="str">
        <f>VLOOKUP(Tabella13[[#This Row],[test_id]],experiments_specs!A:J,6,FALSE)</f>
        <v>False</v>
      </c>
      <c r="G480" s="38" t="str">
        <f>VLOOKUP(Tabella13[[#This Row],[test_id]],experiments_specs!A:J,7,FALSE)</f>
        <v>True</v>
      </c>
      <c r="H480" s="38" t="str">
        <f>VLOOKUP(Tabella13[[#This Row],[test_id]],experiments_specs!A:J,8,FALSE)</f>
        <v>False</v>
      </c>
      <c r="I480" s="38" t="str">
        <f>VLOOKUP(Tabella13[[#This Row],[test_id]],experiments_specs!A:J,9,FALSE)</f>
        <v>wup_similarity</v>
      </c>
      <c r="J480" s="38" t="str">
        <f>VLOOKUP(Tabella13[[#This Row],[test_id]],experiments_specs!A:J,10,FALSE)</f>
        <v>True</v>
      </c>
      <c r="K480" s="40" t="s">
        <v>16</v>
      </c>
      <c r="L480" s="36" t="s">
        <v>641</v>
      </c>
      <c r="M480" s="36">
        <v>2</v>
      </c>
      <c r="N480" s="36">
        <v>4.6296000000000002E-3</v>
      </c>
      <c r="O480" s="36">
        <v>0.13333329999999999</v>
      </c>
    </row>
    <row r="481" spans="1:15" ht="85" x14ac:dyDescent="0.2">
      <c r="A481" s="36" t="s">
        <v>1283</v>
      </c>
      <c r="B481" s="45" t="str">
        <f>VLOOKUP(Tabella13[[#This Row],[test_id]],experiments_specs!A:J,2,FALSE)</f>
        <v>NN,VB,VBD,VBG,VBN,VBP,VBZ</v>
      </c>
      <c r="C481" s="38">
        <f>VLOOKUP(Tabella13[[#This Row],[test_id]],experiments_specs!A:J,3,FALSE)</f>
        <v>0</v>
      </c>
      <c r="D481" s="38">
        <f>VLOOKUP(Tabella13[[#This Row],[test_id]],experiments_specs!A:J,4,FALSE)</f>
        <v>2</v>
      </c>
      <c r="E481" s="38" t="str">
        <f>VLOOKUP(Tabella13[[#This Row],[test_id]],experiments_specs!A:J,5,FALSE)</f>
        <v>True</v>
      </c>
      <c r="F481" s="38" t="str">
        <f>VLOOKUP(Tabella13[[#This Row],[test_id]],experiments_specs!A:J,6,FALSE)</f>
        <v>False</v>
      </c>
      <c r="G481" s="38" t="str">
        <f>VLOOKUP(Tabella13[[#This Row],[test_id]],experiments_specs!A:J,7,FALSE)</f>
        <v>True</v>
      </c>
      <c r="H481" s="38" t="str">
        <f>VLOOKUP(Tabella13[[#This Row],[test_id]],experiments_specs!A:J,8,FALSE)</f>
        <v>False</v>
      </c>
      <c r="I481" s="38" t="str">
        <f>VLOOKUP(Tabella13[[#This Row],[test_id]],experiments_specs!A:J,9,FALSE)</f>
        <v>wup_similarity</v>
      </c>
      <c r="J481" s="38" t="str">
        <f>VLOOKUP(Tabella13[[#This Row],[test_id]],experiments_specs!A:J,10,FALSE)</f>
        <v>True</v>
      </c>
      <c r="K481" s="40" t="s">
        <v>17</v>
      </c>
      <c r="L481" s="36" t="s">
        <v>1382</v>
      </c>
      <c r="M481" s="36">
        <v>1</v>
      </c>
      <c r="N481" s="36">
        <v>8.9087000000000003E-3</v>
      </c>
      <c r="O481" s="36">
        <v>0.18181810000000001</v>
      </c>
    </row>
    <row r="482" spans="1:15" ht="85" x14ac:dyDescent="0.2">
      <c r="A482" s="36" t="s">
        <v>1283</v>
      </c>
      <c r="B482" s="45" t="str">
        <f>VLOOKUP(Tabella13[[#This Row],[test_id]],experiments_specs!A:J,2,FALSE)</f>
        <v>NN,VB,VBD,VBG,VBN,VBP,VBZ</v>
      </c>
      <c r="C482" s="38">
        <f>VLOOKUP(Tabella13[[#This Row],[test_id]],experiments_specs!A:J,3,FALSE)</f>
        <v>0</v>
      </c>
      <c r="D482" s="38">
        <f>VLOOKUP(Tabella13[[#This Row],[test_id]],experiments_specs!A:J,4,FALSE)</f>
        <v>2</v>
      </c>
      <c r="E482" s="38" t="str">
        <f>VLOOKUP(Tabella13[[#This Row],[test_id]],experiments_specs!A:J,5,FALSE)</f>
        <v>True</v>
      </c>
      <c r="F482" s="38" t="str">
        <f>VLOOKUP(Tabella13[[#This Row],[test_id]],experiments_specs!A:J,6,FALSE)</f>
        <v>False</v>
      </c>
      <c r="G482" s="38" t="str">
        <f>VLOOKUP(Tabella13[[#This Row],[test_id]],experiments_specs!A:J,7,FALSE)</f>
        <v>True</v>
      </c>
      <c r="H482" s="38" t="str">
        <f>VLOOKUP(Tabella13[[#This Row],[test_id]],experiments_specs!A:J,8,FALSE)</f>
        <v>False</v>
      </c>
      <c r="I482" s="38" t="str">
        <f>VLOOKUP(Tabella13[[#This Row],[test_id]],experiments_specs!A:J,9,FALSE)</f>
        <v>wup_similarity</v>
      </c>
      <c r="J482" s="38" t="str">
        <f>VLOOKUP(Tabella13[[#This Row],[test_id]],experiments_specs!A:J,10,FALSE)</f>
        <v>True</v>
      </c>
      <c r="K482" s="40" t="s">
        <v>18</v>
      </c>
      <c r="L482" s="36" t="s">
        <v>652</v>
      </c>
      <c r="M482" s="36">
        <v>2</v>
      </c>
      <c r="N482" s="36">
        <v>7.9676999999999994E-3</v>
      </c>
      <c r="O482" s="36">
        <v>0.2105263</v>
      </c>
    </row>
    <row r="483" spans="1:15" ht="85" x14ac:dyDescent="0.2">
      <c r="A483" s="36" t="s">
        <v>1284</v>
      </c>
      <c r="B483" s="45" t="str">
        <f>VLOOKUP(Tabella13[[#This Row],[test_id]],experiments_specs!A:J,2,FALSE)</f>
        <v>NN,VB,VBD,VBG,VBN,VBP,VBZ</v>
      </c>
      <c r="C483" s="38">
        <f>VLOOKUP(Tabella13[[#This Row],[test_id]],experiments_specs!A:J,3,FALSE)</f>
        <v>0</v>
      </c>
      <c r="D483" s="38">
        <f>VLOOKUP(Tabella13[[#This Row],[test_id]],experiments_specs!A:J,4,FALSE)</f>
        <v>3</v>
      </c>
      <c r="E483" s="38" t="str">
        <f>VLOOKUP(Tabella13[[#This Row],[test_id]],experiments_specs!A:J,5,FALSE)</f>
        <v>True</v>
      </c>
      <c r="F483" s="38" t="str">
        <f>VLOOKUP(Tabella13[[#This Row],[test_id]],experiments_specs!A:J,6,FALSE)</f>
        <v>False</v>
      </c>
      <c r="G483" s="38" t="str">
        <f>VLOOKUP(Tabella13[[#This Row],[test_id]],experiments_specs!A:J,7,FALSE)</f>
        <v>True</v>
      </c>
      <c r="H483" s="38" t="str">
        <f>VLOOKUP(Tabella13[[#This Row],[test_id]],experiments_specs!A:J,8,FALSE)</f>
        <v>False</v>
      </c>
      <c r="I483" s="38" t="str">
        <f>VLOOKUP(Tabella13[[#This Row],[test_id]],experiments_specs!A:J,9,FALSE)</f>
        <v>wup_similarity</v>
      </c>
      <c r="J483" s="38" t="str">
        <f>VLOOKUP(Tabella13[[#This Row],[test_id]],experiments_specs!A:J,10,FALSE)</f>
        <v>True</v>
      </c>
      <c r="K483" s="40" t="s">
        <v>19</v>
      </c>
      <c r="L483" s="36" t="s">
        <v>1357</v>
      </c>
      <c r="M483" s="36">
        <v>3</v>
      </c>
      <c r="N483" s="36">
        <v>1.6632399999999999E-2</v>
      </c>
      <c r="O483" s="36">
        <v>0.18181810000000001</v>
      </c>
    </row>
    <row r="484" spans="1:15" ht="85" x14ac:dyDescent="0.2">
      <c r="A484" s="36" t="s">
        <v>1284</v>
      </c>
      <c r="B484" s="45" t="str">
        <f>VLOOKUP(Tabella13[[#This Row],[test_id]],experiments_specs!A:J,2,FALSE)</f>
        <v>NN,VB,VBD,VBG,VBN,VBP,VBZ</v>
      </c>
      <c r="C484" s="38">
        <f>VLOOKUP(Tabella13[[#This Row],[test_id]],experiments_specs!A:J,3,FALSE)</f>
        <v>0</v>
      </c>
      <c r="D484" s="38">
        <f>VLOOKUP(Tabella13[[#This Row],[test_id]],experiments_specs!A:J,4,FALSE)</f>
        <v>3</v>
      </c>
      <c r="E484" s="38" t="str">
        <f>VLOOKUP(Tabella13[[#This Row],[test_id]],experiments_specs!A:J,5,FALSE)</f>
        <v>True</v>
      </c>
      <c r="F484" s="38" t="str">
        <f>VLOOKUP(Tabella13[[#This Row],[test_id]],experiments_specs!A:J,6,FALSE)</f>
        <v>False</v>
      </c>
      <c r="G484" s="38" t="str">
        <f>VLOOKUP(Tabella13[[#This Row],[test_id]],experiments_specs!A:J,7,FALSE)</f>
        <v>True</v>
      </c>
      <c r="H484" s="38" t="str">
        <f>VLOOKUP(Tabella13[[#This Row],[test_id]],experiments_specs!A:J,8,FALSE)</f>
        <v>False</v>
      </c>
      <c r="I484" s="38" t="str">
        <f>VLOOKUP(Tabella13[[#This Row],[test_id]],experiments_specs!A:J,9,FALSE)</f>
        <v>wup_similarity</v>
      </c>
      <c r="J484" s="38" t="str">
        <f>VLOOKUP(Tabella13[[#This Row],[test_id]],experiments_specs!A:J,10,FALSE)</f>
        <v>True</v>
      </c>
      <c r="K484" s="40" t="s">
        <v>12</v>
      </c>
      <c r="L484" s="36" t="s">
        <v>1371</v>
      </c>
      <c r="M484" s="36" t="s">
        <v>1373</v>
      </c>
      <c r="N484" s="36">
        <v>1.6843E-2</v>
      </c>
      <c r="O484" s="36" t="s">
        <v>1452</v>
      </c>
    </row>
    <row r="485" spans="1:15" ht="85" x14ac:dyDescent="0.2">
      <c r="A485" s="36" t="s">
        <v>1284</v>
      </c>
      <c r="B485" s="45" t="str">
        <f>VLOOKUP(Tabella13[[#This Row],[test_id]],experiments_specs!A:J,2,FALSE)</f>
        <v>NN,VB,VBD,VBG,VBN,VBP,VBZ</v>
      </c>
      <c r="C485" s="38">
        <f>VLOOKUP(Tabella13[[#This Row],[test_id]],experiments_specs!A:J,3,FALSE)</f>
        <v>0</v>
      </c>
      <c r="D485" s="38">
        <f>VLOOKUP(Tabella13[[#This Row],[test_id]],experiments_specs!A:J,4,FALSE)</f>
        <v>3</v>
      </c>
      <c r="E485" s="38" t="str">
        <f>VLOOKUP(Tabella13[[#This Row],[test_id]],experiments_specs!A:J,5,FALSE)</f>
        <v>True</v>
      </c>
      <c r="F485" s="38" t="str">
        <f>VLOOKUP(Tabella13[[#This Row],[test_id]],experiments_specs!A:J,6,FALSE)</f>
        <v>False</v>
      </c>
      <c r="G485" s="38" t="str">
        <f>VLOOKUP(Tabella13[[#This Row],[test_id]],experiments_specs!A:J,7,FALSE)</f>
        <v>True</v>
      </c>
      <c r="H485" s="38" t="str">
        <f>VLOOKUP(Tabella13[[#This Row],[test_id]],experiments_specs!A:J,8,FALSE)</f>
        <v>False</v>
      </c>
      <c r="I485" s="38" t="str">
        <f>VLOOKUP(Tabella13[[#This Row],[test_id]],experiments_specs!A:J,9,FALSE)</f>
        <v>wup_similarity</v>
      </c>
      <c r="J485" s="38" t="str">
        <f>VLOOKUP(Tabella13[[#This Row],[test_id]],experiments_specs!A:J,10,FALSE)</f>
        <v>True</v>
      </c>
      <c r="K485" s="40" t="s">
        <v>13</v>
      </c>
      <c r="L485" s="36" t="s">
        <v>1385</v>
      </c>
      <c r="M485" s="36">
        <v>1</v>
      </c>
      <c r="N485" s="36">
        <v>3.7150999999999998E-3</v>
      </c>
      <c r="O485" s="36" t="s">
        <v>25</v>
      </c>
    </row>
    <row r="486" spans="1:15" ht="85" x14ac:dyDescent="0.2">
      <c r="A486" s="36" t="s">
        <v>1284</v>
      </c>
      <c r="B486" s="45" t="str">
        <f>VLOOKUP(Tabella13[[#This Row],[test_id]],experiments_specs!A:J,2,FALSE)</f>
        <v>NN,VB,VBD,VBG,VBN,VBP,VBZ</v>
      </c>
      <c r="C486" s="38">
        <f>VLOOKUP(Tabella13[[#This Row],[test_id]],experiments_specs!A:J,3,FALSE)</f>
        <v>0</v>
      </c>
      <c r="D486" s="38">
        <f>VLOOKUP(Tabella13[[#This Row],[test_id]],experiments_specs!A:J,4,FALSE)</f>
        <v>3</v>
      </c>
      <c r="E486" s="38" t="str">
        <f>VLOOKUP(Tabella13[[#This Row],[test_id]],experiments_specs!A:J,5,FALSE)</f>
        <v>True</v>
      </c>
      <c r="F486" s="38" t="str">
        <f>VLOOKUP(Tabella13[[#This Row],[test_id]],experiments_specs!A:J,6,FALSE)</f>
        <v>False</v>
      </c>
      <c r="G486" s="38" t="str">
        <f>VLOOKUP(Tabella13[[#This Row],[test_id]],experiments_specs!A:J,7,FALSE)</f>
        <v>True</v>
      </c>
      <c r="H486" s="38" t="str">
        <f>VLOOKUP(Tabella13[[#This Row],[test_id]],experiments_specs!A:J,8,FALSE)</f>
        <v>False</v>
      </c>
      <c r="I486" s="38" t="str">
        <f>VLOOKUP(Tabella13[[#This Row],[test_id]],experiments_specs!A:J,9,FALSE)</f>
        <v>wup_similarity</v>
      </c>
      <c r="J486" s="38" t="str">
        <f>VLOOKUP(Tabella13[[#This Row],[test_id]],experiments_specs!A:J,10,FALSE)</f>
        <v>True</v>
      </c>
      <c r="K486" s="40" t="s">
        <v>14</v>
      </c>
      <c r="L486" s="36" t="s">
        <v>1361</v>
      </c>
      <c r="M486" s="36">
        <v>3</v>
      </c>
      <c r="N486" s="36">
        <v>8.0047999999999994E-3</v>
      </c>
      <c r="O486" s="36">
        <v>0.30769229999999997</v>
      </c>
    </row>
    <row r="487" spans="1:15" ht="85" x14ac:dyDescent="0.2">
      <c r="A487" s="36" t="s">
        <v>1284</v>
      </c>
      <c r="B487" s="45" t="str">
        <f>VLOOKUP(Tabella13[[#This Row],[test_id]],experiments_specs!A:J,2,FALSE)</f>
        <v>NN,VB,VBD,VBG,VBN,VBP,VBZ</v>
      </c>
      <c r="C487" s="38">
        <f>VLOOKUP(Tabella13[[#This Row],[test_id]],experiments_specs!A:J,3,FALSE)</f>
        <v>0</v>
      </c>
      <c r="D487" s="38">
        <f>VLOOKUP(Tabella13[[#This Row],[test_id]],experiments_specs!A:J,4,FALSE)</f>
        <v>3</v>
      </c>
      <c r="E487" s="38" t="str">
        <f>VLOOKUP(Tabella13[[#This Row],[test_id]],experiments_specs!A:J,5,FALSE)</f>
        <v>True</v>
      </c>
      <c r="F487" s="38" t="str">
        <f>VLOOKUP(Tabella13[[#This Row],[test_id]],experiments_specs!A:J,6,FALSE)</f>
        <v>False</v>
      </c>
      <c r="G487" s="38" t="str">
        <f>VLOOKUP(Tabella13[[#This Row],[test_id]],experiments_specs!A:J,7,FALSE)</f>
        <v>True</v>
      </c>
      <c r="H487" s="38" t="str">
        <f>VLOOKUP(Tabella13[[#This Row],[test_id]],experiments_specs!A:J,8,FALSE)</f>
        <v>False</v>
      </c>
      <c r="I487" s="38" t="str">
        <f>VLOOKUP(Tabella13[[#This Row],[test_id]],experiments_specs!A:J,9,FALSE)</f>
        <v>wup_similarity</v>
      </c>
      <c r="J487" s="38" t="str">
        <f>VLOOKUP(Tabella13[[#This Row],[test_id]],experiments_specs!A:J,10,FALSE)</f>
        <v>True</v>
      </c>
      <c r="K487" s="40" t="s">
        <v>15</v>
      </c>
      <c r="L487" s="36" t="s">
        <v>1379</v>
      </c>
      <c r="M487" s="36" t="s">
        <v>1381</v>
      </c>
      <c r="N487" s="36">
        <v>8.6762999999999996E-3</v>
      </c>
      <c r="O487" s="36" t="s">
        <v>1454</v>
      </c>
    </row>
    <row r="488" spans="1:15" ht="85" x14ac:dyDescent="0.2">
      <c r="A488" s="36" t="s">
        <v>1284</v>
      </c>
      <c r="B488" s="45" t="str">
        <f>VLOOKUP(Tabella13[[#This Row],[test_id]],experiments_specs!A:J,2,FALSE)</f>
        <v>NN,VB,VBD,VBG,VBN,VBP,VBZ</v>
      </c>
      <c r="C488" s="38">
        <f>VLOOKUP(Tabella13[[#This Row],[test_id]],experiments_specs!A:J,3,FALSE)</f>
        <v>0</v>
      </c>
      <c r="D488" s="38">
        <f>VLOOKUP(Tabella13[[#This Row],[test_id]],experiments_specs!A:J,4,FALSE)</f>
        <v>3</v>
      </c>
      <c r="E488" s="38" t="str">
        <f>VLOOKUP(Tabella13[[#This Row],[test_id]],experiments_specs!A:J,5,FALSE)</f>
        <v>True</v>
      </c>
      <c r="F488" s="38" t="str">
        <f>VLOOKUP(Tabella13[[#This Row],[test_id]],experiments_specs!A:J,6,FALSE)</f>
        <v>False</v>
      </c>
      <c r="G488" s="38" t="str">
        <f>VLOOKUP(Tabella13[[#This Row],[test_id]],experiments_specs!A:J,7,FALSE)</f>
        <v>True</v>
      </c>
      <c r="H488" s="38" t="str">
        <f>VLOOKUP(Tabella13[[#This Row],[test_id]],experiments_specs!A:J,8,FALSE)</f>
        <v>False</v>
      </c>
      <c r="I488" s="38" t="str">
        <f>VLOOKUP(Tabella13[[#This Row],[test_id]],experiments_specs!A:J,9,FALSE)</f>
        <v>wup_similarity</v>
      </c>
      <c r="J488" s="38" t="str">
        <f>VLOOKUP(Tabella13[[#This Row],[test_id]],experiments_specs!A:J,10,FALSE)</f>
        <v>True</v>
      </c>
      <c r="K488" s="40" t="s">
        <v>16</v>
      </c>
      <c r="L488" s="36" t="s">
        <v>641</v>
      </c>
      <c r="M488" s="36">
        <v>2</v>
      </c>
      <c r="N488" s="36">
        <v>4.6296000000000002E-3</v>
      </c>
      <c r="O488" s="36">
        <v>0.13333329999999999</v>
      </c>
    </row>
    <row r="489" spans="1:15" ht="85" x14ac:dyDescent="0.2">
      <c r="A489" s="36" t="s">
        <v>1284</v>
      </c>
      <c r="B489" s="45" t="str">
        <f>VLOOKUP(Tabella13[[#This Row],[test_id]],experiments_specs!A:J,2,FALSE)</f>
        <v>NN,VB,VBD,VBG,VBN,VBP,VBZ</v>
      </c>
      <c r="C489" s="38">
        <f>VLOOKUP(Tabella13[[#This Row],[test_id]],experiments_specs!A:J,3,FALSE)</f>
        <v>0</v>
      </c>
      <c r="D489" s="38">
        <f>VLOOKUP(Tabella13[[#This Row],[test_id]],experiments_specs!A:J,4,FALSE)</f>
        <v>3</v>
      </c>
      <c r="E489" s="38" t="str">
        <f>VLOOKUP(Tabella13[[#This Row],[test_id]],experiments_specs!A:J,5,FALSE)</f>
        <v>True</v>
      </c>
      <c r="F489" s="38" t="str">
        <f>VLOOKUP(Tabella13[[#This Row],[test_id]],experiments_specs!A:J,6,FALSE)</f>
        <v>False</v>
      </c>
      <c r="G489" s="38" t="str">
        <f>VLOOKUP(Tabella13[[#This Row],[test_id]],experiments_specs!A:J,7,FALSE)</f>
        <v>True</v>
      </c>
      <c r="H489" s="38" t="str">
        <f>VLOOKUP(Tabella13[[#This Row],[test_id]],experiments_specs!A:J,8,FALSE)</f>
        <v>False</v>
      </c>
      <c r="I489" s="38" t="str">
        <f>VLOOKUP(Tabella13[[#This Row],[test_id]],experiments_specs!A:J,9,FALSE)</f>
        <v>wup_similarity</v>
      </c>
      <c r="J489" s="38" t="str">
        <f>VLOOKUP(Tabella13[[#This Row],[test_id]],experiments_specs!A:J,10,FALSE)</f>
        <v>True</v>
      </c>
      <c r="K489" s="40" t="s">
        <v>17</v>
      </c>
      <c r="L489" s="36" t="s">
        <v>1382</v>
      </c>
      <c r="M489" s="36">
        <v>1</v>
      </c>
      <c r="N489" s="36">
        <v>8.9087000000000003E-3</v>
      </c>
      <c r="O489" s="36">
        <v>0.18181810000000001</v>
      </c>
    </row>
    <row r="490" spans="1:15" ht="85" x14ac:dyDescent="0.2">
      <c r="A490" s="36" t="s">
        <v>1284</v>
      </c>
      <c r="B490" s="45" t="str">
        <f>VLOOKUP(Tabella13[[#This Row],[test_id]],experiments_specs!A:J,2,FALSE)</f>
        <v>NN,VB,VBD,VBG,VBN,VBP,VBZ</v>
      </c>
      <c r="C490" s="38">
        <f>VLOOKUP(Tabella13[[#This Row],[test_id]],experiments_specs!A:J,3,FALSE)</f>
        <v>0</v>
      </c>
      <c r="D490" s="38">
        <f>VLOOKUP(Tabella13[[#This Row],[test_id]],experiments_specs!A:J,4,FALSE)</f>
        <v>3</v>
      </c>
      <c r="E490" s="38" t="str">
        <f>VLOOKUP(Tabella13[[#This Row],[test_id]],experiments_specs!A:J,5,FALSE)</f>
        <v>True</v>
      </c>
      <c r="F490" s="38" t="str">
        <f>VLOOKUP(Tabella13[[#This Row],[test_id]],experiments_specs!A:J,6,FALSE)</f>
        <v>False</v>
      </c>
      <c r="G490" s="38" t="str">
        <f>VLOOKUP(Tabella13[[#This Row],[test_id]],experiments_specs!A:J,7,FALSE)</f>
        <v>True</v>
      </c>
      <c r="H490" s="38" t="str">
        <f>VLOOKUP(Tabella13[[#This Row],[test_id]],experiments_specs!A:J,8,FALSE)</f>
        <v>False</v>
      </c>
      <c r="I490" s="38" t="str">
        <f>VLOOKUP(Tabella13[[#This Row],[test_id]],experiments_specs!A:J,9,FALSE)</f>
        <v>wup_similarity</v>
      </c>
      <c r="J490" s="38" t="str">
        <f>VLOOKUP(Tabella13[[#This Row],[test_id]],experiments_specs!A:J,10,FALSE)</f>
        <v>True</v>
      </c>
      <c r="K490" s="40" t="s">
        <v>18</v>
      </c>
      <c r="L490" s="36" t="s">
        <v>652</v>
      </c>
      <c r="M490" s="36">
        <v>2</v>
      </c>
      <c r="N490" s="36">
        <v>7.9676999999999994E-3</v>
      </c>
      <c r="O490" s="36">
        <v>0.2105263</v>
      </c>
    </row>
    <row r="491" spans="1:15" ht="85" x14ac:dyDescent="0.2">
      <c r="A491" s="36" t="s">
        <v>1285</v>
      </c>
      <c r="B491" s="45" t="str">
        <f>VLOOKUP(Tabella13[[#This Row],[test_id]],experiments_specs!A:J,2,FALSE)</f>
        <v>NN,JJ,VB,VBD,VBG,VBN,VBP,VBZ</v>
      </c>
      <c r="C491" s="38">
        <f>VLOOKUP(Tabella13[[#This Row],[test_id]],experiments_specs!A:J,3,FALSE)</f>
        <v>0</v>
      </c>
      <c r="D491" s="38">
        <f>VLOOKUP(Tabella13[[#This Row],[test_id]],experiments_specs!A:J,4,FALSE)</f>
        <v>2</v>
      </c>
      <c r="E491" s="38" t="str">
        <f>VLOOKUP(Tabella13[[#This Row],[test_id]],experiments_specs!A:J,5,FALSE)</f>
        <v>True</v>
      </c>
      <c r="F491" s="38" t="str">
        <f>VLOOKUP(Tabella13[[#This Row],[test_id]],experiments_specs!A:J,6,FALSE)</f>
        <v>False</v>
      </c>
      <c r="G491" s="38" t="str">
        <f>VLOOKUP(Tabella13[[#This Row],[test_id]],experiments_specs!A:J,7,FALSE)</f>
        <v>True</v>
      </c>
      <c r="H491" s="38" t="str">
        <f>VLOOKUP(Tabella13[[#This Row],[test_id]],experiments_specs!A:J,8,FALSE)</f>
        <v>False</v>
      </c>
      <c r="I491" s="38" t="str">
        <f>VLOOKUP(Tabella13[[#This Row],[test_id]],experiments_specs!A:J,9,FALSE)</f>
        <v>wup_similarity</v>
      </c>
      <c r="J491" s="38" t="str">
        <f>VLOOKUP(Tabella13[[#This Row],[test_id]],experiments_specs!A:J,10,FALSE)</f>
        <v>True</v>
      </c>
      <c r="K491" s="40" t="s">
        <v>19</v>
      </c>
      <c r="L491" s="36" t="s">
        <v>1357</v>
      </c>
      <c r="M491" s="36">
        <v>3</v>
      </c>
      <c r="N491" s="36">
        <v>1.2751500000000001E-2</v>
      </c>
      <c r="O491" s="36">
        <v>0.18181810000000001</v>
      </c>
    </row>
    <row r="492" spans="1:15" ht="85" x14ac:dyDescent="0.2">
      <c r="A492" s="36" t="s">
        <v>1285</v>
      </c>
      <c r="B492" s="45" t="str">
        <f>VLOOKUP(Tabella13[[#This Row],[test_id]],experiments_specs!A:J,2,FALSE)</f>
        <v>NN,JJ,VB,VBD,VBG,VBN,VBP,VBZ</v>
      </c>
      <c r="C492" s="38">
        <f>VLOOKUP(Tabella13[[#This Row],[test_id]],experiments_specs!A:J,3,FALSE)</f>
        <v>0</v>
      </c>
      <c r="D492" s="38">
        <f>VLOOKUP(Tabella13[[#This Row],[test_id]],experiments_specs!A:J,4,FALSE)</f>
        <v>2</v>
      </c>
      <c r="E492" s="38" t="str">
        <f>VLOOKUP(Tabella13[[#This Row],[test_id]],experiments_specs!A:J,5,FALSE)</f>
        <v>True</v>
      </c>
      <c r="F492" s="38" t="str">
        <f>VLOOKUP(Tabella13[[#This Row],[test_id]],experiments_specs!A:J,6,FALSE)</f>
        <v>False</v>
      </c>
      <c r="G492" s="38" t="str">
        <f>VLOOKUP(Tabella13[[#This Row],[test_id]],experiments_specs!A:J,7,FALSE)</f>
        <v>True</v>
      </c>
      <c r="H492" s="38" t="str">
        <f>VLOOKUP(Tabella13[[#This Row],[test_id]],experiments_specs!A:J,8,FALSE)</f>
        <v>False</v>
      </c>
      <c r="I492" s="38" t="str">
        <f>VLOOKUP(Tabella13[[#This Row],[test_id]],experiments_specs!A:J,9,FALSE)</f>
        <v>wup_similarity</v>
      </c>
      <c r="J492" s="38" t="str">
        <f>VLOOKUP(Tabella13[[#This Row],[test_id]],experiments_specs!A:J,10,FALSE)</f>
        <v>True</v>
      </c>
      <c r="K492" s="40" t="s">
        <v>12</v>
      </c>
      <c r="L492" s="36" t="s">
        <v>1371</v>
      </c>
      <c r="M492" s="36" t="s">
        <v>1373</v>
      </c>
      <c r="N492" s="36">
        <v>1.4519799999999999E-2</v>
      </c>
      <c r="O492" s="36" t="s">
        <v>1452</v>
      </c>
    </row>
    <row r="493" spans="1:15" ht="85" x14ac:dyDescent="0.2">
      <c r="A493" s="36" t="s">
        <v>1285</v>
      </c>
      <c r="B493" s="45" t="str">
        <f>VLOOKUP(Tabella13[[#This Row],[test_id]],experiments_specs!A:J,2,FALSE)</f>
        <v>NN,JJ,VB,VBD,VBG,VBN,VBP,VBZ</v>
      </c>
      <c r="C493" s="38">
        <f>VLOOKUP(Tabella13[[#This Row],[test_id]],experiments_specs!A:J,3,FALSE)</f>
        <v>0</v>
      </c>
      <c r="D493" s="38">
        <f>VLOOKUP(Tabella13[[#This Row],[test_id]],experiments_specs!A:J,4,FALSE)</f>
        <v>2</v>
      </c>
      <c r="E493" s="38" t="str">
        <f>VLOOKUP(Tabella13[[#This Row],[test_id]],experiments_specs!A:J,5,FALSE)</f>
        <v>True</v>
      </c>
      <c r="F493" s="38" t="str">
        <f>VLOOKUP(Tabella13[[#This Row],[test_id]],experiments_specs!A:J,6,FALSE)</f>
        <v>False</v>
      </c>
      <c r="G493" s="38" t="str">
        <f>VLOOKUP(Tabella13[[#This Row],[test_id]],experiments_specs!A:J,7,FALSE)</f>
        <v>True</v>
      </c>
      <c r="H493" s="38" t="str">
        <f>VLOOKUP(Tabella13[[#This Row],[test_id]],experiments_specs!A:J,8,FALSE)</f>
        <v>False</v>
      </c>
      <c r="I493" s="38" t="str">
        <f>VLOOKUP(Tabella13[[#This Row],[test_id]],experiments_specs!A:J,9,FALSE)</f>
        <v>wup_similarity</v>
      </c>
      <c r="J493" s="38" t="str">
        <f>VLOOKUP(Tabella13[[#This Row],[test_id]],experiments_specs!A:J,10,FALSE)</f>
        <v>True</v>
      </c>
      <c r="K493" s="40" t="s">
        <v>13</v>
      </c>
      <c r="L493" s="36" t="s">
        <v>1385</v>
      </c>
      <c r="M493" s="36">
        <v>1</v>
      </c>
      <c r="N493" s="36">
        <v>3.7150999999999998E-3</v>
      </c>
      <c r="O493" s="36" t="s">
        <v>25</v>
      </c>
    </row>
    <row r="494" spans="1:15" ht="85" x14ac:dyDescent="0.2">
      <c r="A494" s="36" t="s">
        <v>1285</v>
      </c>
      <c r="B494" s="45" t="str">
        <f>VLOOKUP(Tabella13[[#This Row],[test_id]],experiments_specs!A:J,2,FALSE)</f>
        <v>NN,JJ,VB,VBD,VBG,VBN,VBP,VBZ</v>
      </c>
      <c r="C494" s="38">
        <f>VLOOKUP(Tabella13[[#This Row],[test_id]],experiments_specs!A:J,3,FALSE)</f>
        <v>0</v>
      </c>
      <c r="D494" s="38">
        <f>VLOOKUP(Tabella13[[#This Row],[test_id]],experiments_specs!A:J,4,FALSE)</f>
        <v>2</v>
      </c>
      <c r="E494" s="38" t="str">
        <f>VLOOKUP(Tabella13[[#This Row],[test_id]],experiments_specs!A:J,5,FALSE)</f>
        <v>True</v>
      </c>
      <c r="F494" s="38" t="str">
        <f>VLOOKUP(Tabella13[[#This Row],[test_id]],experiments_specs!A:J,6,FALSE)</f>
        <v>False</v>
      </c>
      <c r="G494" s="38" t="str">
        <f>VLOOKUP(Tabella13[[#This Row],[test_id]],experiments_specs!A:J,7,FALSE)</f>
        <v>True</v>
      </c>
      <c r="H494" s="38" t="str">
        <f>VLOOKUP(Tabella13[[#This Row],[test_id]],experiments_specs!A:J,8,FALSE)</f>
        <v>False</v>
      </c>
      <c r="I494" s="38" t="str">
        <f>VLOOKUP(Tabella13[[#This Row],[test_id]],experiments_specs!A:J,9,FALSE)</f>
        <v>wup_similarity</v>
      </c>
      <c r="J494" s="38" t="str">
        <f>VLOOKUP(Tabella13[[#This Row],[test_id]],experiments_specs!A:J,10,FALSE)</f>
        <v>True</v>
      </c>
      <c r="K494" s="40" t="s">
        <v>14</v>
      </c>
      <c r="L494" s="36" t="s">
        <v>1361</v>
      </c>
      <c r="M494" s="36">
        <v>3</v>
      </c>
      <c r="N494" s="36">
        <v>6.9785999999999997E-3</v>
      </c>
      <c r="O494" s="36">
        <v>0.30769229999999997</v>
      </c>
    </row>
    <row r="495" spans="1:15" ht="85" x14ac:dyDescent="0.2">
      <c r="A495" s="36" t="s">
        <v>1285</v>
      </c>
      <c r="B495" s="45" t="str">
        <f>VLOOKUP(Tabella13[[#This Row],[test_id]],experiments_specs!A:J,2,FALSE)</f>
        <v>NN,JJ,VB,VBD,VBG,VBN,VBP,VBZ</v>
      </c>
      <c r="C495" s="38">
        <f>VLOOKUP(Tabella13[[#This Row],[test_id]],experiments_specs!A:J,3,FALSE)</f>
        <v>0</v>
      </c>
      <c r="D495" s="38">
        <f>VLOOKUP(Tabella13[[#This Row],[test_id]],experiments_specs!A:J,4,FALSE)</f>
        <v>2</v>
      </c>
      <c r="E495" s="38" t="str">
        <f>VLOOKUP(Tabella13[[#This Row],[test_id]],experiments_specs!A:J,5,FALSE)</f>
        <v>True</v>
      </c>
      <c r="F495" s="38" t="str">
        <f>VLOOKUP(Tabella13[[#This Row],[test_id]],experiments_specs!A:J,6,FALSE)</f>
        <v>False</v>
      </c>
      <c r="G495" s="38" t="str">
        <f>VLOOKUP(Tabella13[[#This Row],[test_id]],experiments_specs!A:J,7,FALSE)</f>
        <v>True</v>
      </c>
      <c r="H495" s="38" t="str">
        <f>VLOOKUP(Tabella13[[#This Row],[test_id]],experiments_specs!A:J,8,FALSE)</f>
        <v>False</v>
      </c>
      <c r="I495" s="38" t="str">
        <f>VLOOKUP(Tabella13[[#This Row],[test_id]],experiments_specs!A:J,9,FALSE)</f>
        <v>wup_similarity</v>
      </c>
      <c r="J495" s="38" t="str">
        <f>VLOOKUP(Tabella13[[#This Row],[test_id]],experiments_specs!A:J,10,FALSE)</f>
        <v>True</v>
      </c>
      <c r="K495" s="40" t="s">
        <v>15</v>
      </c>
      <c r="L495" s="36" t="s">
        <v>1379</v>
      </c>
      <c r="M495" s="36" t="s">
        <v>1381</v>
      </c>
      <c r="N495" s="36">
        <v>6.5072000000000003E-3</v>
      </c>
      <c r="O495" s="36" t="s">
        <v>1454</v>
      </c>
    </row>
    <row r="496" spans="1:15" ht="85" x14ac:dyDescent="0.2">
      <c r="A496" s="36" t="s">
        <v>1285</v>
      </c>
      <c r="B496" s="45" t="str">
        <f>VLOOKUP(Tabella13[[#This Row],[test_id]],experiments_specs!A:J,2,FALSE)</f>
        <v>NN,JJ,VB,VBD,VBG,VBN,VBP,VBZ</v>
      </c>
      <c r="C496" s="38">
        <f>VLOOKUP(Tabella13[[#This Row],[test_id]],experiments_specs!A:J,3,FALSE)</f>
        <v>0</v>
      </c>
      <c r="D496" s="38">
        <f>VLOOKUP(Tabella13[[#This Row],[test_id]],experiments_specs!A:J,4,FALSE)</f>
        <v>2</v>
      </c>
      <c r="E496" s="38" t="str">
        <f>VLOOKUP(Tabella13[[#This Row],[test_id]],experiments_specs!A:J,5,FALSE)</f>
        <v>True</v>
      </c>
      <c r="F496" s="38" t="str">
        <f>VLOOKUP(Tabella13[[#This Row],[test_id]],experiments_specs!A:J,6,FALSE)</f>
        <v>False</v>
      </c>
      <c r="G496" s="38" t="str">
        <f>VLOOKUP(Tabella13[[#This Row],[test_id]],experiments_specs!A:J,7,FALSE)</f>
        <v>True</v>
      </c>
      <c r="H496" s="38" t="str">
        <f>VLOOKUP(Tabella13[[#This Row],[test_id]],experiments_specs!A:J,8,FALSE)</f>
        <v>False</v>
      </c>
      <c r="I496" s="38" t="str">
        <f>VLOOKUP(Tabella13[[#This Row],[test_id]],experiments_specs!A:J,9,FALSE)</f>
        <v>wup_similarity</v>
      </c>
      <c r="J496" s="38" t="str">
        <f>VLOOKUP(Tabella13[[#This Row],[test_id]],experiments_specs!A:J,10,FALSE)</f>
        <v>True</v>
      </c>
      <c r="K496" s="40" t="s">
        <v>16</v>
      </c>
      <c r="L496" s="36" t="s">
        <v>641</v>
      </c>
      <c r="M496" s="36">
        <v>2</v>
      </c>
      <c r="N496" s="36">
        <v>4.5044999999999998E-3</v>
      </c>
      <c r="O496" s="36">
        <v>0.13333329999999999</v>
      </c>
    </row>
    <row r="497" spans="1:15" ht="85" x14ac:dyDescent="0.2">
      <c r="A497" s="36" t="s">
        <v>1285</v>
      </c>
      <c r="B497" s="45" t="str">
        <f>VLOOKUP(Tabella13[[#This Row],[test_id]],experiments_specs!A:J,2,FALSE)</f>
        <v>NN,JJ,VB,VBD,VBG,VBN,VBP,VBZ</v>
      </c>
      <c r="C497" s="38">
        <f>VLOOKUP(Tabella13[[#This Row],[test_id]],experiments_specs!A:J,3,FALSE)</f>
        <v>0</v>
      </c>
      <c r="D497" s="38">
        <f>VLOOKUP(Tabella13[[#This Row],[test_id]],experiments_specs!A:J,4,FALSE)</f>
        <v>2</v>
      </c>
      <c r="E497" s="38" t="str">
        <f>VLOOKUP(Tabella13[[#This Row],[test_id]],experiments_specs!A:J,5,FALSE)</f>
        <v>True</v>
      </c>
      <c r="F497" s="38" t="str">
        <f>VLOOKUP(Tabella13[[#This Row],[test_id]],experiments_specs!A:J,6,FALSE)</f>
        <v>False</v>
      </c>
      <c r="G497" s="38" t="str">
        <f>VLOOKUP(Tabella13[[#This Row],[test_id]],experiments_specs!A:J,7,FALSE)</f>
        <v>True</v>
      </c>
      <c r="H497" s="38" t="str">
        <f>VLOOKUP(Tabella13[[#This Row],[test_id]],experiments_specs!A:J,8,FALSE)</f>
        <v>False</v>
      </c>
      <c r="I497" s="38" t="str">
        <f>VLOOKUP(Tabella13[[#This Row],[test_id]],experiments_specs!A:J,9,FALSE)</f>
        <v>wup_similarity</v>
      </c>
      <c r="J497" s="38" t="str">
        <f>VLOOKUP(Tabella13[[#This Row],[test_id]],experiments_specs!A:J,10,FALSE)</f>
        <v>True</v>
      </c>
      <c r="K497" s="40" t="s">
        <v>17</v>
      </c>
      <c r="L497" s="36" t="s">
        <v>1382</v>
      </c>
      <c r="M497" s="36">
        <v>1</v>
      </c>
      <c r="N497" s="36">
        <v>8.0987999999999997E-3</v>
      </c>
      <c r="O497" s="36">
        <v>0.18181810000000001</v>
      </c>
    </row>
    <row r="498" spans="1:15" ht="85" x14ac:dyDescent="0.2">
      <c r="A498" s="36" t="s">
        <v>1285</v>
      </c>
      <c r="B498" s="45" t="str">
        <f>VLOOKUP(Tabella13[[#This Row],[test_id]],experiments_specs!A:J,2,FALSE)</f>
        <v>NN,JJ,VB,VBD,VBG,VBN,VBP,VBZ</v>
      </c>
      <c r="C498" s="38">
        <f>VLOOKUP(Tabella13[[#This Row],[test_id]],experiments_specs!A:J,3,FALSE)</f>
        <v>0</v>
      </c>
      <c r="D498" s="38">
        <f>VLOOKUP(Tabella13[[#This Row],[test_id]],experiments_specs!A:J,4,FALSE)</f>
        <v>2</v>
      </c>
      <c r="E498" s="38" t="str">
        <f>VLOOKUP(Tabella13[[#This Row],[test_id]],experiments_specs!A:J,5,FALSE)</f>
        <v>True</v>
      </c>
      <c r="F498" s="38" t="str">
        <f>VLOOKUP(Tabella13[[#This Row],[test_id]],experiments_specs!A:J,6,FALSE)</f>
        <v>False</v>
      </c>
      <c r="G498" s="38" t="str">
        <f>VLOOKUP(Tabella13[[#This Row],[test_id]],experiments_specs!A:J,7,FALSE)</f>
        <v>True</v>
      </c>
      <c r="H498" s="38" t="str">
        <f>VLOOKUP(Tabella13[[#This Row],[test_id]],experiments_specs!A:J,8,FALSE)</f>
        <v>False</v>
      </c>
      <c r="I498" s="38" t="str">
        <f>VLOOKUP(Tabella13[[#This Row],[test_id]],experiments_specs!A:J,9,FALSE)</f>
        <v>wup_similarity</v>
      </c>
      <c r="J498" s="38" t="str">
        <f>VLOOKUP(Tabella13[[#This Row],[test_id]],experiments_specs!A:J,10,FALSE)</f>
        <v>True</v>
      </c>
      <c r="K498" s="40" t="s">
        <v>18</v>
      </c>
      <c r="L498" s="36" t="s">
        <v>652</v>
      </c>
      <c r="M498" s="36">
        <v>2</v>
      </c>
      <c r="N498" s="36">
        <v>7.4989999999999996E-3</v>
      </c>
      <c r="O498" s="36">
        <v>0.2105263</v>
      </c>
    </row>
    <row r="499" spans="1:15" ht="85" x14ac:dyDescent="0.2">
      <c r="A499" s="36" t="s">
        <v>1286</v>
      </c>
      <c r="B499" s="45" t="str">
        <f>VLOOKUP(Tabella13[[#This Row],[test_id]],experiments_specs!A:J,2,FALSE)</f>
        <v>NN,JJ,VB,VBD,VBG,VBN,VBP,VBZ</v>
      </c>
      <c r="C499" s="38">
        <f>VLOOKUP(Tabella13[[#This Row],[test_id]],experiments_specs!A:J,3,FALSE)</f>
        <v>0</v>
      </c>
      <c r="D499" s="38">
        <f>VLOOKUP(Tabella13[[#This Row],[test_id]],experiments_specs!A:J,4,FALSE)</f>
        <v>3</v>
      </c>
      <c r="E499" s="38" t="str">
        <f>VLOOKUP(Tabella13[[#This Row],[test_id]],experiments_specs!A:J,5,FALSE)</f>
        <v>True</v>
      </c>
      <c r="F499" s="38" t="str">
        <f>VLOOKUP(Tabella13[[#This Row],[test_id]],experiments_specs!A:J,6,FALSE)</f>
        <v>False</v>
      </c>
      <c r="G499" s="38" t="str">
        <f>VLOOKUP(Tabella13[[#This Row],[test_id]],experiments_specs!A:J,7,FALSE)</f>
        <v>True</v>
      </c>
      <c r="H499" s="38" t="str">
        <f>VLOOKUP(Tabella13[[#This Row],[test_id]],experiments_specs!A:J,8,FALSE)</f>
        <v>False</v>
      </c>
      <c r="I499" s="38" t="str">
        <f>VLOOKUP(Tabella13[[#This Row],[test_id]],experiments_specs!A:J,9,FALSE)</f>
        <v>wup_similarity</v>
      </c>
      <c r="J499" s="38" t="str">
        <f>VLOOKUP(Tabella13[[#This Row],[test_id]],experiments_specs!A:J,10,FALSE)</f>
        <v>True</v>
      </c>
      <c r="K499" s="40" t="s">
        <v>19</v>
      </c>
      <c r="L499" s="36" t="s">
        <v>1357</v>
      </c>
      <c r="M499" s="36">
        <v>3</v>
      </c>
      <c r="N499" s="36">
        <v>1.2751500000000001E-2</v>
      </c>
      <c r="O499" s="36">
        <v>0.18181810000000001</v>
      </c>
    </row>
    <row r="500" spans="1:15" ht="85" x14ac:dyDescent="0.2">
      <c r="A500" s="36" t="s">
        <v>1286</v>
      </c>
      <c r="B500" s="45" t="str">
        <f>VLOOKUP(Tabella13[[#This Row],[test_id]],experiments_specs!A:J,2,FALSE)</f>
        <v>NN,JJ,VB,VBD,VBG,VBN,VBP,VBZ</v>
      </c>
      <c r="C500" s="38">
        <f>VLOOKUP(Tabella13[[#This Row],[test_id]],experiments_specs!A:J,3,FALSE)</f>
        <v>0</v>
      </c>
      <c r="D500" s="38">
        <f>VLOOKUP(Tabella13[[#This Row],[test_id]],experiments_specs!A:J,4,FALSE)</f>
        <v>3</v>
      </c>
      <c r="E500" s="38" t="str">
        <f>VLOOKUP(Tabella13[[#This Row],[test_id]],experiments_specs!A:J,5,FALSE)</f>
        <v>True</v>
      </c>
      <c r="F500" s="38" t="str">
        <f>VLOOKUP(Tabella13[[#This Row],[test_id]],experiments_specs!A:J,6,FALSE)</f>
        <v>False</v>
      </c>
      <c r="G500" s="38" t="str">
        <f>VLOOKUP(Tabella13[[#This Row],[test_id]],experiments_specs!A:J,7,FALSE)</f>
        <v>True</v>
      </c>
      <c r="H500" s="38" t="str">
        <f>VLOOKUP(Tabella13[[#This Row],[test_id]],experiments_specs!A:J,8,FALSE)</f>
        <v>False</v>
      </c>
      <c r="I500" s="38" t="str">
        <f>VLOOKUP(Tabella13[[#This Row],[test_id]],experiments_specs!A:J,9,FALSE)</f>
        <v>wup_similarity</v>
      </c>
      <c r="J500" s="38" t="str">
        <f>VLOOKUP(Tabella13[[#This Row],[test_id]],experiments_specs!A:J,10,FALSE)</f>
        <v>True</v>
      </c>
      <c r="K500" s="40" t="s">
        <v>12</v>
      </c>
      <c r="L500" s="36" t="s">
        <v>1371</v>
      </c>
      <c r="M500" s="36" t="s">
        <v>1373</v>
      </c>
      <c r="N500" s="36">
        <v>1.4519799999999999E-2</v>
      </c>
      <c r="O500" s="36" t="s">
        <v>1452</v>
      </c>
    </row>
    <row r="501" spans="1:15" ht="85" x14ac:dyDescent="0.2">
      <c r="A501" s="36" t="s">
        <v>1286</v>
      </c>
      <c r="B501" s="45" t="str">
        <f>VLOOKUP(Tabella13[[#This Row],[test_id]],experiments_specs!A:J,2,FALSE)</f>
        <v>NN,JJ,VB,VBD,VBG,VBN,VBP,VBZ</v>
      </c>
      <c r="C501" s="38">
        <f>VLOOKUP(Tabella13[[#This Row],[test_id]],experiments_specs!A:J,3,FALSE)</f>
        <v>0</v>
      </c>
      <c r="D501" s="38">
        <f>VLOOKUP(Tabella13[[#This Row],[test_id]],experiments_specs!A:J,4,FALSE)</f>
        <v>3</v>
      </c>
      <c r="E501" s="38" t="str">
        <f>VLOOKUP(Tabella13[[#This Row],[test_id]],experiments_specs!A:J,5,FALSE)</f>
        <v>True</v>
      </c>
      <c r="F501" s="38" t="str">
        <f>VLOOKUP(Tabella13[[#This Row],[test_id]],experiments_specs!A:J,6,FALSE)</f>
        <v>False</v>
      </c>
      <c r="G501" s="38" t="str">
        <f>VLOOKUP(Tabella13[[#This Row],[test_id]],experiments_specs!A:J,7,FALSE)</f>
        <v>True</v>
      </c>
      <c r="H501" s="38" t="str">
        <f>VLOOKUP(Tabella13[[#This Row],[test_id]],experiments_specs!A:J,8,FALSE)</f>
        <v>False</v>
      </c>
      <c r="I501" s="38" t="str">
        <f>VLOOKUP(Tabella13[[#This Row],[test_id]],experiments_specs!A:J,9,FALSE)</f>
        <v>wup_similarity</v>
      </c>
      <c r="J501" s="38" t="str">
        <f>VLOOKUP(Tabella13[[#This Row],[test_id]],experiments_specs!A:J,10,FALSE)</f>
        <v>True</v>
      </c>
      <c r="K501" s="40" t="s">
        <v>13</v>
      </c>
      <c r="L501" s="36" t="s">
        <v>1385</v>
      </c>
      <c r="M501" s="36">
        <v>1</v>
      </c>
      <c r="N501" s="36">
        <v>3.7150999999999998E-3</v>
      </c>
      <c r="O501" s="36" t="s">
        <v>25</v>
      </c>
    </row>
    <row r="502" spans="1:15" ht="85" x14ac:dyDescent="0.2">
      <c r="A502" s="36" t="s">
        <v>1286</v>
      </c>
      <c r="B502" s="45" t="str">
        <f>VLOOKUP(Tabella13[[#This Row],[test_id]],experiments_specs!A:J,2,FALSE)</f>
        <v>NN,JJ,VB,VBD,VBG,VBN,VBP,VBZ</v>
      </c>
      <c r="C502" s="38">
        <f>VLOOKUP(Tabella13[[#This Row],[test_id]],experiments_specs!A:J,3,FALSE)</f>
        <v>0</v>
      </c>
      <c r="D502" s="38">
        <f>VLOOKUP(Tabella13[[#This Row],[test_id]],experiments_specs!A:J,4,FALSE)</f>
        <v>3</v>
      </c>
      <c r="E502" s="38" t="str">
        <f>VLOOKUP(Tabella13[[#This Row],[test_id]],experiments_specs!A:J,5,FALSE)</f>
        <v>True</v>
      </c>
      <c r="F502" s="38" t="str">
        <f>VLOOKUP(Tabella13[[#This Row],[test_id]],experiments_specs!A:J,6,FALSE)</f>
        <v>False</v>
      </c>
      <c r="G502" s="38" t="str">
        <f>VLOOKUP(Tabella13[[#This Row],[test_id]],experiments_specs!A:J,7,FALSE)</f>
        <v>True</v>
      </c>
      <c r="H502" s="38" t="str">
        <f>VLOOKUP(Tabella13[[#This Row],[test_id]],experiments_specs!A:J,8,FALSE)</f>
        <v>False</v>
      </c>
      <c r="I502" s="38" t="str">
        <f>VLOOKUP(Tabella13[[#This Row],[test_id]],experiments_specs!A:J,9,FALSE)</f>
        <v>wup_similarity</v>
      </c>
      <c r="J502" s="38" t="str">
        <f>VLOOKUP(Tabella13[[#This Row],[test_id]],experiments_specs!A:J,10,FALSE)</f>
        <v>True</v>
      </c>
      <c r="K502" s="40" t="s">
        <v>14</v>
      </c>
      <c r="L502" s="36" t="s">
        <v>1361</v>
      </c>
      <c r="M502" s="36">
        <v>3</v>
      </c>
      <c r="N502" s="36">
        <v>6.9785999999999997E-3</v>
      </c>
      <c r="O502" s="36">
        <v>0.30769229999999997</v>
      </c>
    </row>
    <row r="503" spans="1:15" ht="85" x14ac:dyDescent="0.2">
      <c r="A503" s="36" t="s">
        <v>1286</v>
      </c>
      <c r="B503" s="45" t="str">
        <f>VLOOKUP(Tabella13[[#This Row],[test_id]],experiments_specs!A:J,2,FALSE)</f>
        <v>NN,JJ,VB,VBD,VBG,VBN,VBP,VBZ</v>
      </c>
      <c r="C503" s="38">
        <f>VLOOKUP(Tabella13[[#This Row],[test_id]],experiments_specs!A:J,3,FALSE)</f>
        <v>0</v>
      </c>
      <c r="D503" s="38">
        <f>VLOOKUP(Tabella13[[#This Row],[test_id]],experiments_specs!A:J,4,FALSE)</f>
        <v>3</v>
      </c>
      <c r="E503" s="38" t="str">
        <f>VLOOKUP(Tabella13[[#This Row],[test_id]],experiments_specs!A:J,5,FALSE)</f>
        <v>True</v>
      </c>
      <c r="F503" s="38" t="str">
        <f>VLOOKUP(Tabella13[[#This Row],[test_id]],experiments_specs!A:J,6,FALSE)</f>
        <v>False</v>
      </c>
      <c r="G503" s="38" t="str">
        <f>VLOOKUP(Tabella13[[#This Row],[test_id]],experiments_specs!A:J,7,FALSE)</f>
        <v>True</v>
      </c>
      <c r="H503" s="38" t="str">
        <f>VLOOKUP(Tabella13[[#This Row],[test_id]],experiments_specs!A:J,8,FALSE)</f>
        <v>False</v>
      </c>
      <c r="I503" s="38" t="str">
        <f>VLOOKUP(Tabella13[[#This Row],[test_id]],experiments_specs!A:J,9,FALSE)</f>
        <v>wup_similarity</v>
      </c>
      <c r="J503" s="38" t="str">
        <f>VLOOKUP(Tabella13[[#This Row],[test_id]],experiments_specs!A:J,10,FALSE)</f>
        <v>True</v>
      </c>
      <c r="K503" s="40" t="s">
        <v>15</v>
      </c>
      <c r="L503" s="36" t="s">
        <v>1379</v>
      </c>
      <c r="M503" s="36" t="s">
        <v>1381</v>
      </c>
      <c r="N503" s="36">
        <v>6.5072000000000003E-3</v>
      </c>
      <c r="O503" s="36" t="s">
        <v>1454</v>
      </c>
    </row>
    <row r="504" spans="1:15" ht="85" x14ac:dyDescent="0.2">
      <c r="A504" s="36" t="s">
        <v>1286</v>
      </c>
      <c r="B504" s="45" t="str">
        <f>VLOOKUP(Tabella13[[#This Row],[test_id]],experiments_specs!A:J,2,FALSE)</f>
        <v>NN,JJ,VB,VBD,VBG,VBN,VBP,VBZ</v>
      </c>
      <c r="C504" s="38">
        <f>VLOOKUP(Tabella13[[#This Row],[test_id]],experiments_specs!A:J,3,FALSE)</f>
        <v>0</v>
      </c>
      <c r="D504" s="38">
        <f>VLOOKUP(Tabella13[[#This Row],[test_id]],experiments_specs!A:J,4,FALSE)</f>
        <v>3</v>
      </c>
      <c r="E504" s="38" t="str">
        <f>VLOOKUP(Tabella13[[#This Row],[test_id]],experiments_specs!A:J,5,FALSE)</f>
        <v>True</v>
      </c>
      <c r="F504" s="38" t="str">
        <f>VLOOKUP(Tabella13[[#This Row],[test_id]],experiments_specs!A:J,6,FALSE)</f>
        <v>False</v>
      </c>
      <c r="G504" s="38" t="str">
        <f>VLOOKUP(Tabella13[[#This Row],[test_id]],experiments_specs!A:J,7,FALSE)</f>
        <v>True</v>
      </c>
      <c r="H504" s="38" t="str">
        <f>VLOOKUP(Tabella13[[#This Row],[test_id]],experiments_specs!A:J,8,FALSE)</f>
        <v>False</v>
      </c>
      <c r="I504" s="38" t="str">
        <f>VLOOKUP(Tabella13[[#This Row],[test_id]],experiments_specs!A:J,9,FALSE)</f>
        <v>wup_similarity</v>
      </c>
      <c r="J504" s="38" t="str">
        <f>VLOOKUP(Tabella13[[#This Row],[test_id]],experiments_specs!A:J,10,FALSE)</f>
        <v>True</v>
      </c>
      <c r="K504" s="40" t="s">
        <v>16</v>
      </c>
      <c r="L504" s="36" t="s">
        <v>641</v>
      </c>
      <c r="M504" s="36">
        <v>2</v>
      </c>
      <c r="N504" s="36">
        <v>4.5044999999999998E-3</v>
      </c>
      <c r="O504" s="36">
        <v>0.13333329999999999</v>
      </c>
    </row>
    <row r="505" spans="1:15" ht="85" x14ac:dyDescent="0.2">
      <c r="A505" s="36" t="s">
        <v>1286</v>
      </c>
      <c r="B505" s="45" t="str">
        <f>VLOOKUP(Tabella13[[#This Row],[test_id]],experiments_specs!A:J,2,FALSE)</f>
        <v>NN,JJ,VB,VBD,VBG,VBN,VBP,VBZ</v>
      </c>
      <c r="C505" s="38">
        <f>VLOOKUP(Tabella13[[#This Row],[test_id]],experiments_specs!A:J,3,FALSE)</f>
        <v>0</v>
      </c>
      <c r="D505" s="38">
        <f>VLOOKUP(Tabella13[[#This Row],[test_id]],experiments_specs!A:J,4,FALSE)</f>
        <v>3</v>
      </c>
      <c r="E505" s="38" t="str">
        <f>VLOOKUP(Tabella13[[#This Row],[test_id]],experiments_specs!A:J,5,FALSE)</f>
        <v>True</v>
      </c>
      <c r="F505" s="38" t="str">
        <f>VLOOKUP(Tabella13[[#This Row],[test_id]],experiments_specs!A:J,6,FALSE)</f>
        <v>False</v>
      </c>
      <c r="G505" s="38" t="str">
        <f>VLOOKUP(Tabella13[[#This Row],[test_id]],experiments_specs!A:J,7,FALSE)</f>
        <v>True</v>
      </c>
      <c r="H505" s="38" t="str">
        <f>VLOOKUP(Tabella13[[#This Row],[test_id]],experiments_specs!A:J,8,FALSE)</f>
        <v>False</v>
      </c>
      <c r="I505" s="38" t="str">
        <f>VLOOKUP(Tabella13[[#This Row],[test_id]],experiments_specs!A:J,9,FALSE)</f>
        <v>wup_similarity</v>
      </c>
      <c r="J505" s="38" t="str">
        <f>VLOOKUP(Tabella13[[#This Row],[test_id]],experiments_specs!A:J,10,FALSE)</f>
        <v>True</v>
      </c>
      <c r="K505" s="40" t="s">
        <v>17</v>
      </c>
      <c r="L505" s="36" t="s">
        <v>1382</v>
      </c>
      <c r="M505" s="36">
        <v>1</v>
      </c>
      <c r="N505" s="36">
        <v>8.0987999999999997E-3</v>
      </c>
      <c r="O505" s="36">
        <v>0.18181810000000001</v>
      </c>
    </row>
    <row r="506" spans="1:15" ht="85" x14ac:dyDescent="0.2">
      <c r="A506" s="36" t="s">
        <v>1286</v>
      </c>
      <c r="B506" s="45" t="str">
        <f>VLOOKUP(Tabella13[[#This Row],[test_id]],experiments_specs!A:J,2,FALSE)</f>
        <v>NN,JJ,VB,VBD,VBG,VBN,VBP,VBZ</v>
      </c>
      <c r="C506" s="38">
        <f>VLOOKUP(Tabella13[[#This Row],[test_id]],experiments_specs!A:J,3,FALSE)</f>
        <v>0</v>
      </c>
      <c r="D506" s="38">
        <f>VLOOKUP(Tabella13[[#This Row],[test_id]],experiments_specs!A:J,4,FALSE)</f>
        <v>3</v>
      </c>
      <c r="E506" s="38" t="str">
        <f>VLOOKUP(Tabella13[[#This Row],[test_id]],experiments_specs!A:J,5,FALSE)</f>
        <v>True</v>
      </c>
      <c r="F506" s="38" t="str">
        <f>VLOOKUP(Tabella13[[#This Row],[test_id]],experiments_specs!A:J,6,FALSE)</f>
        <v>False</v>
      </c>
      <c r="G506" s="38" t="str">
        <f>VLOOKUP(Tabella13[[#This Row],[test_id]],experiments_specs!A:J,7,FALSE)</f>
        <v>True</v>
      </c>
      <c r="H506" s="38" t="str">
        <f>VLOOKUP(Tabella13[[#This Row],[test_id]],experiments_specs!A:J,8,FALSE)</f>
        <v>False</v>
      </c>
      <c r="I506" s="38" t="str">
        <f>VLOOKUP(Tabella13[[#This Row],[test_id]],experiments_specs!A:J,9,FALSE)</f>
        <v>wup_similarity</v>
      </c>
      <c r="J506" s="38" t="str">
        <f>VLOOKUP(Tabella13[[#This Row],[test_id]],experiments_specs!A:J,10,FALSE)</f>
        <v>True</v>
      </c>
      <c r="K506" s="40" t="s">
        <v>18</v>
      </c>
      <c r="L506" s="36" t="s">
        <v>652</v>
      </c>
      <c r="M506" s="36">
        <v>2</v>
      </c>
      <c r="N506" s="36">
        <v>7.4989999999999996E-3</v>
      </c>
      <c r="O506" s="36">
        <v>0.2105263</v>
      </c>
    </row>
    <row r="507" spans="1:15" ht="85" x14ac:dyDescent="0.2">
      <c r="A507" s="36" t="s">
        <v>1287</v>
      </c>
      <c r="B507" s="45" t="str">
        <f>VLOOKUP(Tabella13[[#This Row],[test_id]],experiments_specs!A:J,2,FALSE)</f>
        <v>NN,JJ</v>
      </c>
      <c r="C507" s="38">
        <f>VLOOKUP(Tabella13[[#This Row],[test_id]],experiments_specs!A:J,3,FALSE)</f>
        <v>0</v>
      </c>
      <c r="D507" s="38">
        <f>VLOOKUP(Tabella13[[#This Row],[test_id]],experiments_specs!A:J,4,FALSE)</f>
        <v>2</v>
      </c>
      <c r="E507" s="38" t="str">
        <f>VLOOKUP(Tabella13[[#This Row],[test_id]],experiments_specs!A:J,5,FALSE)</f>
        <v>False</v>
      </c>
      <c r="F507" s="38" t="str">
        <f>VLOOKUP(Tabella13[[#This Row],[test_id]],experiments_specs!A:J,6,FALSE)</f>
        <v>False</v>
      </c>
      <c r="G507" s="38" t="str">
        <f>VLOOKUP(Tabella13[[#This Row],[test_id]],experiments_specs!A:J,7,FALSE)</f>
        <v>False</v>
      </c>
      <c r="H507" s="38" t="str">
        <f>VLOOKUP(Tabella13[[#This Row],[test_id]],experiments_specs!A:J,8,FALSE)</f>
        <v>True</v>
      </c>
      <c r="I507" s="38" t="str">
        <f>VLOOKUP(Tabella13[[#This Row],[test_id]],experiments_specs!A:J,9,FALSE)</f>
        <v>wup_similarity</v>
      </c>
      <c r="J507" s="38" t="str">
        <f>VLOOKUP(Tabella13[[#This Row],[test_id]],experiments_specs!A:J,10,FALSE)</f>
        <v>False</v>
      </c>
      <c r="K507" s="40" t="s">
        <v>19</v>
      </c>
      <c r="L507" s="36" t="s">
        <v>1387</v>
      </c>
      <c r="M507" s="36" t="s">
        <v>1381</v>
      </c>
      <c r="N507" s="36">
        <v>3.2292000000000002E-3</v>
      </c>
      <c r="O507" s="36" t="s">
        <v>1456</v>
      </c>
    </row>
    <row r="508" spans="1:15" ht="85" x14ac:dyDescent="0.2">
      <c r="A508" s="36" t="s">
        <v>1287</v>
      </c>
      <c r="B508" s="45" t="str">
        <f>VLOOKUP(Tabella13[[#This Row],[test_id]],experiments_specs!A:J,2,FALSE)</f>
        <v>NN,JJ</v>
      </c>
      <c r="C508" s="38">
        <f>VLOOKUP(Tabella13[[#This Row],[test_id]],experiments_specs!A:J,3,FALSE)</f>
        <v>0</v>
      </c>
      <c r="D508" s="38">
        <f>VLOOKUP(Tabella13[[#This Row],[test_id]],experiments_specs!A:J,4,FALSE)</f>
        <v>2</v>
      </c>
      <c r="E508" s="38" t="str">
        <f>VLOOKUP(Tabella13[[#This Row],[test_id]],experiments_specs!A:J,5,FALSE)</f>
        <v>False</v>
      </c>
      <c r="F508" s="38" t="str">
        <f>VLOOKUP(Tabella13[[#This Row],[test_id]],experiments_specs!A:J,6,FALSE)</f>
        <v>False</v>
      </c>
      <c r="G508" s="38" t="str">
        <f>VLOOKUP(Tabella13[[#This Row],[test_id]],experiments_specs!A:J,7,FALSE)</f>
        <v>False</v>
      </c>
      <c r="H508" s="38" t="str">
        <f>VLOOKUP(Tabella13[[#This Row],[test_id]],experiments_specs!A:J,8,FALSE)</f>
        <v>True</v>
      </c>
      <c r="I508" s="38" t="str">
        <f>VLOOKUP(Tabella13[[#This Row],[test_id]],experiments_specs!A:J,9,FALSE)</f>
        <v>wup_similarity</v>
      </c>
      <c r="J508" s="38" t="str">
        <f>VLOOKUP(Tabella13[[#This Row],[test_id]],experiments_specs!A:J,10,FALSE)</f>
        <v>False</v>
      </c>
      <c r="K508" s="40" t="s">
        <v>12</v>
      </c>
      <c r="L508" s="36" t="s">
        <v>1388</v>
      </c>
      <c r="M508" s="36">
        <v>1</v>
      </c>
      <c r="N508" s="36">
        <v>6.3214999999999999E-3</v>
      </c>
      <c r="O508" s="36">
        <v>0.30769229999999997</v>
      </c>
    </row>
    <row r="509" spans="1:15" ht="85" x14ac:dyDescent="0.2">
      <c r="A509" s="36" t="s">
        <v>1287</v>
      </c>
      <c r="B509" s="45" t="str">
        <f>VLOOKUP(Tabella13[[#This Row],[test_id]],experiments_specs!A:J,2,FALSE)</f>
        <v>NN,JJ</v>
      </c>
      <c r="C509" s="38">
        <f>VLOOKUP(Tabella13[[#This Row],[test_id]],experiments_specs!A:J,3,FALSE)</f>
        <v>0</v>
      </c>
      <c r="D509" s="38">
        <f>VLOOKUP(Tabella13[[#This Row],[test_id]],experiments_specs!A:J,4,FALSE)</f>
        <v>2</v>
      </c>
      <c r="E509" s="38" t="str">
        <f>VLOOKUP(Tabella13[[#This Row],[test_id]],experiments_specs!A:J,5,FALSE)</f>
        <v>False</v>
      </c>
      <c r="F509" s="38" t="str">
        <f>VLOOKUP(Tabella13[[#This Row],[test_id]],experiments_specs!A:J,6,FALSE)</f>
        <v>False</v>
      </c>
      <c r="G509" s="38" t="str">
        <f>VLOOKUP(Tabella13[[#This Row],[test_id]],experiments_specs!A:J,7,FALSE)</f>
        <v>False</v>
      </c>
      <c r="H509" s="38" t="str">
        <f>VLOOKUP(Tabella13[[#This Row],[test_id]],experiments_specs!A:J,8,FALSE)</f>
        <v>True</v>
      </c>
      <c r="I509" s="38" t="str">
        <f>VLOOKUP(Tabella13[[#This Row],[test_id]],experiments_specs!A:J,9,FALSE)</f>
        <v>wup_similarity</v>
      </c>
      <c r="J509" s="38" t="str">
        <f>VLOOKUP(Tabella13[[#This Row],[test_id]],experiments_specs!A:J,10,FALSE)</f>
        <v>False</v>
      </c>
      <c r="K509" s="40" t="s">
        <v>13</v>
      </c>
      <c r="L509" s="36" t="s">
        <v>426</v>
      </c>
      <c r="M509" s="36">
        <v>2</v>
      </c>
      <c r="N509" s="36">
        <v>1.02869E-2</v>
      </c>
      <c r="O509" s="36" t="s">
        <v>25</v>
      </c>
    </row>
    <row r="510" spans="1:15" ht="85" x14ac:dyDescent="0.2">
      <c r="A510" s="36" t="s">
        <v>1287</v>
      </c>
      <c r="B510" s="45" t="str">
        <f>VLOOKUP(Tabella13[[#This Row],[test_id]],experiments_specs!A:J,2,FALSE)</f>
        <v>NN,JJ</v>
      </c>
      <c r="C510" s="38">
        <f>VLOOKUP(Tabella13[[#This Row],[test_id]],experiments_specs!A:J,3,FALSE)</f>
        <v>0</v>
      </c>
      <c r="D510" s="38">
        <f>VLOOKUP(Tabella13[[#This Row],[test_id]],experiments_specs!A:J,4,FALSE)</f>
        <v>2</v>
      </c>
      <c r="E510" s="38" t="str">
        <f>VLOOKUP(Tabella13[[#This Row],[test_id]],experiments_specs!A:J,5,FALSE)</f>
        <v>False</v>
      </c>
      <c r="F510" s="38" t="str">
        <f>VLOOKUP(Tabella13[[#This Row],[test_id]],experiments_specs!A:J,6,FALSE)</f>
        <v>False</v>
      </c>
      <c r="G510" s="38" t="str">
        <f>VLOOKUP(Tabella13[[#This Row],[test_id]],experiments_specs!A:J,7,FALSE)</f>
        <v>False</v>
      </c>
      <c r="H510" s="38" t="str">
        <f>VLOOKUP(Tabella13[[#This Row],[test_id]],experiments_specs!A:J,8,FALSE)</f>
        <v>True</v>
      </c>
      <c r="I510" s="38" t="str">
        <f>VLOOKUP(Tabella13[[#This Row],[test_id]],experiments_specs!A:J,9,FALSE)</f>
        <v>wup_similarity</v>
      </c>
      <c r="J510" s="38" t="str">
        <f>VLOOKUP(Tabella13[[#This Row],[test_id]],experiments_specs!A:J,10,FALSE)</f>
        <v>False</v>
      </c>
      <c r="K510" s="40" t="s">
        <v>14</v>
      </c>
      <c r="L510" s="36" t="s">
        <v>1345</v>
      </c>
      <c r="M510" s="36" t="s">
        <v>1314</v>
      </c>
      <c r="N510" s="36">
        <v>4.7692000000000003E-3</v>
      </c>
      <c r="O510" s="36" t="s">
        <v>1347</v>
      </c>
    </row>
    <row r="511" spans="1:15" ht="85" x14ac:dyDescent="0.2">
      <c r="A511" s="36" t="s">
        <v>1287</v>
      </c>
      <c r="B511" s="45" t="str">
        <f>VLOOKUP(Tabella13[[#This Row],[test_id]],experiments_specs!A:J,2,FALSE)</f>
        <v>NN,JJ</v>
      </c>
      <c r="C511" s="38">
        <f>VLOOKUP(Tabella13[[#This Row],[test_id]],experiments_specs!A:J,3,FALSE)</f>
        <v>0</v>
      </c>
      <c r="D511" s="38">
        <f>VLOOKUP(Tabella13[[#This Row],[test_id]],experiments_specs!A:J,4,FALSE)</f>
        <v>2</v>
      </c>
      <c r="E511" s="38" t="str">
        <f>VLOOKUP(Tabella13[[#This Row],[test_id]],experiments_specs!A:J,5,FALSE)</f>
        <v>False</v>
      </c>
      <c r="F511" s="38" t="str">
        <f>VLOOKUP(Tabella13[[#This Row],[test_id]],experiments_specs!A:J,6,FALSE)</f>
        <v>False</v>
      </c>
      <c r="G511" s="38" t="str">
        <f>VLOOKUP(Tabella13[[#This Row],[test_id]],experiments_specs!A:J,7,FALSE)</f>
        <v>False</v>
      </c>
      <c r="H511" s="38" t="str">
        <f>VLOOKUP(Tabella13[[#This Row],[test_id]],experiments_specs!A:J,8,FALSE)</f>
        <v>True</v>
      </c>
      <c r="I511" s="38" t="str">
        <f>VLOOKUP(Tabella13[[#This Row],[test_id]],experiments_specs!A:J,9,FALSE)</f>
        <v>wup_similarity</v>
      </c>
      <c r="J511" s="38" t="str">
        <f>VLOOKUP(Tabella13[[#This Row],[test_id]],experiments_specs!A:J,10,FALSE)</f>
        <v>False</v>
      </c>
      <c r="K511" s="40" t="s">
        <v>15</v>
      </c>
      <c r="L511" s="36" t="s">
        <v>1389</v>
      </c>
      <c r="M511" s="36">
        <v>0</v>
      </c>
      <c r="N511" s="36">
        <v>6.4266000000000002E-3</v>
      </c>
      <c r="O511" s="36">
        <v>0.18181810000000001</v>
      </c>
    </row>
    <row r="512" spans="1:15" ht="85" x14ac:dyDescent="0.2">
      <c r="A512" s="36" t="s">
        <v>1287</v>
      </c>
      <c r="B512" s="45" t="str">
        <f>VLOOKUP(Tabella13[[#This Row],[test_id]],experiments_specs!A:J,2,FALSE)</f>
        <v>NN,JJ</v>
      </c>
      <c r="C512" s="38">
        <f>VLOOKUP(Tabella13[[#This Row],[test_id]],experiments_specs!A:J,3,FALSE)</f>
        <v>0</v>
      </c>
      <c r="D512" s="38">
        <f>VLOOKUP(Tabella13[[#This Row],[test_id]],experiments_specs!A:J,4,FALSE)</f>
        <v>2</v>
      </c>
      <c r="E512" s="38" t="str">
        <f>VLOOKUP(Tabella13[[#This Row],[test_id]],experiments_specs!A:J,5,FALSE)</f>
        <v>False</v>
      </c>
      <c r="F512" s="38" t="str">
        <f>VLOOKUP(Tabella13[[#This Row],[test_id]],experiments_specs!A:J,6,FALSE)</f>
        <v>False</v>
      </c>
      <c r="G512" s="38" t="str">
        <f>VLOOKUP(Tabella13[[#This Row],[test_id]],experiments_specs!A:J,7,FALSE)</f>
        <v>False</v>
      </c>
      <c r="H512" s="38" t="str">
        <f>VLOOKUP(Tabella13[[#This Row],[test_id]],experiments_specs!A:J,8,FALSE)</f>
        <v>True</v>
      </c>
      <c r="I512" s="38" t="str">
        <f>VLOOKUP(Tabella13[[#This Row],[test_id]],experiments_specs!A:J,9,FALSE)</f>
        <v>wup_similarity</v>
      </c>
      <c r="J512" s="38" t="str">
        <f>VLOOKUP(Tabella13[[#This Row],[test_id]],experiments_specs!A:J,10,FALSE)</f>
        <v>False</v>
      </c>
      <c r="K512" s="40" t="s">
        <v>16</v>
      </c>
      <c r="L512" s="36" t="s">
        <v>445</v>
      </c>
      <c r="M512" s="36">
        <v>1</v>
      </c>
      <c r="N512" s="36">
        <v>5.2512000000000001E-3</v>
      </c>
      <c r="O512" s="36">
        <v>0.14285709999999999</v>
      </c>
    </row>
    <row r="513" spans="1:15" ht="85" x14ac:dyDescent="0.2">
      <c r="A513" s="36" t="s">
        <v>1287</v>
      </c>
      <c r="B513" s="45" t="str">
        <f>VLOOKUP(Tabella13[[#This Row],[test_id]],experiments_specs!A:J,2,FALSE)</f>
        <v>NN,JJ</v>
      </c>
      <c r="C513" s="38">
        <f>VLOOKUP(Tabella13[[#This Row],[test_id]],experiments_specs!A:J,3,FALSE)</f>
        <v>0</v>
      </c>
      <c r="D513" s="38">
        <f>VLOOKUP(Tabella13[[#This Row],[test_id]],experiments_specs!A:J,4,FALSE)</f>
        <v>2</v>
      </c>
      <c r="E513" s="38" t="str">
        <f>VLOOKUP(Tabella13[[#This Row],[test_id]],experiments_specs!A:J,5,FALSE)</f>
        <v>False</v>
      </c>
      <c r="F513" s="38" t="str">
        <f>VLOOKUP(Tabella13[[#This Row],[test_id]],experiments_specs!A:J,6,FALSE)</f>
        <v>False</v>
      </c>
      <c r="G513" s="38" t="str">
        <f>VLOOKUP(Tabella13[[#This Row],[test_id]],experiments_specs!A:J,7,FALSE)</f>
        <v>False</v>
      </c>
      <c r="H513" s="38" t="str">
        <f>VLOOKUP(Tabella13[[#This Row],[test_id]],experiments_specs!A:J,8,FALSE)</f>
        <v>True</v>
      </c>
      <c r="I513" s="38" t="str">
        <f>VLOOKUP(Tabella13[[#This Row],[test_id]],experiments_specs!A:J,9,FALSE)</f>
        <v>wup_similarity</v>
      </c>
      <c r="J513" s="38" t="str">
        <f>VLOOKUP(Tabella13[[#This Row],[test_id]],experiments_specs!A:J,10,FALSE)</f>
        <v>False</v>
      </c>
      <c r="K513" s="40" t="s">
        <v>17</v>
      </c>
      <c r="L513" s="36" t="s">
        <v>440</v>
      </c>
      <c r="M513" s="36">
        <v>2</v>
      </c>
      <c r="N513" s="36">
        <v>5.1130000000000004E-3</v>
      </c>
      <c r="O513" s="36">
        <v>0.2</v>
      </c>
    </row>
    <row r="514" spans="1:15" ht="85" x14ac:dyDescent="0.2">
      <c r="A514" s="36" t="s">
        <v>1287</v>
      </c>
      <c r="B514" s="45" t="str">
        <f>VLOOKUP(Tabella13[[#This Row],[test_id]],experiments_specs!A:J,2,FALSE)</f>
        <v>NN,JJ</v>
      </c>
      <c r="C514" s="38">
        <f>VLOOKUP(Tabella13[[#This Row],[test_id]],experiments_specs!A:J,3,FALSE)</f>
        <v>0</v>
      </c>
      <c r="D514" s="38">
        <f>VLOOKUP(Tabella13[[#This Row],[test_id]],experiments_specs!A:J,4,FALSE)</f>
        <v>2</v>
      </c>
      <c r="E514" s="38" t="str">
        <f>VLOOKUP(Tabella13[[#This Row],[test_id]],experiments_specs!A:J,5,FALSE)</f>
        <v>False</v>
      </c>
      <c r="F514" s="38" t="str">
        <f>VLOOKUP(Tabella13[[#This Row],[test_id]],experiments_specs!A:J,6,FALSE)</f>
        <v>False</v>
      </c>
      <c r="G514" s="38" t="str">
        <f>VLOOKUP(Tabella13[[#This Row],[test_id]],experiments_specs!A:J,7,FALSE)</f>
        <v>False</v>
      </c>
      <c r="H514" s="38" t="str">
        <f>VLOOKUP(Tabella13[[#This Row],[test_id]],experiments_specs!A:J,8,FALSE)</f>
        <v>True</v>
      </c>
      <c r="I514" s="38" t="str">
        <f>VLOOKUP(Tabella13[[#This Row],[test_id]],experiments_specs!A:J,9,FALSE)</f>
        <v>wup_similarity</v>
      </c>
      <c r="J514" s="38" t="str">
        <f>VLOOKUP(Tabella13[[#This Row],[test_id]],experiments_specs!A:J,10,FALSE)</f>
        <v>False</v>
      </c>
      <c r="K514" s="40" t="s">
        <v>18</v>
      </c>
      <c r="L514" s="36" t="s">
        <v>781</v>
      </c>
      <c r="M514" s="36">
        <v>2</v>
      </c>
      <c r="N514" s="36">
        <v>2.3768000000000001E-3</v>
      </c>
      <c r="O514" s="36">
        <v>0.2105263</v>
      </c>
    </row>
    <row r="515" spans="1:15" ht="85" x14ac:dyDescent="0.2">
      <c r="A515" s="36" t="s">
        <v>1288</v>
      </c>
      <c r="B515" s="45" t="str">
        <f>VLOOKUP(Tabella13[[#This Row],[test_id]],experiments_specs!A:J,2,FALSE)</f>
        <v>NN,JJ</v>
      </c>
      <c r="C515" s="38">
        <f>VLOOKUP(Tabella13[[#This Row],[test_id]],experiments_specs!A:J,3,FALSE)</f>
        <v>0</v>
      </c>
      <c r="D515" s="38">
        <f>VLOOKUP(Tabella13[[#This Row],[test_id]],experiments_specs!A:J,4,FALSE)</f>
        <v>3</v>
      </c>
      <c r="E515" s="38" t="str">
        <f>VLOOKUP(Tabella13[[#This Row],[test_id]],experiments_specs!A:J,5,FALSE)</f>
        <v>False</v>
      </c>
      <c r="F515" s="38" t="str">
        <f>VLOOKUP(Tabella13[[#This Row],[test_id]],experiments_specs!A:J,6,FALSE)</f>
        <v>False</v>
      </c>
      <c r="G515" s="38" t="str">
        <f>VLOOKUP(Tabella13[[#This Row],[test_id]],experiments_specs!A:J,7,FALSE)</f>
        <v>False</v>
      </c>
      <c r="H515" s="38" t="str">
        <f>VLOOKUP(Tabella13[[#This Row],[test_id]],experiments_specs!A:J,8,FALSE)</f>
        <v>True</v>
      </c>
      <c r="I515" s="38" t="str">
        <f>VLOOKUP(Tabella13[[#This Row],[test_id]],experiments_specs!A:J,9,FALSE)</f>
        <v>wup_similarity</v>
      </c>
      <c r="J515" s="38" t="str">
        <f>VLOOKUP(Tabella13[[#This Row],[test_id]],experiments_specs!A:J,10,FALSE)</f>
        <v>False</v>
      </c>
      <c r="K515" s="40" t="s">
        <v>19</v>
      </c>
      <c r="L515" s="36" t="s">
        <v>1387</v>
      </c>
      <c r="M515" s="36" t="s">
        <v>1381</v>
      </c>
      <c r="N515" s="36">
        <v>3.2292000000000002E-3</v>
      </c>
      <c r="O515" s="36" t="s">
        <v>1456</v>
      </c>
    </row>
    <row r="516" spans="1:15" ht="85" x14ac:dyDescent="0.2">
      <c r="A516" s="36" t="s">
        <v>1288</v>
      </c>
      <c r="B516" s="45" t="str">
        <f>VLOOKUP(Tabella13[[#This Row],[test_id]],experiments_specs!A:J,2,FALSE)</f>
        <v>NN,JJ</v>
      </c>
      <c r="C516" s="38">
        <f>VLOOKUP(Tabella13[[#This Row],[test_id]],experiments_specs!A:J,3,FALSE)</f>
        <v>0</v>
      </c>
      <c r="D516" s="38">
        <f>VLOOKUP(Tabella13[[#This Row],[test_id]],experiments_specs!A:J,4,FALSE)</f>
        <v>3</v>
      </c>
      <c r="E516" s="38" t="str">
        <f>VLOOKUP(Tabella13[[#This Row],[test_id]],experiments_specs!A:J,5,FALSE)</f>
        <v>False</v>
      </c>
      <c r="F516" s="38" t="str">
        <f>VLOOKUP(Tabella13[[#This Row],[test_id]],experiments_specs!A:J,6,FALSE)</f>
        <v>False</v>
      </c>
      <c r="G516" s="38" t="str">
        <f>VLOOKUP(Tabella13[[#This Row],[test_id]],experiments_specs!A:J,7,FALSE)</f>
        <v>False</v>
      </c>
      <c r="H516" s="38" t="str">
        <f>VLOOKUP(Tabella13[[#This Row],[test_id]],experiments_specs!A:J,8,FALSE)</f>
        <v>True</v>
      </c>
      <c r="I516" s="38" t="str">
        <f>VLOOKUP(Tabella13[[#This Row],[test_id]],experiments_specs!A:J,9,FALSE)</f>
        <v>wup_similarity</v>
      </c>
      <c r="J516" s="38" t="str">
        <f>VLOOKUP(Tabella13[[#This Row],[test_id]],experiments_specs!A:J,10,FALSE)</f>
        <v>False</v>
      </c>
      <c r="K516" s="40" t="s">
        <v>12</v>
      </c>
      <c r="L516" s="36" t="s">
        <v>1388</v>
      </c>
      <c r="M516" s="36">
        <v>1</v>
      </c>
      <c r="N516" s="36">
        <v>6.3214999999999999E-3</v>
      </c>
      <c r="O516" s="36">
        <v>0.30769229999999997</v>
      </c>
    </row>
    <row r="517" spans="1:15" ht="85" x14ac:dyDescent="0.2">
      <c r="A517" s="36" t="s">
        <v>1288</v>
      </c>
      <c r="B517" s="45" t="str">
        <f>VLOOKUP(Tabella13[[#This Row],[test_id]],experiments_specs!A:J,2,FALSE)</f>
        <v>NN,JJ</v>
      </c>
      <c r="C517" s="38">
        <f>VLOOKUP(Tabella13[[#This Row],[test_id]],experiments_specs!A:J,3,FALSE)</f>
        <v>0</v>
      </c>
      <c r="D517" s="38">
        <f>VLOOKUP(Tabella13[[#This Row],[test_id]],experiments_specs!A:J,4,FALSE)</f>
        <v>3</v>
      </c>
      <c r="E517" s="38" t="str">
        <f>VLOOKUP(Tabella13[[#This Row],[test_id]],experiments_specs!A:J,5,FALSE)</f>
        <v>False</v>
      </c>
      <c r="F517" s="38" t="str">
        <f>VLOOKUP(Tabella13[[#This Row],[test_id]],experiments_specs!A:J,6,FALSE)</f>
        <v>False</v>
      </c>
      <c r="G517" s="38" t="str">
        <f>VLOOKUP(Tabella13[[#This Row],[test_id]],experiments_specs!A:J,7,FALSE)</f>
        <v>False</v>
      </c>
      <c r="H517" s="38" t="str">
        <f>VLOOKUP(Tabella13[[#This Row],[test_id]],experiments_specs!A:J,8,FALSE)</f>
        <v>True</v>
      </c>
      <c r="I517" s="38" t="str">
        <f>VLOOKUP(Tabella13[[#This Row],[test_id]],experiments_specs!A:J,9,FALSE)</f>
        <v>wup_similarity</v>
      </c>
      <c r="J517" s="38" t="str">
        <f>VLOOKUP(Tabella13[[#This Row],[test_id]],experiments_specs!A:J,10,FALSE)</f>
        <v>False</v>
      </c>
      <c r="K517" s="40" t="s">
        <v>13</v>
      </c>
      <c r="L517" s="36" t="s">
        <v>426</v>
      </c>
      <c r="M517" s="36">
        <v>2</v>
      </c>
      <c r="N517" s="36">
        <v>1.02869E-2</v>
      </c>
      <c r="O517" s="36" t="s">
        <v>25</v>
      </c>
    </row>
    <row r="518" spans="1:15" ht="85" x14ac:dyDescent="0.2">
      <c r="A518" s="36" t="s">
        <v>1288</v>
      </c>
      <c r="B518" s="45" t="str">
        <f>VLOOKUP(Tabella13[[#This Row],[test_id]],experiments_specs!A:J,2,FALSE)</f>
        <v>NN,JJ</v>
      </c>
      <c r="C518" s="38">
        <f>VLOOKUP(Tabella13[[#This Row],[test_id]],experiments_specs!A:J,3,FALSE)</f>
        <v>0</v>
      </c>
      <c r="D518" s="38">
        <f>VLOOKUP(Tabella13[[#This Row],[test_id]],experiments_specs!A:J,4,FALSE)</f>
        <v>3</v>
      </c>
      <c r="E518" s="38" t="str">
        <f>VLOOKUP(Tabella13[[#This Row],[test_id]],experiments_specs!A:J,5,FALSE)</f>
        <v>False</v>
      </c>
      <c r="F518" s="38" t="str">
        <f>VLOOKUP(Tabella13[[#This Row],[test_id]],experiments_specs!A:J,6,FALSE)</f>
        <v>False</v>
      </c>
      <c r="G518" s="38" t="str">
        <f>VLOOKUP(Tabella13[[#This Row],[test_id]],experiments_specs!A:J,7,FALSE)</f>
        <v>False</v>
      </c>
      <c r="H518" s="38" t="str">
        <f>VLOOKUP(Tabella13[[#This Row],[test_id]],experiments_specs!A:J,8,FALSE)</f>
        <v>True</v>
      </c>
      <c r="I518" s="38" t="str">
        <f>VLOOKUP(Tabella13[[#This Row],[test_id]],experiments_specs!A:J,9,FALSE)</f>
        <v>wup_similarity</v>
      </c>
      <c r="J518" s="38" t="str">
        <f>VLOOKUP(Tabella13[[#This Row],[test_id]],experiments_specs!A:J,10,FALSE)</f>
        <v>False</v>
      </c>
      <c r="K518" s="40" t="s">
        <v>14</v>
      </c>
      <c r="L518" s="36" t="s">
        <v>1345</v>
      </c>
      <c r="M518" s="36" t="s">
        <v>1314</v>
      </c>
      <c r="N518" s="36">
        <v>4.7692000000000003E-3</v>
      </c>
      <c r="O518" s="36" t="s">
        <v>1347</v>
      </c>
    </row>
    <row r="519" spans="1:15" ht="85" x14ac:dyDescent="0.2">
      <c r="A519" s="36" t="s">
        <v>1288</v>
      </c>
      <c r="B519" s="45" t="str">
        <f>VLOOKUP(Tabella13[[#This Row],[test_id]],experiments_specs!A:J,2,FALSE)</f>
        <v>NN,JJ</v>
      </c>
      <c r="C519" s="38">
        <f>VLOOKUP(Tabella13[[#This Row],[test_id]],experiments_specs!A:J,3,FALSE)</f>
        <v>0</v>
      </c>
      <c r="D519" s="38">
        <f>VLOOKUP(Tabella13[[#This Row],[test_id]],experiments_specs!A:J,4,FALSE)</f>
        <v>3</v>
      </c>
      <c r="E519" s="38" t="str">
        <f>VLOOKUP(Tabella13[[#This Row],[test_id]],experiments_specs!A:J,5,FALSE)</f>
        <v>False</v>
      </c>
      <c r="F519" s="38" t="str">
        <f>VLOOKUP(Tabella13[[#This Row],[test_id]],experiments_specs!A:J,6,FALSE)</f>
        <v>False</v>
      </c>
      <c r="G519" s="38" t="str">
        <f>VLOOKUP(Tabella13[[#This Row],[test_id]],experiments_specs!A:J,7,FALSE)</f>
        <v>False</v>
      </c>
      <c r="H519" s="38" t="str">
        <f>VLOOKUP(Tabella13[[#This Row],[test_id]],experiments_specs!A:J,8,FALSE)</f>
        <v>True</v>
      </c>
      <c r="I519" s="38" t="str">
        <f>VLOOKUP(Tabella13[[#This Row],[test_id]],experiments_specs!A:J,9,FALSE)</f>
        <v>wup_similarity</v>
      </c>
      <c r="J519" s="38" t="str">
        <f>VLOOKUP(Tabella13[[#This Row],[test_id]],experiments_specs!A:J,10,FALSE)</f>
        <v>False</v>
      </c>
      <c r="K519" s="40" t="s">
        <v>15</v>
      </c>
      <c r="L519" s="36" t="s">
        <v>1389</v>
      </c>
      <c r="M519" s="36">
        <v>0</v>
      </c>
      <c r="N519" s="36">
        <v>6.4266000000000002E-3</v>
      </c>
      <c r="O519" s="36">
        <v>0.18181810000000001</v>
      </c>
    </row>
    <row r="520" spans="1:15" ht="85" x14ac:dyDescent="0.2">
      <c r="A520" s="36" t="s">
        <v>1288</v>
      </c>
      <c r="B520" s="45" t="str">
        <f>VLOOKUP(Tabella13[[#This Row],[test_id]],experiments_specs!A:J,2,FALSE)</f>
        <v>NN,JJ</v>
      </c>
      <c r="C520" s="38">
        <f>VLOOKUP(Tabella13[[#This Row],[test_id]],experiments_specs!A:J,3,FALSE)</f>
        <v>0</v>
      </c>
      <c r="D520" s="38">
        <f>VLOOKUP(Tabella13[[#This Row],[test_id]],experiments_specs!A:J,4,FALSE)</f>
        <v>3</v>
      </c>
      <c r="E520" s="38" t="str">
        <f>VLOOKUP(Tabella13[[#This Row],[test_id]],experiments_specs!A:J,5,FALSE)</f>
        <v>False</v>
      </c>
      <c r="F520" s="38" t="str">
        <f>VLOOKUP(Tabella13[[#This Row],[test_id]],experiments_specs!A:J,6,FALSE)</f>
        <v>False</v>
      </c>
      <c r="G520" s="38" t="str">
        <f>VLOOKUP(Tabella13[[#This Row],[test_id]],experiments_specs!A:J,7,FALSE)</f>
        <v>False</v>
      </c>
      <c r="H520" s="38" t="str">
        <f>VLOOKUP(Tabella13[[#This Row],[test_id]],experiments_specs!A:J,8,FALSE)</f>
        <v>True</v>
      </c>
      <c r="I520" s="38" t="str">
        <f>VLOOKUP(Tabella13[[#This Row],[test_id]],experiments_specs!A:J,9,FALSE)</f>
        <v>wup_similarity</v>
      </c>
      <c r="J520" s="38" t="str">
        <f>VLOOKUP(Tabella13[[#This Row],[test_id]],experiments_specs!A:J,10,FALSE)</f>
        <v>False</v>
      </c>
      <c r="K520" s="40" t="s">
        <v>16</v>
      </c>
      <c r="L520" s="36" t="s">
        <v>445</v>
      </c>
      <c r="M520" s="36">
        <v>1</v>
      </c>
      <c r="N520" s="36">
        <v>5.2512000000000001E-3</v>
      </c>
      <c r="O520" s="36">
        <v>0.14285709999999999</v>
      </c>
    </row>
    <row r="521" spans="1:15" ht="85" x14ac:dyDescent="0.2">
      <c r="A521" s="36" t="s">
        <v>1288</v>
      </c>
      <c r="B521" s="45" t="str">
        <f>VLOOKUP(Tabella13[[#This Row],[test_id]],experiments_specs!A:J,2,FALSE)</f>
        <v>NN,JJ</v>
      </c>
      <c r="C521" s="38">
        <f>VLOOKUP(Tabella13[[#This Row],[test_id]],experiments_specs!A:J,3,FALSE)</f>
        <v>0</v>
      </c>
      <c r="D521" s="38">
        <f>VLOOKUP(Tabella13[[#This Row],[test_id]],experiments_specs!A:J,4,FALSE)</f>
        <v>3</v>
      </c>
      <c r="E521" s="38" t="str">
        <f>VLOOKUP(Tabella13[[#This Row],[test_id]],experiments_specs!A:J,5,FALSE)</f>
        <v>False</v>
      </c>
      <c r="F521" s="38" t="str">
        <f>VLOOKUP(Tabella13[[#This Row],[test_id]],experiments_specs!A:J,6,FALSE)</f>
        <v>False</v>
      </c>
      <c r="G521" s="38" t="str">
        <f>VLOOKUP(Tabella13[[#This Row],[test_id]],experiments_specs!A:J,7,FALSE)</f>
        <v>False</v>
      </c>
      <c r="H521" s="38" t="str">
        <f>VLOOKUP(Tabella13[[#This Row],[test_id]],experiments_specs!A:J,8,FALSE)</f>
        <v>True</v>
      </c>
      <c r="I521" s="38" t="str">
        <f>VLOOKUP(Tabella13[[#This Row],[test_id]],experiments_specs!A:J,9,FALSE)</f>
        <v>wup_similarity</v>
      </c>
      <c r="J521" s="38" t="str">
        <f>VLOOKUP(Tabella13[[#This Row],[test_id]],experiments_specs!A:J,10,FALSE)</f>
        <v>False</v>
      </c>
      <c r="K521" s="40" t="s">
        <v>17</v>
      </c>
      <c r="L521" s="36" t="s">
        <v>440</v>
      </c>
      <c r="M521" s="36">
        <v>2</v>
      </c>
      <c r="N521" s="36">
        <v>5.1130000000000004E-3</v>
      </c>
      <c r="O521" s="36">
        <v>0.2</v>
      </c>
    </row>
    <row r="522" spans="1:15" ht="85" x14ac:dyDescent="0.2">
      <c r="A522" s="36" t="s">
        <v>1288</v>
      </c>
      <c r="B522" s="45" t="str">
        <f>VLOOKUP(Tabella13[[#This Row],[test_id]],experiments_specs!A:J,2,FALSE)</f>
        <v>NN,JJ</v>
      </c>
      <c r="C522" s="38">
        <f>VLOOKUP(Tabella13[[#This Row],[test_id]],experiments_specs!A:J,3,FALSE)</f>
        <v>0</v>
      </c>
      <c r="D522" s="38">
        <f>VLOOKUP(Tabella13[[#This Row],[test_id]],experiments_specs!A:J,4,FALSE)</f>
        <v>3</v>
      </c>
      <c r="E522" s="38" t="str">
        <f>VLOOKUP(Tabella13[[#This Row],[test_id]],experiments_specs!A:J,5,FALSE)</f>
        <v>False</v>
      </c>
      <c r="F522" s="38" t="str">
        <f>VLOOKUP(Tabella13[[#This Row],[test_id]],experiments_specs!A:J,6,FALSE)</f>
        <v>False</v>
      </c>
      <c r="G522" s="38" t="str">
        <f>VLOOKUP(Tabella13[[#This Row],[test_id]],experiments_specs!A:J,7,FALSE)</f>
        <v>False</v>
      </c>
      <c r="H522" s="38" t="str">
        <f>VLOOKUP(Tabella13[[#This Row],[test_id]],experiments_specs!A:J,8,FALSE)</f>
        <v>True</v>
      </c>
      <c r="I522" s="38" t="str">
        <f>VLOOKUP(Tabella13[[#This Row],[test_id]],experiments_specs!A:J,9,FALSE)</f>
        <v>wup_similarity</v>
      </c>
      <c r="J522" s="38" t="str">
        <f>VLOOKUP(Tabella13[[#This Row],[test_id]],experiments_specs!A:J,10,FALSE)</f>
        <v>False</v>
      </c>
      <c r="K522" s="40" t="s">
        <v>18</v>
      </c>
      <c r="L522" s="36" t="s">
        <v>781</v>
      </c>
      <c r="M522" s="36">
        <v>2</v>
      </c>
      <c r="N522" s="36">
        <v>2.3768000000000001E-3</v>
      </c>
      <c r="O522" s="36">
        <v>0.2105263</v>
      </c>
    </row>
    <row r="523" spans="1:15" ht="85" x14ac:dyDescent="0.2">
      <c r="A523" s="36" t="s">
        <v>1289</v>
      </c>
      <c r="B523" s="45" t="str">
        <f>VLOOKUP(Tabella13[[#This Row],[test_id]],experiments_specs!A:J,2,FALSE)</f>
        <v>NN,VB,VBD,VBG,VBN,VBP,VBZ</v>
      </c>
      <c r="C523" s="38">
        <f>VLOOKUP(Tabella13[[#This Row],[test_id]],experiments_specs!A:J,3,FALSE)</f>
        <v>0</v>
      </c>
      <c r="D523" s="38">
        <f>VLOOKUP(Tabella13[[#This Row],[test_id]],experiments_specs!A:J,4,FALSE)</f>
        <v>2</v>
      </c>
      <c r="E523" s="38" t="str">
        <f>VLOOKUP(Tabella13[[#This Row],[test_id]],experiments_specs!A:J,5,FALSE)</f>
        <v>False</v>
      </c>
      <c r="F523" s="38" t="str">
        <f>VLOOKUP(Tabella13[[#This Row],[test_id]],experiments_specs!A:J,6,FALSE)</f>
        <v>False</v>
      </c>
      <c r="G523" s="38" t="str">
        <f>VLOOKUP(Tabella13[[#This Row],[test_id]],experiments_specs!A:J,7,FALSE)</f>
        <v>False</v>
      </c>
      <c r="H523" s="38" t="str">
        <f>VLOOKUP(Tabella13[[#This Row],[test_id]],experiments_specs!A:J,8,FALSE)</f>
        <v>True</v>
      </c>
      <c r="I523" s="38" t="str">
        <f>VLOOKUP(Tabella13[[#This Row],[test_id]],experiments_specs!A:J,9,FALSE)</f>
        <v>wup_similarity</v>
      </c>
      <c r="J523" s="38" t="str">
        <f>VLOOKUP(Tabella13[[#This Row],[test_id]],experiments_specs!A:J,10,FALSE)</f>
        <v>False</v>
      </c>
      <c r="K523" s="40" t="s">
        <v>19</v>
      </c>
      <c r="L523" s="36" t="s">
        <v>1391</v>
      </c>
      <c r="M523" s="36" t="s">
        <v>1393</v>
      </c>
      <c r="N523" s="36">
        <v>3.0782000000000001E-3</v>
      </c>
      <c r="O523" s="36" t="s">
        <v>1458</v>
      </c>
    </row>
    <row r="524" spans="1:15" ht="85" x14ac:dyDescent="0.2">
      <c r="A524" s="36" t="s">
        <v>1289</v>
      </c>
      <c r="B524" s="45" t="str">
        <f>VLOOKUP(Tabella13[[#This Row],[test_id]],experiments_specs!A:J,2,FALSE)</f>
        <v>NN,VB,VBD,VBG,VBN,VBP,VBZ</v>
      </c>
      <c r="C524" s="38">
        <f>VLOOKUP(Tabella13[[#This Row],[test_id]],experiments_specs!A:J,3,FALSE)</f>
        <v>0</v>
      </c>
      <c r="D524" s="38">
        <f>VLOOKUP(Tabella13[[#This Row],[test_id]],experiments_specs!A:J,4,FALSE)</f>
        <v>2</v>
      </c>
      <c r="E524" s="38" t="str">
        <f>VLOOKUP(Tabella13[[#This Row],[test_id]],experiments_specs!A:J,5,FALSE)</f>
        <v>False</v>
      </c>
      <c r="F524" s="38" t="str">
        <f>VLOOKUP(Tabella13[[#This Row],[test_id]],experiments_specs!A:J,6,FALSE)</f>
        <v>False</v>
      </c>
      <c r="G524" s="38" t="str">
        <f>VLOOKUP(Tabella13[[#This Row],[test_id]],experiments_specs!A:J,7,FALSE)</f>
        <v>False</v>
      </c>
      <c r="H524" s="38" t="str">
        <f>VLOOKUP(Tabella13[[#This Row],[test_id]],experiments_specs!A:J,8,FALSE)</f>
        <v>True</v>
      </c>
      <c r="I524" s="38" t="str">
        <f>VLOOKUP(Tabella13[[#This Row],[test_id]],experiments_specs!A:J,9,FALSE)</f>
        <v>wup_similarity</v>
      </c>
      <c r="J524" s="38" t="str">
        <f>VLOOKUP(Tabella13[[#This Row],[test_id]],experiments_specs!A:J,10,FALSE)</f>
        <v>False</v>
      </c>
      <c r="K524" s="40" t="s">
        <v>12</v>
      </c>
      <c r="L524" s="36" t="s">
        <v>1395</v>
      </c>
      <c r="M524" s="36" t="s">
        <v>1331</v>
      </c>
      <c r="N524" s="36">
        <v>4.9627999999999999E-3</v>
      </c>
      <c r="O524" s="36" t="s">
        <v>1436</v>
      </c>
    </row>
    <row r="525" spans="1:15" ht="85" x14ac:dyDescent="0.2">
      <c r="A525" s="36" t="s">
        <v>1289</v>
      </c>
      <c r="B525" s="45" t="str">
        <f>VLOOKUP(Tabella13[[#This Row],[test_id]],experiments_specs!A:J,2,FALSE)</f>
        <v>NN,VB,VBD,VBG,VBN,VBP,VBZ</v>
      </c>
      <c r="C525" s="38">
        <f>VLOOKUP(Tabella13[[#This Row],[test_id]],experiments_specs!A:J,3,FALSE)</f>
        <v>0</v>
      </c>
      <c r="D525" s="38">
        <f>VLOOKUP(Tabella13[[#This Row],[test_id]],experiments_specs!A:J,4,FALSE)</f>
        <v>2</v>
      </c>
      <c r="E525" s="38" t="str">
        <f>VLOOKUP(Tabella13[[#This Row],[test_id]],experiments_specs!A:J,5,FALSE)</f>
        <v>False</v>
      </c>
      <c r="F525" s="38" t="str">
        <f>VLOOKUP(Tabella13[[#This Row],[test_id]],experiments_specs!A:J,6,FALSE)</f>
        <v>False</v>
      </c>
      <c r="G525" s="38" t="str">
        <f>VLOOKUP(Tabella13[[#This Row],[test_id]],experiments_specs!A:J,7,FALSE)</f>
        <v>False</v>
      </c>
      <c r="H525" s="38" t="str">
        <f>VLOOKUP(Tabella13[[#This Row],[test_id]],experiments_specs!A:J,8,FALSE)</f>
        <v>True</v>
      </c>
      <c r="I525" s="38" t="str">
        <f>VLOOKUP(Tabella13[[#This Row],[test_id]],experiments_specs!A:J,9,FALSE)</f>
        <v>wup_similarity</v>
      </c>
      <c r="J525" s="38" t="str">
        <f>VLOOKUP(Tabella13[[#This Row],[test_id]],experiments_specs!A:J,10,FALSE)</f>
        <v>False</v>
      </c>
      <c r="K525" s="40" t="s">
        <v>13</v>
      </c>
      <c r="L525" s="36" t="s">
        <v>426</v>
      </c>
      <c r="M525" s="36">
        <v>2</v>
      </c>
      <c r="N525" s="36">
        <v>7.5259000000000003E-3</v>
      </c>
      <c r="O525" s="36" t="s">
        <v>25</v>
      </c>
    </row>
    <row r="526" spans="1:15" ht="85" x14ac:dyDescent="0.2">
      <c r="A526" s="36" t="s">
        <v>1289</v>
      </c>
      <c r="B526" s="45" t="str">
        <f>VLOOKUP(Tabella13[[#This Row],[test_id]],experiments_specs!A:J,2,FALSE)</f>
        <v>NN,VB,VBD,VBG,VBN,VBP,VBZ</v>
      </c>
      <c r="C526" s="38">
        <f>VLOOKUP(Tabella13[[#This Row],[test_id]],experiments_specs!A:J,3,FALSE)</f>
        <v>0</v>
      </c>
      <c r="D526" s="38">
        <f>VLOOKUP(Tabella13[[#This Row],[test_id]],experiments_specs!A:J,4,FALSE)</f>
        <v>2</v>
      </c>
      <c r="E526" s="38" t="str">
        <f>VLOOKUP(Tabella13[[#This Row],[test_id]],experiments_specs!A:J,5,FALSE)</f>
        <v>False</v>
      </c>
      <c r="F526" s="38" t="str">
        <f>VLOOKUP(Tabella13[[#This Row],[test_id]],experiments_specs!A:J,6,FALSE)</f>
        <v>False</v>
      </c>
      <c r="G526" s="38" t="str">
        <f>VLOOKUP(Tabella13[[#This Row],[test_id]],experiments_specs!A:J,7,FALSE)</f>
        <v>False</v>
      </c>
      <c r="H526" s="38" t="str">
        <f>VLOOKUP(Tabella13[[#This Row],[test_id]],experiments_specs!A:J,8,FALSE)</f>
        <v>True</v>
      </c>
      <c r="I526" s="38" t="str">
        <f>VLOOKUP(Tabella13[[#This Row],[test_id]],experiments_specs!A:J,9,FALSE)</f>
        <v>wup_similarity</v>
      </c>
      <c r="J526" s="38" t="str">
        <f>VLOOKUP(Tabella13[[#This Row],[test_id]],experiments_specs!A:J,10,FALSE)</f>
        <v>False</v>
      </c>
      <c r="K526" s="40" t="s">
        <v>14</v>
      </c>
      <c r="L526" s="36" t="s">
        <v>1345</v>
      </c>
      <c r="M526" s="36" t="s">
        <v>1314</v>
      </c>
      <c r="N526" s="36">
        <v>4.1336000000000003E-3</v>
      </c>
      <c r="O526" s="36" t="s">
        <v>1347</v>
      </c>
    </row>
    <row r="527" spans="1:15" ht="85" x14ac:dyDescent="0.2">
      <c r="A527" s="36" t="s">
        <v>1289</v>
      </c>
      <c r="B527" s="45" t="str">
        <f>VLOOKUP(Tabella13[[#This Row],[test_id]],experiments_specs!A:J,2,FALSE)</f>
        <v>NN,VB,VBD,VBG,VBN,VBP,VBZ</v>
      </c>
      <c r="C527" s="38">
        <f>VLOOKUP(Tabella13[[#This Row],[test_id]],experiments_specs!A:J,3,FALSE)</f>
        <v>0</v>
      </c>
      <c r="D527" s="38">
        <f>VLOOKUP(Tabella13[[#This Row],[test_id]],experiments_specs!A:J,4,FALSE)</f>
        <v>2</v>
      </c>
      <c r="E527" s="38" t="str">
        <f>VLOOKUP(Tabella13[[#This Row],[test_id]],experiments_specs!A:J,5,FALSE)</f>
        <v>False</v>
      </c>
      <c r="F527" s="38" t="str">
        <f>VLOOKUP(Tabella13[[#This Row],[test_id]],experiments_specs!A:J,6,FALSE)</f>
        <v>False</v>
      </c>
      <c r="G527" s="38" t="str">
        <f>VLOOKUP(Tabella13[[#This Row],[test_id]],experiments_specs!A:J,7,FALSE)</f>
        <v>False</v>
      </c>
      <c r="H527" s="38" t="str">
        <f>VLOOKUP(Tabella13[[#This Row],[test_id]],experiments_specs!A:J,8,FALSE)</f>
        <v>True</v>
      </c>
      <c r="I527" s="38" t="str">
        <f>VLOOKUP(Tabella13[[#This Row],[test_id]],experiments_specs!A:J,9,FALSE)</f>
        <v>wup_similarity</v>
      </c>
      <c r="J527" s="38" t="str">
        <f>VLOOKUP(Tabella13[[#This Row],[test_id]],experiments_specs!A:J,10,FALSE)</f>
        <v>False</v>
      </c>
      <c r="K527" s="40" t="s">
        <v>15</v>
      </c>
      <c r="L527" s="36" t="s">
        <v>443</v>
      </c>
      <c r="M527" s="36">
        <v>2</v>
      </c>
      <c r="N527" s="36">
        <v>4.5228000000000004E-3</v>
      </c>
      <c r="O527" s="36">
        <v>0.2</v>
      </c>
    </row>
    <row r="528" spans="1:15" ht="85" x14ac:dyDescent="0.2">
      <c r="A528" s="36" t="s">
        <v>1289</v>
      </c>
      <c r="B528" s="45" t="str">
        <f>VLOOKUP(Tabella13[[#This Row],[test_id]],experiments_specs!A:J,2,FALSE)</f>
        <v>NN,VB,VBD,VBG,VBN,VBP,VBZ</v>
      </c>
      <c r="C528" s="38">
        <f>VLOOKUP(Tabella13[[#This Row],[test_id]],experiments_specs!A:J,3,FALSE)</f>
        <v>0</v>
      </c>
      <c r="D528" s="38">
        <f>VLOOKUP(Tabella13[[#This Row],[test_id]],experiments_specs!A:J,4,FALSE)</f>
        <v>2</v>
      </c>
      <c r="E528" s="38" t="str">
        <f>VLOOKUP(Tabella13[[#This Row],[test_id]],experiments_specs!A:J,5,FALSE)</f>
        <v>False</v>
      </c>
      <c r="F528" s="38" t="str">
        <f>VLOOKUP(Tabella13[[#This Row],[test_id]],experiments_specs!A:J,6,FALSE)</f>
        <v>False</v>
      </c>
      <c r="G528" s="38" t="str">
        <f>VLOOKUP(Tabella13[[#This Row],[test_id]],experiments_specs!A:J,7,FALSE)</f>
        <v>False</v>
      </c>
      <c r="H528" s="38" t="str">
        <f>VLOOKUP(Tabella13[[#This Row],[test_id]],experiments_specs!A:J,8,FALSE)</f>
        <v>True</v>
      </c>
      <c r="I528" s="38" t="str">
        <f>VLOOKUP(Tabella13[[#This Row],[test_id]],experiments_specs!A:J,9,FALSE)</f>
        <v>wup_similarity</v>
      </c>
      <c r="J528" s="38" t="str">
        <f>VLOOKUP(Tabella13[[#This Row],[test_id]],experiments_specs!A:J,10,FALSE)</f>
        <v>False</v>
      </c>
      <c r="K528" s="40" t="s">
        <v>16</v>
      </c>
      <c r="L528" s="36" t="s">
        <v>445</v>
      </c>
      <c r="M528" s="36">
        <v>1</v>
      </c>
      <c r="N528" s="36">
        <v>5.8231999999999997E-3</v>
      </c>
      <c r="O528" s="36">
        <v>0.14285709999999999</v>
      </c>
    </row>
    <row r="529" spans="1:15" ht="85" x14ac:dyDescent="0.2">
      <c r="A529" s="36" t="s">
        <v>1289</v>
      </c>
      <c r="B529" s="45" t="str">
        <f>VLOOKUP(Tabella13[[#This Row],[test_id]],experiments_specs!A:J,2,FALSE)</f>
        <v>NN,VB,VBD,VBG,VBN,VBP,VBZ</v>
      </c>
      <c r="C529" s="38">
        <f>VLOOKUP(Tabella13[[#This Row],[test_id]],experiments_specs!A:J,3,FALSE)</f>
        <v>0</v>
      </c>
      <c r="D529" s="38">
        <f>VLOOKUP(Tabella13[[#This Row],[test_id]],experiments_specs!A:J,4,FALSE)</f>
        <v>2</v>
      </c>
      <c r="E529" s="38" t="str">
        <f>VLOOKUP(Tabella13[[#This Row],[test_id]],experiments_specs!A:J,5,FALSE)</f>
        <v>False</v>
      </c>
      <c r="F529" s="38" t="str">
        <f>VLOOKUP(Tabella13[[#This Row],[test_id]],experiments_specs!A:J,6,FALSE)</f>
        <v>False</v>
      </c>
      <c r="G529" s="38" t="str">
        <f>VLOOKUP(Tabella13[[#This Row],[test_id]],experiments_specs!A:J,7,FALSE)</f>
        <v>False</v>
      </c>
      <c r="H529" s="38" t="str">
        <f>VLOOKUP(Tabella13[[#This Row],[test_id]],experiments_specs!A:J,8,FALSE)</f>
        <v>True</v>
      </c>
      <c r="I529" s="38" t="str">
        <f>VLOOKUP(Tabella13[[#This Row],[test_id]],experiments_specs!A:J,9,FALSE)</f>
        <v>wup_similarity</v>
      </c>
      <c r="J529" s="38" t="str">
        <f>VLOOKUP(Tabella13[[#This Row],[test_id]],experiments_specs!A:J,10,FALSE)</f>
        <v>False</v>
      </c>
      <c r="K529" s="40" t="s">
        <v>17</v>
      </c>
      <c r="L529" s="36" t="s">
        <v>1397</v>
      </c>
      <c r="M529" s="36" t="s">
        <v>1314</v>
      </c>
      <c r="N529" s="36">
        <v>3.0909000000000002E-3</v>
      </c>
      <c r="O529" s="36" t="s">
        <v>1432</v>
      </c>
    </row>
    <row r="530" spans="1:15" ht="85" x14ac:dyDescent="0.2">
      <c r="A530" s="36" t="s">
        <v>1289</v>
      </c>
      <c r="B530" s="45" t="str">
        <f>VLOOKUP(Tabella13[[#This Row],[test_id]],experiments_specs!A:J,2,FALSE)</f>
        <v>NN,VB,VBD,VBG,VBN,VBP,VBZ</v>
      </c>
      <c r="C530" s="38">
        <f>VLOOKUP(Tabella13[[#This Row],[test_id]],experiments_specs!A:J,3,FALSE)</f>
        <v>0</v>
      </c>
      <c r="D530" s="38">
        <f>VLOOKUP(Tabella13[[#This Row],[test_id]],experiments_specs!A:J,4,FALSE)</f>
        <v>2</v>
      </c>
      <c r="E530" s="38" t="str">
        <f>VLOOKUP(Tabella13[[#This Row],[test_id]],experiments_specs!A:J,5,FALSE)</f>
        <v>False</v>
      </c>
      <c r="F530" s="38" t="str">
        <f>VLOOKUP(Tabella13[[#This Row],[test_id]],experiments_specs!A:J,6,FALSE)</f>
        <v>False</v>
      </c>
      <c r="G530" s="38" t="str">
        <f>VLOOKUP(Tabella13[[#This Row],[test_id]],experiments_specs!A:J,7,FALSE)</f>
        <v>False</v>
      </c>
      <c r="H530" s="38" t="str">
        <f>VLOOKUP(Tabella13[[#This Row],[test_id]],experiments_specs!A:J,8,FALSE)</f>
        <v>True</v>
      </c>
      <c r="I530" s="38" t="str">
        <f>VLOOKUP(Tabella13[[#This Row],[test_id]],experiments_specs!A:J,9,FALSE)</f>
        <v>wup_similarity</v>
      </c>
      <c r="J530" s="38" t="str">
        <f>VLOOKUP(Tabella13[[#This Row],[test_id]],experiments_specs!A:J,10,FALSE)</f>
        <v>False</v>
      </c>
      <c r="K530" s="40" t="s">
        <v>18</v>
      </c>
      <c r="L530" s="36" t="s">
        <v>1399</v>
      </c>
      <c r="M530" s="36" t="s">
        <v>1401</v>
      </c>
      <c r="N530" s="36">
        <v>1.5827E-3</v>
      </c>
      <c r="O530" s="36" t="s">
        <v>1460</v>
      </c>
    </row>
    <row r="531" spans="1:15" ht="85" x14ac:dyDescent="0.2">
      <c r="A531" s="36" t="s">
        <v>1290</v>
      </c>
      <c r="B531" s="45" t="str">
        <f>VLOOKUP(Tabella13[[#This Row],[test_id]],experiments_specs!A:J,2,FALSE)</f>
        <v>NN,VB,VBD,VBG,VBN,VBP,VBZ</v>
      </c>
      <c r="C531" s="38">
        <f>VLOOKUP(Tabella13[[#This Row],[test_id]],experiments_specs!A:J,3,FALSE)</f>
        <v>0</v>
      </c>
      <c r="D531" s="38">
        <f>VLOOKUP(Tabella13[[#This Row],[test_id]],experiments_specs!A:J,4,FALSE)</f>
        <v>3</v>
      </c>
      <c r="E531" s="38" t="str">
        <f>VLOOKUP(Tabella13[[#This Row],[test_id]],experiments_specs!A:J,5,FALSE)</f>
        <v>False</v>
      </c>
      <c r="F531" s="38" t="str">
        <f>VLOOKUP(Tabella13[[#This Row],[test_id]],experiments_specs!A:J,6,FALSE)</f>
        <v>False</v>
      </c>
      <c r="G531" s="38" t="str">
        <f>VLOOKUP(Tabella13[[#This Row],[test_id]],experiments_specs!A:J,7,FALSE)</f>
        <v>False</v>
      </c>
      <c r="H531" s="38" t="str">
        <f>VLOOKUP(Tabella13[[#This Row],[test_id]],experiments_specs!A:J,8,FALSE)</f>
        <v>True</v>
      </c>
      <c r="I531" s="38" t="str">
        <f>VLOOKUP(Tabella13[[#This Row],[test_id]],experiments_specs!A:J,9,FALSE)</f>
        <v>wup_similarity</v>
      </c>
      <c r="J531" s="38" t="str">
        <f>VLOOKUP(Tabella13[[#This Row],[test_id]],experiments_specs!A:J,10,FALSE)</f>
        <v>False</v>
      </c>
      <c r="K531" s="40" t="s">
        <v>19</v>
      </c>
      <c r="L531" s="36" t="s">
        <v>1391</v>
      </c>
      <c r="M531" s="36" t="s">
        <v>1393</v>
      </c>
      <c r="N531" s="36">
        <v>3.0782000000000001E-3</v>
      </c>
      <c r="O531" s="36" t="s">
        <v>1458</v>
      </c>
    </row>
    <row r="532" spans="1:15" ht="85" x14ac:dyDescent="0.2">
      <c r="A532" s="36" t="s">
        <v>1290</v>
      </c>
      <c r="B532" s="45" t="str">
        <f>VLOOKUP(Tabella13[[#This Row],[test_id]],experiments_specs!A:J,2,FALSE)</f>
        <v>NN,VB,VBD,VBG,VBN,VBP,VBZ</v>
      </c>
      <c r="C532" s="38">
        <f>VLOOKUP(Tabella13[[#This Row],[test_id]],experiments_specs!A:J,3,FALSE)</f>
        <v>0</v>
      </c>
      <c r="D532" s="38">
        <f>VLOOKUP(Tabella13[[#This Row],[test_id]],experiments_specs!A:J,4,FALSE)</f>
        <v>3</v>
      </c>
      <c r="E532" s="38" t="str">
        <f>VLOOKUP(Tabella13[[#This Row],[test_id]],experiments_specs!A:J,5,FALSE)</f>
        <v>False</v>
      </c>
      <c r="F532" s="38" t="str">
        <f>VLOOKUP(Tabella13[[#This Row],[test_id]],experiments_specs!A:J,6,FALSE)</f>
        <v>False</v>
      </c>
      <c r="G532" s="38" t="str">
        <f>VLOOKUP(Tabella13[[#This Row],[test_id]],experiments_specs!A:J,7,FALSE)</f>
        <v>False</v>
      </c>
      <c r="H532" s="38" t="str">
        <f>VLOOKUP(Tabella13[[#This Row],[test_id]],experiments_specs!A:J,8,FALSE)</f>
        <v>True</v>
      </c>
      <c r="I532" s="38" t="str">
        <f>VLOOKUP(Tabella13[[#This Row],[test_id]],experiments_specs!A:J,9,FALSE)</f>
        <v>wup_similarity</v>
      </c>
      <c r="J532" s="38" t="str">
        <f>VLOOKUP(Tabella13[[#This Row],[test_id]],experiments_specs!A:J,10,FALSE)</f>
        <v>False</v>
      </c>
      <c r="K532" s="40" t="s">
        <v>12</v>
      </c>
      <c r="L532" s="36" t="s">
        <v>1395</v>
      </c>
      <c r="M532" s="36" t="s">
        <v>1331</v>
      </c>
      <c r="N532" s="36">
        <v>4.9627999999999999E-3</v>
      </c>
      <c r="O532" s="36" t="s">
        <v>1436</v>
      </c>
    </row>
    <row r="533" spans="1:15" ht="85" x14ac:dyDescent="0.2">
      <c r="A533" s="36" t="s">
        <v>1290</v>
      </c>
      <c r="B533" s="45" t="str">
        <f>VLOOKUP(Tabella13[[#This Row],[test_id]],experiments_specs!A:J,2,FALSE)</f>
        <v>NN,VB,VBD,VBG,VBN,VBP,VBZ</v>
      </c>
      <c r="C533" s="38">
        <f>VLOOKUP(Tabella13[[#This Row],[test_id]],experiments_specs!A:J,3,FALSE)</f>
        <v>0</v>
      </c>
      <c r="D533" s="38">
        <f>VLOOKUP(Tabella13[[#This Row],[test_id]],experiments_specs!A:J,4,FALSE)</f>
        <v>3</v>
      </c>
      <c r="E533" s="38" t="str">
        <f>VLOOKUP(Tabella13[[#This Row],[test_id]],experiments_specs!A:J,5,FALSE)</f>
        <v>False</v>
      </c>
      <c r="F533" s="38" t="str">
        <f>VLOOKUP(Tabella13[[#This Row],[test_id]],experiments_specs!A:J,6,FALSE)</f>
        <v>False</v>
      </c>
      <c r="G533" s="38" t="str">
        <f>VLOOKUP(Tabella13[[#This Row],[test_id]],experiments_specs!A:J,7,FALSE)</f>
        <v>False</v>
      </c>
      <c r="H533" s="38" t="str">
        <f>VLOOKUP(Tabella13[[#This Row],[test_id]],experiments_specs!A:J,8,FALSE)</f>
        <v>True</v>
      </c>
      <c r="I533" s="38" t="str">
        <f>VLOOKUP(Tabella13[[#This Row],[test_id]],experiments_specs!A:J,9,FALSE)</f>
        <v>wup_similarity</v>
      </c>
      <c r="J533" s="38" t="str">
        <f>VLOOKUP(Tabella13[[#This Row],[test_id]],experiments_specs!A:J,10,FALSE)</f>
        <v>False</v>
      </c>
      <c r="K533" s="40" t="s">
        <v>13</v>
      </c>
      <c r="L533" s="36" t="s">
        <v>426</v>
      </c>
      <c r="M533" s="36">
        <v>2</v>
      </c>
      <c r="N533" s="36">
        <v>7.5259000000000003E-3</v>
      </c>
      <c r="O533" s="36" t="s">
        <v>25</v>
      </c>
    </row>
    <row r="534" spans="1:15" ht="85" x14ac:dyDescent="0.2">
      <c r="A534" s="36" t="s">
        <v>1290</v>
      </c>
      <c r="B534" s="45" t="str">
        <f>VLOOKUP(Tabella13[[#This Row],[test_id]],experiments_specs!A:J,2,FALSE)</f>
        <v>NN,VB,VBD,VBG,VBN,VBP,VBZ</v>
      </c>
      <c r="C534" s="38">
        <f>VLOOKUP(Tabella13[[#This Row],[test_id]],experiments_specs!A:J,3,FALSE)</f>
        <v>0</v>
      </c>
      <c r="D534" s="38">
        <f>VLOOKUP(Tabella13[[#This Row],[test_id]],experiments_specs!A:J,4,FALSE)</f>
        <v>3</v>
      </c>
      <c r="E534" s="38" t="str">
        <f>VLOOKUP(Tabella13[[#This Row],[test_id]],experiments_specs!A:J,5,FALSE)</f>
        <v>False</v>
      </c>
      <c r="F534" s="38" t="str">
        <f>VLOOKUP(Tabella13[[#This Row],[test_id]],experiments_specs!A:J,6,FALSE)</f>
        <v>False</v>
      </c>
      <c r="G534" s="38" t="str">
        <f>VLOOKUP(Tabella13[[#This Row],[test_id]],experiments_specs!A:J,7,FALSE)</f>
        <v>False</v>
      </c>
      <c r="H534" s="38" t="str">
        <f>VLOOKUP(Tabella13[[#This Row],[test_id]],experiments_specs!A:J,8,FALSE)</f>
        <v>True</v>
      </c>
      <c r="I534" s="38" t="str">
        <f>VLOOKUP(Tabella13[[#This Row],[test_id]],experiments_specs!A:J,9,FALSE)</f>
        <v>wup_similarity</v>
      </c>
      <c r="J534" s="38" t="str">
        <f>VLOOKUP(Tabella13[[#This Row],[test_id]],experiments_specs!A:J,10,FALSE)</f>
        <v>False</v>
      </c>
      <c r="K534" s="40" t="s">
        <v>14</v>
      </c>
      <c r="L534" s="36" t="s">
        <v>1345</v>
      </c>
      <c r="M534" s="36" t="s">
        <v>1314</v>
      </c>
      <c r="N534" s="36">
        <v>4.1336000000000003E-3</v>
      </c>
      <c r="O534" s="36" t="s">
        <v>1347</v>
      </c>
    </row>
    <row r="535" spans="1:15" ht="85" x14ac:dyDescent="0.2">
      <c r="A535" s="36" t="s">
        <v>1290</v>
      </c>
      <c r="B535" s="45" t="str">
        <f>VLOOKUP(Tabella13[[#This Row],[test_id]],experiments_specs!A:J,2,FALSE)</f>
        <v>NN,VB,VBD,VBG,VBN,VBP,VBZ</v>
      </c>
      <c r="C535" s="38">
        <f>VLOOKUP(Tabella13[[#This Row],[test_id]],experiments_specs!A:J,3,FALSE)</f>
        <v>0</v>
      </c>
      <c r="D535" s="38">
        <f>VLOOKUP(Tabella13[[#This Row],[test_id]],experiments_specs!A:J,4,FALSE)</f>
        <v>3</v>
      </c>
      <c r="E535" s="38" t="str">
        <f>VLOOKUP(Tabella13[[#This Row],[test_id]],experiments_specs!A:J,5,FALSE)</f>
        <v>False</v>
      </c>
      <c r="F535" s="38" t="str">
        <f>VLOOKUP(Tabella13[[#This Row],[test_id]],experiments_specs!A:J,6,FALSE)</f>
        <v>False</v>
      </c>
      <c r="G535" s="38" t="str">
        <f>VLOOKUP(Tabella13[[#This Row],[test_id]],experiments_specs!A:J,7,FALSE)</f>
        <v>False</v>
      </c>
      <c r="H535" s="38" t="str">
        <f>VLOOKUP(Tabella13[[#This Row],[test_id]],experiments_specs!A:J,8,FALSE)</f>
        <v>True</v>
      </c>
      <c r="I535" s="38" t="str">
        <f>VLOOKUP(Tabella13[[#This Row],[test_id]],experiments_specs!A:J,9,FALSE)</f>
        <v>wup_similarity</v>
      </c>
      <c r="J535" s="38" t="str">
        <f>VLOOKUP(Tabella13[[#This Row],[test_id]],experiments_specs!A:J,10,FALSE)</f>
        <v>False</v>
      </c>
      <c r="K535" s="40" t="s">
        <v>15</v>
      </c>
      <c r="L535" s="36" t="s">
        <v>443</v>
      </c>
      <c r="M535" s="36">
        <v>2</v>
      </c>
      <c r="N535" s="36">
        <v>4.5228000000000004E-3</v>
      </c>
      <c r="O535" s="36">
        <v>0.2</v>
      </c>
    </row>
    <row r="536" spans="1:15" ht="85" x14ac:dyDescent="0.2">
      <c r="A536" s="36" t="s">
        <v>1290</v>
      </c>
      <c r="B536" s="45" t="str">
        <f>VLOOKUP(Tabella13[[#This Row],[test_id]],experiments_specs!A:J,2,FALSE)</f>
        <v>NN,VB,VBD,VBG,VBN,VBP,VBZ</v>
      </c>
      <c r="C536" s="38">
        <f>VLOOKUP(Tabella13[[#This Row],[test_id]],experiments_specs!A:J,3,FALSE)</f>
        <v>0</v>
      </c>
      <c r="D536" s="38">
        <f>VLOOKUP(Tabella13[[#This Row],[test_id]],experiments_specs!A:J,4,FALSE)</f>
        <v>3</v>
      </c>
      <c r="E536" s="38" t="str">
        <f>VLOOKUP(Tabella13[[#This Row],[test_id]],experiments_specs!A:J,5,FALSE)</f>
        <v>False</v>
      </c>
      <c r="F536" s="38" t="str">
        <f>VLOOKUP(Tabella13[[#This Row],[test_id]],experiments_specs!A:J,6,FALSE)</f>
        <v>False</v>
      </c>
      <c r="G536" s="38" t="str">
        <f>VLOOKUP(Tabella13[[#This Row],[test_id]],experiments_specs!A:J,7,FALSE)</f>
        <v>False</v>
      </c>
      <c r="H536" s="38" t="str">
        <f>VLOOKUP(Tabella13[[#This Row],[test_id]],experiments_specs!A:J,8,FALSE)</f>
        <v>True</v>
      </c>
      <c r="I536" s="38" t="str">
        <f>VLOOKUP(Tabella13[[#This Row],[test_id]],experiments_specs!A:J,9,FALSE)</f>
        <v>wup_similarity</v>
      </c>
      <c r="J536" s="38" t="str">
        <f>VLOOKUP(Tabella13[[#This Row],[test_id]],experiments_specs!A:J,10,FALSE)</f>
        <v>False</v>
      </c>
      <c r="K536" s="40" t="s">
        <v>16</v>
      </c>
      <c r="L536" s="36" t="s">
        <v>445</v>
      </c>
      <c r="M536" s="36">
        <v>1</v>
      </c>
      <c r="N536" s="36">
        <v>5.8231999999999997E-3</v>
      </c>
      <c r="O536" s="36">
        <v>0.14285709999999999</v>
      </c>
    </row>
    <row r="537" spans="1:15" ht="85" x14ac:dyDescent="0.2">
      <c r="A537" s="36" t="s">
        <v>1290</v>
      </c>
      <c r="B537" s="45" t="str">
        <f>VLOOKUP(Tabella13[[#This Row],[test_id]],experiments_specs!A:J,2,FALSE)</f>
        <v>NN,VB,VBD,VBG,VBN,VBP,VBZ</v>
      </c>
      <c r="C537" s="38">
        <f>VLOOKUP(Tabella13[[#This Row],[test_id]],experiments_specs!A:J,3,FALSE)</f>
        <v>0</v>
      </c>
      <c r="D537" s="38">
        <f>VLOOKUP(Tabella13[[#This Row],[test_id]],experiments_specs!A:J,4,FALSE)</f>
        <v>3</v>
      </c>
      <c r="E537" s="38" t="str">
        <f>VLOOKUP(Tabella13[[#This Row],[test_id]],experiments_specs!A:J,5,FALSE)</f>
        <v>False</v>
      </c>
      <c r="F537" s="38" t="str">
        <f>VLOOKUP(Tabella13[[#This Row],[test_id]],experiments_specs!A:J,6,FALSE)</f>
        <v>False</v>
      </c>
      <c r="G537" s="38" t="str">
        <f>VLOOKUP(Tabella13[[#This Row],[test_id]],experiments_specs!A:J,7,FALSE)</f>
        <v>False</v>
      </c>
      <c r="H537" s="38" t="str">
        <f>VLOOKUP(Tabella13[[#This Row],[test_id]],experiments_specs!A:J,8,FALSE)</f>
        <v>True</v>
      </c>
      <c r="I537" s="38" t="str">
        <f>VLOOKUP(Tabella13[[#This Row],[test_id]],experiments_specs!A:J,9,FALSE)</f>
        <v>wup_similarity</v>
      </c>
      <c r="J537" s="38" t="str">
        <f>VLOOKUP(Tabella13[[#This Row],[test_id]],experiments_specs!A:J,10,FALSE)</f>
        <v>False</v>
      </c>
      <c r="K537" s="40" t="s">
        <v>17</v>
      </c>
      <c r="L537" s="36" t="s">
        <v>1397</v>
      </c>
      <c r="M537" s="36" t="s">
        <v>1314</v>
      </c>
      <c r="N537" s="36">
        <v>3.0909000000000002E-3</v>
      </c>
      <c r="O537" s="36" t="s">
        <v>1432</v>
      </c>
    </row>
    <row r="538" spans="1:15" ht="85" x14ac:dyDescent="0.2">
      <c r="A538" s="36" t="s">
        <v>1290</v>
      </c>
      <c r="B538" s="45" t="str">
        <f>VLOOKUP(Tabella13[[#This Row],[test_id]],experiments_specs!A:J,2,FALSE)</f>
        <v>NN,VB,VBD,VBG,VBN,VBP,VBZ</v>
      </c>
      <c r="C538" s="38">
        <f>VLOOKUP(Tabella13[[#This Row],[test_id]],experiments_specs!A:J,3,FALSE)</f>
        <v>0</v>
      </c>
      <c r="D538" s="38">
        <f>VLOOKUP(Tabella13[[#This Row],[test_id]],experiments_specs!A:J,4,FALSE)</f>
        <v>3</v>
      </c>
      <c r="E538" s="38" t="str">
        <f>VLOOKUP(Tabella13[[#This Row],[test_id]],experiments_specs!A:J,5,FALSE)</f>
        <v>False</v>
      </c>
      <c r="F538" s="38" t="str">
        <f>VLOOKUP(Tabella13[[#This Row],[test_id]],experiments_specs!A:J,6,FALSE)</f>
        <v>False</v>
      </c>
      <c r="G538" s="38" t="str">
        <f>VLOOKUP(Tabella13[[#This Row],[test_id]],experiments_specs!A:J,7,FALSE)</f>
        <v>False</v>
      </c>
      <c r="H538" s="38" t="str">
        <f>VLOOKUP(Tabella13[[#This Row],[test_id]],experiments_specs!A:J,8,FALSE)</f>
        <v>True</v>
      </c>
      <c r="I538" s="38" t="str">
        <f>VLOOKUP(Tabella13[[#This Row],[test_id]],experiments_specs!A:J,9,FALSE)</f>
        <v>wup_similarity</v>
      </c>
      <c r="J538" s="38" t="str">
        <f>VLOOKUP(Tabella13[[#This Row],[test_id]],experiments_specs!A:J,10,FALSE)</f>
        <v>False</v>
      </c>
      <c r="K538" s="40" t="s">
        <v>18</v>
      </c>
      <c r="L538" s="36" t="s">
        <v>1399</v>
      </c>
      <c r="M538" s="36" t="s">
        <v>1401</v>
      </c>
      <c r="N538" s="36">
        <v>1.5827E-3</v>
      </c>
      <c r="O538" s="36" t="s">
        <v>1460</v>
      </c>
    </row>
    <row r="539" spans="1:15" ht="85" x14ac:dyDescent="0.2">
      <c r="A539" s="36" t="s">
        <v>1291</v>
      </c>
      <c r="B539" s="45" t="str">
        <f>VLOOKUP(Tabella13[[#This Row],[test_id]],experiments_specs!A:J,2,FALSE)</f>
        <v>NN,JJ,VB,VBD,VBG,VBN,VBP,VBZ</v>
      </c>
      <c r="C539" s="38">
        <f>VLOOKUP(Tabella13[[#This Row],[test_id]],experiments_specs!A:J,3,FALSE)</f>
        <v>0</v>
      </c>
      <c r="D539" s="38">
        <f>VLOOKUP(Tabella13[[#This Row],[test_id]],experiments_specs!A:J,4,FALSE)</f>
        <v>2</v>
      </c>
      <c r="E539" s="38" t="str">
        <f>VLOOKUP(Tabella13[[#This Row],[test_id]],experiments_specs!A:J,5,FALSE)</f>
        <v>False</v>
      </c>
      <c r="F539" s="38" t="str">
        <f>VLOOKUP(Tabella13[[#This Row],[test_id]],experiments_specs!A:J,6,FALSE)</f>
        <v>False</v>
      </c>
      <c r="G539" s="38" t="str">
        <f>VLOOKUP(Tabella13[[#This Row],[test_id]],experiments_specs!A:J,7,FALSE)</f>
        <v>False</v>
      </c>
      <c r="H539" s="38" t="str">
        <f>VLOOKUP(Tabella13[[#This Row],[test_id]],experiments_specs!A:J,8,FALSE)</f>
        <v>True</v>
      </c>
      <c r="I539" s="38" t="str">
        <f>VLOOKUP(Tabella13[[#This Row],[test_id]],experiments_specs!A:J,9,FALSE)</f>
        <v>wup_similarity</v>
      </c>
      <c r="J539" s="38" t="str">
        <f>VLOOKUP(Tabella13[[#This Row],[test_id]],experiments_specs!A:J,10,FALSE)</f>
        <v>False</v>
      </c>
      <c r="K539" s="40" t="s">
        <v>19</v>
      </c>
      <c r="L539" s="36" t="s">
        <v>437</v>
      </c>
      <c r="M539" s="36">
        <v>1</v>
      </c>
      <c r="N539" s="36">
        <v>3.3281000000000001E-3</v>
      </c>
      <c r="O539" s="36">
        <v>0.117647</v>
      </c>
    </row>
    <row r="540" spans="1:15" ht="85" x14ac:dyDescent="0.2">
      <c r="A540" s="36" t="s">
        <v>1291</v>
      </c>
      <c r="B540" s="45" t="str">
        <f>VLOOKUP(Tabella13[[#This Row],[test_id]],experiments_specs!A:J,2,FALSE)</f>
        <v>NN,JJ,VB,VBD,VBG,VBN,VBP,VBZ</v>
      </c>
      <c r="C540" s="38">
        <f>VLOOKUP(Tabella13[[#This Row],[test_id]],experiments_specs!A:J,3,FALSE)</f>
        <v>0</v>
      </c>
      <c r="D540" s="38">
        <f>VLOOKUP(Tabella13[[#This Row],[test_id]],experiments_specs!A:J,4,FALSE)</f>
        <v>2</v>
      </c>
      <c r="E540" s="38" t="str">
        <f>VLOOKUP(Tabella13[[#This Row],[test_id]],experiments_specs!A:J,5,FALSE)</f>
        <v>False</v>
      </c>
      <c r="F540" s="38" t="str">
        <f>VLOOKUP(Tabella13[[#This Row],[test_id]],experiments_specs!A:J,6,FALSE)</f>
        <v>False</v>
      </c>
      <c r="G540" s="38" t="str">
        <f>VLOOKUP(Tabella13[[#This Row],[test_id]],experiments_specs!A:J,7,FALSE)</f>
        <v>False</v>
      </c>
      <c r="H540" s="38" t="str">
        <f>VLOOKUP(Tabella13[[#This Row],[test_id]],experiments_specs!A:J,8,FALSE)</f>
        <v>True</v>
      </c>
      <c r="I540" s="38" t="str">
        <f>VLOOKUP(Tabella13[[#This Row],[test_id]],experiments_specs!A:J,9,FALSE)</f>
        <v>wup_similarity</v>
      </c>
      <c r="J540" s="38" t="str">
        <f>VLOOKUP(Tabella13[[#This Row],[test_id]],experiments_specs!A:J,10,FALSE)</f>
        <v>False</v>
      </c>
      <c r="K540" s="40" t="s">
        <v>12</v>
      </c>
      <c r="L540" s="36" t="s">
        <v>1395</v>
      </c>
      <c r="M540" s="36" t="s">
        <v>1331</v>
      </c>
      <c r="N540" s="36">
        <v>3.5737E-3</v>
      </c>
      <c r="O540" s="36" t="s">
        <v>1436</v>
      </c>
    </row>
    <row r="541" spans="1:15" ht="85" x14ac:dyDescent="0.2">
      <c r="A541" s="36" t="s">
        <v>1291</v>
      </c>
      <c r="B541" s="45" t="str">
        <f>VLOOKUP(Tabella13[[#This Row],[test_id]],experiments_specs!A:J,2,FALSE)</f>
        <v>NN,JJ,VB,VBD,VBG,VBN,VBP,VBZ</v>
      </c>
      <c r="C541" s="38">
        <f>VLOOKUP(Tabella13[[#This Row],[test_id]],experiments_specs!A:J,3,FALSE)</f>
        <v>0</v>
      </c>
      <c r="D541" s="38">
        <f>VLOOKUP(Tabella13[[#This Row],[test_id]],experiments_specs!A:J,4,FALSE)</f>
        <v>2</v>
      </c>
      <c r="E541" s="38" t="str">
        <f>VLOOKUP(Tabella13[[#This Row],[test_id]],experiments_specs!A:J,5,FALSE)</f>
        <v>False</v>
      </c>
      <c r="F541" s="38" t="str">
        <f>VLOOKUP(Tabella13[[#This Row],[test_id]],experiments_specs!A:J,6,FALSE)</f>
        <v>False</v>
      </c>
      <c r="G541" s="38" t="str">
        <f>VLOOKUP(Tabella13[[#This Row],[test_id]],experiments_specs!A:J,7,FALSE)</f>
        <v>False</v>
      </c>
      <c r="H541" s="38" t="str">
        <f>VLOOKUP(Tabella13[[#This Row],[test_id]],experiments_specs!A:J,8,FALSE)</f>
        <v>True</v>
      </c>
      <c r="I541" s="38" t="str">
        <f>VLOOKUP(Tabella13[[#This Row],[test_id]],experiments_specs!A:J,9,FALSE)</f>
        <v>wup_similarity</v>
      </c>
      <c r="J541" s="38" t="str">
        <f>VLOOKUP(Tabella13[[#This Row],[test_id]],experiments_specs!A:J,10,FALSE)</f>
        <v>False</v>
      </c>
      <c r="K541" s="40" t="s">
        <v>13</v>
      </c>
      <c r="L541" s="36" t="s">
        <v>426</v>
      </c>
      <c r="M541" s="36">
        <v>2</v>
      </c>
      <c r="N541" s="36">
        <v>6.3914999999999996E-3</v>
      </c>
      <c r="O541" s="36" t="s">
        <v>25</v>
      </c>
    </row>
    <row r="542" spans="1:15" ht="85" x14ac:dyDescent="0.2">
      <c r="A542" s="36" t="s">
        <v>1291</v>
      </c>
      <c r="B542" s="45" t="str">
        <f>VLOOKUP(Tabella13[[#This Row],[test_id]],experiments_specs!A:J,2,FALSE)</f>
        <v>NN,JJ,VB,VBD,VBG,VBN,VBP,VBZ</v>
      </c>
      <c r="C542" s="38">
        <f>VLOOKUP(Tabella13[[#This Row],[test_id]],experiments_specs!A:J,3,FALSE)</f>
        <v>0</v>
      </c>
      <c r="D542" s="38">
        <f>VLOOKUP(Tabella13[[#This Row],[test_id]],experiments_specs!A:J,4,FALSE)</f>
        <v>2</v>
      </c>
      <c r="E542" s="38" t="str">
        <f>VLOOKUP(Tabella13[[#This Row],[test_id]],experiments_specs!A:J,5,FALSE)</f>
        <v>False</v>
      </c>
      <c r="F542" s="38" t="str">
        <f>VLOOKUP(Tabella13[[#This Row],[test_id]],experiments_specs!A:J,6,FALSE)</f>
        <v>False</v>
      </c>
      <c r="G542" s="38" t="str">
        <f>VLOOKUP(Tabella13[[#This Row],[test_id]],experiments_specs!A:J,7,FALSE)</f>
        <v>False</v>
      </c>
      <c r="H542" s="38" t="str">
        <f>VLOOKUP(Tabella13[[#This Row],[test_id]],experiments_specs!A:J,8,FALSE)</f>
        <v>True</v>
      </c>
      <c r="I542" s="38" t="str">
        <f>VLOOKUP(Tabella13[[#This Row],[test_id]],experiments_specs!A:J,9,FALSE)</f>
        <v>wup_similarity</v>
      </c>
      <c r="J542" s="38" t="str">
        <f>VLOOKUP(Tabella13[[#This Row],[test_id]],experiments_specs!A:J,10,FALSE)</f>
        <v>False</v>
      </c>
      <c r="K542" s="40" t="s">
        <v>14</v>
      </c>
      <c r="L542" s="36" t="s">
        <v>1345</v>
      </c>
      <c r="M542" s="36" t="s">
        <v>1314</v>
      </c>
      <c r="N542" s="36">
        <v>3.4462E-3</v>
      </c>
      <c r="O542" s="36" t="s">
        <v>1347</v>
      </c>
    </row>
    <row r="543" spans="1:15" ht="85" x14ac:dyDescent="0.2">
      <c r="A543" s="36" t="s">
        <v>1291</v>
      </c>
      <c r="B543" s="45" t="str">
        <f>VLOOKUP(Tabella13[[#This Row],[test_id]],experiments_specs!A:J,2,FALSE)</f>
        <v>NN,JJ,VB,VBD,VBG,VBN,VBP,VBZ</v>
      </c>
      <c r="C543" s="38">
        <f>VLOOKUP(Tabella13[[#This Row],[test_id]],experiments_specs!A:J,3,FALSE)</f>
        <v>0</v>
      </c>
      <c r="D543" s="38">
        <f>VLOOKUP(Tabella13[[#This Row],[test_id]],experiments_specs!A:J,4,FALSE)</f>
        <v>2</v>
      </c>
      <c r="E543" s="38" t="str">
        <f>VLOOKUP(Tabella13[[#This Row],[test_id]],experiments_specs!A:J,5,FALSE)</f>
        <v>False</v>
      </c>
      <c r="F543" s="38" t="str">
        <f>VLOOKUP(Tabella13[[#This Row],[test_id]],experiments_specs!A:J,6,FALSE)</f>
        <v>False</v>
      </c>
      <c r="G543" s="38" t="str">
        <f>VLOOKUP(Tabella13[[#This Row],[test_id]],experiments_specs!A:J,7,FALSE)</f>
        <v>False</v>
      </c>
      <c r="H543" s="38" t="str">
        <f>VLOOKUP(Tabella13[[#This Row],[test_id]],experiments_specs!A:J,8,FALSE)</f>
        <v>True</v>
      </c>
      <c r="I543" s="38" t="str">
        <f>VLOOKUP(Tabella13[[#This Row],[test_id]],experiments_specs!A:J,9,FALSE)</f>
        <v>wup_similarity</v>
      </c>
      <c r="J543" s="38" t="str">
        <f>VLOOKUP(Tabella13[[#This Row],[test_id]],experiments_specs!A:J,10,FALSE)</f>
        <v>False</v>
      </c>
      <c r="K543" s="40" t="s">
        <v>15</v>
      </c>
      <c r="L543" s="36" t="s">
        <v>443</v>
      </c>
      <c r="M543" s="36">
        <v>2</v>
      </c>
      <c r="N543" s="36">
        <v>3.9822E-3</v>
      </c>
      <c r="O543" s="36">
        <v>0.2</v>
      </c>
    </row>
    <row r="544" spans="1:15" ht="85" x14ac:dyDescent="0.2">
      <c r="A544" s="36" t="s">
        <v>1291</v>
      </c>
      <c r="B544" s="45" t="str">
        <f>VLOOKUP(Tabella13[[#This Row],[test_id]],experiments_specs!A:J,2,FALSE)</f>
        <v>NN,JJ,VB,VBD,VBG,VBN,VBP,VBZ</v>
      </c>
      <c r="C544" s="38">
        <f>VLOOKUP(Tabella13[[#This Row],[test_id]],experiments_specs!A:J,3,FALSE)</f>
        <v>0</v>
      </c>
      <c r="D544" s="38">
        <f>VLOOKUP(Tabella13[[#This Row],[test_id]],experiments_specs!A:J,4,FALSE)</f>
        <v>2</v>
      </c>
      <c r="E544" s="38" t="str">
        <f>VLOOKUP(Tabella13[[#This Row],[test_id]],experiments_specs!A:J,5,FALSE)</f>
        <v>False</v>
      </c>
      <c r="F544" s="38" t="str">
        <f>VLOOKUP(Tabella13[[#This Row],[test_id]],experiments_specs!A:J,6,FALSE)</f>
        <v>False</v>
      </c>
      <c r="G544" s="38" t="str">
        <f>VLOOKUP(Tabella13[[#This Row],[test_id]],experiments_specs!A:J,7,FALSE)</f>
        <v>False</v>
      </c>
      <c r="H544" s="38" t="str">
        <f>VLOOKUP(Tabella13[[#This Row],[test_id]],experiments_specs!A:J,8,FALSE)</f>
        <v>True</v>
      </c>
      <c r="I544" s="38" t="str">
        <f>VLOOKUP(Tabella13[[#This Row],[test_id]],experiments_specs!A:J,9,FALSE)</f>
        <v>wup_similarity</v>
      </c>
      <c r="J544" s="38" t="str">
        <f>VLOOKUP(Tabella13[[#This Row],[test_id]],experiments_specs!A:J,10,FALSE)</f>
        <v>False</v>
      </c>
      <c r="K544" s="40" t="s">
        <v>16</v>
      </c>
      <c r="L544" s="36" t="s">
        <v>445</v>
      </c>
      <c r="M544" s="36">
        <v>1</v>
      </c>
      <c r="N544" s="36">
        <v>4.9997000000000002E-3</v>
      </c>
      <c r="O544" s="36">
        <v>0.14285709999999999</v>
      </c>
    </row>
    <row r="545" spans="1:15" ht="85" x14ac:dyDescent="0.2">
      <c r="A545" s="36" t="s">
        <v>1291</v>
      </c>
      <c r="B545" s="45" t="str">
        <f>VLOOKUP(Tabella13[[#This Row],[test_id]],experiments_specs!A:J,2,FALSE)</f>
        <v>NN,JJ,VB,VBD,VBG,VBN,VBP,VBZ</v>
      </c>
      <c r="C545" s="38">
        <f>VLOOKUP(Tabella13[[#This Row],[test_id]],experiments_specs!A:J,3,FALSE)</f>
        <v>0</v>
      </c>
      <c r="D545" s="38">
        <f>VLOOKUP(Tabella13[[#This Row],[test_id]],experiments_specs!A:J,4,FALSE)</f>
        <v>2</v>
      </c>
      <c r="E545" s="38" t="str">
        <f>VLOOKUP(Tabella13[[#This Row],[test_id]],experiments_specs!A:J,5,FALSE)</f>
        <v>False</v>
      </c>
      <c r="F545" s="38" t="str">
        <f>VLOOKUP(Tabella13[[#This Row],[test_id]],experiments_specs!A:J,6,FALSE)</f>
        <v>False</v>
      </c>
      <c r="G545" s="38" t="str">
        <f>VLOOKUP(Tabella13[[#This Row],[test_id]],experiments_specs!A:J,7,FALSE)</f>
        <v>False</v>
      </c>
      <c r="H545" s="38" t="str">
        <f>VLOOKUP(Tabella13[[#This Row],[test_id]],experiments_specs!A:J,8,FALSE)</f>
        <v>True</v>
      </c>
      <c r="I545" s="38" t="str">
        <f>VLOOKUP(Tabella13[[#This Row],[test_id]],experiments_specs!A:J,9,FALSE)</f>
        <v>wup_similarity</v>
      </c>
      <c r="J545" s="38" t="str">
        <f>VLOOKUP(Tabella13[[#This Row],[test_id]],experiments_specs!A:J,10,FALSE)</f>
        <v>False</v>
      </c>
      <c r="K545" s="40" t="s">
        <v>17</v>
      </c>
      <c r="L545" s="36" t="s">
        <v>1397</v>
      </c>
      <c r="M545" s="36" t="s">
        <v>1314</v>
      </c>
      <c r="N545" s="36">
        <v>2.9543E-3</v>
      </c>
      <c r="O545" s="36" t="s">
        <v>1432</v>
      </c>
    </row>
    <row r="546" spans="1:15" ht="85" x14ac:dyDescent="0.2">
      <c r="A546" s="36" t="s">
        <v>1291</v>
      </c>
      <c r="B546" s="45" t="str">
        <f>VLOOKUP(Tabella13[[#This Row],[test_id]],experiments_specs!A:J,2,FALSE)</f>
        <v>NN,JJ,VB,VBD,VBG,VBN,VBP,VBZ</v>
      </c>
      <c r="C546" s="38">
        <f>VLOOKUP(Tabella13[[#This Row],[test_id]],experiments_specs!A:J,3,FALSE)</f>
        <v>0</v>
      </c>
      <c r="D546" s="38">
        <f>VLOOKUP(Tabella13[[#This Row],[test_id]],experiments_specs!A:J,4,FALSE)</f>
        <v>2</v>
      </c>
      <c r="E546" s="38" t="str">
        <f>VLOOKUP(Tabella13[[#This Row],[test_id]],experiments_specs!A:J,5,FALSE)</f>
        <v>False</v>
      </c>
      <c r="F546" s="38" t="str">
        <f>VLOOKUP(Tabella13[[#This Row],[test_id]],experiments_specs!A:J,6,FALSE)</f>
        <v>False</v>
      </c>
      <c r="G546" s="38" t="str">
        <f>VLOOKUP(Tabella13[[#This Row],[test_id]],experiments_specs!A:J,7,FALSE)</f>
        <v>False</v>
      </c>
      <c r="H546" s="38" t="str">
        <f>VLOOKUP(Tabella13[[#This Row],[test_id]],experiments_specs!A:J,8,FALSE)</f>
        <v>True</v>
      </c>
      <c r="I546" s="38" t="str">
        <f>VLOOKUP(Tabella13[[#This Row],[test_id]],experiments_specs!A:J,9,FALSE)</f>
        <v>wup_similarity</v>
      </c>
      <c r="J546" s="38" t="str">
        <f>VLOOKUP(Tabella13[[#This Row],[test_id]],experiments_specs!A:J,10,FALSE)</f>
        <v>False</v>
      </c>
      <c r="K546" s="40" t="s">
        <v>18</v>
      </c>
      <c r="L546" s="36" t="s">
        <v>1399</v>
      </c>
      <c r="M546" s="36" t="s">
        <v>1401</v>
      </c>
      <c r="N546" s="36">
        <v>1.3307E-3</v>
      </c>
      <c r="O546" s="36" t="s">
        <v>1460</v>
      </c>
    </row>
    <row r="547" spans="1:15" ht="85" x14ac:dyDescent="0.2">
      <c r="A547" s="36" t="s">
        <v>1292</v>
      </c>
      <c r="B547" s="45" t="str">
        <f>VLOOKUP(Tabella13[[#This Row],[test_id]],experiments_specs!A:J,2,FALSE)</f>
        <v>NN,JJ,VB,VBD,VBG,VBN,VBP,VBZ</v>
      </c>
      <c r="C547" s="38">
        <f>VLOOKUP(Tabella13[[#This Row],[test_id]],experiments_specs!A:J,3,FALSE)</f>
        <v>0</v>
      </c>
      <c r="D547" s="38">
        <f>VLOOKUP(Tabella13[[#This Row],[test_id]],experiments_specs!A:J,4,FALSE)</f>
        <v>3</v>
      </c>
      <c r="E547" s="38" t="str">
        <f>VLOOKUP(Tabella13[[#This Row],[test_id]],experiments_specs!A:J,5,FALSE)</f>
        <v>False</v>
      </c>
      <c r="F547" s="38" t="str">
        <f>VLOOKUP(Tabella13[[#This Row],[test_id]],experiments_specs!A:J,6,FALSE)</f>
        <v>False</v>
      </c>
      <c r="G547" s="38" t="str">
        <f>VLOOKUP(Tabella13[[#This Row],[test_id]],experiments_specs!A:J,7,FALSE)</f>
        <v>False</v>
      </c>
      <c r="H547" s="38" t="str">
        <f>VLOOKUP(Tabella13[[#This Row],[test_id]],experiments_specs!A:J,8,FALSE)</f>
        <v>True</v>
      </c>
      <c r="I547" s="38" t="str">
        <f>VLOOKUP(Tabella13[[#This Row],[test_id]],experiments_specs!A:J,9,FALSE)</f>
        <v>wup_similarity</v>
      </c>
      <c r="J547" s="38" t="str">
        <f>VLOOKUP(Tabella13[[#This Row],[test_id]],experiments_specs!A:J,10,FALSE)</f>
        <v>False</v>
      </c>
      <c r="K547" s="40" t="s">
        <v>19</v>
      </c>
      <c r="L547" s="36" t="s">
        <v>437</v>
      </c>
      <c r="M547" s="36">
        <v>1</v>
      </c>
      <c r="N547" s="36">
        <v>3.3281000000000001E-3</v>
      </c>
      <c r="O547" s="36">
        <v>0.117647</v>
      </c>
    </row>
    <row r="548" spans="1:15" ht="85" x14ac:dyDescent="0.2">
      <c r="A548" s="36" t="s">
        <v>1292</v>
      </c>
      <c r="B548" s="45" t="str">
        <f>VLOOKUP(Tabella13[[#This Row],[test_id]],experiments_specs!A:J,2,FALSE)</f>
        <v>NN,JJ,VB,VBD,VBG,VBN,VBP,VBZ</v>
      </c>
      <c r="C548" s="38">
        <f>VLOOKUP(Tabella13[[#This Row],[test_id]],experiments_specs!A:J,3,FALSE)</f>
        <v>0</v>
      </c>
      <c r="D548" s="38">
        <f>VLOOKUP(Tabella13[[#This Row],[test_id]],experiments_specs!A:J,4,FALSE)</f>
        <v>3</v>
      </c>
      <c r="E548" s="38" t="str">
        <f>VLOOKUP(Tabella13[[#This Row],[test_id]],experiments_specs!A:J,5,FALSE)</f>
        <v>False</v>
      </c>
      <c r="F548" s="38" t="str">
        <f>VLOOKUP(Tabella13[[#This Row],[test_id]],experiments_specs!A:J,6,FALSE)</f>
        <v>False</v>
      </c>
      <c r="G548" s="38" t="str">
        <f>VLOOKUP(Tabella13[[#This Row],[test_id]],experiments_specs!A:J,7,FALSE)</f>
        <v>False</v>
      </c>
      <c r="H548" s="38" t="str">
        <f>VLOOKUP(Tabella13[[#This Row],[test_id]],experiments_specs!A:J,8,FALSE)</f>
        <v>True</v>
      </c>
      <c r="I548" s="38" t="str">
        <f>VLOOKUP(Tabella13[[#This Row],[test_id]],experiments_specs!A:J,9,FALSE)</f>
        <v>wup_similarity</v>
      </c>
      <c r="J548" s="38" t="str">
        <f>VLOOKUP(Tabella13[[#This Row],[test_id]],experiments_specs!A:J,10,FALSE)</f>
        <v>False</v>
      </c>
      <c r="K548" s="40" t="s">
        <v>12</v>
      </c>
      <c r="L548" s="36" t="s">
        <v>1395</v>
      </c>
      <c r="M548" s="36" t="s">
        <v>1331</v>
      </c>
      <c r="N548" s="36">
        <v>3.5737E-3</v>
      </c>
      <c r="O548" s="36" t="s">
        <v>1436</v>
      </c>
    </row>
    <row r="549" spans="1:15" ht="85" x14ac:dyDescent="0.2">
      <c r="A549" s="36" t="s">
        <v>1292</v>
      </c>
      <c r="B549" s="45" t="str">
        <f>VLOOKUP(Tabella13[[#This Row],[test_id]],experiments_specs!A:J,2,FALSE)</f>
        <v>NN,JJ,VB,VBD,VBG,VBN,VBP,VBZ</v>
      </c>
      <c r="C549" s="38">
        <f>VLOOKUP(Tabella13[[#This Row],[test_id]],experiments_specs!A:J,3,FALSE)</f>
        <v>0</v>
      </c>
      <c r="D549" s="38">
        <f>VLOOKUP(Tabella13[[#This Row],[test_id]],experiments_specs!A:J,4,FALSE)</f>
        <v>3</v>
      </c>
      <c r="E549" s="38" t="str">
        <f>VLOOKUP(Tabella13[[#This Row],[test_id]],experiments_specs!A:J,5,FALSE)</f>
        <v>False</v>
      </c>
      <c r="F549" s="38" t="str">
        <f>VLOOKUP(Tabella13[[#This Row],[test_id]],experiments_specs!A:J,6,FALSE)</f>
        <v>False</v>
      </c>
      <c r="G549" s="38" t="str">
        <f>VLOOKUP(Tabella13[[#This Row],[test_id]],experiments_specs!A:J,7,FALSE)</f>
        <v>False</v>
      </c>
      <c r="H549" s="38" t="str">
        <f>VLOOKUP(Tabella13[[#This Row],[test_id]],experiments_specs!A:J,8,FALSE)</f>
        <v>True</v>
      </c>
      <c r="I549" s="38" t="str">
        <f>VLOOKUP(Tabella13[[#This Row],[test_id]],experiments_specs!A:J,9,FALSE)</f>
        <v>wup_similarity</v>
      </c>
      <c r="J549" s="38" t="str">
        <f>VLOOKUP(Tabella13[[#This Row],[test_id]],experiments_specs!A:J,10,FALSE)</f>
        <v>False</v>
      </c>
      <c r="K549" s="40" t="s">
        <v>13</v>
      </c>
      <c r="L549" s="36" t="s">
        <v>426</v>
      </c>
      <c r="M549" s="36">
        <v>2</v>
      </c>
      <c r="N549" s="36">
        <v>6.3914999999999996E-3</v>
      </c>
      <c r="O549" s="36" t="s">
        <v>25</v>
      </c>
    </row>
    <row r="550" spans="1:15" ht="85" x14ac:dyDescent="0.2">
      <c r="A550" s="36" t="s">
        <v>1292</v>
      </c>
      <c r="B550" s="45" t="str">
        <f>VLOOKUP(Tabella13[[#This Row],[test_id]],experiments_specs!A:J,2,FALSE)</f>
        <v>NN,JJ,VB,VBD,VBG,VBN,VBP,VBZ</v>
      </c>
      <c r="C550" s="38">
        <f>VLOOKUP(Tabella13[[#This Row],[test_id]],experiments_specs!A:J,3,FALSE)</f>
        <v>0</v>
      </c>
      <c r="D550" s="38">
        <f>VLOOKUP(Tabella13[[#This Row],[test_id]],experiments_specs!A:J,4,FALSE)</f>
        <v>3</v>
      </c>
      <c r="E550" s="38" t="str">
        <f>VLOOKUP(Tabella13[[#This Row],[test_id]],experiments_specs!A:J,5,FALSE)</f>
        <v>False</v>
      </c>
      <c r="F550" s="38" t="str">
        <f>VLOOKUP(Tabella13[[#This Row],[test_id]],experiments_specs!A:J,6,FALSE)</f>
        <v>False</v>
      </c>
      <c r="G550" s="38" t="str">
        <f>VLOOKUP(Tabella13[[#This Row],[test_id]],experiments_specs!A:J,7,FALSE)</f>
        <v>False</v>
      </c>
      <c r="H550" s="38" t="str">
        <f>VLOOKUP(Tabella13[[#This Row],[test_id]],experiments_specs!A:J,8,FALSE)</f>
        <v>True</v>
      </c>
      <c r="I550" s="38" t="str">
        <f>VLOOKUP(Tabella13[[#This Row],[test_id]],experiments_specs!A:J,9,FALSE)</f>
        <v>wup_similarity</v>
      </c>
      <c r="J550" s="38" t="str">
        <f>VLOOKUP(Tabella13[[#This Row],[test_id]],experiments_specs!A:J,10,FALSE)</f>
        <v>False</v>
      </c>
      <c r="K550" s="40" t="s">
        <v>14</v>
      </c>
      <c r="L550" s="36" t="s">
        <v>1345</v>
      </c>
      <c r="M550" s="36" t="s">
        <v>1314</v>
      </c>
      <c r="N550" s="36">
        <v>3.4462E-3</v>
      </c>
      <c r="O550" s="36" t="s">
        <v>1347</v>
      </c>
    </row>
    <row r="551" spans="1:15" ht="85" x14ac:dyDescent="0.2">
      <c r="A551" s="36" t="s">
        <v>1292</v>
      </c>
      <c r="B551" s="45" t="str">
        <f>VLOOKUP(Tabella13[[#This Row],[test_id]],experiments_specs!A:J,2,FALSE)</f>
        <v>NN,JJ,VB,VBD,VBG,VBN,VBP,VBZ</v>
      </c>
      <c r="C551" s="38">
        <f>VLOOKUP(Tabella13[[#This Row],[test_id]],experiments_specs!A:J,3,FALSE)</f>
        <v>0</v>
      </c>
      <c r="D551" s="38">
        <f>VLOOKUP(Tabella13[[#This Row],[test_id]],experiments_specs!A:J,4,FALSE)</f>
        <v>3</v>
      </c>
      <c r="E551" s="38" t="str">
        <f>VLOOKUP(Tabella13[[#This Row],[test_id]],experiments_specs!A:J,5,FALSE)</f>
        <v>False</v>
      </c>
      <c r="F551" s="38" t="str">
        <f>VLOOKUP(Tabella13[[#This Row],[test_id]],experiments_specs!A:J,6,FALSE)</f>
        <v>False</v>
      </c>
      <c r="G551" s="38" t="str">
        <f>VLOOKUP(Tabella13[[#This Row],[test_id]],experiments_specs!A:J,7,FALSE)</f>
        <v>False</v>
      </c>
      <c r="H551" s="38" t="str">
        <f>VLOOKUP(Tabella13[[#This Row],[test_id]],experiments_specs!A:J,8,FALSE)</f>
        <v>True</v>
      </c>
      <c r="I551" s="38" t="str">
        <f>VLOOKUP(Tabella13[[#This Row],[test_id]],experiments_specs!A:J,9,FALSE)</f>
        <v>wup_similarity</v>
      </c>
      <c r="J551" s="38" t="str">
        <f>VLOOKUP(Tabella13[[#This Row],[test_id]],experiments_specs!A:J,10,FALSE)</f>
        <v>False</v>
      </c>
      <c r="K551" s="40" t="s">
        <v>15</v>
      </c>
      <c r="L551" s="36" t="s">
        <v>443</v>
      </c>
      <c r="M551" s="36">
        <v>2</v>
      </c>
      <c r="N551" s="36">
        <v>3.9822E-3</v>
      </c>
      <c r="O551" s="36">
        <v>0.2</v>
      </c>
    </row>
    <row r="552" spans="1:15" ht="85" x14ac:dyDescent="0.2">
      <c r="A552" s="36" t="s">
        <v>1292</v>
      </c>
      <c r="B552" s="45" t="str">
        <f>VLOOKUP(Tabella13[[#This Row],[test_id]],experiments_specs!A:J,2,FALSE)</f>
        <v>NN,JJ,VB,VBD,VBG,VBN,VBP,VBZ</v>
      </c>
      <c r="C552" s="38">
        <f>VLOOKUP(Tabella13[[#This Row],[test_id]],experiments_specs!A:J,3,FALSE)</f>
        <v>0</v>
      </c>
      <c r="D552" s="38">
        <f>VLOOKUP(Tabella13[[#This Row],[test_id]],experiments_specs!A:J,4,FALSE)</f>
        <v>3</v>
      </c>
      <c r="E552" s="38" t="str">
        <f>VLOOKUP(Tabella13[[#This Row],[test_id]],experiments_specs!A:J,5,FALSE)</f>
        <v>False</v>
      </c>
      <c r="F552" s="38" t="str">
        <f>VLOOKUP(Tabella13[[#This Row],[test_id]],experiments_specs!A:J,6,FALSE)</f>
        <v>False</v>
      </c>
      <c r="G552" s="38" t="str">
        <f>VLOOKUP(Tabella13[[#This Row],[test_id]],experiments_specs!A:J,7,FALSE)</f>
        <v>False</v>
      </c>
      <c r="H552" s="38" t="str">
        <f>VLOOKUP(Tabella13[[#This Row],[test_id]],experiments_specs!A:J,8,FALSE)</f>
        <v>True</v>
      </c>
      <c r="I552" s="38" t="str">
        <f>VLOOKUP(Tabella13[[#This Row],[test_id]],experiments_specs!A:J,9,FALSE)</f>
        <v>wup_similarity</v>
      </c>
      <c r="J552" s="38" t="str">
        <f>VLOOKUP(Tabella13[[#This Row],[test_id]],experiments_specs!A:J,10,FALSE)</f>
        <v>False</v>
      </c>
      <c r="K552" s="40" t="s">
        <v>16</v>
      </c>
      <c r="L552" s="36" t="s">
        <v>445</v>
      </c>
      <c r="M552" s="36">
        <v>1</v>
      </c>
      <c r="N552" s="36">
        <v>4.9997000000000002E-3</v>
      </c>
      <c r="O552" s="36">
        <v>0.14285709999999999</v>
      </c>
    </row>
    <row r="553" spans="1:15" ht="85" x14ac:dyDescent="0.2">
      <c r="A553" s="36" t="s">
        <v>1292</v>
      </c>
      <c r="B553" s="45" t="str">
        <f>VLOOKUP(Tabella13[[#This Row],[test_id]],experiments_specs!A:J,2,FALSE)</f>
        <v>NN,JJ,VB,VBD,VBG,VBN,VBP,VBZ</v>
      </c>
      <c r="C553" s="38">
        <f>VLOOKUP(Tabella13[[#This Row],[test_id]],experiments_specs!A:J,3,FALSE)</f>
        <v>0</v>
      </c>
      <c r="D553" s="38">
        <f>VLOOKUP(Tabella13[[#This Row],[test_id]],experiments_specs!A:J,4,FALSE)</f>
        <v>3</v>
      </c>
      <c r="E553" s="38" t="str">
        <f>VLOOKUP(Tabella13[[#This Row],[test_id]],experiments_specs!A:J,5,FALSE)</f>
        <v>False</v>
      </c>
      <c r="F553" s="38" t="str">
        <f>VLOOKUP(Tabella13[[#This Row],[test_id]],experiments_specs!A:J,6,FALSE)</f>
        <v>False</v>
      </c>
      <c r="G553" s="38" t="str">
        <f>VLOOKUP(Tabella13[[#This Row],[test_id]],experiments_specs!A:J,7,FALSE)</f>
        <v>False</v>
      </c>
      <c r="H553" s="38" t="str">
        <f>VLOOKUP(Tabella13[[#This Row],[test_id]],experiments_specs!A:J,8,FALSE)</f>
        <v>True</v>
      </c>
      <c r="I553" s="38" t="str">
        <f>VLOOKUP(Tabella13[[#This Row],[test_id]],experiments_specs!A:J,9,FALSE)</f>
        <v>wup_similarity</v>
      </c>
      <c r="J553" s="38" t="str">
        <f>VLOOKUP(Tabella13[[#This Row],[test_id]],experiments_specs!A:J,10,FALSE)</f>
        <v>False</v>
      </c>
      <c r="K553" s="40" t="s">
        <v>17</v>
      </c>
      <c r="L553" s="36" t="s">
        <v>1397</v>
      </c>
      <c r="M553" s="36" t="s">
        <v>1314</v>
      </c>
      <c r="N553" s="36">
        <v>2.9543E-3</v>
      </c>
      <c r="O553" s="36" t="s">
        <v>1432</v>
      </c>
    </row>
    <row r="554" spans="1:15" ht="85" x14ac:dyDescent="0.2">
      <c r="A554" s="36" t="s">
        <v>1292</v>
      </c>
      <c r="B554" s="45" t="str">
        <f>VLOOKUP(Tabella13[[#This Row],[test_id]],experiments_specs!A:J,2,FALSE)</f>
        <v>NN,JJ,VB,VBD,VBG,VBN,VBP,VBZ</v>
      </c>
      <c r="C554" s="38">
        <f>VLOOKUP(Tabella13[[#This Row],[test_id]],experiments_specs!A:J,3,FALSE)</f>
        <v>0</v>
      </c>
      <c r="D554" s="38">
        <f>VLOOKUP(Tabella13[[#This Row],[test_id]],experiments_specs!A:J,4,FALSE)</f>
        <v>3</v>
      </c>
      <c r="E554" s="38" t="str">
        <f>VLOOKUP(Tabella13[[#This Row],[test_id]],experiments_specs!A:J,5,FALSE)</f>
        <v>False</v>
      </c>
      <c r="F554" s="38" t="str">
        <f>VLOOKUP(Tabella13[[#This Row],[test_id]],experiments_specs!A:J,6,FALSE)</f>
        <v>False</v>
      </c>
      <c r="G554" s="38" t="str">
        <f>VLOOKUP(Tabella13[[#This Row],[test_id]],experiments_specs!A:J,7,FALSE)</f>
        <v>False</v>
      </c>
      <c r="H554" s="38" t="str">
        <f>VLOOKUP(Tabella13[[#This Row],[test_id]],experiments_specs!A:J,8,FALSE)</f>
        <v>True</v>
      </c>
      <c r="I554" s="38" t="str">
        <f>VLOOKUP(Tabella13[[#This Row],[test_id]],experiments_specs!A:J,9,FALSE)</f>
        <v>wup_similarity</v>
      </c>
      <c r="J554" s="38" t="str">
        <f>VLOOKUP(Tabella13[[#This Row],[test_id]],experiments_specs!A:J,10,FALSE)</f>
        <v>False</v>
      </c>
      <c r="K554" s="40" t="s">
        <v>18</v>
      </c>
      <c r="L554" s="36" t="s">
        <v>1399</v>
      </c>
      <c r="M554" s="36" t="s">
        <v>1401</v>
      </c>
      <c r="N554" s="36">
        <v>1.3307E-3</v>
      </c>
      <c r="O554" s="36" t="s">
        <v>1460</v>
      </c>
    </row>
    <row r="555" spans="1:15" ht="85" x14ac:dyDescent="0.2">
      <c r="A555" s="36" t="s">
        <v>1293</v>
      </c>
      <c r="B555" s="45" t="str">
        <f>VLOOKUP(Tabella13[[#This Row],[test_id]],experiments_specs!A:J,2,FALSE)</f>
        <v>NN,JJ</v>
      </c>
      <c r="C555" s="38">
        <f>VLOOKUP(Tabella13[[#This Row],[test_id]],experiments_specs!A:J,3,FALSE)</f>
        <v>0</v>
      </c>
      <c r="D555" s="38">
        <f>VLOOKUP(Tabella13[[#This Row],[test_id]],experiments_specs!A:J,4,FALSE)</f>
        <v>2</v>
      </c>
      <c r="E555" s="38" t="str">
        <f>VLOOKUP(Tabella13[[#This Row],[test_id]],experiments_specs!A:J,5,FALSE)</f>
        <v>True</v>
      </c>
      <c r="F555" s="38" t="str">
        <f>VLOOKUP(Tabella13[[#This Row],[test_id]],experiments_specs!A:J,6,FALSE)</f>
        <v>False</v>
      </c>
      <c r="G555" s="38" t="str">
        <f>VLOOKUP(Tabella13[[#This Row],[test_id]],experiments_specs!A:J,7,FALSE)</f>
        <v>False</v>
      </c>
      <c r="H555" s="38" t="str">
        <f>VLOOKUP(Tabella13[[#This Row],[test_id]],experiments_specs!A:J,8,FALSE)</f>
        <v>True</v>
      </c>
      <c r="I555" s="38" t="str">
        <f>VLOOKUP(Tabella13[[#This Row],[test_id]],experiments_specs!A:J,9,FALSE)</f>
        <v>wup_similarity</v>
      </c>
      <c r="J555" s="38" t="str">
        <f>VLOOKUP(Tabella13[[#This Row],[test_id]],experiments_specs!A:J,10,FALSE)</f>
        <v>False</v>
      </c>
      <c r="K555" s="40" t="s">
        <v>19</v>
      </c>
      <c r="L555" s="36" t="s">
        <v>1402</v>
      </c>
      <c r="M555" s="36">
        <v>3</v>
      </c>
      <c r="N555" s="36">
        <v>2.5636099999999998E-2</v>
      </c>
      <c r="O555" s="36">
        <v>0.18181810000000001</v>
      </c>
    </row>
    <row r="556" spans="1:15" ht="85" x14ac:dyDescent="0.2">
      <c r="A556" s="36" t="s">
        <v>1293</v>
      </c>
      <c r="B556" s="45" t="str">
        <f>VLOOKUP(Tabella13[[#This Row],[test_id]],experiments_specs!A:J,2,FALSE)</f>
        <v>NN,JJ</v>
      </c>
      <c r="C556" s="38">
        <f>VLOOKUP(Tabella13[[#This Row],[test_id]],experiments_specs!A:J,3,FALSE)</f>
        <v>0</v>
      </c>
      <c r="D556" s="38">
        <f>VLOOKUP(Tabella13[[#This Row],[test_id]],experiments_specs!A:J,4,FALSE)</f>
        <v>2</v>
      </c>
      <c r="E556" s="38" t="str">
        <f>VLOOKUP(Tabella13[[#This Row],[test_id]],experiments_specs!A:J,5,FALSE)</f>
        <v>True</v>
      </c>
      <c r="F556" s="38" t="str">
        <f>VLOOKUP(Tabella13[[#This Row],[test_id]],experiments_specs!A:J,6,FALSE)</f>
        <v>False</v>
      </c>
      <c r="G556" s="38" t="str">
        <f>VLOOKUP(Tabella13[[#This Row],[test_id]],experiments_specs!A:J,7,FALSE)</f>
        <v>False</v>
      </c>
      <c r="H556" s="38" t="str">
        <f>VLOOKUP(Tabella13[[#This Row],[test_id]],experiments_specs!A:J,8,FALSE)</f>
        <v>True</v>
      </c>
      <c r="I556" s="38" t="str">
        <f>VLOOKUP(Tabella13[[#This Row],[test_id]],experiments_specs!A:J,9,FALSE)</f>
        <v>wup_similarity</v>
      </c>
      <c r="J556" s="38" t="str">
        <f>VLOOKUP(Tabella13[[#This Row],[test_id]],experiments_specs!A:J,10,FALSE)</f>
        <v>False</v>
      </c>
      <c r="K556" s="40" t="s">
        <v>12</v>
      </c>
      <c r="L556" s="36" t="s">
        <v>1403</v>
      </c>
      <c r="M556" s="36">
        <v>3</v>
      </c>
      <c r="N556" s="36">
        <v>2.9695599999999999E-2</v>
      </c>
      <c r="O556" s="36">
        <v>0.4</v>
      </c>
    </row>
    <row r="557" spans="1:15" ht="85" x14ac:dyDescent="0.2">
      <c r="A557" s="36" t="s">
        <v>1293</v>
      </c>
      <c r="B557" s="45" t="str">
        <f>VLOOKUP(Tabella13[[#This Row],[test_id]],experiments_specs!A:J,2,FALSE)</f>
        <v>NN,JJ</v>
      </c>
      <c r="C557" s="38">
        <f>VLOOKUP(Tabella13[[#This Row],[test_id]],experiments_specs!A:J,3,FALSE)</f>
        <v>0</v>
      </c>
      <c r="D557" s="38">
        <f>VLOOKUP(Tabella13[[#This Row],[test_id]],experiments_specs!A:J,4,FALSE)</f>
        <v>2</v>
      </c>
      <c r="E557" s="38" t="str">
        <f>VLOOKUP(Tabella13[[#This Row],[test_id]],experiments_specs!A:J,5,FALSE)</f>
        <v>True</v>
      </c>
      <c r="F557" s="38" t="str">
        <f>VLOOKUP(Tabella13[[#This Row],[test_id]],experiments_specs!A:J,6,FALSE)</f>
        <v>False</v>
      </c>
      <c r="G557" s="38" t="str">
        <f>VLOOKUP(Tabella13[[#This Row],[test_id]],experiments_specs!A:J,7,FALSE)</f>
        <v>False</v>
      </c>
      <c r="H557" s="38" t="str">
        <f>VLOOKUP(Tabella13[[#This Row],[test_id]],experiments_specs!A:J,8,FALSE)</f>
        <v>True</v>
      </c>
      <c r="I557" s="38" t="str">
        <f>VLOOKUP(Tabella13[[#This Row],[test_id]],experiments_specs!A:J,9,FALSE)</f>
        <v>wup_similarity</v>
      </c>
      <c r="J557" s="38" t="str">
        <f>VLOOKUP(Tabella13[[#This Row],[test_id]],experiments_specs!A:J,10,FALSE)</f>
        <v>False</v>
      </c>
      <c r="K557" s="40" t="s">
        <v>13</v>
      </c>
      <c r="L557" s="36" t="s">
        <v>908</v>
      </c>
      <c r="M557" s="36">
        <v>2</v>
      </c>
      <c r="N557" s="36">
        <v>3.0070300000000001E-2</v>
      </c>
      <c r="O557" s="36" t="s">
        <v>25</v>
      </c>
    </row>
    <row r="558" spans="1:15" ht="85" x14ac:dyDescent="0.2">
      <c r="A558" s="36" t="s">
        <v>1293</v>
      </c>
      <c r="B558" s="45" t="str">
        <f>VLOOKUP(Tabella13[[#This Row],[test_id]],experiments_specs!A:J,2,FALSE)</f>
        <v>NN,JJ</v>
      </c>
      <c r="C558" s="38">
        <f>VLOOKUP(Tabella13[[#This Row],[test_id]],experiments_specs!A:J,3,FALSE)</f>
        <v>0</v>
      </c>
      <c r="D558" s="38">
        <f>VLOOKUP(Tabella13[[#This Row],[test_id]],experiments_specs!A:J,4,FALSE)</f>
        <v>2</v>
      </c>
      <c r="E558" s="38" t="str">
        <f>VLOOKUP(Tabella13[[#This Row],[test_id]],experiments_specs!A:J,5,FALSE)</f>
        <v>True</v>
      </c>
      <c r="F558" s="38" t="str">
        <f>VLOOKUP(Tabella13[[#This Row],[test_id]],experiments_specs!A:J,6,FALSE)</f>
        <v>False</v>
      </c>
      <c r="G558" s="38" t="str">
        <f>VLOOKUP(Tabella13[[#This Row],[test_id]],experiments_specs!A:J,7,FALSE)</f>
        <v>False</v>
      </c>
      <c r="H558" s="38" t="str">
        <f>VLOOKUP(Tabella13[[#This Row],[test_id]],experiments_specs!A:J,8,FALSE)</f>
        <v>True</v>
      </c>
      <c r="I558" s="38" t="str">
        <f>VLOOKUP(Tabella13[[#This Row],[test_id]],experiments_specs!A:J,9,FALSE)</f>
        <v>wup_similarity</v>
      </c>
      <c r="J558" s="38" t="str">
        <f>VLOOKUP(Tabella13[[#This Row],[test_id]],experiments_specs!A:J,10,FALSE)</f>
        <v>False</v>
      </c>
      <c r="K558" s="40" t="s">
        <v>14</v>
      </c>
      <c r="L558" s="36" t="s">
        <v>1404</v>
      </c>
      <c r="M558" s="36">
        <v>3</v>
      </c>
      <c r="N558" s="36">
        <v>1.5379200000000001E-2</v>
      </c>
      <c r="O558" s="36">
        <v>0.30769229999999997</v>
      </c>
    </row>
    <row r="559" spans="1:15" ht="85" x14ac:dyDescent="0.2">
      <c r="A559" s="36" t="s">
        <v>1293</v>
      </c>
      <c r="B559" s="45" t="str">
        <f>VLOOKUP(Tabella13[[#This Row],[test_id]],experiments_specs!A:J,2,FALSE)</f>
        <v>NN,JJ</v>
      </c>
      <c r="C559" s="38">
        <f>VLOOKUP(Tabella13[[#This Row],[test_id]],experiments_specs!A:J,3,FALSE)</f>
        <v>0</v>
      </c>
      <c r="D559" s="38">
        <f>VLOOKUP(Tabella13[[#This Row],[test_id]],experiments_specs!A:J,4,FALSE)</f>
        <v>2</v>
      </c>
      <c r="E559" s="38" t="str">
        <f>VLOOKUP(Tabella13[[#This Row],[test_id]],experiments_specs!A:J,5,FALSE)</f>
        <v>True</v>
      </c>
      <c r="F559" s="38" t="str">
        <f>VLOOKUP(Tabella13[[#This Row],[test_id]],experiments_specs!A:J,6,FALSE)</f>
        <v>False</v>
      </c>
      <c r="G559" s="38" t="str">
        <f>VLOOKUP(Tabella13[[#This Row],[test_id]],experiments_specs!A:J,7,FALSE)</f>
        <v>False</v>
      </c>
      <c r="H559" s="38" t="str">
        <f>VLOOKUP(Tabella13[[#This Row],[test_id]],experiments_specs!A:J,8,FALSE)</f>
        <v>True</v>
      </c>
      <c r="I559" s="38" t="str">
        <f>VLOOKUP(Tabella13[[#This Row],[test_id]],experiments_specs!A:J,9,FALSE)</f>
        <v>wup_similarity</v>
      </c>
      <c r="J559" s="38" t="str">
        <f>VLOOKUP(Tabella13[[#This Row],[test_id]],experiments_specs!A:J,10,FALSE)</f>
        <v>False</v>
      </c>
      <c r="K559" s="40" t="s">
        <v>15</v>
      </c>
      <c r="L559" s="36" t="s">
        <v>1405</v>
      </c>
      <c r="M559" s="36">
        <v>1</v>
      </c>
      <c r="N559" s="36">
        <v>4.4904100000000002E-2</v>
      </c>
      <c r="O559" s="36">
        <v>0.90909090000000004</v>
      </c>
    </row>
    <row r="560" spans="1:15" ht="85" x14ac:dyDescent="0.2">
      <c r="A560" s="36" t="s">
        <v>1293</v>
      </c>
      <c r="B560" s="45" t="str">
        <f>VLOOKUP(Tabella13[[#This Row],[test_id]],experiments_specs!A:J,2,FALSE)</f>
        <v>NN,JJ</v>
      </c>
      <c r="C560" s="38">
        <f>VLOOKUP(Tabella13[[#This Row],[test_id]],experiments_specs!A:J,3,FALSE)</f>
        <v>0</v>
      </c>
      <c r="D560" s="38">
        <f>VLOOKUP(Tabella13[[#This Row],[test_id]],experiments_specs!A:J,4,FALSE)</f>
        <v>2</v>
      </c>
      <c r="E560" s="38" t="str">
        <f>VLOOKUP(Tabella13[[#This Row],[test_id]],experiments_specs!A:J,5,FALSE)</f>
        <v>True</v>
      </c>
      <c r="F560" s="38" t="str">
        <f>VLOOKUP(Tabella13[[#This Row],[test_id]],experiments_specs!A:J,6,FALSE)</f>
        <v>False</v>
      </c>
      <c r="G560" s="38" t="str">
        <f>VLOOKUP(Tabella13[[#This Row],[test_id]],experiments_specs!A:J,7,FALSE)</f>
        <v>False</v>
      </c>
      <c r="H560" s="38" t="str">
        <f>VLOOKUP(Tabella13[[#This Row],[test_id]],experiments_specs!A:J,8,FALSE)</f>
        <v>True</v>
      </c>
      <c r="I560" s="38" t="str">
        <f>VLOOKUP(Tabella13[[#This Row],[test_id]],experiments_specs!A:J,9,FALSE)</f>
        <v>wup_similarity</v>
      </c>
      <c r="J560" s="38" t="str">
        <f>VLOOKUP(Tabella13[[#This Row],[test_id]],experiments_specs!A:J,10,FALSE)</f>
        <v>False</v>
      </c>
      <c r="K560" s="40" t="s">
        <v>16</v>
      </c>
      <c r="L560" s="36" t="s">
        <v>1406</v>
      </c>
      <c r="M560" s="36">
        <v>-2</v>
      </c>
      <c r="N560" s="36">
        <v>2.75632E-2</v>
      </c>
      <c r="O560" s="36">
        <v>0.125</v>
      </c>
    </row>
    <row r="561" spans="1:15" ht="85" x14ac:dyDescent="0.2">
      <c r="A561" s="36" t="s">
        <v>1293</v>
      </c>
      <c r="B561" s="45" t="str">
        <f>VLOOKUP(Tabella13[[#This Row],[test_id]],experiments_specs!A:J,2,FALSE)</f>
        <v>NN,JJ</v>
      </c>
      <c r="C561" s="38">
        <f>VLOOKUP(Tabella13[[#This Row],[test_id]],experiments_specs!A:J,3,FALSE)</f>
        <v>0</v>
      </c>
      <c r="D561" s="38">
        <f>VLOOKUP(Tabella13[[#This Row],[test_id]],experiments_specs!A:J,4,FALSE)</f>
        <v>2</v>
      </c>
      <c r="E561" s="38" t="str">
        <f>VLOOKUP(Tabella13[[#This Row],[test_id]],experiments_specs!A:J,5,FALSE)</f>
        <v>True</v>
      </c>
      <c r="F561" s="38" t="str">
        <f>VLOOKUP(Tabella13[[#This Row],[test_id]],experiments_specs!A:J,6,FALSE)</f>
        <v>False</v>
      </c>
      <c r="G561" s="38" t="str">
        <f>VLOOKUP(Tabella13[[#This Row],[test_id]],experiments_specs!A:J,7,FALSE)</f>
        <v>False</v>
      </c>
      <c r="H561" s="38" t="str">
        <f>VLOOKUP(Tabella13[[#This Row],[test_id]],experiments_specs!A:J,8,FALSE)</f>
        <v>True</v>
      </c>
      <c r="I561" s="38" t="str">
        <f>VLOOKUP(Tabella13[[#This Row],[test_id]],experiments_specs!A:J,9,FALSE)</f>
        <v>wup_similarity</v>
      </c>
      <c r="J561" s="38" t="str">
        <f>VLOOKUP(Tabella13[[#This Row],[test_id]],experiments_specs!A:J,10,FALSE)</f>
        <v>False</v>
      </c>
      <c r="K561" s="40" t="s">
        <v>17</v>
      </c>
      <c r="L561" s="36" t="s">
        <v>1407</v>
      </c>
      <c r="M561" s="36">
        <v>-1</v>
      </c>
      <c r="N561" s="36">
        <v>3.1139900000000002E-2</v>
      </c>
      <c r="O561" s="36">
        <v>0.15384610000000001</v>
      </c>
    </row>
    <row r="562" spans="1:15" ht="85" x14ac:dyDescent="0.2">
      <c r="A562" s="36" t="s">
        <v>1293</v>
      </c>
      <c r="B562" s="45" t="str">
        <f>VLOOKUP(Tabella13[[#This Row],[test_id]],experiments_specs!A:J,2,FALSE)</f>
        <v>NN,JJ</v>
      </c>
      <c r="C562" s="38">
        <f>VLOOKUP(Tabella13[[#This Row],[test_id]],experiments_specs!A:J,3,FALSE)</f>
        <v>0</v>
      </c>
      <c r="D562" s="38">
        <f>VLOOKUP(Tabella13[[#This Row],[test_id]],experiments_specs!A:J,4,FALSE)</f>
        <v>2</v>
      </c>
      <c r="E562" s="38" t="str">
        <f>VLOOKUP(Tabella13[[#This Row],[test_id]],experiments_specs!A:J,5,FALSE)</f>
        <v>True</v>
      </c>
      <c r="F562" s="38" t="str">
        <f>VLOOKUP(Tabella13[[#This Row],[test_id]],experiments_specs!A:J,6,FALSE)</f>
        <v>False</v>
      </c>
      <c r="G562" s="38" t="str">
        <f>VLOOKUP(Tabella13[[#This Row],[test_id]],experiments_specs!A:J,7,FALSE)</f>
        <v>False</v>
      </c>
      <c r="H562" s="38" t="str">
        <f>VLOOKUP(Tabella13[[#This Row],[test_id]],experiments_specs!A:J,8,FALSE)</f>
        <v>True</v>
      </c>
      <c r="I562" s="38" t="str">
        <f>VLOOKUP(Tabella13[[#This Row],[test_id]],experiments_specs!A:J,9,FALSE)</f>
        <v>wup_similarity</v>
      </c>
      <c r="J562" s="38" t="str">
        <f>VLOOKUP(Tabella13[[#This Row],[test_id]],experiments_specs!A:J,10,FALSE)</f>
        <v>False</v>
      </c>
      <c r="K562" s="40" t="s">
        <v>18</v>
      </c>
      <c r="L562" s="36" t="s">
        <v>1408</v>
      </c>
      <c r="M562" s="36">
        <v>2</v>
      </c>
      <c r="N562" s="36">
        <v>2.66816E-2</v>
      </c>
      <c r="O562" s="36">
        <v>0.2105263</v>
      </c>
    </row>
    <row r="563" spans="1:15" ht="85" x14ac:dyDescent="0.2">
      <c r="A563" s="36" t="s">
        <v>1294</v>
      </c>
      <c r="B563" s="45" t="str">
        <f>VLOOKUP(Tabella13[[#This Row],[test_id]],experiments_specs!A:J,2,FALSE)</f>
        <v>NN,JJ</v>
      </c>
      <c r="C563" s="38">
        <f>VLOOKUP(Tabella13[[#This Row],[test_id]],experiments_specs!A:J,3,FALSE)</f>
        <v>0</v>
      </c>
      <c r="D563" s="38">
        <f>VLOOKUP(Tabella13[[#This Row],[test_id]],experiments_specs!A:J,4,FALSE)</f>
        <v>3</v>
      </c>
      <c r="E563" s="38" t="str">
        <f>VLOOKUP(Tabella13[[#This Row],[test_id]],experiments_specs!A:J,5,FALSE)</f>
        <v>True</v>
      </c>
      <c r="F563" s="38" t="str">
        <f>VLOOKUP(Tabella13[[#This Row],[test_id]],experiments_specs!A:J,6,FALSE)</f>
        <v>False</v>
      </c>
      <c r="G563" s="38" t="str">
        <f>VLOOKUP(Tabella13[[#This Row],[test_id]],experiments_specs!A:J,7,FALSE)</f>
        <v>False</v>
      </c>
      <c r="H563" s="38" t="str">
        <f>VLOOKUP(Tabella13[[#This Row],[test_id]],experiments_specs!A:J,8,FALSE)</f>
        <v>True</v>
      </c>
      <c r="I563" s="38" t="str">
        <f>VLOOKUP(Tabella13[[#This Row],[test_id]],experiments_specs!A:J,9,FALSE)</f>
        <v>wup_similarity</v>
      </c>
      <c r="J563" s="38" t="str">
        <f>VLOOKUP(Tabella13[[#This Row],[test_id]],experiments_specs!A:J,10,FALSE)</f>
        <v>False</v>
      </c>
      <c r="K563" s="40" t="s">
        <v>19</v>
      </c>
      <c r="L563" s="36" t="s">
        <v>1402</v>
      </c>
      <c r="M563" s="36">
        <v>3</v>
      </c>
      <c r="N563" s="36">
        <v>2.5636099999999998E-2</v>
      </c>
      <c r="O563" s="36">
        <v>0.18181810000000001</v>
      </c>
    </row>
    <row r="564" spans="1:15" ht="85" x14ac:dyDescent="0.2">
      <c r="A564" s="36" t="s">
        <v>1294</v>
      </c>
      <c r="B564" s="45" t="str">
        <f>VLOOKUP(Tabella13[[#This Row],[test_id]],experiments_specs!A:J,2,FALSE)</f>
        <v>NN,JJ</v>
      </c>
      <c r="C564" s="38">
        <f>VLOOKUP(Tabella13[[#This Row],[test_id]],experiments_specs!A:J,3,FALSE)</f>
        <v>0</v>
      </c>
      <c r="D564" s="38">
        <f>VLOOKUP(Tabella13[[#This Row],[test_id]],experiments_specs!A:J,4,FALSE)</f>
        <v>3</v>
      </c>
      <c r="E564" s="38" t="str">
        <f>VLOOKUP(Tabella13[[#This Row],[test_id]],experiments_specs!A:J,5,FALSE)</f>
        <v>True</v>
      </c>
      <c r="F564" s="38" t="str">
        <f>VLOOKUP(Tabella13[[#This Row],[test_id]],experiments_specs!A:J,6,FALSE)</f>
        <v>False</v>
      </c>
      <c r="G564" s="38" t="str">
        <f>VLOOKUP(Tabella13[[#This Row],[test_id]],experiments_specs!A:J,7,FALSE)</f>
        <v>False</v>
      </c>
      <c r="H564" s="38" t="str">
        <f>VLOOKUP(Tabella13[[#This Row],[test_id]],experiments_specs!A:J,8,FALSE)</f>
        <v>True</v>
      </c>
      <c r="I564" s="38" t="str">
        <f>VLOOKUP(Tabella13[[#This Row],[test_id]],experiments_specs!A:J,9,FALSE)</f>
        <v>wup_similarity</v>
      </c>
      <c r="J564" s="38" t="str">
        <f>VLOOKUP(Tabella13[[#This Row],[test_id]],experiments_specs!A:J,10,FALSE)</f>
        <v>False</v>
      </c>
      <c r="K564" s="40" t="s">
        <v>12</v>
      </c>
      <c r="L564" s="36" t="s">
        <v>1403</v>
      </c>
      <c r="M564" s="36">
        <v>3</v>
      </c>
      <c r="N564" s="36">
        <v>2.9695599999999999E-2</v>
      </c>
      <c r="O564" s="36">
        <v>0.4</v>
      </c>
    </row>
    <row r="565" spans="1:15" ht="85" x14ac:dyDescent="0.2">
      <c r="A565" s="36" t="s">
        <v>1294</v>
      </c>
      <c r="B565" s="45" t="str">
        <f>VLOOKUP(Tabella13[[#This Row],[test_id]],experiments_specs!A:J,2,FALSE)</f>
        <v>NN,JJ</v>
      </c>
      <c r="C565" s="38">
        <f>VLOOKUP(Tabella13[[#This Row],[test_id]],experiments_specs!A:J,3,FALSE)</f>
        <v>0</v>
      </c>
      <c r="D565" s="38">
        <f>VLOOKUP(Tabella13[[#This Row],[test_id]],experiments_specs!A:J,4,FALSE)</f>
        <v>3</v>
      </c>
      <c r="E565" s="38" t="str">
        <f>VLOOKUP(Tabella13[[#This Row],[test_id]],experiments_specs!A:J,5,FALSE)</f>
        <v>True</v>
      </c>
      <c r="F565" s="38" t="str">
        <f>VLOOKUP(Tabella13[[#This Row],[test_id]],experiments_specs!A:J,6,FALSE)</f>
        <v>False</v>
      </c>
      <c r="G565" s="38" t="str">
        <f>VLOOKUP(Tabella13[[#This Row],[test_id]],experiments_specs!A:J,7,FALSE)</f>
        <v>False</v>
      </c>
      <c r="H565" s="38" t="str">
        <f>VLOOKUP(Tabella13[[#This Row],[test_id]],experiments_specs!A:J,8,FALSE)</f>
        <v>True</v>
      </c>
      <c r="I565" s="38" t="str">
        <f>VLOOKUP(Tabella13[[#This Row],[test_id]],experiments_specs!A:J,9,FALSE)</f>
        <v>wup_similarity</v>
      </c>
      <c r="J565" s="38" t="str">
        <f>VLOOKUP(Tabella13[[#This Row],[test_id]],experiments_specs!A:J,10,FALSE)</f>
        <v>False</v>
      </c>
      <c r="K565" s="40" t="s">
        <v>13</v>
      </c>
      <c r="L565" s="36" t="s">
        <v>908</v>
      </c>
      <c r="M565" s="36">
        <v>2</v>
      </c>
      <c r="N565" s="36">
        <v>3.0070300000000001E-2</v>
      </c>
      <c r="O565" s="36" t="s">
        <v>25</v>
      </c>
    </row>
    <row r="566" spans="1:15" ht="85" x14ac:dyDescent="0.2">
      <c r="A566" s="36" t="s">
        <v>1294</v>
      </c>
      <c r="B566" s="45" t="str">
        <f>VLOOKUP(Tabella13[[#This Row],[test_id]],experiments_specs!A:J,2,FALSE)</f>
        <v>NN,JJ</v>
      </c>
      <c r="C566" s="38">
        <f>VLOOKUP(Tabella13[[#This Row],[test_id]],experiments_specs!A:J,3,FALSE)</f>
        <v>0</v>
      </c>
      <c r="D566" s="38">
        <f>VLOOKUP(Tabella13[[#This Row],[test_id]],experiments_specs!A:J,4,FALSE)</f>
        <v>3</v>
      </c>
      <c r="E566" s="38" t="str">
        <f>VLOOKUP(Tabella13[[#This Row],[test_id]],experiments_specs!A:J,5,FALSE)</f>
        <v>True</v>
      </c>
      <c r="F566" s="38" t="str">
        <f>VLOOKUP(Tabella13[[#This Row],[test_id]],experiments_specs!A:J,6,FALSE)</f>
        <v>False</v>
      </c>
      <c r="G566" s="38" t="str">
        <f>VLOOKUP(Tabella13[[#This Row],[test_id]],experiments_specs!A:J,7,FALSE)</f>
        <v>False</v>
      </c>
      <c r="H566" s="38" t="str">
        <f>VLOOKUP(Tabella13[[#This Row],[test_id]],experiments_specs!A:J,8,FALSE)</f>
        <v>True</v>
      </c>
      <c r="I566" s="38" t="str">
        <f>VLOOKUP(Tabella13[[#This Row],[test_id]],experiments_specs!A:J,9,FALSE)</f>
        <v>wup_similarity</v>
      </c>
      <c r="J566" s="38" t="str">
        <f>VLOOKUP(Tabella13[[#This Row],[test_id]],experiments_specs!A:J,10,FALSE)</f>
        <v>False</v>
      </c>
      <c r="K566" s="40" t="s">
        <v>14</v>
      </c>
      <c r="L566" s="36" t="s">
        <v>1404</v>
      </c>
      <c r="M566" s="36">
        <v>3</v>
      </c>
      <c r="N566" s="36">
        <v>1.5379200000000001E-2</v>
      </c>
      <c r="O566" s="36">
        <v>0.30769229999999997</v>
      </c>
    </row>
    <row r="567" spans="1:15" ht="85" x14ac:dyDescent="0.2">
      <c r="A567" s="36" t="s">
        <v>1294</v>
      </c>
      <c r="B567" s="45" t="str">
        <f>VLOOKUP(Tabella13[[#This Row],[test_id]],experiments_specs!A:J,2,FALSE)</f>
        <v>NN,JJ</v>
      </c>
      <c r="C567" s="38">
        <f>VLOOKUP(Tabella13[[#This Row],[test_id]],experiments_specs!A:J,3,FALSE)</f>
        <v>0</v>
      </c>
      <c r="D567" s="38">
        <f>VLOOKUP(Tabella13[[#This Row],[test_id]],experiments_specs!A:J,4,FALSE)</f>
        <v>3</v>
      </c>
      <c r="E567" s="38" t="str">
        <f>VLOOKUP(Tabella13[[#This Row],[test_id]],experiments_specs!A:J,5,FALSE)</f>
        <v>True</v>
      </c>
      <c r="F567" s="38" t="str">
        <f>VLOOKUP(Tabella13[[#This Row],[test_id]],experiments_specs!A:J,6,FALSE)</f>
        <v>False</v>
      </c>
      <c r="G567" s="38" t="str">
        <f>VLOOKUP(Tabella13[[#This Row],[test_id]],experiments_specs!A:J,7,FALSE)</f>
        <v>False</v>
      </c>
      <c r="H567" s="38" t="str">
        <f>VLOOKUP(Tabella13[[#This Row],[test_id]],experiments_specs!A:J,8,FALSE)</f>
        <v>True</v>
      </c>
      <c r="I567" s="38" t="str">
        <f>VLOOKUP(Tabella13[[#This Row],[test_id]],experiments_specs!A:J,9,FALSE)</f>
        <v>wup_similarity</v>
      </c>
      <c r="J567" s="38" t="str">
        <f>VLOOKUP(Tabella13[[#This Row],[test_id]],experiments_specs!A:J,10,FALSE)</f>
        <v>False</v>
      </c>
      <c r="K567" s="40" t="s">
        <v>15</v>
      </c>
      <c r="L567" s="36" t="s">
        <v>1405</v>
      </c>
      <c r="M567" s="36">
        <v>1</v>
      </c>
      <c r="N567" s="36">
        <v>4.4904100000000002E-2</v>
      </c>
      <c r="O567" s="36">
        <v>0.90909090000000004</v>
      </c>
    </row>
    <row r="568" spans="1:15" ht="85" x14ac:dyDescent="0.2">
      <c r="A568" s="36" t="s">
        <v>1294</v>
      </c>
      <c r="B568" s="45" t="str">
        <f>VLOOKUP(Tabella13[[#This Row],[test_id]],experiments_specs!A:J,2,FALSE)</f>
        <v>NN,JJ</v>
      </c>
      <c r="C568" s="38">
        <f>VLOOKUP(Tabella13[[#This Row],[test_id]],experiments_specs!A:J,3,FALSE)</f>
        <v>0</v>
      </c>
      <c r="D568" s="38">
        <f>VLOOKUP(Tabella13[[#This Row],[test_id]],experiments_specs!A:J,4,FALSE)</f>
        <v>3</v>
      </c>
      <c r="E568" s="38" t="str">
        <f>VLOOKUP(Tabella13[[#This Row],[test_id]],experiments_specs!A:J,5,FALSE)</f>
        <v>True</v>
      </c>
      <c r="F568" s="38" t="str">
        <f>VLOOKUP(Tabella13[[#This Row],[test_id]],experiments_specs!A:J,6,FALSE)</f>
        <v>False</v>
      </c>
      <c r="G568" s="38" t="str">
        <f>VLOOKUP(Tabella13[[#This Row],[test_id]],experiments_specs!A:J,7,FALSE)</f>
        <v>False</v>
      </c>
      <c r="H568" s="38" t="str">
        <f>VLOOKUP(Tabella13[[#This Row],[test_id]],experiments_specs!A:J,8,FALSE)</f>
        <v>True</v>
      </c>
      <c r="I568" s="38" t="str">
        <f>VLOOKUP(Tabella13[[#This Row],[test_id]],experiments_specs!A:J,9,FALSE)</f>
        <v>wup_similarity</v>
      </c>
      <c r="J568" s="38" t="str">
        <f>VLOOKUP(Tabella13[[#This Row],[test_id]],experiments_specs!A:J,10,FALSE)</f>
        <v>False</v>
      </c>
      <c r="K568" s="40" t="s">
        <v>16</v>
      </c>
      <c r="L568" s="36" t="s">
        <v>1406</v>
      </c>
      <c r="M568" s="36">
        <v>-2</v>
      </c>
      <c r="N568" s="36">
        <v>2.75632E-2</v>
      </c>
      <c r="O568" s="36">
        <v>0.125</v>
      </c>
    </row>
    <row r="569" spans="1:15" ht="85" x14ac:dyDescent="0.2">
      <c r="A569" s="36" t="s">
        <v>1294</v>
      </c>
      <c r="B569" s="45" t="str">
        <f>VLOOKUP(Tabella13[[#This Row],[test_id]],experiments_specs!A:J,2,FALSE)</f>
        <v>NN,JJ</v>
      </c>
      <c r="C569" s="38">
        <f>VLOOKUP(Tabella13[[#This Row],[test_id]],experiments_specs!A:J,3,FALSE)</f>
        <v>0</v>
      </c>
      <c r="D569" s="38">
        <f>VLOOKUP(Tabella13[[#This Row],[test_id]],experiments_specs!A:J,4,FALSE)</f>
        <v>3</v>
      </c>
      <c r="E569" s="38" t="str">
        <f>VLOOKUP(Tabella13[[#This Row],[test_id]],experiments_specs!A:J,5,FALSE)</f>
        <v>True</v>
      </c>
      <c r="F569" s="38" t="str">
        <f>VLOOKUP(Tabella13[[#This Row],[test_id]],experiments_specs!A:J,6,FALSE)</f>
        <v>False</v>
      </c>
      <c r="G569" s="38" t="str">
        <f>VLOOKUP(Tabella13[[#This Row],[test_id]],experiments_specs!A:J,7,FALSE)</f>
        <v>False</v>
      </c>
      <c r="H569" s="38" t="str">
        <f>VLOOKUP(Tabella13[[#This Row],[test_id]],experiments_specs!A:J,8,FALSE)</f>
        <v>True</v>
      </c>
      <c r="I569" s="38" t="str">
        <f>VLOOKUP(Tabella13[[#This Row],[test_id]],experiments_specs!A:J,9,FALSE)</f>
        <v>wup_similarity</v>
      </c>
      <c r="J569" s="38" t="str">
        <f>VLOOKUP(Tabella13[[#This Row],[test_id]],experiments_specs!A:J,10,FALSE)</f>
        <v>False</v>
      </c>
      <c r="K569" s="40" t="s">
        <v>17</v>
      </c>
      <c r="L569" s="36" t="s">
        <v>1407</v>
      </c>
      <c r="M569" s="36">
        <v>-1</v>
      </c>
      <c r="N569" s="36">
        <v>3.1139900000000002E-2</v>
      </c>
      <c r="O569" s="36">
        <v>0.15384610000000001</v>
      </c>
    </row>
    <row r="570" spans="1:15" ht="85" x14ac:dyDescent="0.2">
      <c r="A570" s="36" t="s">
        <v>1294</v>
      </c>
      <c r="B570" s="45" t="str">
        <f>VLOOKUP(Tabella13[[#This Row],[test_id]],experiments_specs!A:J,2,FALSE)</f>
        <v>NN,JJ</v>
      </c>
      <c r="C570" s="38">
        <f>VLOOKUP(Tabella13[[#This Row],[test_id]],experiments_specs!A:J,3,FALSE)</f>
        <v>0</v>
      </c>
      <c r="D570" s="38">
        <f>VLOOKUP(Tabella13[[#This Row],[test_id]],experiments_specs!A:J,4,FALSE)</f>
        <v>3</v>
      </c>
      <c r="E570" s="38" t="str">
        <f>VLOOKUP(Tabella13[[#This Row],[test_id]],experiments_specs!A:J,5,FALSE)</f>
        <v>True</v>
      </c>
      <c r="F570" s="38" t="str">
        <f>VLOOKUP(Tabella13[[#This Row],[test_id]],experiments_specs!A:J,6,FALSE)</f>
        <v>False</v>
      </c>
      <c r="G570" s="38" t="str">
        <f>VLOOKUP(Tabella13[[#This Row],[test_id]],experiments_specs!A:J,7,FALSE)</f>
        <v>False</v>
      </c>
      <c r="H570" s="38" t="str">
        <f>VLOOKUP(Tabella13[[#This Row],[test_id]],experiments_specs!A:J,8,FALSE)</f>
        <v>True</v>
      </c>
      <c r="I570" s="38" t="str">
        <f>VLOOKUP(Tabella13[[#This Row],[test_id]],experiments_specs!A:J,9,FALSE)</f>
        <v>wup_similarity</v>
      </c>
      <c r="J570" s="38" t="str">
        <f>VLOOKUP(Tabella13[[#This Row],[test_id]],experiments_specs!A:J,10,FALSE)</f>
        <v>False</v>
      </c>
      <c r="K570" s="40" t="s">
        <v>18</v>
      </c>
      <c r="L570" s="36" t="s">
        <v>1408</v>
      </c>
      <c r="M570" s="36">
        <v>2</v>
      </c>
      <c r="N570" s="36">
        <v>2.66816E-2</v>
      </c>
      <c r="O570" s="36">
        <v>0.2105263</v>
      </c>
    </row>
    <row r="571" spans="1:15" ht="85" x14ac:dyDescent="0.2">
      <c r="A571" s="36" t="s">
        <v>1295</v>
      </c>
      <c r="B571" s="45" t="str">
        <f>VLOOKUP(Tabella13[[#This Row],[test_id]],experiments_specs!A:J,2,FALSE)</f>
        <v>NN,VB,VBD,VBG,VBN,VBP,VBZ</v>
      </c>
      <c r="C571" s="38">
        <f>VLOOKUP(Tabella13[[#This Row],[test_id]],experiments_specs!A:J,3,FALSE)</f>
        <v>0</v>
      </c>
      <c r="D571" s="38">
        <f>VLOOKUP(Tabella13[[#This Row],[test_id]],experiments_specs!A:J,4,FALSE)</f>
        <v>2</v>
      </c>
      <c r="E571" s="38" t="str">
        <f>VLOOKUP(Tabella13[[#This Row],[test_id]],experiments_specs!A:J,5,FALSE)</f>
        <v>True</v>
      </c>
      <c r="F571" s="38" t="str">
        <f>VLOOKUP(Tabella13[[#This Row],[test_id]],experiments_specs!A:J,6,FALSE)</f>
        <v>False</v>
      </c>
      <c r="G571" s="38" t="str">
        <f>VLOOKUP(Tabella13[[#This Row],[test_id]],experiments_specs!A:J,7,FALSE)</f>
        <v>False</v>
      </c>
      <c r="H571" s="38" t="str">
        <f>VLOOKUP(Tabella13[[#This Row],[test_id]],experiments_specs!A:J,8,FALSE)</f>
        <v>True</v>
      </c>
      <c r="I571" s="38" t="str">
        <f>VLOOKUP(Tabella13[[#This Row],[test_id]],experiments_specs!A:J,9,FALSE)</f>
        <v>wup_similarity</v>
      </c>
      <c r="J571" s="38" t="str">
        <f>VLOOKUP(Tabella13[[#This Row],[test_id]],experiments_specs!A:J,10,FALSE)</f>
        <v>False</v>
      </c>
      <c r="K571" s="40" t="s">
        <v>19</v>
      </c>
      <c r="L571" s="36" t="s">
        <v>1402</v>
      </c>
      <c r="M571" s="36">
        <v>3</v>
      </c>
      <c r="N571" s="36">
        <v>2.46199E-2</v>
      </c>
      <c r="O571" s="36">
        <v>0.18181810000000001</v>
      </c>
    </row>
    <row r="572" spans="1:15" ht="85" x14ac:dyDescent="0.2">
      <c r="A572" s="36" t="s">
        <v>1295</v>
      </c>
      <c r="B572" s="45" t="str">
        <f>VLOOKUP(Tabella13[[#This Row],[test_id]],experiments_specs!A:J,2,FALSE)</f>
        <v>NN,VB,VBD,VBG,VBN,VBP,VBZ</v>
      </c>
      <c r="C572" s="38">
        <f>VLOOKUP(Tabella13[[#This Row],[test_id]],experiments_specs!A:J,3,FALSE)</f>
        <v>0</v>
      </c>
      <c r="D572" s="38">
        <f>VLOOKUP(Tabella13[[#This Row],[test_id]],experiments_specs!A:J,4,FALSE)</f>
        <v>2</v>
      </c>
      <c r="E572" s="38" t="str">
        <f>VLOOKUP(Tabella13[[#This Row],[test_id]],experiments_specs!A:J,5,FALSE)</f>
        <v>True</v>
      </c>
      <c r="F572" s="38" t="str">
        <f>VLOOKUP(Tabella13[[#This Row],[test_id]],experiments_specs!A:J,6,FALSE)</f>
        <v>False</v>
      </c>
      <c r="G572" s="38" t="str">
        <f>VLOOKUP(Tabella13[[#This Row],[test_id]],experiments_specs!A:J,7,FALSE)</f>
        <v>False</v>
      </c>
      <c r="H572" s="38" t="str">
        <f>VLOOKUP(Tabella13[[#This Row],[test_id]],experiments_specs!A:J,8,FALSE)</f>
        <v>True</v>
      </c>
      <c r="I572" s="38" t="str">
        <f>VLOOKUP(Tabella13[[#This Row],[test_id]],experiments_specs!A:J,9,FALSE)</f>
        <v>wup_similarity</v>
      </c>
      <c r="J572" s="38" t="str">
        <f>VLOOKUP(Tabella13[[#This Row],[test_id]],experiments_specs!A:J,10,FALSE)</f>
        <v>False</v>
      </c>
      <c r="K572" s="40" t="s">
        <v>12</v>
      </c>
      <c r="L572" s="36" t="s">
        <v>1403</v>
      </c>
      <c r="M572" s="36">
        <v>3</v>
      </c>
      <c r="N572" s="36">
        <v>2.4362700000000001E-2</v>
      </c>
      <c r="O572" s="36">
        <v>0.4</v>
      </c>
    </row>
    <row r="573" spans="1:15" ht="85" x14ac:dyDescent="0.2">
      <c r="A573" s="36" t="s">
        <v>1295</v>
      </c>
      <c r="B573" s="45" t="str">
        <f>VLOOKUP(Tabella13[[#This Row],[test_id]],experiments_specs!A:J,2,FALSE)</f>
        <v>NN,VB,VBD,VBG,VBN,VBP,VBZ</v>
      </c>
      <c r="C573" s="38">
        <f>VLOOKUP(Tabella13[[#This Row],[test_id]],experiments_specs!A:J,3,FALSE)</f>
        <v>0</v>
      </c>
      <c r="D573" s="38">
        <f>VLOOKUP(Tabella13[[#This Row],[test_id]],experiments_specs!A:J,4,FALSE)</f>
        <v>2</v>
      </c>
      <c r="E573" s="38" t="str">
        <f>VLOOKUP(Tabella13[[#This Row],[test_id]],experiments_specs!A:J,5,FALSE)</f>
        <v>True</v>
      </c>
      <c r="F573" s="38" t="str">
        <f>VLOOKUP(Tabella13[[#This Row],[test_id]],experiments_specs!A:J,6,FALSE)</f>
        <v>False</v>
      </c>
      <c r="G573" s="38" t="str">
        <f>VLOOKUP(Tabella13[[#This Row],[test_id]],experiments_specs!A:J,7,FALSE)</f>
        <v>False</v>
      </c>
      <c r="H573" s="38" t="str">
        <f>VLOOKUP(Tabella13[[#This Row],[test_id]],experiments_specs!A:J,8,FALSE)</f>
        <v>True</v>
      </c>
      <c r="I573" s="38" t="str">
        <f>VLOOKUP(Tabella13[[#This Row],[test_id]],experiments_specs!A:J,9,FALSE)</f>
        <v>wup_similarity</v>
      </c>
      <c r="J573" s="38" t="str">
        <f>VLOOKUP(Tabella13[[#This Row],[test_id]],experiments_specs!A:J,10,FALSE)</f>
        <v>False</v>
      </c>
      <c r="K573" s="40" t="s">
        <v>13</v>
      </c>
      <c r="L573" s="36" t="s">
        <v>473</v>
      </c>
      <c r="M573" s="36">
        <v>2</v>
      </c>
      <c r="N573" s="36">
        <v>3.6215900000000002E-2</v>
      </c>
      <c r="O573" s="36">
        <v>0.4</v>
      </c>
    </row>
    <row r="574" spans="1:15" ht="85" x14ac:dyDescent="0.2">
      <c r="A574" s="36" t="s">
        <v>1295</v>
      </c>
      <c r="B574" s="45" t="str">
        <f>VLOOKUP(Tabella13[[#This Row],[test_id]],experiments_specs!A:J,2,FALSE)</f>
        <v>NN,VB,VBD,VBG,VBN,VBP,VBZ</v>
      </c>
      <c r="C574" s="38">
        <f>VLOOKUP(Tabella13[[#This Row],[test_id]],experiments_specs!A:J,3,FALSE)</f>
        <v>0</v>
      </c>
      <c r="D574" s="38">
        <f>VLOOKUP(Tabella13[[#This Row],[test_id]],experiments_specs!A:J,4,FALSE)</f>
        <v>2</v>
      </c>
      <c r="E574" s="38" t="str">
        <f>VLOOKUP(Tabella13[[#This Row],[test_id]],experiments_specs!A:J,5,FALSE)</f>
        <v>True</v>
      </c>
      <c r="F574" s="38" t="str">
        <f>VLOOKUP(Tabella13[[#This Row],[test_id]],experiments_specs!A:J,6,FALSE)</f>
        <v>False</v>
      </c>
      <c r="G574" s="38" t="str">
        <f>VLOOKUP(Tabella13[[#This Row],[test_id]],experiments_specs!A:J,7,FALSE)</f>
        <v>False</v>
      </c>
      <c r="H574" s="38" t="str">
        <f>VLOOKUP(Tabella13[[#This Row],[test_id]],experiments_specs!A:J,8,FALSE)</f>
        <v>True</v>
      </c>
      <c r="I574" s="38" t="str">
        <f>VLOOKUP(Tabella13[[#This Row],[test_id]],experiments_specs!A:J,9,FALSE)</f>
        <v>wup_similarity</v>
      </c>
      <c r="J574" s="38" t="str">
        <f>VLOOKUP(Tabella13[[#This Row],[test_id]],experiments_specs!A:J,10,FALSE)</f>
        <v>False</v>
      </c>
      <c r="K574" s="40" t="s">
        <v>14</v>
      </c>
      <c r="L574" s="36" t="s">
        <v>1404</v>
      </c>
      <c r="M574" s="36">
        <v>3</v>
      </c>
      <c r="N574" s="36">
        <v>1.52099E-2</v>
      </c>
      <c r="O574" s="36">
        <v>0.30769229999999997</v>
      </c>
    </row>
    <row r="575" spans="1:15" ht="85" x14ac:dyDescent="0.2">
      <c r="A575" s="36" t="s">
        <v>1295</v>
      </c>
      <c r="B575" s="45" t="str">
        <f>VLOOKUP(Tabella13[[#This Row],[test_id]],experiments_specs!A:J,2,FALSE)</f>
        <v>NN,VB,VBD,VBG,VBN,VBP,VBZ</v>
      </c>
      <c r="C575" s="38">
        <f>VLOOKUP(Tabella13[[#This Row],[test_id]],experiments_specs!A:J,3,FALSE)</f>
        <v>0</v>
      </c>
      <c r="D575" s="38">
        <f>VLOOKUP(Tabella13[[#This Row],[test_id]],experiments_specs!A:J,4,FALSE)</f>
        <v>2</v>
      </c>
      <c r="E575" s="38" t="str">
        <f>VLOOKUP(Tabella13[[#This Row],[test_id]],experiments_specs!A:J,5,FALSE)</f>
        <v>True</v>
      </c>
      <c r="F575" s="38" t="str">
        <f>VLOOKUP(Tabella13[[#This Row],[test_id]],experiments_specs!A:J,6,FALSE)</f>
        <v>False</v>
      </c>
      <c r="G575" s="38" t="str">
        <f>VLOOKUP(Tabella13[[#This Row],[test_id]],experiments_specs!A:J,7,FALSE)</f>
        <v>False</v>
      </c>
      <c r="H575" s="38" t="str">
        <f>VLOOKUP(Tabella13[[#This Row],[test_id]],experiments_specs!A:J,8,FALSE)</f>
        <v>True</v>
      </c>
      <c r="I575" s="38" t="str">
        <f>VLOOKUP(Tabella13[[#This Row],[test_id]],experiments_specs!A:J,9,FALSE)</f>
        <v>wup_similarity</v>
      </c>
      <c r="J575" s="38" t="str">
        <f>VLOOKUP(Tabella13[[#This Row],[test_id]],experiments_specs!A:J,10,FALSE)</f>
        <v>False</v>
      </c>
      <c r="K575" s="40" t="s">
        <v>15</v>
      </c>
      <c r="L575" s="36" t="s">
        <v>1053</v>
      </c>
      <c r="M575" s="36">
        <v>2</v>
      </c>
      <c r="N575" s="36">
        <v>3.2774200000000003E-2</v>
      </c>
      <c r="O575" s="36">
        <v>0.18181810000000001</v>
      </c>
    </row>
    <row r="576" spans="1:15" ht="85" x14ac:dyDescent="0.2">
      <c r="A576" s="36" t="s">
        <v>1295</v>
      </c>
      <c r="B576" s="45" t="str">
        <f>VLOOKUP(Tabella13[[#This Row],[test_id]],experiments_specs!A:J,2,FALSE)</f>
        <v>NN,VB,VBD,VBG,VBN,VBP,VBZ</v>
      </c>
      <c r="C576" s="38">
        <f>VLOOKUP(Tabella13[[#This Row],[test_id]],experiments_specs!A:J,3,FALSE)</f>
        <v>0</v>
      </c>
      <c r="D576" s="38">
        <f>VLOOKUP(Tabella13[[#This Row],[test_id]],experiments_specs!A:J,4,FALSE)</f>
        <v>2</v>
      </c>
      <c r="E576" s="38" t="str">
        <f>VLOOKUP(Tabella13[[#This Row],[test_id]],experiments_specs!A:J,5,FALSE)</f>
        <v>True</v>
      </c>
      <c r="F576" s="38" t="str">
        <f>VLOOKUP(Tabella13[[#This Row],[test_id]],experiments_specs!A:J,6,FALSE)</f>
        <v>False</v>
      </c>
      <c r="G576" s="38" t="str">
        <f>VLOOKUP(Tabella13[[#This Row],[test_id]],experiments_specs!A:J,7,FALSE)</f>
        <v>False</v>
      </c>
      <c r="H576" s="38" t="str">
        <f>VLOOKUP(Tabella13[[#This Row],[test_id]],experiments_specs!A:J,8,FALSE)</f>
        <v>True</v>
      </c>
      <c r="I576" s="38" t="str">
        <f>VLOOKUP(Tabella13[[#This Row],[test_id]],experiments_specs!A:J,9,FALSE)</f>
        <v>wup_similarity</v>
      </c>
      <c r="J576" s="38" t="str">
        <f>VLOOKUP(Tabella13[[#This Row],[test_id]],experiments_specs!A:J,10,FALSE)</f>
        <v>False</v>
      </c>
      <c r="K576" s="40" t="s">
        <v>16</v>
      </c>
      <c r="L576" s="36" t="s">
        <v>1410</v>
      </c>
      <c r="M576" s="36" t="s">
        <v>1373</v>
      </c>
      <c r="N576" s="36">
        <v>2.17597E-2</v>
      </c>
      <c r="O576" s="36" t="s">
        <v>1462</v>
      </c>
    </row>
    <row r="577" spans="1:15" ht="85" x14ac:dyDescent="0.2">
      <c r="A577" s="36" t="s">
        <v>1295</v>
      </c>
      <c r="B577" s="45" t="str">
        <f>VLOOKUP(Tabella13[[#This Row],[test_id]],experiments_specs!A:J,2,FALSE)</f>
        <v>NN,VB,VBD,VBG,VBN,VBP,VBZ</v>
      </c>
      <c r="C577" s="38">
        <f>VLOOKUP(Tabella13[[#This Row],[test_id]],experiments_specs!A:J,3,FALSE)</f>
        <v>0</v>
      </c>
      <c r="D577" s="38">
        <f>VLOOKUP(Tabella13[[#This Row],[test_id]],experiments_specs!A:J,4,FALSE)</f>
        <v>2</v>
      </c>
      <c r="E577" s="38" t="str">
        <f>VLOOKUP(Tabella13[[#This Row],[test_id]],experiments_specs!A:J,5,FALSE)</f>
        <v>True</v>
      </c>
      <c r="F577" s="38" t="str">
        <f>VLOOKUP(Tabella13[[#This Row],[test_id]],experiments_specs!A:J,6,FALSE)</f>
        <v>False</v>
      </c>
      <c r="G577" s="38" t="str">
        <f>VLOOKUP(Tabella13[[#This Row],[test_id]],experiments_specs!A:J,7,FALSE)</f>
        <v>False</v>
      </c>
      <c r="H577" s="38" t="str">
        <f>VLOOKUP(Tabella13[[#This Row],[test_id]],experiments_specs!A:J,8,FALSE)</f>
        <v>True</v>
      </c>
      <c r="I577" s="38" t="str">
        <f>VLOOKUP(Tabella13[[#This Row],[test_id]],experiments_specs!A:J,9,FALSE)</f>
        <v>wup_similarity</v>
      </c>
      <c r="J577" s="38" t="str">
        <f>VLOOKUP(Tabella13[[#This Row],[test_id]],experiments_specs!A:J,10,FALSE)</f>
        <v>False</v>
      </c>
      <c r="K577" s="40" t="s">
        <v>17</v>
      </c>
      <c r="L577" s="36" t="s">
        <v>1412</v>
      </c>
      <c r="M577" s="36" t="s">
        <v>1414</v>
      </c>
      <c r="N577" s="36">
        <v>3.1013099999999998E-2</v>
      </c>
      <c r="O577" s="36" t="s">
        <v>1464</v>
      </c>
    </row>
    <row r="578" spans="1:15" ht="85" x14ac:dyDescent="0.2">
      <c r="A578" s="36" t="s">
        <v>1295</v>
      </c>
      <c r="B578" s="45" t="str">
        <f>VLOOKUP(Tabella13[[#This Row],[test_id]],experiments_specs!A:J,2,FALSE)</f>
        <v>NN,VB,VBD,VBG,VBN,VBP,VBZ</v>
      </c>
      <c r="C578" s="38">
        <f>VLOOKUP(Tabella13[[#This Row],[test_id]],experiments_specs!A:J,3,FALSE)</f>
        <v>0</v>
      </c>
      <c r="D578" s="38">
        <f>VLOOKUP(Tabella13[[#This Row],[test_id]],experiments_specs!A:J,4,FALSE)</f>
        <v>2</v>
      </c>
      <c r="E578" s="38" t="str">
        <f>VLOOKUP(Tabella13[[#This Row],[test_id]],experiments_specs!A:J,5,FALSE)</f>
        <v>True</v>
      </c>
      <c r="F578" s="38" t="str">
        <f>VLOOKUP(Tabella13[[#This Row],[test_id]],experiments_specs!A:J,6,FALSE)</f>
        <v>False</v>
      </c>
      <c r="G578" s="38" t="str">
        <f>VLOOKUP(Tabella13[[#This Row],[test_id]],experiments_specs!A:J,7,FALSE)</f>
        <v>False</v>
      </c>
      <c r="H578" s="38" t="str">
        <f>VLOOKUP(Tabella13[[#This Row],[test_id]],experiments_specs!A:J,8,FALSE)</f>
        <v>True</v>
      </c>
      <c r="I578" s="38" t="str">
        <f>VLOOKUP(Tabella13[[#This Row],[test_id]],experiments_specs!A:J,9,FALSE)</f>
        <v>wup_similarity</v>
      </c>
      <c r="J578" s="38" t="str">
        <f>VLOOKUP(Tabella13[[#This Row],[test_id]],experiments_specs!A:J,10,FALSE)</f>
        <v>False</v>
      </c>
      <c r="K578" s="40" t="s">
        <v>18</v>
      </c>
      <c r="L578" s="36" t="s">
        <v>1416</v>
      </c>
      <c r="M578" s="36" t="s">
        <v>1340</v>
      </c>
      <c r="N578" s="36">
        <v>2.01946E-2</v>
      </c>
      <c r="O578" s="36" t="s">
        <v>1466</v>
      </c>
    </row>
    <row r="579" spans="1:15" ht="85" x14ac:dyDescent="0.2">
      <c r="A579" s="36" t="s">
        <v>1296</v>
      </c>
      <c r="B579" s="45" t="str">
        <f>VLOOKUP(Tabella13[[#This Row],[test_id]],experiments_specs!A:J,2,FALSE)</f>
        <v>NN,VB,VBD,VBG,VBN,VBP,VBZ</v>
      </c>
      <c r="C579" s="38">
        <f>VLOOKUP(Tabella13[[#This Row],[test_id]],experiments_specs!A:J,3,FALSE)</f>
        <v>0</v>
      </c>
      <c r="D579" s="38">
        <f>VLOOKUP(Tabella13[[#This Row],[test_id]],experiments_specs!A:J,4,FALSE)</f>
        <v>3</v>
      </c>
      <c r="E579" s="38" t="str">
        <f>VLOOKUP(Tabella13[[#This Row],[test_id]],experiments_specs!A:J,5,FALSE)</f>
        <v>True</v>
      </c>
      <c r="F579" s="38" t="str">
        <f>VLOOKUP(Tabella13[[#This Row],[test_id]],experiments_specs!A:J,6,FALSE)</f>
        <v>False</v>
      </c>
      <c r="G579" s="38" t="str">
        <f>VLOOKUP(Tabella13[[#This Row],[test_id]],experiments_specs!A:J,7,FALSE)</f>
        <v>False</v>
      </c>
      <c r="H579" s="38" t="str">
        <f>VLOOKUP(Tabella13[[#This Row],[test_id]],experiments_specs!A:J,8,FALSE)</f>
        <v>True</v>
      </c>
      <c r="I579" s="38" t="str">
        <f>VLOOKUP(Tabella13[[#This Row],[test_id]],experiments_specs!A:J,9,FALSE)</f>
        <v>wup_similarity</v>
      </c>
      <c r="J579" s="38" t="str">
        <f>VLOOKUP(Tabella13[[#This Row],[test_id]],experiments_specs!A:J,10,FALSE)</f>
        <v>False</v>
      </c>
      <c r="K579" s="40" t="s">
        <v>19</v>
      </c>
      <c r="L579" s="36" t="s">
        <v>1402</v>
      </c>
      <c r="M579" s="36">
        <v>3</v>
      </c>
      <c r="N579" s="36">
        <v>2.46199E-2</v>
      </c>
      <c r="O579" s="36">
        <v>0.18181810000000001</v>
      </c>
    </row>
    <row r="580" spans="1:15" ht="85" x14ac:dyDescent="0.2">
      <c r="A580" s="36" t="s">
        <v>1296</v>
      </c>
      <c r="B580" s="45" t="str">
        <f>VLOOKUP(Tabella13[[#This Row],[test_id]],experiments_specs!A:J,2,FALSE)</f>
        <v>NN,VB,VBD,VBG,VBN,VBP,VBZ</v>
      </c>
      <c r="C580" s="38">
        <f>VLOOKUP(Tabella13[[#This Row],[test_id]],experiments_specs!A:J,3,FALSE)</f>
        <v>0</v>
      </c>
      <c r="D580" s="38">
        <f>VLOOKUP(Tabella13[[#This Row],[test_id]],experiments_specs!A:J,4,FALSE)</f>
        <v>3</v>
      </c>
      <c r="E580" s="38" t="str">
        <f>VLOOKUP(Tabella13[[#This Row],[test_id]],experiments_specs!A:J,5,FALSE)</f>
        <v>True</v>
      </c>
      <c r="F580" s="38" t="str">
        <f>VLOOKUP(Tabella13[[#This Row],[test_id]],experiments_specs!A:J,6,FALSE)</f>
        <v>False</v>
      </c>
      <c r="G580" s="38" t="str">
        <f>VLOOKUP(Tabella13[[#This Row],[test_id]],experiments_specs!A:J,7,FALSE)</f>
        <v>False</v>
      </c>
      <c r="H580" s="38" t="str">
        <f>VLOOKUP(Tabella13[[#This Row],[test_id]],experiments_specs!A:J,8,FALSE)</f>
        <v>True</v>
      </c>
      <c r="I580" s="38" t="str">
        <f>VLOOKUP(Tabella13[[#This Row],[test_id]],experiments_specs!A:J,9,FALSE)</f>
        <v>wup_similarity</v>
      </c>
      <c r="J580" s="38" t="str">
        <f>VLOOKUP(Tabella13[[#This Row],[test_id]],experiments_specs!A:J,10,FALSE)</f>
        <v>False</v>
      </c>
      <c r="K580" s="40" t="s">
        <v>12</v>
      </c>
      <c r="L580" s="36" t="s">
        <v>1403</v>
      </c>
      <c r="M580" s="36">
        <v>3</v>
      </c>
      <c r="N580" s="36">
        <v>2.4362700000000001E-2</v>
      </c>
      <c r="O580" s="36">
        <v>0.4</v>
      </c>
    </row>
    <row r="581" spans="1:15" ht="85" x14ac:dyDescent="0.2">
      <c r="A581" s="36" t="s">
        <v>1296</v>
      </c>
      <c r="B581" s="45" t="str">
        <f>VLOOKUP(Tabella13[[#This Row],[test_id]],experiments_specs!A:J,2,FALSE)</f>
        <v>NN,VB,VBD,VBG,VBN,VBP,VBZ</v>
      </c>
      <c r="C581" s="38">
        <f>VLOOKUP(Tabella13[[#This Row],[test_id]],experiments_specs!A:J,3,FALSE)</f>
        <v>0</v>
      </c>
      <c r="D581" s="38">
        <f>VLOOKUP(Tabella13[[#This Row],[test_id]],experiments_specs!A:J,4,FALSE)</f>
        <v>3</v>
      </c>
      <c r="E581" s="38" t="str">
        <f>VLOOKUP(Tabella13[[#This Row],[test_id]],experiments_specs!A:J,5,FALSE)</f>
        <v>True</v>
      </c>
      <c r="F581" s="38" t="str">
        <f>VLOOKUP(Tabella13[[#This Row],[test_id]],experiments_specs!A:J,6,FALSE)</f>
        <v>False</v>
      </c>
      <c r="G581" s="38" t="str">
        <f>VLOOKUP(Tabella13[[#This Row],[test_id]],experiments_specs!A:J,7,FALSE)</f>
        <v>False</v>
      </c>
      <c r="H581" s="38" t="str">
        <f>VLOOKUP(Tabella13[[#This Row],[test_id]],experiments_specs!A:J,8,FALSE)</f>
        <v>True</v>
      </c>
      <c r="I581" s="38" t="str">
        <f>VLOOKUP(Tabella13[[#This Row],[test_id]],experiments_specs!A:J,9,FALSE)</f>
        <v>wup_similarity</v>
      </c>
      <c r="J581" s="38" t="str">
        <f>VLOOKUP(Tabella13[[#This Row],[test_id]],experiments_specs!A:J,10,FALSE)</f>
        <v>False</v>
      </c>
      <c r="K581" s="40" t="s">
        <v>13</v>
      </c>
      <c r="L581" s="36" t="s">
        <v>473</v>
      </c>
      <c r="M581" s="36">
        <v>2</v>
      </c>
      <c r="N581" s="36">
        <v>3.6215900000000002E-2</v>
      </c>
      <c r="O581" s="36">
        <v>0.4</v>
      </c>
    </row>
    <row r="582" spans="1:15" ht="85" x14ac:dyDescent="0.2">
      <c r="A582" s="36" t="s">
        <v>1296</v>
      </c>
      <c r="B582" s="45" t="str">
        <f>VLOOKUP(Tabella13[[#This Row],[test_id]],experiments_specs!A:J,2,FALSE)</f>
        <v>NN,VB,VBD,VBG,VBN,VBP,VBZ</v>
      </c>
      <c r="C582" s="38">
        <f>VLOOKUP(Tabella13[[#This Row],[test_id]],experiments_specs!A:J,3,FALSE)</f>
        <v>0</v>
      </c>
      <c r="D582" s="38">
        <f>VLOOKUP(Tabella13[[#This Row],[test_id]],experiments_specs!A:J,4,FALSE)</f>
        <v>3</v>
      </c>
      <c r="E582" s="38" t="str">
        <f>VLOOKUP(Tabella13[[#This Row],[test_id]],experiments_specs!A:J,5,FALSE)</f>
        <v>True</v>
      </c>
      <c r="F582" s="38" t="str">
        <f>VLOOKUP(Tabella13[[#This Row],[test_id]],experiments_specs!A:J,6,FALSE)</f>
        <v>False</v>
      </c>
      <c r="G582" s="38" t="str">
        <f>VLOOKUP(Tabella13[[#This Row],[test_id]],experiments_specs!A:J,7,FALSE)</f>
        <v>False</v>
      </c>
      <c r="H582" s="38" t="str">
        <f>VLOOKUP(Tabella13[[#This Row],[test_id]],experiments_specs!A:J,8,FALSE)</f>
        <v>True</v>
      </c>
      <c r="I582" s="38" t="str">
        <f>VLOOKUP(Tabella13[[#This Row],[test_id]],experiments_specs!A:J,9,FALSE)</f>
        <v>wup_similarity</v>
      </c>
      <c r="J582" s="38" t="str">
        <f>VLOOKUP(Tabella13[[#This Row],[test_id]],experiments_specs!A:J,10,FALSE)</f>
        <v>False</v>
      </c>
      <c r="K582" s="40" t="s">
        <v>14</v>
      </c>
      <c r="L582" s="36" t="s">
        <v>1404</v>
      </c>
      <c r="M582" s="36">
        <v>3</v>
      </c>
      <c r="N582" s="36">
        <v>1.52099E-2</v>
      </c>
      <c r="O582" s="36">
        <v>0.30769229999999997</v>
      </c>
    </row>
    <row r="583" spans="1:15" ht="85" x14ac:dyDescent="0.2">
      <c r="A583" s="36" t="s">
        <v>1296</v>
      </c>
      <c r="B583" s="45" t="str">
        <f>VLOOKUP(Tabella13[[#This Row],[test_id]],experiments_specs!A:J,2,FALSE)</f>
        <v>NN,VB,VBD,VBG,VBN,VBP,VBZ</v>
      </c>
      <c r="C583" s="38">
        <f>VLOOKUP(Tabella13[[#This Row],[test_id]],experiments_specs!A:J,3,FALSE)</f>
        <v>0</v>
      </c>
      <c r="D583" s="38">
        <f>VLOOKUP(Tabella13[[#This Row],[test_id]],experiments_specs!A:J,4,FALSE)</f>
        <v>3</v>
      </c>
      <c r="E583" s="38" t="str">
        <f>VLOOKUP(Tabella13[[#This Row],[test_id]],experiments_specs!A:J,5,FALSE)</f>
        <v>True</v>
      </c>
      <c r="F583" s="38" t="str">
        <f>VLOOKUP(Tabella13[[#This Row],[test_id]],experiments_specs!A:J,6,FALSE)</f>
        <v>False</v>
      </c>
      <c r="G583" s="38" t="str">
        <f>VLOOKUP(Tabella13[[#This Row],[test_id]],experiments_specs!A:J,7,FALSE)</f>
        <v>False</v>
      </c>
      <c r="H583" s="38" t="str">
        <f>VLOOKUP(Tabella13[[#This Row],[test_id]],experiments_specs!A:J,8,FALSE)</f>
        <v>True</v>
      </c>
      <c r="I583" s="38" t="str">
        <f>VLOOKUP(Tabella13[[#This Row],[test_id]],experiments_specs!A:J,9,FALSE)</f>
        <v>wup_similarity</v>
      </c>
      <c r="J583" s="38" t="str">
        <f>VLOOKUP(Tabella13[[#This Row],[test_id]],experiments_specs!A:J,10,FALSE)</f>
        <v>False</v>
      </c>
      <c r="K583" s="40" t="s">
        <v>15</v>
      </c>
      <c r="L583" s="36" t="s">
        <v>1053</v>
      </c>
      <c r="M583" s="36">
        <v>2</v>
      </c>
      <c r="N583" s="36">
        <v>3.2774200000000003E-2</v>
      </c>
      <c r="O583" s="36">
        <v>0.18181810000000001</v>
      </c>
    </row>
    <row r="584" spans="1:15" ht="85" x14ac:dyDescent="0.2">
      <c r="A584" s="36" t="s">
        <v>1296</v>
      </c>
      <c r="B584" s="45" t="str">
        <f>VLOOKUP(Tabella13[[#This Row],[test_id]],experiments_specs!A:J,2,FALSE)</f>
        <v>NN,VB,VBD,VBG,VBN,VBP,VBZ</v>
      </c>
      <c r="C584" s="38">
        <f>VLOOKUP(Tabella13[[#This Row],[test_id]],experiments_specs!A:J,3,FALSE)</f>
        <v>0</v>
      </c>
      <c r="D584" s="38">
        <f>VLOOKUP(Tabella13[[#This Row],[test_id]],experiments_specs!A:J,4,FALSE)</f>
        <v>3</v>
      </c>
      <c r="E584" s="38" t="str">
        <f>VLOOKUP(Tabella13[[#This Row],[test_id]],experiments_specs!A:J,5,FALSE)</f>
        <v>True</v>
      </c>
      <c r="F584" s="38" t="str">
        <f>VLOOKUP(Tabella13[[#This Row],[test_id]],experiments_specs!A:J,6,FALSE)</f>
        <v>False</v>
      </c>
      <c r="G584" s="38" t="str">
        <f>VLOOKUP(Tabella13[[#This Row],[test_id]],experiments_specs!A:J,7,FALSE)</f>
        <v>False</v>
      </c>
      <c r="H584" s="38" t="str">
        <f>VLOOKUP(Tabella13[[#This Row],[test_id]],experiments_specs!A:J,8,FALSE)</f>
        <v>True</v>
      </c>
      <c r="I584" s="38" t="str">
        <f>VLOOKUP(Tabella13[[#This Row],[test_id]],experiments_specs!A:J,9,FALSE)</f>
        <v>wup_similarity</v>
      </c>
      <c r="J584" s="38" t="str">
        <f>VLOOKUP(Tabella13[[#This Row],[test_id]],experiments_specs!A:J,10,FALSE)</f>
        <v>False</v>
      </c>
      <c r="K584" s="40" t="s">
        <v>16</v>
      </c>
      <c r="L584" s="36" t="s">
        <v>1410</v>
      </c>
      <c r="M584" s="36" t="s">
        <v>1373</v>
      </c>
      <c r="N584" s="36">
        <v>2.17597E-2</v>
      </c>
      <c r="O584" s="36" t="s">
        <v>1462</v>
      </c>
    </row>
    <row r="585" spans="1:15" ht="85" x14ac:dyDescent="0.2">
      <c r="A585" s="36" t="s">
        <v>1296</v>
      </c>
      <c r="B585" s="45" t="str">
        <f>VLOOKUP(Tabella13[[#This Row],[test_id]],experiments_specs!A:J,2,FALSE)</f>
        <v>NN,VB,VBD,VBG,VBN,VBP,VBZ</v>
      </c>
      <c r="C585" s="38">
        <f>VLOOKUP(Tabella13[[#This Row],[test_id]],experiments_specs!A:J,3,FALSE)</f>
        <v>0</v>
      </c>
      <c r="D585" s="38">
        <f>VLOOKUP(Tabella13[[#This Row],[test_id]],experiments_specs!A:J,4,FALSE)</f>
        <v>3</v>
      </c>
      <c r="E585" s="38" t="str">
        <f>VLOOKUP(Tabella13[[#This Row],[test_id]],experiments_specs!A:J,5,FALSE)</f>
        <v>True</v>
      </c>
      <c r="F585" s="38" t="str">
        <f>VLOOKUP(Tabella13[[#This Row],[test_id]],experiments_specs!A:J,6,FALSE)</f>
        <v>False</v>
      </c>
      <c r="G585" s="38" t="str">
        <f>VLOOKUP(Tabella13[[#This Row],[test_id]],experiments_specs!A:J,7,FALSE)</f>
        <v>False</v>
      </c>
      <c r="H585" s="38" t="str">
        <f>VLOOKUP(Tabella13[[#This Row],[test_id]],experiments_specs!A:J,8,FALSE)</f>
        <v>True</v>
      </c>
      <c r="I585" s="38" t="str">
        <f>VLOOKUP(Tabella13[[#This Row],[test_id]],experiments_specs!A:J,9,FALSE)</f>
        <v>wup_similarity</v>
      </c>
      <c r="J585" s="38" t="str">
        <f>VLOOKUP(Tabella13[[#This Row],[test_id]],experiments_specs!A:J,10,FALSE)</f>
        <v>False</v>
      </c>
      <c r="K585" s="40" t="s">
        <v>17</v>
      </c>
      <c r="L585" s="36" t="s">
        <v>1412</v>
      </c>
      <c r="M585" s="36" t="s">
        <v>1414</v>
      </c>
      <c r="N585" s="36">
        <v>3.1013099999999998E-2</v>
      </c>
      <c r="O585" s="36" t="s">
        <v>1464</v>
      </c>
    </row>
    <row r="586" spans="1:15" ht="85" x14ac:dyDescent="0.2">
      <c r="A586" s="36" t="s">
        <v>1296</v>
      </c>
      <c r="B586" s="45" t="str">
        <f>VLOOKUP(Tabella13[[#This Row],[test_id]],experiments_specs!A:J,2,FALSE)</f>
        <v>NN,VB,VBD,VBG,VBN,VBP,VBZ</v>
      </c>
      <c r="C586" s="38">
        <f>VLOOKUP(Tabella13[[#This Row],[test_id]],experiments_specs!A:J,3,FALSE)</f>
        <v>0</v>
      </c>
      <c r="D586" s="38">
        <f>VLOOKUP(Tabella13[[#This Row],[test_id]],experiments_specs!A:J,4,FALSE)</f>
        <v>3</v>
      </c>
      <c r="E586" s="38" t="str">
        <f>VLOOKUP(Tabella13[[#This Row],[test_id]],experiments_specs!A:J,5,FALSE)</f>
        <v>True</v>
      </c>
      <c r="F586" s="38" t="str">
        <f>VLOOKUP(Tabella13[[#This Row],[test_id]],experiments_specs!A:J,6,FALSE)</f>
        <v>False</v>
      </c>
      <c r="G586" s="38" t="str">
        <f>VLOOKUP(Tabella13[[#This Row],[test_id]],experiments_specs!A:J,7,FALSE)</f>
        <v>False</v>
      </c>
      <c r="H586" s="38" t="str">
        <f>VLOOKUP(Tabella13[[#This Row],[test_id]],experiments_specs!A:J,8,FALSE)</f>
        <v>True</v>
      </c>
      <c r="I586" s="38" t="str">
        <f>VLOOKUP(Tabella13[[#This Row],[test_id]],experiments_specs!A:J,9,FALSE)</f>
        <v>wup_similarity</v>
      </c>
      <c r="J586" s="38" t="str">
        <f>VLOOKUP(Tabella13[[#This Row],[test_id]],experiments_specs!A:J,10,FALSE)</f>
        <v>False</v>
      </c>
      <c r="K586" s="40" t="s">
        <v>18</v>
      </c>
      <c r="L586" s="36" t="s">
        <v>1416</v>
      </c>
      <c r="M586" s="36" t="s">
        <v>1340</v>
      </c>
      <c r="N586" s="36">
        <v>2.01946E-2</v>
      </c>
      <c r="O586" s="36" t="s">
        <v>1466</v>
      </c>
    </row>
    <row r="587" spans="1:15" ht="85" x14ac:dyDescent="0.2">
      <c r="A587" s="36" t="s">
        <v>1297</v>
      </c>
      <c r="B587" s="45" t="str">
        <f>VLOOKUP(Tabella13[[#This Row],[test_id]],experiments_specs!A:J,2,FALSE)</f>
        <v>NN,JJ,VB,VBD,VBG,VBN,VBP,VBZ</v>
      </c>
      <c r="C587" s="38">
        <f>VLOOKUP(Tabella13[[#This Row],[test_id]],experiments_specs!A:J,3,FALSE)</f>
        <v>0</v>
      </c>
      <c r="D587" s="38">
        <f>VLOOKUP(Tabella13[[#This Row],[test_id]],experiments_specs!A:J,4,FALSE)</f>
        <v>2</v>
      </c>
      <c r="E587" s="38" t="str">
        <f>VLOOKUP(Tabella13[[#This Row],[test_id]],experiments_specs!A:J,5,FALSE)</f>
        <v>True</v>
      </c>
      <c r="F587" s="38" t="str">
        <f>VLOOKUP(Tabella13[[#This Row],[test_id]],experiments_specs!A:J,6,FALSE)</f>
        <v>False</v>
      </c>
      <c r="G587" s="38" t="str">
        <f>VLOOKUP(Tabella13[[#This Row],[test_id]],experiments_specs!A:J,7,FALSE)</f>
        <v>False</v>
      </c>
      <c r="H587" s="38" t="str">
        <f>VLOOKUP(Tabella13[[#This Row],[test_id]],experiments_specs!A:J,8,FALSE)</f>
        <v>True</v>
      </c>
      <c r="I587" s="38" t="str">
        <f>VLOOKUP(Tabella13[[#This Row],[test_id]],experiments_specs!A:J,9,FALSE)</f>
        <v>wup_similarity</v>
      </c>
      <c r="J587" s="38" t="str">
        <f>VLOOKUP(Tabella13[[#This Row],[test_id]],experiments_specs!A:J,10,FALSE)</f>
        <v>False</v>
      </c>
      <c r="K587" s="40" t="s">
        <v>19</v>
      </c>
      <c r="L587" s="36" t="s">
        <v>1402</v>
      </c>
      <c r="M587" s="36">
        <v>3</v>
      </c>
      <c r="N587" s="36">
        <v>1.92155E-2</v>
      </c>
      <c r="O587" s="36">
        <v>0.18181810000000001</v>
      </c>
    </row>
    <row r="588" spans="1:15" ht="85" x14ac:dyDescent="0.2">
      <c r="A588" s="36" t="s">
        <v>1297</v>
      </c>
      <c r="B588" s="45" t="str">
        <f>VLOOKUP(Tabella13[[#This Row],[test_id]],experiments_specs!A:J,2,FALSE)</f>
        <v>NN,JJ,VB,VBD,VBG,VBN,VBP,VBZ</v>
      </c>
      <c r="C588" s="38">
        <f>VLOOKUP(Tabella13[[#This Row],[test_id]],experiments_specs!A:J,3,FALSE)</f>
        <v>0</v>
      </c>
      <c r="D588" s="38">
        <f>VLOOKUP(Tabella13[[#This Row],[test_id]],experiments_specs!A:J,4,FALSE)</f>
        <v>2</v>
      </c>
      <c r="E588" s="38" t="str">
        <f>VLOOKUP(Tabella13[[#This Row],[test_id]],experiments_specs!A:J,5,FALSE)</f>
        <v>True</v>
      </c>
      <c r="F588" s="38" t="str">
        <f>VLOOKUP(Tabella13[[#This Row],[test_id]],experiments_specs!A:J,6,FALSE)</f>
        <v>False</v>
      </c>
      <c r="G588" s="38" t="str">
        <f>VLOOKUP(Tabella13[[#This Row],[test_id]],experiments_specs!A:J,7,FALSE)</f>
        <v>False</v>
      </c>
      <c r="H588" s="38" t="str">
        <f>VLOOKUP(Tabella13[[#This Row],[test_id]],experiments_specs!A:J,8,FALSE)</f>
        <v>True</v>
      </c>
      <c r="I588" s="38" t="str">
        <f>VLOOKUP(Tabella13[[#This Row],[test_id]],experiments_specs!A:J,9,FALSE)</f>
        <v>wup_similarity</v>
      </c>
      <c r="J588" s="38" t="str">
        <f>VLOOKUP(Tabella13[[#This Row],[test_id]],experiments_specs!A:J,10,FALSE)</f>
        <v>False</v>
      </c>
      <c r="K588" s="40" t="s">
        <v>12</v>
      </c>
      <c r="L588" s="36" t="s">
        <v>1403</v>
      </c>
      <c r="M588" s="36">
        <v>3</v>
      </c>
      <c r="N588" s="36">
        <v>1.8133E-2</v>
      </c>
      <c r="O588" s="36">
        <v>0.4</v>
      </c>
    </row>
    <row r="589" spans="1:15" ht="85" x14ac:dyDescent="0.2">
      <c r="A589" s="36" t="s">
        <v>1297</v>
      </c>
      <c r="B589" s="45" t="str">
        <f>VLOOKUP(Tabella13[[#This Row],[test_id]],experiments_specs!A:J,2,FALSE)</f>
        <v>NN,JJ,VB,VBD,VBG,VBN,VBP,VBZ</v>
      </c>
      <c r="C589" s="38">
        <f>VLOOKUP(Tabella13[[#This Row],[test_id]],experiments_specs!A:J,3,FALSE)</f>
        <v>0</v>
      </c>
      <c r="D589" s="38">
        <f>VLOOKUP(Tabella13[[#This Row],[test_id]],experiments_specs!A:J,4,FALSE)</f>
        <v>2</v>
      </c>
      <c r="E589" s="38" t="str">
        <f>VLOOKUP(Tabella13[[#This Row],[test_id]],experiments_specs!A:J,5,FALSE)</f>
        <v>True</v>
      </c>
      <c r="F589" s="38" t="str">
        <f>VLOOKUP(Tabella13[[#This Row],[test_id]],experiments_specs!A:J,6,FALSE)</f>
        <v>False</v>
      </c>
      <c r="G589" s="38" t="str">
        <f>VLOOKUP(Tabella13[[#This Row],[test_id]],experiments_specs!A:J,7,FALSE)</f>
        <v>False</v>
      </c>
      <c r="H589" s="38" t="str">
        <f>VLOOKUP(Tabella13[[#This Row],[test_id]],experiments_specs!A:J,8,FALSE)</f>
        <v>True</v>
      </c>
      <c r="I589" s="38" t="str">
        <f>VLOOKUP(Tabella13[[#This Row],[test_id]],experiments_specs!A:J,9,FALSE)</f>
        <v>wup_similarity</v>
      </c>
      <c r="J589" s="38" t="str">
        <f>VLOOKUP(Tabella13[[#This Row],[test_id]],experiments_specs!A:J,10,FALSE)</f>
        <v>False</v>
      </c>
      <c r="K589" s="40" t="s">
        <v>13</v>
      </c>
      <c r="L589" s="36" t="s">
        <v>473</v>
      </c>
      <c r="M589" s="36">
        <v>2</v>
      </c>
      <c r="N589" s="36">
        <v>2.7524E-2</v>
      </c>
      <c r="O589" s="36">
        <v>0.4</v>
      </c>
    </row>
    <row r="590" spans="1:15" ht="85" x14ac:dyDescent="0.2">
      <c r="A590" s="36" t="s">
        <v>1297</v>
      </c>
      <c r="B590" s="45" t="str">
        <f>VLOOKUP(Tabella13[[#This Row],[test_id]],experiments_specs!A:J,2,FALSE)</f>
        <v>NN,JJ,VB,VBD,VBG,VBN,VBP,VBZ</v>
      </c>
      <c r="C590" s="38">
        <f>VLOOKUP(Tabella13[[#This Row],[test_id]],experiments_specs!A:J,3,FALSE)</f>
        <v>0</v>
      </c>
      <c r="D590" s="38">
        <f>VLOOKUP(Tabella13[[#This Row],[test_id]],experiments_specs!A:J,4,FALSE)</f>
        <v>2</v>
      </c>
      <c r="E590" s="38" t="str">
        <f>VLOOKUP(Tabella13[[#This Row],[test_id]],experiments_specs!A:J,5,FALSE)</f>
        <v>True</v>
      </c>
      <c r="F590" s="38" t="str">
        <f>VLOOKUP(Tabella13[[#This Row],[test_id]],experiments_specs!A:J,6,FALSE)</f>
        <v>False</v>
      </c>
      <c r="G590" s="38" t="str">
        <f>VLOOKUP(Tabella13[[#This Row],[test_id]],experiments_specs!A:J,7,FALSE)</f>
        <v>False</v>
      </c>
      <c r="H590" s="38" t="str">
        <f>VLOOKUP(Tabella13[[#This Row],[test_id]],experiments_specs!A:J,8,FALSE)</f>
        <v>True</v>
      </c>
      <c r="I590" s="38" t="str">
        <f>VLOOKUP(Tabella13[[#This Row],[test_id]],experiments_specs!A:J,9,FALSE)</f>
        <v>wup_similarity</v>
      </c>
      <c r="J590" s="38" t="str">
        <f>VLOOKUP(Tabella13[[#This Row],[test_id]],experiments_specs!A:J,10,FALSE)</f>
        <v>False</v>
      </c>
      <c r="K590" s="40" t="s">
        <v>14</v>
      </c>
      <c r="L590" s="36" t="s">
        <v>1404</v>
      </c>
      <c r="M590" s="36">
        <v>3</v>
      </c>
      <c r="N590" s="36">
        <v>1.2815E-2</v>
      </c>
      <c r="O590" s="36">
        <v>0.30769229999999997</v>
      </c>
    </row>
    <row r="591" spans="1:15" ht="85" x14ac:dyDescent="0.2">
      <c r="A591" s="36" t="s">
        <v>1297</v>
      </c>
      <c r="B591" s="45" t="str">
        <f>VLOOKUP(Tabella13[[#This Row],[test_id]],experiments_specs!A:J,2,FALSE)</f>
        <v>NN,JJ,VB,VBD,VBG,VBN,VBP,VBZ</v>
      </c>
      <c r="C591" s="38">
        <f>VLOOKUP(Tabella13[[#This Row],[test_id]],experiments_specs!A:J,3,FALSE)</f>
        <v>0</v>
      </c>
      <c r="D591" s="38">
        <f>VLOOKUP(Tabella13[[#This Row],[test_id]],experiments_specs!A:J,4,FALSE)</f>
        <v>2</v>
      </c>
      <c r="E591" s="38" t="str">
        <f>VLOOKUP(Tabella13[[#This Row],[test_id]],experiments_specs!A:J,5,FALSE)</f>
        <v>True</v>
      </c>
      <c r="F591" s="38" t="str">
        <f>VLOOKUP(Tabella13[[#This Row],[test_id]],experiments_specs!A:J,6,FALSE)</f>
        <v>False</v>
      </c>
      <c r="G591" s="38" t="str">
        <f>VLOOKUP(Tabella13[[#This Row],[test_id]],experiments_specs!A:J,7,FALSE)</f>
        <v>False</v>
      </c>
      <c r="H591" s="38" t="str">
        <f>VLOOKUP(Tabella13[[#This Row],[test_id]],experiments_specs!A:J,8,FALSE)</f>
        <v>True</v>
      </c>
      <c r="I591" s="38" t="str">
        <f>VLOOKUP(Tabella13[[#This Row],[test_id]],experiments_specs!A:J,9,FALSE)</f>
        <v>wup_similarity</v>
      </c>
      <c r="J591" s="38" t="str">
        <f>VLOOKUP(Tabella13[[#This Row],[test_id]],experiments_specs!A:J,10,FALSE)</f>
        <v>False</v>
      </c>
      <c r="K591" s="40" t="s">
        <v>15</v>
      </c>
      <c r="L591" s="36" t="s">
        <v>1114</v>
      </c>
      <c r="M591" s="36">
        <v>1</v>
      </c>
      <c r="N591" s="36">
        <v>2.81718E-2</v>
      </c>
      <c r="O591" s="36">
        <v>0.2</v>
      </c>
    </row>
    <row r="592" spans="1:15" ht="85" x14ac:dyDescent="0.2">
      <c r="A592" s="36" t="s">
        <v>1297</v>
      </c>
      <c r="B592" s="45" t="str">
        <f>VLOOKUP(Tabella13[[#This Row],[test_id]],experiments_specs!A:J,2,FALSE)</f>
        <v>NN,JJ,VB,VBD,VBG,VBN,VBP,VBZ</v>
      </c>
      <c r="C592" s="38">
        <f>VLOOKUP(Tabella13[[#This Row],[test_id]],experiments_specs!A:J,3,FALSE)</f>
        <v>0</v>
      </c>
      <c r="D592" s="38">
        <f>VLOOKUP(Tabella13[[#This Row],[test_id]],experiments_specs!A:J,4,FALSE)</f>
        <v>2</v>
      </c>
      <c r="E592" s="38" t="str">
        <f>VLOOKUP(Tabella13[[#This Row],[test_id]],experiments_specs!A:J,5,FALSE)</f>
        <v>True</v>
      </c>
      <c r="F592" s="38" t="str">
        <f>VLOOKUP(Tabella13[[#This Row],[test_id]],experiments_specs!A:J,6,FALSE)</f>
        <v>False</v>
      </c>
      <c r="G592" s="38" t="str">
        <f>VLOOKUP(Tabella13[[#This Row],[test_id]],experiments_specs!A:J,7,FALSE)</f>
        <v>False</v>
      </c>
      <c r="H592" s="38" t="str">
        <f>VLOOKUP(Tabella13[[#This Row],[test_id]],experiments_specs!A:J,8,FALSE)</f>
        <v>True</v>
      </c>
      <c r="I592" s="38" t="str">
        <f>VLOOKUP(Tabella13[[#This Row],[test_id]],experiments_specs!A:J,9,FALSE)</f>
        <v>wup_similarity</v>
      </c>
      <c r="J592" s="38" t="str">
        <f>VLOOKUP(Tabella13[[#This Row],[test_id]],experiments_specs!A:J,10,FALSE)</f>
        <v>False</v>
      </c>
      <c r="K592" s="40" t="s">
        <v>16</v>
      </c>
      <c r="L592" s="36" t="s">
        <v>1410</v>
      </c>
      <c r="M592" s="36" t="s">
        <v>1373</v>
      </c>
      <c r="N592" s="36">
        <v>2.0085800000000001E-2</v>
      </c>
      <c r="O592" s="36" t="s">
        <v>1462</v>
      </c>
    </row>
    <row r="593" spans="1:15" ht="85" x14ac:dyDescent="0.2">
      <c r="A593" s="36" t="s">
        <v>1297</v>
      </c>
      <c r="B593" s="45" t="str">
        <f>VLOOKUP(Tabella13[[#This Row],[test_id]],experiments_specs!A:J,2,FALSE)</f>
        <v>NN,JJ,VB,VBD,VBG,VBN,VBP,VBZ</v>
      </c>
      <c r="C593" s="38">
        <f>VLOOKUP(Tabella13[[#This Row],[test_id]],experiments_specs!A:J,3,FALSE)</f>
        <v>0</v>
      </c>
      <c r="D593" s="38">
        <f>VLOOKUP(Tabella13[[#This Row],[test_id]],experiments_specs!A:J,4,FALSE)</f>
        <v>2</v>
      </c>
      <c r="E593" s="38" t="str">
        <f>VLOOKUP(Tabella13[[#This Row],[test_id]],experiments_specs!A:J,5,FALSE)</f>
        <v>True</v>
      </c>
      <c r="F593" s="38" t="str">
        <f>VLOOKUP(Tabella13[[#This Row],[test_id]],experiments_specs!A:J,6,FALSE)</f>
        <v>False</v>
      </c>
      <c r="G593" s="38" t="str">
        <f>VLOOKUP(Tabella13[[#This Row],[test_id]],experiments_specs!A:J,7,FALSE)</f>
        <v>False</v>
      </c>
      <c r="H593" s="38" t="str">
        <f>VLOOKUP(Tabella13[[#This Row],[test_id]],experiments_specs!A:J,8,FALSE)</f>
        <v>True</v>
      </c>
      <c r="I593" s="38" t="str">
        <f>VLOOKUP(Tabella13[[#This Row],[test_id]],experiments_specs!A:J,9,FALSE)</f>
        <v>wup_similarity</v>
      </c>
      <c r="J593" s="38" t="str">
        <f>VLOOKUP(Tabella13[[#This Row],[test_id]],experiments_specs!A:J,10,FALSE)</f>
        <v>False</v>
      </c>
      <c r="K593" s="40" t="s">
        <v>17</v>
      </c>
      <c r="L593" s="36" t="s">
        <v>1412</v>
      </c>
      <c r="M593" s="36" t="s">
        <v>1414</v>
      </c>
      <c r="N593" s="36">
        <v>2.7848399999999999E-2</v>
      </c>
      <c r="O593" s="36" t="s">
        <v>1464</v>
      </c>
    </row>
    <row r="594" spans="1:15" ht="85" x14ac:dyDescent="0.2">
      <c r="A594" s="36" t="s">
        <v>1297</v>
      </c>
      <c r="B594" s="45" t="str">
        <f>VLOOKUP(Tabella13[[#This Row],[test_id]],experiments_specs!A:J,2,FALSE)</f>
        <v>NN,JJ,VB,VBD,VBG,VBN,VBP,VBZ</v>
      </c>
      <c r="C594" s="38">
        <f>VLOOKUP(Tabella13[[#This Row],[test_id]],experiments_specs!A:J,3,FALSE)</f>
        <v>0</v>
      </c>
      <c r="D594" s="38">
        <f>VLOOKUP(Tabella13[[#This Row],[test_id]],experiments_specs!A:J,4,FALSE)</f>
        <v>2</v>
      </c>
      <c r="E594" s="38" t="str">
        <f>VLOOKUP(Tabella13[[#This Row],[test_id]],experiments_specs!A:J,5,FALSE)</f>
        <v>True</v>
      </c>
      <c r="F594" s="38" t="str">
        <f>VLOOKUP(Tabella13[[#This Row],[test_id]],experiments_specs!A:J,6,FALSE)</f>
        <v>False</v>
      </c>
      <c r="G594" s="38" t="str">
        <f>VLOOKUP(Tabella13[[#This Row],[test_id]],experiments_specs!A:J,7,FALSE)</f>
        <v>False</v>
      </c>
      <c r="H594" s="38" t="str">
        <f>VLOOKUP(Tabella13[[#This Row],[test_id]],experiments_specs!A:J,8,FALSE)</f>
        <v>True</v>
      </c>
      <c r="I594" s="38" t="str">
        <f>VLOOKUP(Tabella13[[#This Row],[test_id]],experiments_specs!A:J,9,FALSE)</f>
        <v>wup_similarity</v>
      </c>
      <c r="J594" s="38" t="str">
        <f>VLOOKUP(Tabella13[[#This Row],[test_id]],experiments_specs!A:J,10,FALSE)</f>
        <v>False</v>
      </c>
      <c r="K594" s="40" t="s">
        <v>18</v>
      </c>
      <c r="L594" s="36" t="s">
        <v>1416</v>
      </c>
      <c r="M594" s="36" t="s">
        <v>1340</v>
      </c>
      <c r="N594" s="36">
        <v>1.6268000000000001E-2</v>
      </c>
      <c r="O594" s="36" t="s">
        <v>1466</v>
      </c>
    </row>
    <row r="595" spans="1:15" ht="85" x14ac:dyDescent="0.2">
      <c r="A595" s="36" t="s">
        <v>1298</v>
      </c>
      <c r="B595" s="45" t="str">
        <f>VLOOKUP(Tabella13[[#This Row],[test_id]],experiments_specs!A:J,2,FALSE)</f>
        <v>NN,JJ,VB,VBD,VBG,VBN,VBP,VBZ</v>
      </c>
      <c r="C595" s="38">
        <f>VLOOKUP(Tabella13[[#This Row],[test_id]],experiments_specs!A:J,3,FALSE)</f>
        <v>0</v>
      </c>
      <c r="D595" s="38">
        <f>VLOOKUP(Tabella13[[#This Row],[test_id]],experiments_specs!A:J,4,FALSE)</f>
        <v>3</v>
      </c>
      <c r="E595" s="38" t="str">
        <f>VLOOKUP(Tabella13[[#This Row],[test_id]],experiments_specs!A:J,5,FALSE)</f>
        <v>True</v>
      </c>
      <c r="F595" s="38" t="str">
        <f>VLOOKUP(Tabella13[[#This Row],[test_id]],experiments_specs!A:J,6,FALSE)</f>
        <v>False</v>
      </c>
      <c r="G595" s="38" t="str">
        <f>VLOOKUP(Tabella13[[#This Row],[test_id]],experiments_specs!A:J,7,FALSE)</f>
        <v>False</v>
      </c>
      <c r="H595" s="38" t="str">
        <f>VLOOKUP(Tabella13[[#This Row],[test_id]],experiments_specs!A:J,8,FALSE)</f>
        <v>True</v>
      </c>
      <c r="I595" s="38" t="str">
        <f>VLOOKUP(Tabella13[[#This Row],[test_id]],experiments_specs!A:J,9,FALSE)</f>
        <v>wup_similarity</v>
      </c>
      <c r="J595" s="38" t="str">
        <f>VLOOKUP(Tabella13[[#This Row],[test_id]],experiments_specs!A:J,10,FALSE)</f>
        <v>False</v>
      </c>
      <c r="K595" s="40" t="s">
        <v>19</v>
      </c>
      <c r="L595" s="36" t="s">
        <v>1402</v>
      </c>
      <c r="M595" s="36">
        <v>3</v>
      </c>
      <c r="N595" s="36">
        <v>1.92155E-2</v>
      </c>
      <c r="O595" s="36">
        <v>0.18181810000000001</v>
      </c>
    </row>
    <row r="596" spans="1:15" ht="85" x14ac:dyDescent="0.2">
      <c r="A596" s="36" t="s">
        <v>1298</v>
      </c>
      <c r="B596" s="45" t="str">
        <f>VLOOKUP(Tabella13[[#This Row],[test_id]],experiments_specs!A:J,2,FALSE)</f>
        <v>NN,JJ,VB,VBD,VBG,VBN,VBP,VBZ</v>
      </c>
      <c r="C596" s="38">
        <f>VLOOKUP(Tabella13[[#This Row],[test_id]],experiments_specs!A:J,3,FALSE)</f>
        <v>0</v>
      </c>
      <c r="D596" s="38">
        <f>VLOOKUP(Tabella13[[#This Row],[test_id]],experiments_specs!A:J,4,FALSE)</f>
        <v>3</v>
      </c>
      <c r="E596" s="38" t="str">
        <f>VLOOKUP(Tabella13[[#This Row],[test_id]],experiments_specs!A:J,5,FALSE)</f>
        <v>True</v>
      </c>
      <c r="F596" s="38" t="str">
        <f>VLOOKUP(Tabella13[[#This Row],[test_id]],experiments_specs!A:J,6,FALSE)</f>
        <v>False</v>
      </c>
      <c r="G596" s="38" t="str">
        <f>VLOOKUP(Tabella13[[#This Row],[test_id]],experiments_specs!A:J,7,FALSE)</f>
        <v>False</v>
      </c>
      <c r="H596" s="38" t="str">
        <f>VLOOKUP(Tabella13[[#This Row],[test_id]],experiments_specs!A:J,8,FALSE)</f>
        <v>True</v>
      </c>
      <c r="I596" s="38" t="str">
        <f>VLOOKUP(Tabella13[[#This Row],[test_id]],experiments_specs!A:J,9,FALSE)</f>
        <v>wup_similarity</v>
      </c>
      <c r="J596" s="38" t="str">
        <f>VLOOKUP(Tabella13[[#This Row],[test_id]],experiments_specs!A:J,10,FALSE)</f>
        <v>False</v>
      </c>
      <c r="K596" s="40" t="s">
        <v>12</v>
      </c>
      <c r="L596" s="36" t="s">
        <v>1403</v>
      </c>
      <c r="M596" s="36">
        <v>3</v>
      </c>
      <c r="N596" s="36">
        <v>1.8133E-2</v>
      </c>
      <c r="O596" s="36">
        <v>0.4</v>
      </c>
    </row>
    <row r="597" spans="1:15" ht="85" x14ac:dyDescent="0.2">
      <c r="A597" s="36" t="s">
        <v>1298</v>
      </c>
      <c r="B597" s="45" t="str">
        <f>VLOOKUP(Tabella13[[#This Row],[test_id]],experiments_specs!A:J,2,FALSE)</f>
        <v>NN,JJ,VB,VBD,VBG,VBN,VBP,VBZ</v>
      </c>
      <c r="C597" s="38">
        <f>VLOOKUP(Tabella13[[#This Row],[test_id]],experiments_specs!A:J,3,FALSE)</f>
        <v>0</v>
      </c>
      <c r="D597" s="38">
        <f>VLOOKUP(Tabella13[[#This Row],[test_id]],experiments_specs!A:J,4,FALSE)</f>
        <v>3</v>
      </c>
      <c r="E597" s="38" t="str">
        <f>VLOOKUP(Tabella13[[#This Row],[test_id]],experiments_specs!A:J,5,FALSE)</f>
        <v>True</v>
      </c>
      <c r="F597" s="38" t="str">
        <f>VLOOKUP(Tabella13[[#This Row],[test_id]],experiments_specs!A:J,6,FALSE)</f>
        <v>False</v>
      </c>
      <c r="G597" s="38" t="str">
        <f>VLOOKUP(Tabella13[[#This Row],[test_id]],experiments_specs!A:J,7,FALSE)</f>
        <v>False</v>
      </c>
      <c r="H597" s="38" t="str">
        <f>VLOOKUP(Tabella13[[#This Row],[test_id]],experiments_specs!A:J,8,FALSE)</f>
        <v>True</v>
      </c>
      <c r="I597" s="38" t="str">
        <f>VLOOKUP(Tabella13[[#This Row],[test_id]],experiments_specs!A:J,9,FALSE)</f>
        <v>wup_similarity</v>
      </c>
      <c r="J597" s="38" t="str">
        <f>VLOOKUP(Tabella13[[#This Row],[test_id]],experiments_specs!A:J,10,FALSE)</f>
        <v>False</v>
      </c>
      <c r="K597" s="40" t="s">
        <v>13</v>
      </c>
      <c r="L597" s="36" t="s">
        <v>473</v>
      </c>
      <c r="M597" s="36">
        <v>2</v>
      </c>
      <c r="N597" s="36">
        <v>2.7524E-2</v>
      </c>
      <c r="O597" s="36">
        <v>0.4</v>
      </c>
    </row>
    <row r="598" spans="1:15" ht="85" x14ac:dyDescent="0.2">
      <c r="A598" s="36" t="s">
        <v>1298</v>
      </c>
      <c r="B598" s="45" t="str">
        <f>VLOOKUP(Tabella13[[#This Row],[test_id]],experiments_specs!A:J,2,FALSE)</f>
        <v>NN,JJ,VB,VBD,VBG,VBN,VBP,VBZ</v>
      </c>
      <c r="C598" s="38">
        <f>VLOOKUP(Tabella13[[#This Row],[test_id]],experiments_specs!A:J,3,FALSE)</f>
        <v>0</v>
      </c>
      <c r="D598" s="38">
        <f>VLOOKUP(Tabella13[[#This Row],[test_id]],experiments_specs!A:J,4,FALSE)</f>
        <v>3</v>
      </c>
      <c r="E598" s="38" t="str">
        <f>VLOOKUP(Tabella13[[#This Row],[test_id]],experiments_specs!A:J,5,FALSE)</f>
        <v>True</v>
      </c>
      <c r="F598" s="38" t="str">
        <f>VLOOKUP(Tabella13[[#This Row],[test_id]],experiments_specs!A:J,6,FALSE)</f>
        <v>False</v>
      </c>
      <c r="G598" s="38" t="str">
        <f>VLOOKUP(Tabella13[[#This Row],[test_id]],experiments_specs!A:J,7,FALSE)</f>
        <v>False</v>
      </c>
      <c r="H598" s="38" t="str">
        <f>VLOOKUP(Tabella13[[#This Row],[test_id]],experiments_specs!A:J,8,FALSE)</f>
        <v>True</v>
      </c>
      <c r="I598" s="38" t="str">
        <f>VLOOKUP(Tabella13[[#This Row],[test_id]],experiments_specs!A:J,9,FALSE)</f>
        <v>wup_similarity</v>
      </c>
      <c r="J598" s="38" t="str">
        <f>VLOOKUP(Tabella13[[#This Row],[test_id]],experiments_specs!A:J,10,FALSE)</f>
        <v>False</v>
      </c>
      <c r="K598" s="40" t="s">
        <v>14</v>
      </c>
      <c r="L598" s="36" t="s">
        <v>1404</v>
      </c>
      <c r="M598" s="36">
        <v>3</v>
      </c>
      <c r="N598" s="36">
        <v>1.2815E-2</v>
      </c>
      <c r="O598" s="36">
        <v>0.30769229999999997</v>
      </c>
    </row>
    <row r="599" spans="1:15" ht="85" x14ac:dyDescent="0.2">
      <c r="A599" s="36" t="s">
        <v>1298</v>
      </c>
      <c r="B599" s="45" t="str">
        <f>VLOOKUP(Tabella13[[#This Row],[test_id]],experiments_specs!A:J,2,FALSE)</f>
        <v>NN,JJ,VB,VBD,VBG,VBN,VBP,VBZ</v>
      </c>
      <c r="C599" s="38">
        <f>VLOOKUP(Tabella13[[#This Row],[test_id]],experiments_specs!A:J,3,FALSE)</f>
        <v>0</v>
      </c>
      <c r="D599" s="38">
        <f>VLOOKUP(Tabella13[[#This Row],[test_id]],experiments_specs!A:J,4,FALSE)</f>
        <v>3</v>
      </c>
      <c r="E599" s="38" t="str">
        <f>VLOOKUP(Tabella13[[#This Row],[test_id]],experiments_specs!A:J,5,FALSE)</f>
        <v>True</v>
      </c>
      <c r="F599" s="38" t="str">
        <f>VLOOKUP(Tabella13[[#This Row],[test_id]],experiments_specs!A:J,6,FALSE)</f>
        <v>False</v>
      </c>
      <c r="G599" s="38" t="str">
        <f>VLOOKUP(Tabella13[[#This Row],[test_id]],experiments_specs!A:J,7,FALSE)</f>
        <v>False</v>
      </c>
      <c r="H599" s="38" t="str">
        <f>VLOOKUP(Tabella13[[#This Row],[test_id]],experiments_specs!A:J,8,FALSE)</f>
        <v>True</v>
      </c>
      <c r="I599" s="38" t="str">
        <f>VLOOKUP(Tabella13[[#This Row],[test_id]],experiments_specs!A:J,9,FALSE)</f>
        <v>wup_similarity</v>
      </c>
      <c r="J599" s="38" t="str">
        <f>VLOOKUP(Tabella13[[#This Row],[test_id]],experiments_specs!A:J,10,FALSE)</f>
        <v>False</v>
      </c>
      <c r="K599" s="40" t="s">
        <v>15</v>
      </c>
      <c r="L599" s="36" t="s">
        <v>1114</v>
      </c>
      <c r="M599" s="36">
        <v>1</v>
      </c>
      <c r="N599" s="36">
        <v>2.81718E-2</v>
      </c>
      <c r="O599" s="36">
        <v>0.2</v>
      </c>
    </row>
    <row r="600" spans="1:15" ht="85" x14ac:dyDescent="0.2">
      <c r="A600" s="36" t="s">
        <v>1298</v>
      </c>
      <c r="B600" s="45" t="str">
        <f>VLOOKUP(Tabella13[[#This Row],[test_id]],experiments_specs!A:J,2,FALSE)</f>
        <v>NN,JJ,VB,VBD,VBG,VBN,VBP,VBZ</v>
      </c>
      <c r="C600" s="38">
        <f>VLOOKUP(Tabella13[[#This Row],[test_id]],experiments_specs!A:J,3,FALSE)</f>
        <v>0</v>
      </c>
      <c r="D600" s="38">
        <f>VLOOKUP(Tabella13[[#This Row],[test_id]],experiments_specs!A:J,4,FALSE)</f>
        <v>3</v>
      </c>
      <c r="E600" s="38" t="str">
        <f>VLOOKUP(Tabella13[[#This Row],[test_id]],experiments_specs!A:J,5,FALSE)</f>
        <v>True</v>
      </c>
      <c r="F600" s="38" t="str">
        <f>VLOOKUP(Tabella13[[#This Row],[test_id]],experiments_specs!A:J,6,FALSE)</f>
        <v>False</v>
      </c>
      <c r="G600" s="38" t="str">
        <f>VLOOKUP(Tabella13[[#This Row],[test_id]],experiments_specs!A:J,7,FALSE)</f>
        <v>False</v>
      </c>
      <c r="H600" s="38" t="str">
        <f>VLOOKUP(Tabella13[[#This Row],[test_id]],experiments_specs!A:J,8,FALSE)</f>
        <v>True</v>
      </c>
      <c r="I600" s="38" t="str">
        <f>VLOOKUP(Tabella13[[#This Row],[test_id]],experiments_specs!A:J,9,FALSE)</f>
        <v>wup_similarity</v>
      </c>
      <c r="J600" s="38" t="str">
        <f>VLOOKUP(Tabella13[[#This Row],[test_id]],experiments_specs!A:J,10,FALSE)</f>
        <v>False</v>
      </c>
      <c r="K600" s="40" t="s">
        <v>16</v>
      </c>
      <c r="L600" s="36" t="s">
        <v>1410</v>
      </c>
      <c r="M600" s="36" t="s">
        <v>1373</v>
      </c>
      <c r="N600" s="36">
        <v>2.0085800000000001E-2</v>
      </c>
      <c r="O600" s="36" t="s">
        <v>1462</v>
      </c>
    </row>
    <row r="601" spans="1:15" ht="85" x14ac:dyDescent="0.2">
      <c r="A601" s="36" t="s">
        <v>1298</v>
      </c>
      <c r="B601" s="45" t="str">
        <f>VLOOKUP(Tabella13[[#This Row],[test_id]],experiments_specs!A:J,2,FALSE)</f>
        <v>NN,JJ,VB,VBD,VBG,VBN,VBP,VBZ</v>
      </c>
      <c r="C601" s="38">
        <f>VLOOKUP(Tabella13[[#This Row],[test_id]],experiments_specs!A:J,3,FALSE)</f>
        <v>0</v>
      </c>
      <c r="D601" s="38">
        <f>VLOOKUP(Tabella13[[#This Row],[test_id]],experiments_specs!A:J,4,FALSE)</f>
        <v>3</v>
      </c>
      <c r="E601" s="38" t="str">
        <f>VLOOKUP(Tabella13[[#This Row],[test_id]],experiments_specs!A:J,5,FALSE)</f>
        <v>True</v>
      </c>
      <c r="F601" s="38" t="str">
        <f>VLOOKUP(Tabella13[[#This Row],[test_id]],experiments_specs!A:J,6,FALSE)</f>
        <v>False</v>
      </c>
      <c r="G601" s="38" t="str">
        <f>VLOOKUP(Tabella13[[#This Row],[test_id]],experiments_specs!A:J,7,FALSE)</f>
        <v>False</v>
      </c>
      <c r="H601" s="38" t="str">
        <f>VLOOKUP(Tabella13[[#This Row],[test_id]],experiments_specs!A:J,8,FALSE)</f>
        <v>True</v>
      </c>
      <c r="I601" s="38" t="str">
        <f>VLOOKUP(Tabella13[[#This Row],[test_id]],experiments_specs!A:J,9,FALSE)</f>
        <v>wup_similarity</v>
      </c>
      <c r="J601" s="38" t="str">
        <f>VLOOKUP(Tabella13[[#This Row],[test_id]],experiments_specs!A:J,10,FALSE)</f>
        <v>False</v>
      </c>
      <c r="K601" s="40" t="s">
        <v>17</v>
      </c>
      <c r="L601" s="36" t="s">
        <v>1412</v>
      </c>
      <c r="M601" s="36" t="s">
        <v>1414</v>
      </c>
      <c r="N601" s="36">
        <v>2.7848399999999999E-2</v>
      </c>
      <c r="O601" s="36" t="s">
        <v>1464</v>
      </c>
    </row>
    <row r="602" spans="1:15" ht="85" x14ac:dyDescent="0.2">
      <c r="A602" s="36" t="s">
        <v>1298</v>
      </c>
      <c r="B602" s="45" t="str">
        <f>VLOOKUP(Tabella13[[#This Row],[test_id]],experiments_specs!A:J,2,FALSE)</f>
        <v>NN,JJ,VB,VBD,VBG,VBN,VBP,VBZ</v>
      </c>
      <c r="C602" s="38">
        <f>VLOOKUP(Tabella13[[#This Row],[test_id]],experiments_specs!A:J,3,FALSE)</f>
        <v>0</v>
      </c>
      <c r="D602" s="38">
        <f>VLOOKUP(Tabella13[[#This Row],[test_id]],experiments_specs!A:J,4,FALSE)</f>
        <v>3</v>
      </c>
      <c r="E602" s="38" t="str">
        <f>VLOOKUP(Tabella13[[#This Row],[test_id]],experiments_specs!A:J,5,FALSE)</f>
        <v>True</v>
      </c>
      <c r="F602" s="38" t="str">
        <f>VLOOKUP(Tabella13[[#This Row],[test_id]],experiments_specs!A:J,6,FALSE)</f>
        <v>False</v>
      </c>
      <c r="G602" s="38" t="str">
        <f>VLOOKUP(Tabella13[[#This Row],[test_id]],experiments_specs!A:J,7,FALSE)</f>
        <v>False</v>
      </c>
      <c r="H602" s="38" t="str">
        <f>VLOOKUP(Tabella13[[#This Row],[test_id]],experiments_specs!A:J,8,FALSE)</f>
        <v>True</v>
      </c>
      <c r="I602" s="38" t="str">
        <f>VLOOKUP(Tabella13[[#This Row],[test_id]],experiments_specs!A:J,9,FALSE)</f>
        <v>wup_similarity</v>
      </c>
      <c r="J602" s="38" t="str">
        <f>VLOOKUP(Tabella13[[#This Row],[test_id]],experiments_specs!A:J,10,FALSE)</f>
        <v>False</v>
      </c>
      <c r="K602" s="40" t="s">
        <v>18</v>
      </c>
      <c r="L602" s="36" t="s">
        <v>1416</v>
      </c>
      <c r="M602" s="36" t="s">
        <v>1340</v>
      </c>
      <c r="N602" s="36">
        <v>1.6268000000000001E-2</v>
      </c>
      <c r="O602" s="36" t="s">
        <v>1466</v>
      </c>
    </row>
    <row r="603" spans="1:15" ht="85" x14ac:dyDescent="0.2">
      <c r="A603" s="36" t="s">
        <v>1299</v>
      </c>
      <c r="B603" s="45" t="str">
        <f>VLOOKUP(Tabella13[[#This Row],[test_id]],experiments_specs!A:J,2,FALSE)</f>
        <v>NN,JJ</v>
      </c>
      <c r="C603" s="38">
        <f>VLOOKUP(Tabella13[[#This Row],[test_id]],experiments_specs!A:J,3,FALSE)</f>
        <v>0</v>
      </c>
      <c r="D603" s="38">
        <f>VLOOKUP(Tabella13[[#This Row],[test_id]],experiments_specs!A:J,4,FALSE)</f>
        <v>2</v>
      </c>
      <c r="E603" s="38" t="str">
        <f>VLOOKUP(Tabella13[[#This Row],[test_id]],experiments_specs!A:J,5,FALSE)</f>
        <v>False</v>
      </c>
      <c r="F603" s="38" t="str">
        <f>VLOOKUP(Tabella13[[#This Row],[test_id]],experiments_specs!A:J,6,FALSE)</f>
        <v>False</v>
      </c>
      <c r="G603" s="38" t="str">
        <f>VLOOKUP(Tabella13[[#This Row],[test_id]],experiments_specs!A:J,7,FALSE)</f>
        <v>False</v>
      </c>
      <c r="H603" s="38" t="str">
        <f>VLOOKUP(Tabella13[[#This Row],[test_id]],experiments_specs!A:J,8,FALSE)</f>
        <v>True</v>
      </c>
      <c r="I603" s="38" t="str">
        <f>VLOOKUP(Tabella13[[#This Row],[test_id]],experiments_specs!A:J,9,FALSE)</f>
        <v>wup_similarity</v>
      </c>
      <c r="J603" s="38" t="str">
        <f>VLOOKUP(Tabella13[[#This Row],[test_id]],experiments_specs!A:J,10,FALSE)</f>
        <v>True</v>
      </c>
      <c r="K603" s="40" t="s">
        <v>19</v>
      </c>
      <c r="L603" s="36" t="s">
        <v>1387</v>
      </c>
      <c r="M603" s="36" t="s">
        <v>1381</v>
      </c>
      <c r="N603" s="36">
        <v>3.2292000000000002E-3</v>
      </c>
      <c r="O603" s="36" t="s">
        <v>1456</v>
      </c>
    </row>
    <row r="604" spans="1:15" ht="85" x14ac:dyDescent="0.2">
      <c r="A604" s="36" t="s">
        <v>1299</v>
      </c>
      <c r="B604" s="45" t="str">
        <f>VLOOKUP(Tabella13[[#This Row],[test_id]],experiments_specs!A:J,2,FALSE)</f>
        <v>NN,JJ</v>
      </c>
      <c r="C604" s="38">
        <f>VLOOKUP(Tabella13[[#This Row],[test_id]],experiments_specs!A:J,3,FALSE)</f>
        <v>0</v>
      </c>
      <c r="D604" s="38">
        <f>VLOOKUP(Tabella13[[#This Row],[test_id]],experiments_specs!A:J,4,FALSE)</f>
        <v>2</v>
      </c>
      <c r="E604" s="38" t="str">
        <f>VLOOKUP(Tabella13[[#This Row],[test_id]],experiments_specs!A:J,5,FALSE)</f>
        <v>False</v>
      </c>
      <c r="F604" s="38" t="str">
        <f>VLOOKUP(Tabella13[[#This Row],[test_id]],experiments_specs!A:J,6,FALSE)</f>
        <v>False</v>
      </c>
      <c r="G604" s="38" t="str">
        <f>VLOOKUP(Tabella13[[#This Row],[test_id]],experiments_specs!A:J,7,FALSE)</f>
        <v>False</v>
      </c>
      <c r="H604" s="38" t="str">
        <f>VLOOKUP(Tabella13[[#This Row],[test_id]],experiments_specs!A:J,8,FALSE)</f>
        <v>True</v>
      </c>
      <c r="I604" s="38" t="str">
        <f>VLOOKUP(Tabella13[[#This Row],[test_id]],experiments_specs!A:J,9,FALSE)</f>
        <v>wup_similarity</v>
      </c>
      <c r="J604" s="38" t="str">
        <f>VLOOKUP(Tabella13[[#This Row],[test_id]],experiments_specs!A:J,10,FALSE)</f>
        <v>True</v>
      </c>
      <c r="K604" s="40" t="s">
        <v>12</v>
      </c>
      <c r="L604" s="36" t="s">
        <v>1388</v>
      </c>
      <c r="M604" s="36">
        <v>1</v>
      </c>
      <c r="N604" s="36">
        <v>6.3214999999999999E-3</v>
      </c>
      <c r="O604" s="36">
        <v>0.30769229999999997</v>
      </c>
    </row>
    <row r="605" spans="1:15" ht="85" x14ac:dyDescent="0.2">
      <c r="A605" s="36" t="s">
        <v>1299</v>
      </c>
      <c r="B605" s="45" t="str">
        <f>VLOOKUP(Tabella13[[#This Row],[test_id]],experiments_specs!A:J,2,FALSE)</f>
        <v>NN,JJ</v>
      </c>
      <c r="C605" s="38">
        <f>VLOOKUP(Tabella13[[#This Row],[test_id]],experiments_specs!A:J,3,FALSE)</f>
        <v>0</v>
      </c>
      <c r="D605" s="38">
        <f>VLOOKUP(Tabella13[[#This Row],[test_id]],experiments_specs!A:J,4,FALSE)</f>
        <v>2</v>
      </c>
      <c r="E605" s="38" t="str">
        <f>VLOOKUP(Tabella13[[#This Row],[test_id]],experiments_specs!A:J,5,FALSE)</f>
        <v>False</v>
      </c>
      <c r="F605" s="38" t="str">
        <f>VLOOKUP(Tabella13[[#This Row],[test_id]],experiments_specs!A:J,6,FALSE)</f>
        <v>False</v>
      </c>
      <c r="G605" s="38" t="str">
        <f>VLOOKUP(Tabella13[[#This Row],[test_id]],experiments_specs!A:J,7,FALSE)</f>
        <v>False</v>
      </c>
      <c r="H605" s="38" t="str">
        <f>VLOOKUP(Tabella13[[#This Row],[test_id]],experiments_specs!A:J,8,FALSE)</f>
        <v>True</v>
      </c>
      <c r="I605" s="38" t="str">
        <f>VLOOKUP(Tabella13[[#This Row],[test_id]],experiments_specs!A:J,9,FALSE)</f>
        <v>wup_similarity</v>
      </c>
      <c r="J605" s="38" t="str">
        <f>VLOOKUP(Tabella13[[#This Row],[test_id]],experiments_specs!A:J,10,FALSE)</f>
        <v>True</v>
      </c>
      <c r="K605" s="40" t="s">
        <v>13</v>
      </c>
      <c r="L605" s="36" t="s">
        <v>426</v>
      </c>
      <c r="M605" s="36">
        <v>2</v>
      </c>
      <c r="N605" s="36">
        <v>1.02869E-2</v>
      </c>
      <c r="O605" s="36" t="s">
        <v>25</v>
      </c>
    </row>
    <row r="606" spans="1:15" ht="85" x14ac:dyDescent="0.2">
      <c r="A606" s="36" t="s">
        <v>1299</v>
      </c>
      <c r="B606" s="45" t="str">
        <f>VLOOKUP(Tabella13[[#This Row],[test_id]],experiments_specs!A:J,2,FALSE)</f>
        <v>NN,JJ</v>
      </c>
      <c r="C606" s="38">
        <f>VLOOKUP(Tabella13[[#This Row],[test_id]],experiments_specs!A:J,3,FALSE)</f>
        <v>0</v>
      </c>
      <c r="D606" s="38">
        <f>VLOOKUP(Tabella13[[#This Row],[test_id]],experiments_specs!A:J,4,FALSE)</f>
        <v>2</v>
      </c>
      <c r="E606" s="38" t="str">
        <f>VLOOKUP(Tabella13[[#This Row],[test_id]],experiments_specs!A:J,5,FALSE)</f>
        <v>False</v>
      </c>
      <c r="F606" s="38" t="str">
        <f>VLOOKUP(Tabella13[[#This Row],[test_id]],experiments_specs!A:J,6,FALSE)</f>
        <v>False</v>
      </c>
      <c r="G606" s="38" t="str">
        <f>VLOOKUP(Tabella13[[#This Row],[test_id]],experiments_specs!A:J,7,FALSE)</f>
        <v>False</v>
      </c>
      <c r="H606" s="38" t="str">
        <f>VLOOKUP(Tabella13[[#This Row],[test_id]],experiments_specs!A:J,8,FALSE)</f>
        <v>True</v>
      </c>
      <c r="I606" s="38" t="str">
        <f>VLOOKUP(Tabella13[[#This Row],[test_id]],experiments_specs!A:J,9,FALSE)</f>
        <v>wup_similarity</v>
      </c>
      <c r="J606" s="38" t="str">
        <f>VLOOKUP(Tabella13[[#This Row],[test_id]],experiments_specs!A:J,10,FALSE)</f>
        <v>True</v>
      </c>
      <c r="K606" s="40" t="s">
        <v>14</v>
      </c>
      <c r="L606" s="36" t="s">
        <v>1345</v>
      </c>
      <c r="M606" s="36" t="s">
        <v>1314</v>
      </c>
      <c r="N606" s="36">
        <v>4.7692000000000003E-3</v>
      </c>
      <c r="O606" s="36" t="s">
        <v>1347</v>
      </c>
    </row>
    <row r="607" spans="1:15" ht="85" x14ac:dyDescent="0.2">
      <c r="A607" s="36" t="s">
        <v>1299</v>
      </c>
      <c r="B607" s="45" t="str">
        <f>VLOOKUP(Tabella13[[#This Row],[test_id]],experiments_specs!A:J,2,FALSE)</f>
        <v>NN,JJ</v>
      </c>
      <c r="C607" s="38">
        <f>VLOOKUP(Tabella13[[#This Row],[test_id]],experiments_specs!A:J,3,FALSE)</f>
        <v>0</v>
      </c>
      <c r="D607" s="38">
        <f>VLOOKUP(Tabella13[[#This Row],[test_id]],experiments_specs!A:J,4,FALSE)</f>
        <v>2</v>
      </c>
      <c r="E607" s="38" t="str">
        <f>VLOOKUP(Tabella13[[#This Row],[test_id]],experiments_specs!A:J,5,FALSE)</f>
        <v>False</v>
      </c>
      <c r="F607" s="38" t="str">
        <f>VLOOKUP(Tabella13[[#This Row],[test_id]],experiments_specs!A:J,6,FALSE)</f>
        <v>False</v>
      </c>
      <c r="G607" s="38" t="str">
        <f>VLOOKUP(Tabella13[[#This Row],[test_id]],experiments_specs!A:J,7,FALSE)</f>
        <v>False</v>
      </c>
      <c r="H607" s="38" t="str">
        <f>VLOOKUP(Tabella13[[#This Row],[test_id]],experiments_specs!A:J,8,FALSE)</f>
        <v>True</v>
      </c>
      <c r="I607" s="38" t="str">
        <f>VLOOKUP(Tabella13[[#This Row],[test_id]],experiments_specs!A:J,9,FALSE)</f>
        <v>wup_similarity</v>
      </c>
      <c r="J607" s="38" t="str">
        <f>VLOOKUP(Tabella13[[#This Row],[test_id]],experiments_specs!A:J,10,FALSE)</f>
        <v>True</v>
      </c>
      <c r="K607" s="40" t="s">
        <v>15</v>
      </c>
      <c r="L607" s="36" t="s">
        <v>1389</v>
      </c>
      <c r="M607" s="36">
        <v>0</v>
      </c>
      <c r="N607" s="36">
        <v>6.4266000000000002E-3</v>
      </c>
      <c r="O607" s="36">
        <v>0.18181810000000001</v>
      </c>
    </row>
    <row r="608" spans="1:15" ht="85" x14ac:dyDescent="0.2">
      <c r="A608" s="36" t="s">
        <v>1299</v>
      </c>
      <c r="B608" s="45" t="str">
        <f>VLOOKUP(Tabella13[[#This Row],[test_id]],experiments_specs!A:J,2,FALSE)</f>
        <v>NN,JJ</v>
      </c>
      <c r="C608" s="38">
        <f>VLOOKUP(Tabella13[[#This Row],[test_id]],experiments_specs!A:J,3,FALSE)</f>
        <v>0</v>
      </c>
      <c r="D608" s="38">
        <f>VLOOKUP(Tabella13[[#This Row],[test_id]],experiments_specs!A:J,4,FALSE)</f>
        <v>2</v>
      </c>
      <c r="E608" s="38" t="str">
        <f>VLOOKUP(Tabella13[[#This Row],[test_id]],experiments_specs!A:J,5,FALSE)</f>
        <v>False</v>
      </c>
      <c r="F608" s="38" t="str">
        <f>VLOOKUP(Tabella13[[#This Row],[test_id]],experiments_specs!A:J,6,FALSE)</f>
        <v>False</v>
      </c>
      <c r="G608" s="38" t="str">
        <f>VLOOKUP(Tabella13[[#This Row],[test_id]],experiments_specs!A:J,7,FALSE)</f>
        <v>False</v>
      </c>
      <c r="H608" s="38" t="str">
        <f>VLOOKUP(Tabella13[[#This Row],[test_id]],experiments_specs!A:J,8,FALSE)</f>
        <v>True</v>
      </c>
      <c r="I608" s="38" t="str">
        <f>VLOOKUP(Tabella13[[#This Row],[test_id]],experiments_specs!A:J,9,FALSE)</f>
        <v>wup_similarity</v>
      </c>
      <c r="J608" s="38" t="str">
        <f>VLOOKUP(Tabella13[[#This Row],[test_id]],experiments_specs!A:J,10,FALSE)</f>
        <v>True</v>
      </c>
      <c r="K608" s="40" t="s">
        <v>16</v>
      </c>
      <c r="L608" s="36" t="s">
        <v>445</v>
      </c>
      <c r="M608" s="36">
        <v>1</v>
      </c>
      <c r="N608" s="36">
        <v>5.2512000000000001E-3</v>
      </c>
      <c r="O608" s="36">
        <v>0.14285709999999999</v>
      </c>
    </row>
    <row r="609" spans="1:15" ht="85" x14ac:dyDescent="0.2">
      <c r="A609" s="36" t="s">
        <v>1299</v>
      </c>
      <c r="B609" s="45" t="str">
        <f>VLOOKUP(Tabella13[[#This Row],[test_id]],experiments_specs!A:J,2,FALSE)</f>
        <v>NN,JJ</v>
      </c>
      <c r="C609" s="38">
        <f>VLOOKUP(Tabella13[[#This Row],[test_id]],experiments_specs!A:J,3,FALSE)</f>
        <v>0</v>
      </c>
      <c r="D609" s="38">
        <f>VLOOKUP(Tabella13[[#This Row],[test_id]],experiments_specs!A:J,4,FALSE)</f>
        <v>2</v>
      </c>
      <c r="E609" s="38" t="str">
        <f>VLOOKUP(Tabella13[[#This Row],[test_id]],experiments_specs!A:J,5,FALSE)</f>
        <v>False</v>
      </c>
      <c r="F609" s="38" t="str">
        <f>VLOOKUP(Tabella13[[#This Row],[test_id]],experiments_specs!A:J,6,FALSE)</f>
        <v>False</v>
      </c>
      <c r="G609" s="38" t="str">
        <f>VLOOKUP(Tabella13[[#This Row],[test_id]],experiments_specs!A:J,7,FALSE)</f>
        <v>False</v>
      </c>
      <c r="H609" s="38" t="str">
        <f>VLOOKUP(Tabella13[[#This Row],[test_id]],experiments_specs!A:J,8,FALSE)</f>
        <v>True</v>
      </c>
      <c r="I609" s="38" t="str">
        <f>VLOOKUP(Tabella13[[#This Row],[test_id]],experiments_specs!A:J,9,FALSE)</f>
        <v>wup_similarity</v>
      </c>
      <c r="J609" s="38" t="str">
        <f>VLOOKUP(Tabella13[[#This Row],[test_id]],experiments_specs!A:J,10,FALSE)</f>
        <v>True</v>
      </c>
      <c r="K609" s="40" t="s">
        <v>17</v>
      </c>
      <c r="L609" s="36" t="s">
        <v>440</v>
      </c>
      <c r="M609" s="36">
        <v>2</v>
      </c>
      <c r="N609" s="36">
        <v>5.1130000000000004E-3</v>
      </c>
      <c r="O609" s="36">
        <v>0.2</v>
      </c>
    </row>
    <row r="610" spans="1:15" ht="85" x14ac:dyDescent="0.2">
      <c r="A610" s="36" t="s">
        <v>1299</v>
      </c>
      <c r="B610" s="45" t="str">
        <f>VLOOKUP(Tabella13[[#This Row],[test_id]],experiments_specs!A:J,2,FALSE)</f>
        <v>NN,JJ</v>
      </c>
      <c r="C610" s="38">
        <f>VLOOKUP(Tabella13[[#This Row],[test_id]],experiments_specs!A:J,3,FALSE)</f>
        <v>0</v>
      </c>
      <c r="D610" s="38">
        <f>VLOOKUP(Tabella13[[#This Row],[test_id]],experiments_specs!A:J,4,FALSE)</f>
        <v>2</v>
      </c>
      <c r="E610" s="38" t="str">
        <f>VLOOKUP(Tabella13[[#This Row],[test_id]],experiments_specs!A:J,5,FALSE)</f>
        <v>False</v>
      </c>
      <c r="F610" s="38" t="str">
        <f>VLOOKUP(Tabella13[[#This Row],[test_id]],experiments_specs!A:J,6,FALSE)</f>
        <v>False</v>
      </c>
      <c r="G610" s="38" t="str">
        <f>VLOOKUP(Tabella13[[#This Row],[test_id]],experiments_specs!A:J,7,FALSE)</f>
        <v>False</v>
      </c>
      <c r="H610" s="38" t="str">
        <f>VLOOKUP(Tabella13[[#This Row],[test_id]],experiments_specs!A:J,8,FALSE)</f>
        <v>True</v>
      </c>
      <c r="I610" s="38" t="str">
        <f>VLOOKUP(Tabella13[[#This Row],[test_id]],experiments_specs!A:J,9,FALSE)</f>
        <v>wup_similarity</v>
      </c>
      <c r="J610" s="38" t="str">
        <f>VLOOKUP(Tabella13[[#This Row],[test_id]],experiments_specs!A:J,10,FALSE)</f>
        <v>True</v>
      </c>
      <c r="K610" s="40" t="s">
        <v>18</v>
      </c>
      <c r="L610" s="36" t="s">
        <v>781</v>
      </c>
      <c r="M610" s="36">
        <v>2</v>
      </c>
      <c r="N610" s="36">
        <v>2.3768000000000001E-3</v>
      </c>
      <c r="O610" s="36">
        <v>0.2105263</v>
      </c>
    </row>
    <row r="611" spans="1:15" ht="85" x14ac:dyDescent="0.2">
      <c r="A611" s="36" t="s">
        <v>1300</v>
      </c>
      <c r="B611" s="45" t="str">
        <f>VLOOKUP(Tabella13[[#This Row],[test_id]],experiments_specs!A:J,2,FALSE)</f>
        <v>NN,JJ</v>
      </c>
      <c r="C611" s="38">
        <f>VLOOKUP(Tabella13[[#This Row],[test_id]],experiments_specs!A:J,3,FALSE)</f>
        <v>0</v>
      </c>
      <c r="D611" s="38">
        <f>VLOOKUP(Tabella13[[#This Row],[test_id]],experiments_specs!A:J,4,FALSE)</f>
        <v>3</v>
      </c>
      <c r="E611" s="38" t="str">
        <f>VLOOKUP(Tabella13[[#This Row],[test_id]],experiments_specs!A:J,5,FALSE)</f>
        <v>True</v>
      </c>
      <c r="F611" s="38" t="str">
        <f>VLOOKUP(Tabella13[[#This Row],[test_id]],experiments_specs!A:J,6,FALSE)</f>
        <v>False</v>
      </c>
      <c r="G611" s="38" t="str">
        <f>VLOOKUP(Tabella13[[#This Row],[test_id]],experiments_specs!A:J,7,FALSE)</f>
        <v>False</v>
      </c>
      <c r="H611" s="38" t="str">
        <f>VLOOKUP(Tabella13[[#This Row],[test_id]],experiments_specs!A:J,8,FALSE)</f>
        <v>True</v>
      </c>
      <c r="I611" s="38" t="str">
        <f>VLOOKUP(Tabella13[[#This Row],[test_id]],experiments_specs!A:J,9,FALSE)</f>
        <v>wup_similarity</v>
      </c>
      <c r="J611" s="38" t="str">
        <f>VLOOKUP(Tabella13[[#This Row],[test_id]],experiments_specs!A:J,10,FALSE)</f>
        <v>True</v>
      </c>
      <c r="K611" s="40" t="s">
        <v>19</v>
      </c>
      <c r="L611" s="36" t="s">
        <v>1402</v>
      </c>
      <c r="M611" s="36">
        <v>3</v>
      </c>
      <c r="N611" s="36">
        <v>2.7404100000000001E-2</v>
      </c>
      <c r="O611" s="36">
        <v>0.18181810000000001</v>
      </c>
    </row>
    <row r="612" spans="1:15" ht="85" x14ac:dyDescent="0.2">
      <c r="A612" s="36" t="s">
        <v>1300</v>
      </c>
      <c r="B612" s="45" t="str">
        <f>VLOOKUP(Tabella13[[#This Row],[test_id]],experiments_specs!A:J,2,FALSE)</f>
        <v>NN,JJ</v>
      </c>
      <c r="C612" s="38">
        <f>VLOOKUP(Tabella13[[#This Row],[test_id]],experiments_specs!A:J,3,FALSE)</f>
        <v>0</v>
      </c>
      <c r="D612" s="38">
        <f>VLOOKUP(Tabella13[[#This Row],[test_id]],experiments_specs!A:J,4,FALSE)</f>
        <v>3</v>
      </c>
      <c r="E612" s="38" t="str">
        <f>VLOOKUP(Tabella13[[#This Row],[test_id]],experiments_specs!A:J,5,FALSE)</f>
        <v>True</v>
      </c>
      <c r="F612" s="38" t="str">
        <f>VLOOKUP(Tabella13[[#This Row],[test_id]],experiments_specs!A:J,6,FALSE)</f>
        <v>False</v>
      </c>
      <c r="G612" s="38" t="str">
        <f>VLOOKUP(Tabella13[[#This Row],[test_id]],experiments_specs!A:J,7,FALSE)</f>
        <v>False</v>
      </c>
      <c r="H612" s="38" t="str">
        <f>VLOOKUP(Tabella13[[#This Row],[test_id]],experiments_specs!A:J,8,FALSE)</f>
        <v>True</v>
      </c>
      <c r="I612" s="38" t="str">
        <f>VLOOKUP(Tabella13[[#This Row],[test_id]],experiments_specs!A:J,9,FALSE)</f>
        <v>wup_similarity</v>
      </c>
      <c r="J612" s="38" t="str">
        <f>VLOOKUP(Tabella13[[#This Row],[test_id]],experiments_specs!A:J,10,FALSE)</f>
        <v>True</v>
      </c>
      <c r="K612" s="40" t="s">
        <v>12</v>
      </c>
      <c r="L612" s="36" t="s">
        <v>1403</v>
      </c>
      <c r="M612" s="36">
        <v>3</v>
      </c>
      <c r="N612" s="36">
        <v>4.1152599999999998E-2</v>
      </c>
      <c r="O612" s="36">
        <v>0.4</v>
      </c>
    </row>
    <row r="613" spans="1:15" ht="85" x14ac:dyDescent="0.2">
      <c r="A613" s="36" t="s">
        <v>1300</v>
      </c>
      <c r="B613" s="45" t="str">
        <f>VLOOKUP(Tabella13[[#This Row],[test_id]],experiments_specs!A:J,2,FALSE)</f>
        <v>NN,JJ</v>
      </c>
      <c r="C613" s="38">
        <f>VLOOKUP(Tabella13[[#This Row],[test_id]],experiments_specs!A:J,3,FALSE)</f>
        <v>0</v>
      </c>
      <c r="D613" s="38">
        <f>VLOOKUP(Tabella13[[#This Row],[test_id]],experiments_specs!A:J,4,FALSE)</f>
        <v>3</v>
      </c>
      <c r="E613" s="38" t="str">
        <f>VLOOKUP(Tabella13[[#This Row],[test_id]],experiments_specs!A:J,5,FALSE)</f>
        <v>True</v>
      </c>
      <c r="F613" s="38" t="str">
        <f>VLOOKUP(Tabella13[[#This Row],[test_id]],experiments_specs!A:J,6,FALSE)</f>
        <v>False</v>
      </c>
      <c r="G613" s="38" t="str">
        <f>VLOOKUP(Tabella13[[#This Row],[test_id]],experiments_specs!A:J,7,FALSE)</f>
        <v>False</v>
      </c>
      <c r="H613" s="38" t="str">
        <f>VLOOKUP(Tabella13[[#This Row],[test_id]],experiments_specs!A:J,8,FALSE)</f>
        <v>True</v>
      </c>
      <c r="I613" s="38" t="str">
        <f>VLOOKUP(Tabella13[[#This Row],[test_id]],experiments_specs!A:J,9,FALSE)</f>
        <v>wup_similarity</v>
      </c>
      <c r="J613" s="38" t="str">
        <f>VLOOKUP(Tabella13[[#This Row],[test_id]],experiments_specs!A:J,10,FALSE)</f>
        <v>True</v>
      </c>
      <c r="K613" s="40" t="s">
        <v>13</v>
      </c>
      <c r="L613" s="36" t="s">
        <v>908</v>
      </c>
      <c r="M613" s="36">
        <v>2</v>
      </c>
      <c r="N613" s="36">
        <v>4.6201300000000001E-2</v>
      </c>
      <c r="O613" s="36" t="s">
        <v>25</v>
      </c>
    </row>
    <row r="614" spans="1:15" ht="85" x14ac:dyDescent="0.2">
      <c r="A614" s="36" t="s">
        <v>1300</v>
      </c>
      <c r="B614" s="45" t="str">
        <f>VLOOKUP(Tabella13[[#This Row],[test_id]],experiments_specs!A:J,2,FALSE)</f>
        <v>NN,JJ</v>
      </c>
      <c r="C614" s="38">
        <f>VLOOKUP(Tabella13[[#This Row],[test_id]],experiments_specs!A:J,3,FALSE)</f>
        <v>0</v>
      </c>
      <c r="D614" s="38">
        <f>VLOOKUP(Tabella13[[#This Row],[test_id]],experiments_specs!A:J,4,FALSE)</f>
        <v>3</v>
      </c>
      <c r="E614" s="38" t="str">
        <f>VLOOKUP(Tabella13[[#This Row],[test_id]],experiments_specs!A:J,5,FALSE)</f>
        <v>True</v>
      </c>
      <c r="F614" s="38" t="str">
        <f>VLOOKUP(Tabella13[[#This Row],[test_id]],experiments_specs!A:J,6,FALSE)</f>
        <v>False</v>
      </c>
      <c r="G614" s="38" t="str">
        <f>VLOOKUP(Tabella13[[#This Row],[test_id]],experiments_specs!A:J,7,FALSE)</f>
        <v>False</v>
      </c>
      <c r="H614" s="38" t="str">
        <f>VLOOKUP(Tabella13[[#This Row],[test_id]],experiments_specs!A:J,8,FALSE)</f>
        <v>True</v>
      </c>
      <c r="I614" s="38" t="str">
        <f>VLOOKUP(Tabella13[[#This Row],[test_id]],experiments_specs!A:J,9,FALSE)</f>
        <v>wup_similarity</v>
      </c>
      <c r="J614" s="38" t="str">
        <f>VLOOKUP(Tabella13[[#This Row],[test_id]],experiments_specs!A:J,10,FALSE)</f>
        <v>True</v>
      </c>
      <c r="K614" s="40" t="s">
        <v>14</v>
      </c>
      <c r="L614" s="36" t="s">
        <v>1404</v>
      </c>
      <c r="M614" s="36">
        <v>3</v>
      </c>
      <c r="N614" s="36">
        <v>1.6427400000000002E-2</v>
      </c>
      <c r="O614" s="36">
        <v>0.30769229999999997</v>
      </c>
    </row>
    <row r="615" spans="1:15" ht="85" x14ac:dyDescent="0.2">
      <c r="A615" s="36" t="s">
        <v>1300</v>
      </c>
      <c r="B615" s="45" t="str">
        <f>VLOOKUP(Tabella13[[#This Row],[test_id]],experiments_specs!A:J,2,FALSE)</f>
        <v>NN,JJ</v>
      </c>
      <c r="C615" s="38">
        <f>VLOOKUP(Tabella13[[#This Row],[test_id]],experiments_specs!A:J,3,FALSE)</f>
        <v>0</v>
      </c>
      <c r="D615" s="38">
        <f>VLOOKUP(Tabella13[[#This Row],[test_id]],experiments_specs!A:J,4,FALSE)</f>
        <v>3</v>
      </c>
      <c r="E615" s="38" t="str">
        <f>VLOOKUP(Tabella13[[#This Row],[test_id]],experiments_specs!A:J,5,FALSE)</f>
        <v>True</v>
      </c>
      <c r="F615" s="38" t="str">
        <f>VLOOKUP(Tabella13[[#This Row],[test_id]],experiments_specs!A:J,6,FALSE)</f>
        <v>False</v>
      </c>
      <c r="G615" s="38" t="str">
        <f>VLOOKUP(Tabella13[[#This Row],[test_id]],experiments_specs!A:J,7,FALSE)</f>
        <v>False</v>
      </c>
      <c r="H615" s="38" t="str">
        <f>VLOOKUP(Tabella13[[#This Row],[test_id]],experiments_specs!A:J,8,FALSE)</f>
        <v>True</v>
      </c>
      <c r="I615" s="38" t="str">
        <f>VLOOKUP(Tabella13[[#This Row],[test_id]],experiments_specs!A:J,9,FALSE)</f>
        <v>wup_similarity</v>
      </c>
      <c r="J615" s="38" t="str">
        <f>VLOOKUP(Tabella13[[#This Row],[test_id]],experiments_specs!A:J,10,FALSE)</f>
        <v>True</v>
      </c>
      <c r="K615" s="40" t="s">
        <v>15</v>
      </c>
      <c r="L615" s="36" t="s">
        <v>27</v>
      </c>
      <c r="M615" s="36">
        <v>2</v>
      </c>
      <c r="N615" s="36">
        <v>2.7617200000000001E-2</v>
      </c>
      <c r="O615" s="36">
        <v>0.1666666</v>
      </c>
    </row>
    <row r="616" spans="1:15" ht="85" x14ac:dyDescent="0.2">
      <c r="A616" s="36" t="s">
        <v>1300</v>
      </c>
      <c r="B616" s="45" t="str">
        <f>VLOOKUP(Tabella13[[#This Row],[test_id]],experiments_specs!A:J,2,FALSE)</f>
        <v>NN,JJ</v>
      </c>
      <c r="C616" s="38">
        <f>VLOOKUP(Tabella13[[#This Row],[test_id]],experiments_specs!A:J,3,FALSE)</f>
        <v>0</v>
      </c>
      <c r="D616" s="38">
        <f>VLOOKUP(Tabella13[[#This Row],[test_id]],experiments_specs!A:J,4,FALSE)</f>
        <v>3</v>
      </c>
      <c r="E616" s="38" t="str">
        <f>VLOOKUP(Tabella13[[#This Row],[test_id]],experiments_specs!A:J,5,FALSE)</f>
        <v>True</v>
      </c>
      <c r="F616" s="38" t="str">
        <f>VLOOKUP(Tabella13[[#This Row],[test_id]],experiments_specs!A:J,6,FALSE)</f>
        <v>False</v>
      </c>
      <c r="G616" s="38" t="str">
        <f>VLOOKUP(Tabella13[[#This Row],[test_id]],experiments_specs!A:J,7,FALSE)</f>
        <v>False</v>
      </c>
      <c r="H616" s="38" t="str">
        <f>VLOOKUP(Tabella13[[#This Row],[test_id]],experiments_specs!A:J,8,FALSE)</f>
        <v>True</v>
      </c>
      <c r="I616" s="38" t="str">
        <f>VLOOKUP(Tabella13[[#This Row],[test_id]],experiments_specs!A:J,9,FALSE)</f>
        <v>wup_similarity</v>
      </c>
      <c r="J616" s="38" t="str">
        <f>VLOOKUP(Tabella13[[#This Row],[test_id]],experiments_specs!A:J,10,FALSE)</f>
        <v>True</v>
      </c>
      <c r="K616" s="40" t="s">
        <v>16</v>
      </c>
      <c r="L616" s="36" t="s">
        <v>1406</v>
      </c>
      <c r="M616" s="36">
        <v>-2</v>
      </c>
      <c r="N616" s="36">
        <v>3.1008600000000001E-2</v>
      </c>
      <c r="O616" s="36">
        <v>0.125</v>
      </c>
    </row>
    <row r="617" spans="1:15" ht="85" x14ac:dyDescent="0.2">
      <c r="A617" s="36" t="s">
        <v>1300</v>
      </c>
      <c r="B617" s="45" t="str">
        <f>VLOOKUP(Tabella13[[#This Row],[test_id]],experiments_specs!A:J,2,FALSE)</f>
        <v>NN,JJ</v>
      </c>
      <c r="C617" s="38">
        <f>VLOOKUP(Tabella13[[#This Row],[test_id]],experiments_specs!A:J,3,FALSE)</f>
        <v>0</v>
      </c>
      <c r="D617" s="38">
        <f>VLOOKUP(Tabella13[[#This Row],[test_id]],experiments_specs!A:J,4,FALSE)</f>
        <v>3</v>
      </c>
      <c r="E617" s="38" t="str">
        <f>VLOOKUP(Tabella13[[#This Row],[test_id]],experiments_specs!A:J,5,FALSE)</f>
        <v>True</v>
      </c>
      <c r="F617" s="38" t="str">
        <f>VLOOKUP(Tabella13[[#This Row],[test_id]],experiments_specs!A:J,6,FALSE)</f>
        <v>False</v>
      </c>
      <c r="G617" s="38" t="str">
        <f>VLOOKUP(Tabella13[[#This Row],[test_id]],experiments_specs!A:J,7,FALSE)</f>
        <v>False</v>
      </c>
      <c r="H617" s="38" t="str">
        <f>VLOOKUP(Tabella13[[#This Row],[test_id]],experiments_specs!A:J,8,FALSE)</f>
        <v>True</v>
      </c>
      <c r="I617" s="38" t="str">
        <f>VLOOKUP(Tabella13[[#This Row],[test_id]],experiments_specs!A:J,9,FALSE)</f>
        <v>wup_similarity</v>
      </c>
      <c r="J617" s="38" t="str">
        <f>VLOOKUP(Tabella13[[#This Row],[test_id]],experiments_specs!A:J,10,FALSE)</f>
        <v>True</v>
      </c>
      <c r="K617" s="40" t="s">
        <v>17</v>
      </c>
      <c r="L617" s="36" t="s">
        <v>1407</v>
      </c>
      <c r="M617" s="36">
        <v>-1</v>
      </c>
      <c r="N617" s="36">
        <v>3.4599900000000003E-2</v>
      </c>
      <c r="O617" s="36">
        <v>0.15384610000000001</v>
      </c>
    </row>
    <row r="618" spans="1:15" ht="85" x14ac:dyDescent="0.2">
      <c r="A618" s="36" t="s">
        <v>1300</v>
      </c>
      <c r="B618" s="45" t="str">
        <f>VLOOKUP(Tabella13[[#This Row],[test_id]],experiments_specs!A:J,2,FALSE)</f>
        <v>NN,JJ</v>
      </c>
      <c r="C618" s="38">
        <f>VLOOKUP(Tabella13[[#This Row],[test_id]],experiments_specs!A:J,3,FALSE)</f>
        <v>0</v>
      </c>
      <c r="D618" s="38">
        <f>VLOOKUP(Tabella13[[#This Row],[test_id]],experiments_specs!A:J,4,FALSE)</f>
        <v>3</v>
      </c>
      <c r="E618" s="38" t="str">
        <f>VLOOKUP(Tabella13[[#This Row],[test_id]],experiments_specs!A:J,5,FALSE)</f>
        <v>True</v>
      </c>
      <c r="F618" s="38" t="str">
        <f>VLOOKUP(Tabella13[[#This Row],[test_id]],experiments_specs!A:J,6,FALSE)</f>
        <v>False</v>
      </c>
      <c r="G618" s="38" t="str">
        <f>VLOOKUP(Tabella13[[#This Row],[test_id]],experiments_specs!A:J,7,FALSE)</f>
        <v>False</v>
      </c>
      <c r="H618" s="38" t="str">
        <f>VLOOKUP(Tabella13[[#This Row],[test_id]],experiments_specs!A:J,8,FALSE)</f>
        <v>True</v>
      </c>
      <c r="I618" s="38" t="str">
        <f>VLOOKUP(Tabella13[[#This Row],[test_id]],experiments_specs!A:J,9,FALSE)</f>
        <v>wup_similarity</v>
      </c>
      <c r="J618" s="38" t="str">
        <f>VLOOKUP(Tabella13[[#This Row],[test_id]],experiments_specs!A:J,10,FALSE)</f>
        <v>True</v>
      </c>
      <c r="K618" s="40" t="s">
        <v>18</v>
      </c>
      <c r="L618" s="36" t="s">
        <v>436</v>
      </c>
      <c r="M618" s="36">
        <v>1</v>
      </c>
      <c r="N618" s="36">
        <v>3.1149300000000001E-2</v>
      </c>
      <c r="O618" s="36">
        <v>0.22222220000000001</v>
      </c>
    </row>
    <row r="619" spans="1:15" ht="85" x14ac:dyDescent="0.2">
      <c r="A619" s="36" t="s">
        <v>1301</v>
      </c>
      <c r="B619" s="45" t="str">
        <f>VLOOKUP(Tabella13[[#This Row],[test_id]],experiments_specs!A:J,2,FALSE)</f>
        <v>NN,VB,VBD,VBG,VBN,VBP,VBZ</v>
      </c>
      <c r="C619" s="38">
        <f>VLOOKUP(Tabella13[[#This Row],[test_id]],experiments_specs!A:J,3,FALSE)</f>
        <v>0</v>
      </c>
      <c r="D619" s="38">
        <f>VLOOKUP(Tabella13[[#This Row],[test_id]],experiments_specs!A:J,4,FALSE)</f>
        <v>2</v>
      </c>
      <c r="E619" s="38" t="str">
        <f>VLOOKUP(Tabella13[[#This Row],[test_id]],experiments_specs!A:J,5,FALSE)</f>
        <v>True</v>
      </c>
      <c r="F619" s="38" t="str">
        <f>VLOOKUP(Tabella13[[#This Row],[test_id]],experiments_specs!A:J,6,FALSE)</f>
        <v>False</v>
      </c>
      <c r="G619" s="38" t="str">
        <f>VLOOKUP(Tabella13[[#This Row],[test_id]],experiments_specs!A:J,7,FALSE)</f>
        <v>False</v>
      </c>
      <c r="H619" s="38" t="str">
        <f>VLOOKUP(Tabella13[[#This Row],[test_id]],experiments_specs!A:J,8,FALSE)</f>
        <v>True</v>
      </c>
      <c r="I619" s="38" t="str">
        <f>VLOOKUP(Tabella13[[#This Row],[test_id]],experiments_specs!A:J,9,FALSE)</f>
        <v>wup_similarity</v>
      </c>
      <c r="J619" s="38" t="str">
        <f>VLOOKUP(Tabella13[[#This Row],[test_id]],experiments_specs!A:J,10,FALSE)</f>
        <v>True</v>
      </c>
      <c r="K619" s="40" t="s">
        <v>19</v>
      </c>
      <c r="L619" s="36" t="s">
        <v>1402</v>
      </c>
      <c r="M619" s="36">
        <v>3</v>
      </c>
      <c r="N619" s="36">
        <v>3.4553E-2</v>
      </c>
      <c r="O619" s="36">
        <v>0.18181810000000001</v>
      </c>
    </row>
    <row r="620" spans="1:15" ht="85" x14ac:dyDescent="0.2">
      <c r="A620" s="36" t="s">
        <v>1301</v>
      </c>
      <c r="B620" s="45" t="str">
        <f>VLOOKUP(Tabella13[[#This Row],[test_id]],experiments_specs!A:J,2,FALSE)</f>
        <v>NN,VB,VBD,VBG,VBN,VBP,VBZ</v>
      </c>
      <c r="C620" s="38">
        <f>VLOOKUP(Tabella13[[#This Row],[test_id]],experiments_specs!A:J,3,FALSE)</f>
        <v>0</v>
      </c>
      <c r="D620" s="38">
        <f>VLOOKUP(Tabella13[[#This Row],[test_id]],experiments_specs!A:J,4,FALSE)</f>
        <v>2</v>
      </c>
      <c r="E620" s="38" t="str">
        <f>VLOOKUP(Tabella13[[#This Row],[test_id]],experiments_specs!A:J,5,FALSE)</f>
        <v>True</v>
      </c>
      <c r="F620" s="38" t="str">
        <f>VLOOKUP(Tabella13[[#This Row],[test_id]],experiments_specs!A:J,6,FALSE)</f>
        <v>False</v>
      </c>
      <c r="G620" s="38" t="str">
        <f>VLOOKUP(Tabella13[[#This Row],[test_id]],experiments_specs!A:J,7,FALSE)</f>
        <v>False</v>
      </c>
      <c r="H620" s="38" t="str">
        <f>VLOOKUP(Tabella13[[#This Row],[test_id]],experiments_specs!A:J,8,FALSE)</f>
        <v>True</v>
      </c>
      <c r="I620" s="38" t="str">
        <f>VLOOKUP(Tabella13[[#This Row],[test_id]],experiments_specs!A:J,9,FALSE)</f>
        <v>wup_similarity</v>
      </c>
      <c r="J620" s="38" t="str">
        <f>VLOOKUP(Tabella13[[#This Row],[test_id]],experiments_specs!A:J,10,FALSE)</f>
        <v>True</v>
      </c>
      <c r="K620" s="40" t="s">
        <v>12</v>
      </c>
      <c r="L620" s="36" t="s">
        <v>1403</v>
      </c>
      <c r="M620" s="36">
        <v>3</v>
      </c>
      <c r="N620" s="36">
        <v>3.5634800000000001E-2</v>
      </c>
      <c r="O620" s="36">
        <v>0.4</v>
      </c>
    </row>
    <row r="621" spans="1:15" ht="85" x14ac:dyDescent="0.2">
      <c r="A621" s="36" t="s">
        <v>1301</v>
      </c>
      <c r="B621" s="45" t="str">
        <f>VLOOKUP(Tabella13[[#This Row],[test_id]],experiments_specs!A:J,2,FALSE)</f>
        <v>NN,VB,VBD,VBG,VBN,VBP,VBZ</v>
      </c>
      <c r="C621" s="38">
        <f>VLOOKUP(Tabella13[[#This Row],[test_id]],experiments_specs!A:J,3,FALSE)</f>
        <v>0</v>
      </c>
      <c r="D621" s="38">
        <f>VLOOKUP(Tabella13[[#This Row],[test_id]],experiments_specs!A:J,4,FALSE)</f>
        <v>2</v>
      </c>
      <c r="E621" s="38" t="str">
        <f>VLOOKUP(Tabella13[[#This Row],[test_id]],experiments_specs!A:J,5,FALSE)</f>
        <v>True</v>
      </c>
      <c r="F621" s="38" t="str">
        <f>VLOOKUP(Tabella13[[#This Row],[test_id]],experiments_specs!A:J,6,FALSE)</f>
        <v>False</v>
      </c>
      <c r="G621" s="38" t="str">
        <f>VLOOKUP(Tabella13[[#This Row],[test_id]],experiments_specs!A:J,7,FALSE)</f>
        <v>False</v>
      </c>
      <c r="H621" s="38" t="str">
        <f>VLOOKUP(Tabella13[[#This Row],[test_id]],experiments_specs!A:J,8,FALSE)</f>
        <v>True</v>
      </c>
      <c r="I621" s="38" t="str">
        <f>VLOOKUP(Tabella13[[#This Row],[test_id]],experiments_specs!A:J,9,FALSE)</f>
        <v>wup_similarity</v>
      </c>
      <c r="J621" s="38" t="str">
        <f>VLOOKUP(Tabella13[[#This Row],[test_id]],experiments_specs!A:J,10,FALSE)</f>
        <v>True</v>
      </c>
      <c r="K621" s="40" t="s">
        <v>13</v>
      </c>
      <c r="L621" s="36" t="s">
        <v>908</v>
      </c>
      <c r="M621" s="36">
        <v>2</v>
      </c>
      <c r="N621" s="36">
        <v>3.6961000000000001E-2</v>
      </c>
      <c r="O621" s="36" t="s">
        <v>25</v>
      </c>
    </row>
    <row r="622" spans="1:15" ht="85" x14ac:dyDescent="0.2">
      <c r="A622" s="36" t="s">
        <v>1301</v>
      </c>
      <c r="B622" s="45" t="str">
        <f>VLOOKUP(Tabella13[[#This Row],[test_id]],experiments_specs!A:J,2,FALSE)</f>
        <v>NN,VB,VBD,VBG,VBN,VBP,VBZ</v>
      </c>
      <c r="C622" s="38">
        <f>VLOOKUP(Tabella13[[#This Row],[test_id]],experiments_specs!A:J,3,FALSE)</f>
        <v>0</v>
      </c>
      <c r="D622" s="38">
        <f>VLOOKUP(Tabella13[[#This Row],[test_id]],experiments_specs!A:J,4,FALSE)</f>
        <v>2</v>
      </c>
      <c r="E622" s="38" t="str">
        <f>VLOOKUP(Tabella13[[#This Row],[test_id]],experiments_specs!A:J,5,FALSE)</f>
        <v>True</v>
      </c>
      <c r="F622" s="38" t="str">
        <f>VLOOKUP(Tabella13[[#This Row],[test_id]],experiments_specs!A:J,6,FALSE)</f>
        <v>False</v>
      </c>
      <c r="G622" s="38" t="str">
        <f>VLOOKUP(Tabella13[[#This Row],[test_id]],experiments_specs!A:J,7,FALSE)</f>
        <v>False</v>
      </c>
      <c r="H622" s="38" t="str">
        <f>VLOOKUP(Tabella13[[#This Row],[test_id]],experiments_specs!A:J,8,FALSE)</f>
        <v>True</v>
      </c>
      <c r="I622" s="38" t="str">
        <f>VLOOKUP(Tabella13[[#This Row],[test_id]],experiments_specs!A:J,9,FALSE)</f>
        <v>wup_similarity</v>
      </c>
      <c r="J622" s="38" t="str">
        <f>VLOOKUP(Tabella13[[#This Row],[test_id]],experiments_specs!A:J,10,FALSE)</f>
        <v>True</v>
      </c>
      <c r="K622" s="40" t="s">
        <v>14</v>
      </c>
      <c r="L622" s="36" t="s">
        <v>1404</v>
      </c>
      <c r="M622" s="36">
        <v>3</v>
      </c>
      <c r="N622" s="36">
        <v>1.5944199999999999E-2</v>
      </c>
      <c r="O622" s="36">
        <v>0.30769229999999997</v>
      </c>
    </row>
    <row r="623" spans="1:15" ht="85" x14ac:dyDescent="0.2">
      <c r="A623" s="36" t="s">
        <v>1301</v>
      </c>
      <c r="B623" s="45" t="str">
        <f>VLOOKUP(Tabella13[[#This Row],[test_id]],experiments_specs!A:J,2,FALSE)</f>
        <v>NN,VB,VBD,VBG,VBN,VBP,VBZ</v>
      </c>
      <c r="C623" s="38">
        <f>VLOOKUP(Tabella13[[#This Row],[test_id]],experiments_specs!A:J,3,FALSE)</f>
        <v>0</v>
      </c>
      <c r="D623" s="38">
        <f>VLOOKUP(Tabella13[[#This Row],[test_id]],experiments_specs!A:J,4,FALSE)</f>
        <v>2</v>
      </c>
      <c r="E623" s="38" t="str">
        <f>VLOOKUP(Tabella13[[#This Row],[test_id]],experiments_specs!A:J,5,FALSE)</f>
        <v>True</v>
      </c>
      <c r="F623" s="38" t="str">
        <f>VLOOKUP(Tabella13[[#This Row],[test_id]],experiments_specs!A:J,6,FALSE)</f>
        <v>False</v>
      </c>
      <c r="G623" s="38" t="str">
        <f>VLOOKUP(Tabella13[[#This Row],[test_id]],experiments_specs!A:J,7,FALSE)</f>
        <v>False</v>
      </c>
      <c r="H623" s="38" t="str">
        <f>VLOOKUP(Tabella13[[#This Row],[test_id]],experiments_specs!A:J,8,FALSE)</f>
        <v>True</v>
      </c>
      <c r="I623" s="38" t="str">
        <f>VLOOKUP(Tabella13[[#This Row],[test_id]],experiments_specs!A:J,9,FALSE)</f>
        <v>wup_similarity</v>
      </c>
      <c r="J623" s="38" t="str">
        <f>VLOOKUP(Tabella13[[#This Row],[test_id]],experiments_specs!A:J,10,FALSE)</f>
        <v>True</v>
      </c>
      <c r="K623" s="40" t="s">
        <v>15</v>
      </c>
      <c r="L623" s="36" t="s">
        <v>1417</v>
      </c>
      <c r="M623" s="36">
        <v>1</v>
      </c>
      <c r="N623" s="36">
        <v>2.0813000000000002E-2</v>
      </c>
      <c r="O623" s="36">
        <v>0.22222220000000001</v>
      </c>
    </row>
    <row r="624" spans="1:15" ht="85" x14ac:dyDescent="0.2">
      <c r="A624" s="36" t="s">
        <v>1301</v>
      </c>
      <c r="B624" s="45" t="str">
        <f>VLOOKUP(Tabella13[[#This Row],[test_id]],experiments_specs!A:J,2,FALSE)</f>
        <v>NN,VB,VBD,VBG,VBN,VBP,VBZ</v>
      </c>
      <c r="C624" s="38">
        <f>VLOOKUP(Tabella13[[#This Row],[test_id]],experiments_specs!A:J,3,FALSE)</f>
        <v>0</v>
      </c>
      <c r="D624" s="38">
        <f>VLOOKUP(Tabella13[[#This Row],[test_id]],experiments_specs!A:J,4,FALSE)</f>
        <v>2</v>
      </c>
      <c r="E624" s="38" t="str">
        <f>VLOOKUP(Tabella13[[#This Row],[test_id]],experiments_specs!A:J,5,FALSE)</f>
        <v>True</v>
      </c>
      <c r="F624" s="38" t="str">
        <f>VLOOKUP(Tabella13[[#This Row],[test_id]],experiments_specs!A:J,6,FALSE)</f>
        <v>False</v>
      </c>
      <c r="G624" s="38" t="str">
        <f>VLOOKUP(Tabella13[[#This Row],[test_id]],experiments_specs!A:J,7,FALSE)</f>
        <v>False</v>
      </c>
      <c r="H624" s="38" t="str">
        <f>VLOOKUP(Tabella13[[#This Row],[test_id]],experiments_specs!A:J,8,FALSE)</f>
        <v>True</v>
      </c>
      <c r="I624" s="38" t="str">
        <f>VLOOKUP(Tabella13[[#This Row],[test_id]],experiments_specs!A:J,9,FALSE)</f>
        <v>wup_similarity</v>
      </c>
      <c r="J624" s="38" t="str">
        <f>VLOOKUP(Tabella13[[#This Row],[test_id]],experiments_specs!A:J,10,FALSE)</f>
        <v>True</v>
      </c>
      <c r="K624" s="40" t="s">
        <v>16</v>
      </c>
      <c r="L624" s="36" t="s">
        <v>1410</v>
      </c>
      <c r="M624" s="36" t="s">
        <v>1373</v>
      </c>
      <c r="N624" s="36">
        <v>2.9235199999999999E-2</v>
      </c>
      <c r="O624" s="36" t="s">
        <v>1462</v>
      </c>
    </row>
    <row r="625" spans="1:15" ht="85" x14ac:dyDescent="0.2">
      <c r="A625" s="36" t="s">
        <v>1301</v>
      </c>
      <c r="B625" s="45" t="str">
        <f>VLOOKUP(Tabella13[[#This Row],[test_id]],experiments_specs!A:J,2,FALSE)</f>
        <v>NN,VB,VBD,VBG,VBN,VBP,VBZ</v>
      </c>
      <c r="C625" s="38">
        <f>VLOOKUP(Tabella13[[#This Row],[test_id]],experiments_specs!A:J,3,FALSE)</f>
        <v>0</v>
      </c>
      <c r="D625" s="38">
        <f>VLOOKUP(Tabella13[[#This Row],[test_id]],experiments_specs!A:J,4,FALSE)</f>
        <v>2</v>
      </c>
      <c r="E625" s="38" t="str">
        <f>VLOOKUP(Tabella13[[#This Row],[test_id]],experiments_specs!A:J,5,FALSE)</f>
        <v>True</v>
      </c>
      <c r="F625" s="38" t="str">
        <f>VLOOKUP(Tabella13[[#This Row],[test_id]],experiments_specs!A:J,6,FALSE)</f>
        <v>False</v>
      </c>
      <c r="G625" s="38" t="str">
        <f>VLOOKUP(Tabella13[[#This Row],[test_id]],experiments_specs!A:J,7,FALSE)</f>
        <v>False</v>
      </c>
      <c r="H625" s="38" t="str">
        <f>VLOOKUP(Tabella13[[#This Row],[test_id]],experiments_specs!A:J,8,FALSE)</f>
        <v>True</v>
      </c>
      <c r="I625" s="38" t="str">
        <f>VLOOKUP(Tabella13[[#This Row],[test_id]],experiments_specs!A:J,9,FALSE)</f>
        <v>wup_similarity</v>
      </c>
      <c r="J625" s="38" t="str">
        <f>VLOOKUP(Tabella13[[#This Row],[test_id]],experiments_specs!A:J,10,FALSE)</f>
        <v>True</v>
      </c>
      <c r="K625" s="40" t="s">
        <v>17</v>
      </c>
      <c r="L625" s="36" t="s">
        <v>1407</v>
      </c>
      <c r="M625" s="36">
        <v>-1</v>
      </c>
      <c r="N625" s="36">
        <v>3.1139900000000002E-2</v>
      </c>
      <c r="O625" s="36">
        <v>0.15384610000000001</v>
      </c>
    </row>
    <row r="626" spans="1:15" ht="85" x14ac:dyDescent="0.2">
      <c r="A626" s="36" t="s">
        <v>1301</v>
      </c>
      <c r="B626" s="45" t="str">
        <f>VLOOKUP(Tabella13[[#This Row],[test_id]],experiments_specs!A:J,2,FALSE)</f>
        <v>NN,VB,VBD,VBG,VBN,VBP,VBZ</v>
      </c>
      <c r="C626" s="38">
        <f>VLOOKUP(Tabella13[[#This Row],[test_id]],experiments_specs!A:J,3,FALSE)</f>
        <v>0</v>
      </c>
      <c r="D626" s="38">
        <f>VLOOKUP(Tabella13[[#This Row],[test_id]],experiments_specs!A:J,4,FALSE)</f>
        <v>2</v>
      </c>
      <c r="E626" s="38" t="str">
        <f>VLOOKUP(Tabella13[[#This Row],[test_id]],experiments_specs!A:J,5,FALSE)</f>
        <v>True</v>
      </c>
      <c r="F626" s="38" t="str">
        <f>VLOOKUP(Tabella13[[#This Row],[test_id]],experiments_specs!A:J,6,FALSE)</f>
        <v>False</v>
      </c>
      <c r="G626" s="38" t="str">
        <f>VLOOKUP(Tabella13[[#This Row],[test_id]],experiments_specs!A:J,7,FALSE)</f>
        <v>False</v>
      </c>
      <c r="H626" s="38" t="str">
        <f>VLOOKUP(Tabella13[[#This Row],[test_id]],experiments_specs!A:J,8,FALSE)</f>
        <v>True</v>
      </c>
      <c r="I626" s="38" t="str">
        <f>VLOOKUP(Tabella13[[#This Row],[test_id]],experiments_specs!A:J,9,FALSE)</f>
        <v>wup_similarity</v>
      </c>
      <c r="J626" s="38" t="str">
        <f>VLOOKUP(Tabella13[[#This Row],[test_id]],experiments_specs!A:J,10,FALSE)</f>
        <v>True</v>
      </c>
      <c r="K626" s="40" t="s">
        <v>18</v>
      </c>
      <c r="L626" s="36" t="s">
        <v>1418</v>
      </c>
      <c r="M626" s="36">
        <v>2</v>
      </c>
      <c r="N626" s="36">
        <v>2.67745E-2</v>
      </c>
      <c r="O626" s="36">
        <v>0.2105263</v>
      </c>
    </row>
    <row r="627" spans="1:15" ht="85" x14ac:dyDescent="0.2">
      <c r="A627" s="36" t="s">
        <v>1302</v>
      </c>
      <c r="B627" s="45" t="str">
        <f>VLOOKUP(Tabella13[[#This Row],[test_id]],experiments_specs!A:J,2,FALSE)</f>
        <v>NN,VB,VBD,VBG,VBN,VBP,VBZ</v>
      </c>
      <c r="C627" s="38">
        <f>VLOOKUP(Tabella13[[#This Row],[test_id]],experiments_specs!A:J,3,FALSE)</f>
        <v>0</v>
      </c>
      <c r="D627" s="38">
        <f>VLOOKUP(Tabella13[[#This Row],[test_id]],experiments_specs!A:J,4,FALSE)</f>
        <v>3</v>
      </c>
      <c r="E627" s="38" t="str">
        <f>VLOOKUP(Tabella13[[#This Row],[test_id]],experiments_specs!A:J,5,FALSE)</f>
        <v>True</v>
      </c>
      <c r="F627" s="38" t="str">
        <f>VLOOKUP(Tabella13[[#This Row],[test_id]],experiments_specs!A:J,6,FALSE)</f>
        <v>False</v>
      </c>
      <c r="G627" s="38" t="str">
        <f>VLOOKUP(Tabella13[[#This Row],[test_id]],experiments_specs!A:J,7,FALSE)</f>
        <v>False</v>
      </c>
      <c r="H627" s="38" t="str">
        <f>VLOOKUP(Tabella13[[#This Row],[test_id]],experiments_specs!A:J,8,FALSE)</f>
        <v>True</v>
      </c>
      <c r="I627" s="38" t="str">
        <f>VLOOKUP(Tabella13[[#This Row],[test_id]],experiments_specs!A:J,9,FALSE)</f>
        <v>wup_similarity</v>
      </c>
      <c r="J627" s="38" t="str">
        <f>VLOOKUP(Tabella13[[#This Row],[test_id]],experiments_specs!A:J,10,FALSE)</f>
        <v>True</v>
      </c>
      <c r="K627" s="40" t="s">
        <v>19</v>
      </c>
      <c r="L627" s="36" t="s">
        <v>1402</v>
      </c>
      <c r="M627" s="36">
        <v>3</v>
      </c>
      <c r="N627" s="36">
        <v>3.4553E-2</v>
      </c>
      <c r="O627" s="36">
        <v>0.18181810000000001</v>
      </c>
    </row>
    <row r="628" spans="1:15" ht="85" x14ac:dyDescent="0.2">
      <c r="A628" s="36" t="s">
        <v>1302</v>
      </c>
      <c r="B628" s="45" t="str">
        <f>VLOOKUP(Tabella13[[#This Row],[test_id]],experiments_specs!A:J,2,FALSE)</f>
        <v>NN,VB,VBD,VBG,VBN,VBP,VBZ</v>
      </c>
      <c r="C628" s="38">
        <f>VLOOKUP(Tabella13[[#This Row],[test_id]],experiments_specs!A:J,3,FALSE)</f>
        <v>0</v>
      </c>
      <c r="D628" s="38">
        <f>VLOOKUP(Tabella13[[#This Row],[test_id]],experiments_specs!A:J,4,FALSE)</f>
        <v>3</v>
      </c>
      <c r="E628" s="38" t="str">
        <f>VLOOKUP(Tabella13[[#This Row],[test_id]],experiments_specs!A:J,5,FALSE)</f>
        <v>True</v>
      </c>
      <c r="F628" s="38" t="str">
        <f>VLOOKUP(Tabella13[[#This Row],[test_id]],experiments_specs!A:J,6,FALSE)</f>
        <v>False</v>
      </c>
      <c r="G628" s="38" t="str">
        <f>VLOOKUP(Tabella13[[#This Row],[test_id]],experiments_specs!A:J,7,FALSE)</f>
        <v>False</v>
      </c>
      <c r="H628" s="38" t="str">
        <f>VLOOKUP(Tabella13[[#This Row],[test_id]],experiments_specs!A:J,8,FALSE)</f>
        <v>True</v>
      </c>
      <c r="I628" s="38" t="str">
        <f>VLOOKUP(Tabella13[[#This Row],[test_id]],experiments_specs!A:J,9,FALSE)</f>
        <v>wup_similarity</v>
      </c>
      <c r="J628" s="38" t="str">
        <f>VLOOKUP(Tabella13[[#This Row],[test_id]],experiments_specs!A:J,10,FALSE)</f>
        <v>True</v>
      </c>
      <c r="K628" s="40" t="s">
        <v>12</v>
      </c>
      <c r="L628" s="36" t="s">
        <v>1403</v>
      </c>
      <c r="M628" s="36">
        <v>3</v>
      </c>
      <c r="N628" s="36">
        <v>3.5634800000000001E-2</v>
      </c>
      <c r="O628" s="36">
        <v>0.4</v>
      </c>
    </row>
    <row r="629" spans="1:15" ht="85" x14ac:dyDescent="0.2">
      <c r="A629" s="36" t="s">
        <v>1302</v>
      </c>
      <c r="B629" s="45" t="str">
        <f>VLOOKUP(Tabella13[[#This Row],[test_id]],experiments_specs!A:J,2,FALSE)</f>
        <v>NN,VB,VBD,VBG,VBN,VBP,VBZ</v>
      </c>
      <c r="C629" s="38">
        <f>VLOOKUP(Tabella13[[#This Row],[test_id]],experiments_specs!A:J,3,FALSE)</f>
        <v>0</v>
      </c>
      <c r="D629" s="38">
        <f>VLOOKUP(Tabella13[[#This Row],[test_id]],experiments_specs!A:J,4,FALSE)</f>
        <v>3</v>
      </c>
      <c r="E629" s="38" t="str">
        <f>VLOOKUP(Tabella13[[#This Row],[test_id]],experiments_specs!A:J,5,FALSE)</f>
        <v>True</v>
      </c>
      <c r="F629" s="38" t="str">
        <f>VLOOKUP(Tabella13[[#This Row],[test_id]],experiments_specs!A:J,6,FALSE)</f>
        <v>False</v>
      </c>
      <c r="G629" s="38" t="str">
        <f>VLOOKUP(Tabella13[[#This Row],[test_id]],experiments_specs!A:J,7,FALSE)</f>
        <v>False</v>
      </c>
      <c r="H629" s="38" t="str">
        <f>VLOOKUP(Tabella13[[#This Row],[test_id]],experiments_specs!A:J,8,FALSE)</f>
        <v>True</v>
      </c>
      <c r="I629" s="38" t="str">
        <f>VLOOKUP(Tabella13[[#This Row],[test_id]],experiments_specs!A:J,9,FALSE)</f>
        <v>wup_similarity</v>
      </c>
      <c r="J629" s="38" t="str">
        <f>VLOOKUP(Tabella13[[#This Row],[test_id]],experiments_specs!A:J,10,FALSE)</f>
        <v>True</v>
      </c>
      <c r="K629" s="40" t="s">
        <v>13</v>
      </c>
      <c r="L629" s="36" t="s">
        <v>908</v>
      </c>
      <c r="M629" s="36">
        <v>2</v>
      </c>
      <c r="N629" s="36">
        <v>3.6961000000000001E-2</v>
      </c>
      <c r="O629" s="36" t="s">
        <v>25</v>
      </c>
    </row>
    <row r="630" spans="1:15" ht="85" x14ac:dyDescent="0.2">
      <c r="A630" s="36" t="s">
        <v>1302</v>
      </c>
      <c r="B630" s="45" t="str">
        <f>VLOOKUP(Tabella13[[#This Row],[test_id]],experiments_specs!A:J,2,FALSE)</f>
        <v>NN,VB,VBD,VBG,VBN,VBP,VBZ</v>
      </c>
      <c r="C630" s="38">
        <f>VLOOKUP(Tabella13[[#This Row],[test_id]],experiments_specs!A:J,3,FALSE)</f>
        <v>0</v>
      </c>
      <c r="D630" s="38">
        <f>VLOOKUP(Tabella13[[#This Row],[test_id]],experiments_specs!A:J,4,FALSE)</f>
        <v>3</v>
      </c>
      <c r="E630" s="38" t="str">
        <f>VLOOKUP(Tabella13[[#This Row],[test_id]],experiments_specs!A:J,5,FALSE)</f>
        <v>True</v>
      </c>
      <c r="F630" s="38" t="str">
        <f>VLOOKUP(Tabella13[[#This Row],[test_id]],experiments_specs!A:J,6,FALSE)</f>
        <v>False</v>
      </c>
      <c r="G630" s="38" t="str">
        <f>VLOOKUP(Tabella13[[#This Row],[test_id]],experiments_specs!A:J,7,FALSE)</f>
        <v>False</v>
      </c>
      <c r="H630" s="38" t="str">
        <f>VLOOKUP(Tabella13[[#This Row],[test_id]],experiments_specs!A:J,8,FALSE)</f>
        <v>True</v>
      </c>
      <c r="I630" s="38" t="str">
        <f>VLOOKUP(Tabella13[[#This Row],[test_id]],experiments_specs!A:J,9,FALSE)</f>
        <v>wup_similarity</v>
      </c>
      <c r="J630" s="38" t="str">
        <f>VLOOKUP(Tabella13[[#This Row],[test_id]],experiments_specs!A:J,10,FALSE)</f>
        <v>True</v>
      </c>
      <c r="K630" s="40" t="s">
        <v>14</v>
      </c>
      <c r="L630" s="36" t="s">
        <v>1404</v>
      </c>
      <c r="M630" s="36">
        <v>3</v>
      </c>
      <c r="N630" s="36">
        <v>1.5944199999999999E-2</v>
      </c>
      <c r="O630" s="36">
        <v>0.30769229999999997</v>
      </c>
    </row>
    <row r="631" spans="1:15" ht="85" x14ac:dyDescent="0.2">
      <c r="A631" s="36" t="s">
        <v>1302</v>
      </c>
      <c r="B631" s="45" t="str">
        <f>VLOOKUP(Tabella13[[#This Row],[test_id]],experiments_specs!A:J,2,FALSE)</f>
        <v>NN,VB,VBD,VBG,VBN,VBP,VBZ</v>
      </c>
      <c r="C631" s="38">
        <f>VLOOKUP(Tabella13[[#This Row],[test_id]],experiments_specs!A:J,3,FALSE)</f>
        <v>0</v>
      </c>
      <c r="D631" s="38">
        <f>VLOOKUP(Tabella13[[#This Row],[test_id]],experiments_specs!A:J,4,FALSE)</f>
        <v>3</v>
      </c>
      <c r="E631" s="38" t="str">
        <f>VLOOKUP(Tabella13[[#This Row],[test_id]],experiments_specs!A:J,5,FALSE)</f>
        <v>True</v>
      </c>
      <c r="F631" s="38" t="str">
        <f>VLOOKUP(Tabella13[[#This Row],[test_id]],experiments_specs!A:J,6,FALSE)</f>
        <v>False</v>
      </c>
      <c r="G631" s="38" t="str">
        <f>VLOOKUP(Tabella13[[#This Row],[test_id]],experiments_specs!A:J,7,FALSE)</f>
        <v>False</v>
      </c>
      <c r="H631" s="38" t="str">
        <f>VLOOKUP(Tabella13[[#This Row],[test_id]],experiments_specs!A:J,8,FALSE)</f>
        <v>True</v>
      </c>
      <c r="I631" s="38" t="str">
        <f>VLOOKUP(Tabella13[[#This Row],[test_id]],experiments_specs!A:J,9,FALSE)</f>
        <v>wup_similarity</v>
      </c>
      <c r="J631" s="38" t="str">
        <f>VLOOKUP(Tabella13[[#This Row],[test_id]],experiments_specs!A:J,10,FALSE)</f>
        <v>True</v>
      </c>
      <c r="K631" s="40" t="s">
        <v>15</v>
      </c>
      <c r="L631" s="36" t="s">
        <v>1417</v>
      </c>
      <c r="M631" s="36">
        <v>1</v>
      </c>
      <c r="N631" s="36">
        <v>2.0813000000000002E-2</v>
      </c>
      <c r="O631" s="36">
        <v>0.22222220000000001</v>
      </c>
    </row>
    <row r="632" spans="1:15" ht="85" x14ac:dyDescent="0.2">
      <c r="A632" s="36" t="s">
        <v>1302</v>
      </c>
      <c r="B632" s="45" t="str">
        <f>VLOOKUP(Tabella13[[#This Row],[test_id]],experiments_specs!A:J,2,FALSE)</f>
        <v>NN,VB,VBD,VBG,VBN,VBP,VBZ</v>
      </c>
      <c r="C632" s="38">
        <f>VLOOKUP(Tabella13[[#This Row],[test_id]],experiments_specs!A:J,3,FALSE)</f>
        <v>0</v>
      </c>
      <c r="D632" s="38">
        <f>VLOOKUP(Tabella13[[#This Row],[test_id]],experiments_specs!A:J,4,FALSE)</f>
        <v>3</v>
      </c>
      <c r="E632" s="38" t="str">
        <f>VLOOKUP(Tabella13[[#This Row],[test_id]],experiments_specs!A:J,5,FALSE)</f>
        <v>True</v>
      </c>
      <c r="F632" s="38" t="str">
        <f>VLOOKUP(Tabella13[[#This Row],[test_id]],experiments_specs!A:J,6,FALSE)</f>
        <v>False</v>
      </c>
      <c r="G632" s="38" t="str">
        <f>VLOOKUP(Tabella13[[#This Row],[test_id]],experiments_specs!A:J,7,FALSE)</f>
        <v>False</v>
      </c>
      <c r="H632" s="38" t="str">
        <f>VLOOKUP(Tabella13[[#This Row],[test_id]],experiments_specs!A:J,8,FALSE)</f>
        <v>True</v>
      </c>
      <c r="I632" s="38" t="str">
        <f>VLOOKUP(Tabella13[[#This Row],[test_id]],experiments_specs!A:J,9,FALSE)</f>
        <v>wup_similarity</v>
      </c>
      <c r="J632" s="38" t="str">
        <f>VLOOKUP(Tabella13[[#This Row],[test_id]],experiments_specs!A:J,10,FALSE)</f>
        <v>True</v>
      </c>
      <c r="K632" s="40" t="s">
        <v>16</v>
      </c>
      <c r="L632" s="36" t="s">
        <v>1410</v>
      </c>
      <c r="M632" s="36" t="s">
        <v>1373</v>
      </c>
      <c r="N632" s="36">
        <v>2.9235199999999999E-2</v>
      </c>
      <c r="O632" s="36" t="s">
        <v>1462</v>
      </c>
    </row>
    <row r="633" spans="1:15" ht="85" x14ac:dyDescent="0.2">
      <c r="A633" s="36" t="s">
        <v>1302</v>
      </c>
      <c r="B633" s="45" t="str">
        <f>VLOOKUP(Tabella13[[#This Row],[test_id]],experiments_specs!A:J,2,FALSE)</f>
        <v>NN,VB,VBD,VBG,VBN,VBP,VBZ</v>
      </c>
      <c r="C633" s="38">
        <f>VLOOKUP(Tabella13[[#This Row],[test_id]],experiments_specs!A:J,3,FALSE)</f>
        <v>0</v>
      </c>
      <c r="D633" s="38">
        <f>VLOOKUP(Tabella13[[#This Row],[test_id]],experiments_specs!A:J,4,FALSE)</f>
        <v>3</v>
      </c>
      <c r="E633" s="38" t="str">
        <f>VLOOKUP(Tabella13[[#This Row],[test_id]],experiments_specs!A:J,5,FALSE)</f>
        <v>True</v>
      </c>
      <c r="F633" s="38" t="str">
        <f>VLOOKUP(Tabella13[[#This Row],[test_id]],experiments_specs!A:J,6,FALSE)</f>
        <v>False</v>
      </c>
      <c r="G633" s="38" t="str">
        <f>VLOOKUP(Tabella13[[#This Row],[test_id]],experiments_specs!A:J,7,FALSE)</f>
        <v>False</v>
      </c>
      <c r="H633" s="38" t="str">
        <f>VLOOKUP(Tabella13[[#This Row],[test_id]],experiments_specs!A:J,8,FALSE)</f>
        <v>True</v>
      </c>
      <c r="I633" s="38" t="str">
        <f>VLOOKUP(Tabella13[[#This Row],[test_id]],experiments_specs!A:J,9,FALSE)</f>
        <v>wup_similarity</v>
      </c>
      <c r="J633" s="38" t="str">
        <f>VLOOKUP(Tabella13[[#This Row],[test_id]],experiments_specs!A:J,10,FALSE)</f>
        <v>True</v>
      </c>
      <c r="K633" s="40" t="s">
        <v>17</v>
      </c>
      <c r="L633" s="36" t="s">
        <v>1407</v>
      </c>
      <c r="M633" s="36">
        <v>-1</v>
      </c>
      <c r="N633" s="36">
        <v>3.1139900000000002E-2</v>
      </c>
      <c r="O633" s="36">
        <v>0.15384610000000001</v>
      </c>
    </row>
    <row r="634" spans="1:15" ht="85" x14ac:dyDescent="0.2">
      <c r="A634" s="36" t="s">
        <v>1302</v>
      </c>
      <c r="B634" s="45" t="str">
        <f>VLOOKUP(Tabella13[[#This Row],[test_id]],experiments_specs!A:J,2,FALSE)</f>
        <v>NN,VB,VBD,VBG,VBN,VBP,VBZ</v>
      </c>
      <c r="C634" s="38">
        <f>VLOOKUP(Tabella13[[#This Row],[test_id]],experiments_specs!A:J,3,FALSE)</f>
        <v>0</v>
      </c>
      <c r="D634" s="38">
        <f>VLOOKUP(Tabella13[[#This Row],[test_id]],experiments_specs!A:J,4,FALSE)</f>
        <v>3</v>
      </c>
      <c r="E634" s="38" t="str">
        <f>VLOOKUP(Tabella13[[#This Row],[test_id]],experiments_specs!A:J,5,FALSE)</f>
        <v>True</v>
      </c>
      <c r="F634" s="38" t="str">
        <f>VLOOKUP(Tabella13[[#This Row],[test_id]],experiments_specs!A:J,6,FALSE)</f>
        <v>False</v>
      </c>
      <c r="G634" s="38" t="str">
        <f>VLOOKUP(Tabella13[[#This Row],[test_id]],experiments_specs!A:J,7,FALSE)</f>
        <v>False</v>
      </c>
      <c r="H634" s="38" t="str">
        <f>VLOOKUP(Tabella13[[#This Row],[test_id]],experiments_specs!A:J,8,FALSE)</f>
        <v>True</v>
      </c>
      <c r="I634" s="38" t="str">
        <f>VLOOKUP(Tabella13[[#This Row],[test_id]],experiments_specs!A:J,9,FALSE)</f>
        <v>wup_similarity</v>
      </c>
      <c r="J634" s="38" t="str">
        <f>VLOOKUP(Tabella13[[#This Row],[test_id]],experiments_specs!A:J,10,FALSE)</f>
        <v>True</v>
      </c>
      <c r="K634" s="40" t="s">
        <v>18</v>
      </c>
      <c r="L634" s="36" t="s">
        <v>1418</v>
      </c>
      <c r="M634" s="36">
        <v>2</v>
      </c>
      <c r="N634" s="36">
        <v>2.67745E-2</v>
      </c>
      <c r="O634" s="36">
        <v>0.2105263</v>
      </c>
    </row>
    <row r="635" spans="1:15" ht="85" x14ac:dyDescent="0.2">
      <c r="A635" s="36" t="s">
        <v>1303</v>
      </c>
      <c r="B635" s="45" t="str">
        <f>VLOOKUP(Tabella13[[#This Row],[test_id]],experiments_specs!A:J,2,FALSE)</f>
        <v>NN,JJ,VB,VBD,VBG,VBN,VBP,VBZ</v>
      </c>
      <c r="C635" s="38">
        <f>VLOOKUP(Tabella13[[#This Row],[test_id]],experiments_specs!A:J,3,FALSE)</f>
        <v>0</v>
      </c>
      <c r="D635" s="38">
        <f>VLOOKUP(Tabella13[[#This Row],[test_id]],experiments_specs!A:J,4,FALSE)</f>
        <v>2</v>
      </c>
      <c r="E635" s="38" t="str">
        <f>VLOOKUP(Tabella13[[#This Row],[test_id]],experiments_specs!A:J,5,FALSE)</f>
        <v>True</v>
      </c>
      <c r="F635" s="38" t="str">
        <f>VLOOKUP(Tabella13[[#This Row],[test_id]],experiments_specs!A:J,6,FALSE)</f>
        <v>False</v>
      </c>
      <c r="G635" s="38" t="str">
        <f>VLOOKUP(Tabella13[[#This Row],[test_id]],experiments_specs!A:J,7,FALSE)</f>
        <v>False</v>
      </c>
      <c r="H635" s="38" t="str">
        <f>VLOOKUP(Tabella13[[#This Row],[test_id]],experiments_specs!A:J,8,FALSE)</f>
        <v>True</v>
      </c>
      <c r="I635" s="38" t="str">
        <f>VLOOKUP(Tabella13[[#This Row],[test_id]],experiments_specs!A:J,9,FALSE)</f>
        <v>wup_similarity</v>
      </c>
      <c r="J635" s="38" t="str">
        <f>VLOOKUP(Tabella13[[#This Row],[test_id]],experiments_specs!A:J,10,FALSE)</f>
        <v>True</v>
      </c>
      <c r="K635" s="40" t="s">
        <v>19</v>
      </c>
      <c r="L635" s="36" t="s">
        <v>1402</v>
      </c>
      <c r="M635" s="36">
        <v>3</v>
      </c>
      <c r="N635" s="36">
        <v>2.64906E-2</v>
      </c>
      <c r="O635" s="36">
        <v>0.18181810000000001</v>
      </c>
    </row>
    <row r="636" spans="1:15" ht="85" x14ac:dyDescent="0.2">
      <c r="A636" s="36" t="s">
        <v>1303</v>
      </c>
      <c r="B636" s="45" t="str">
        <f>VLOOKUP(Tabella13[[#This Row],[test_id]],experiments_specs!A:J,2,FALSE)</f>
        <v>NN,JJ,VB,VBD,VBG,VBN,VBP,VBZ</v>
      </c>
      <c r="C636" s="38">
        <f>VLOOKUP(Tabella13[[#This Row],[test_id]],experiments_specs!A:J,3,FALSE)</f>
        <v>0</v>
      </c>
      <c r="D636" s="38">
        <f>VLOOKUP(Tabella13[[#This Row],[test_id]],experiments_specs!A:J,4,FALSE)</f>
        <v>2</v>
      </c>
      <c r="E636" s="38" t="str">
        <f>VLOOKUP(Tabella13[[#This Row],[test_id]],experiments_specs!A:J,5,FALSE)</f>
        <v>True</v>
      </c>
      <c r="F636" s="38" t="str">
        <f>VLOOKUP(Tabella13[[#This Row],[test_id]],experiments_specs!A:J,6,FALSE)</f>
        <v>False</v>
      </c>
      <c r="G636" s="38" t="str">
        <f>VLOOKUP(Tabella13[[#This Row],[test_id]],experiments_specs!A:J,7,FALSE)</f>
        <v>False</v>
      </c>
      <c r="H636" s="38" t="str">
        <f>VLOOKUP(Tabella13[[#This Row],[test_id]],experiments_specs!A:J,8,FALSE)</f>
        <v>True</v>
      </c>
      <c r="I636" s="38" t="str">
        <f>VLOOKUP(Tabella13[[#This Row],[test_id]],experiments_specs!A:J,9,FALSE)</f>
        <v>wup_similarity</v>
      </c>
      <c r="J636" s="38" t="str">
        <f>VLOOKUP(Tabella13[[#This Row],[test_id]],experiments_specs!A:J,10,FALSE)</f>
        <v>True</v>
      </c>
      <c r="K636" s="40" t="s">
        <v>12</v>
      </c>
      <c r="L636" s="36" t="s">
        <v>1403</v>
      </c>
      <c r="M636" s="36">
        <v>3</v>
      </c>
      <c r="N636" s="36">
        <v>3.07196E-2</v>
      </c>
      <c r="O636" s="36">
        <v>0.4</v>
      </c>
    </row>
    <row r="637" spans="1:15" ht="85" x14ac:dyDescent="0.2">
      <c r="A637" s="36" t="s">
        <v>1303</v>
      </c>
      <c r="B637" s="45" t="str">
        <f>VLOOKUP(Tabella13[[#This Row],[test_id]],experiments_specs!A:J,2,FALSE)</f>
        <v>NN,JJ,VB,VBD,VBG,VBN,VBP,VBZ</v>
      </c>
      <c r="C637" s="38">
        <f>VLOOKUP(Tabella13[[#This Row],[test_id]],experiments_specs!A:J,3,FALSE)</f>
        <v>0</v>
      </c>
      <c r="D637" s="38">
        <f>VLOOKUP(Tabella13[[#This Row],[test_id]],experiments_specs!A:J,4,FALSE)</f>
        <v>2</v>
      </c>
      <c r="E637" s="38" t="str">
        <f>VLOOKUP(Tabella13[[#This Row],[test_id]],experiments_specs!A:J,5,FALSE)</f>
        <v>True</v>
      </c>
      <c r="F637" s="38" t="str">
        <f>VLOOKUP(Tabella13[[#This Row],[test_id]],experiments_specs!A:J,6,FALSE)</f>
        <v>False</v>
      </c>
      <c r="G637" s="38" t="str">
        <f>VLOOKUP(Tabella13[[#This Row],[test_id]],experiments_specs!A:J,7,FALSE)</f>
        <v>False</v>
      </c>
      <c r="H637" s="38" t="str">
        <f>VLOOKUP(Tabella13[[#This Row],[test_id]],experiments_specs!A:J,8,FALSE)</f>
        <v>True</v>
      </c>
      <c r="I637" s="38" t="str">
        <f>VLOOKUP(Tabella13[[#This Row],[test_id]],experiments_specs!A:J,9,FALSE)</f>
        <v>wup_similarity</v>
      </c>
      <c r="J637" s="38" t="str">
        <f>VLOOKUP(Tabella13[[#This Row],[test_id]],experiments_specs!A:J,10,FALSE)</f>
        <v>True</v>
      </c>
      <c r="K637" s="40" t="s">
        <v>13</v>
      </c>
      <c r="L637" s="36" t="s">
        <v>908</v>
      </c>
      <c r="M637" s="36">
        <v>2</v>
      </c>
      <c r="N637" s="36">
        <v>3.6961000000000001E-2</v>
      </c>
      <c r="O637" s="36" t="s">
        <v>25</v>
      </c>
    </row>
    <row r="638" spans="1:15" ht="85" x14ac:dyDescent="0.2">
      <c r="A638" s="36" t="s">
        <v>1303</v>
      </c>
      <c r="B638" s="45" t="str">
        <f>VLOOKUP(Tabella13[[#This Row],[test_id]],experiments_specs!A:J,2,FALSE)</f>
        <v>NN,JJ,VB,VBD,VBG,VBN,VBP,VBZ</v>
      </c>
      <c r="C638" s="38">
        <f>VLOOKUP(Tabella13[[#This Row],[test_id]],experiments_specs!A:J,3,FALSE)</f>
        <v>0</v>
      </c>
      <c r="D638" s="38">
        <f>VLOOKUP(Tabella13[[#This Row],[test_id]],experiments_specs!A:J,4,FALSE)</f>
        <v>2</v>
      </c>
      <c r="E638" s="38" t="str">
        <f>VLOOKUP(Tabella13[[#This Row],[test_id]],experiments_specs!A:J,5,FALSE)</f>
        <v>True</v>
      </c>
      <c r="F638" s="38" t="str">
        <f>VLOOKUP(Tabella13[[#This Row],[test_id]],experiments_specs!A:J,6,FALSE)</f>
        <v>False</v>
      </c>
      <c r="G638" s="38" t="str">
        <f>VLOOKUP(Tabella13[[#This Row],[test_id]],experiments_specs!A:J,7,FALSE)</f>
        <v>False</v>
      </c>
      <c r="H638" s="38" t="str">
        <f>VLOOKUP(Tabella13[[#This Row],[test_id]],experiments_specs!A:J,8,FALSE)</f>
        <v>True</v>
      </c>
      <c r="I638" s="38" t="str">
        <f>VLOOKUP(Tabella13[[#This Row],[test_id]],experiments_specs!A:J,9,FALSE)</f>
        <v>wup_similarity</v>
      </c>
      <c r="J638" s="38" t="str">
        <f>VLOOKUP(Tabella13[[#This Row],[test_id]],experiments_specs!A:J,10,FALSE)</f>
        <v>True</v>
      </c>
      <c r="K638" s="40" t="s">
        <v>14</v>
      </c>
      <c r="L638" s="36" t="s">
        <v>1404</v>
      </c>
      <c r="M638" s="36">
        <v>3</v>
      </c>
      <c r="N638" s="36">
        <v>1.39001E-2</v>
      </c>
      <c r="O638" s="36">
        <v>0.30769229999999997</v>
      </c>
    </row>
    <row r="639" spans="1:15" ht="85" x14ac:dyDescent="0.2">
      <c r="A639" s="36" t="s">
        <v>1303</v>
      </c>
      <c r="B639" s="45" t="str">
        <f>VLOOKUP(Tabella13[[#This Row],[test_id]],experiments_specs!A:J,2,FALSE)</f>
        <v>NN,JJ,VB,VBD,VBG,VBN,VBP,VBZ</v>
      </c>
      <c r="C639" s="38">
        <f>VLOOKUP(Tabella13[[#This Row],[test_id]],experiments_specs!A:J,3,FALSE)</f>
        <v>0</v>
      </c>
      <c r="D639" s="38">
        <f>VLOOKUP(Tabella13[[#This Row],[test_id]],experiments_specs!A:J,4,FALSE)</f>
        <v>2</v>
      </c>
      <c r="E639" s="38" t="str">
        <f>VLOOKUP(Tabella13[[#This Row],[test_id]],experiments_specs!A:J,5,FALSE)</f>
        <v>True</v>
      </c>
      <c r="F639" s="38" t="str">
        <f>VLOOKUP(Tabella13[[#This Row],[test_id]],experiments_specs!A:J,6,FALSE)</f>
        <v>False</v>
      </c>
      <c r="G639" s="38" t="str">
        <f>VLOOKUP(Tabella13[[#This Row],[test_id]],experiments_specs!A:J,7,FALSE)</f>
        <v>False</v>
      </c>
      <c r="H639" s="38" t="str">
        <f>VLOOKUP(Tabella13[[#This Row],[test_id]],experiments_specs!A:J,8,FALSE)</f>
        <v>True</v>
      </c>
      <c r="I639" s="38" t="str">
        <f>VLOOKUP(Tabella13[[#This Row],[test_id]],experiments_specs!A:J,9,FALSE)</f>
        <v>wup_similarity</v>
      </c>
      <c r="J639" s="38" t="str">
        <f>VLOOKUP(Tabella13[[#This Row],[test_id]],experiments_specs!A:J,10,FALSE)</f>
        <v>True</v>
      </c>
      <c r="K639" s="40" t="s">
        <v>15</v>
      </c>
      <c r="L639" s="36" t="s">
        <v>27</v>
      </c>
      <c r="M639" s="36">
        <v>2</v>
      </c>
      <c r="N639" s="36">
        <v>2.28217E-2</v>
      </c>
      <c r="O639" s="36">
        <v>0.1666666</v>
      </c>
    </row>
    <row r="640" spans="1:15" ht="85" x14ac:dyDescent="0.2">
      <c r="A640" s="36" t="s">
        <v>1303</v>
      </c>
      <c r="B640" s="45" t="str">
        <f>VLOOKUP(Tabella13[[#This Row],[test_id]],experiments_specs!A:J,2,FALSE)</f>
        <v>NN,JJ,VB,VBD,VBG,VBN,VBP,VBZ</v>
      </c>
      <c r="C640" s="38">
        <f>VLOOKUP(Tabella13[[#This Row],[test_id]],experiments_specs!A:J,3,FALSE)</f>
        <v>0</v>
      </c>
      <c r="D640" s="38">
        <f>VLOOKUP(Tabella13[[#This Row],[test_id]],experiments_specs!A:J,4,FALSE)</f>
        <v>2</v>
      </c>
      <c r="E640" s="38" t="str">
        <f>VLOOKUP(Tabella13[[#This Row],[test_id]],experiments_specs!A:J,5,FALSE)</f>
        <v>True</v>
      </c>
      <c r="F640" s="38" t="str">
        <f>VLOOKUP(Tabella13[[#This Row],[test_id]],experiments_specs!A:J,6,FALSE)</f>
        <v>False</v>
      </c>
      <c r="G640" s="38" t="str">
        <f>VLOOKUP(Tabella13[[#This Row],[test_id]],experiments_specs!A:J,7,FALSE)</f>
        <v>False</v>
      </c>
      <c r="H640" s="38" t="str">
        <f>VLOOKUP(Tabella13[[#This Row],[test_id]],experiments_specs!A:J,8,FALSE)</f>
        <v>True</v>
      </c>
      <c r="I640" s="38" t="str">
        <f>VLOOKUP(Tabella13[[#This Row],[test_id]],experiments_specs!A:J,9,FALSE)</f>
        <v>wup_similarity</v>
      </c>
      <c r="J640" s="38" t="str">
        <f>VLOOKUP(Tabella13[[#This Row],[test_id]],experiments_specs!A:J,10,FALSE)</f>
        <v>True</v>
      </c>
      <c r="K640" s="40" t="s">
        <v>16</v>
      </c>
      <c r="L640" s="36" t="s">
        <v>1410</v>
      </c>
      <c r="M640" s="36" t="s">
        <v>1373</v>
      </c>
      <c r="N640" s="36">
        <v>2.8445100000000001E-2</v>
      </c>
      <c r="O640" s="36" t="s">
        <v>1462</v>
      </c>
    </row>
    <row r="641" spans="1:15" ht="85" x14ac:dyDescent="0.2">
      <c r="A641" s="36" t="s">
        <v>1303</v>
      </c>
      <c r="B641" s="45" t="str">
        <f>VLOOKUP(Tabella13[[#This Row],[test_id]],experiments_specs!A:J,2,FALSE)</f>
        <v>NN,JJ,VB,VBD,VBG,VBN,VBP,VBZ</v>
      </c>
      <c r="C641" s="38">
        <f>VLOOKUP(Tabella13[[#This Row],[test_id]],experiments_specs!A:J,3,FALSE)</f>
        <v>0</v>
      </c>
      <c r="D641" s="38">
        <f>VLOOKUP(Tabella13[[#This Row],[test_id]],experiments_specs!A:J,4,FALSE)</f>
        <v>2</v>
      </c>
      <c r="E641" s="38" t="str">
        <f>VLOOKUP(Tabella13[[#This Row],[test_id]],experiments_specs!A:J,5,FALSE)</f>
        <v>True</v>
      </c>
      <c r="F641" s="38" t="str">
        <f>VLOOKUP(Tabella13[[#This Row],[test_id]],experiments_specs!A:J,6,FALSE)</f>
        <v>False</v>
      </c>
      <c r="G641" s="38" t="str">
        <f>VLOOKUP(Tabella13[[#This Row],[test_id]],experiments_specs!A:J,7,FALSE)</f>
        <v>False</v>
      </c>
      <c r="H641" s="38" t="str">
        <f>VLOOKUP(Tabella13[[#This Row],[test_id]],experiments_specs!A:J,8,FALSE)</f>
        <v>True</v>
      </c>
      <c r="I641" s="38" t="str">
        <f>VLOOKUP(Tabella13[[#This Row],[test_id]],experiments_specs!A:J,9,FALSE)</f>
        <v>wup_similarity</v>
      </c>
      <c r="J641" s="38" t="str">
        <f>VLOOKUP(Tabella13[[#This Row],[test_id]],experiments_specs!A:J,10,FALSE)</f>
        <v>True</v>
      </c>
      <c r="K641" s="40" t="s">
        <v>17</v>
      </c>
      <c r="L641" s="36" t="s">
        <v>1407</v>
      </c>
      <c r="M641" s="36">
        <v>-1</v>
      </c>
      <c r="N641" s="36">
        <v>2.8309000000000001E-2</v>
      </c>
      <c r="O641" s="36">
        <v>0.15384610000000001</v>
      </c>
    </row>
    <row r="642" spans="1:15" ht="85" x14ac:dyDescent="0.2">
      <c r="A642" s="36" t="s">
        <v>1303</v>
      </c>
      <c r="B642" s="45" t="str">
        <f>VLOOKUP(Tabella13[[#This Row],[test_id]],experiments_specs!A:J,2,FALSE)</f>
        <v>NN,JJ,VB,VBD,VBG,VBN,VBP,VBZ</v>
      </c>
      <c r="C642" s="38">
        <f>VLOOKUP(Tabella13[[#This Row],[test_id]],experiments_specs!A:J,3,FALSE)</f>
        <v>0</v>
      </c>
      <c r="D642" s="38">
        <f>VLOOKUP(Tabella13[[#This Row],[test_id]],experiments_specs!A:J,4,FALSE)</f>
        <v>2</v>
      </c>
      <c r="E642" s="38" t="str">
        <f>VLOOKUP(Tabella13[[#This Row],[test_id]],experiments_specs!A:J,5,FALSE)</f>
        <v>True</v>
      </c>
      <c r="F642" s="38" t="str">
        <f>VLOOKUP(Tabella13[[#This Row],[test_id]],experiments_specs!A:J,6,FALSE)</f>
        <v>False</v>
      </c>
      <c r="G642" s="38" t="str">
        <f>VLOOKUP(Tabella13[[#This Row],[test_id]],experiments_specs!A:J,7,FALSE)</f>
        <v>False</v>
      </c>
      <c r="H642" s="38" t="str">
        <f>VLOOKUP(Tabella13[[#This Row],[test_id]],experiments_specs!A:J,8,FALSE)</f>
        <v>True</v>
      </c>
      <c r="I642" s="38" t="str">
        <f>VLOOKUP(Tabella13[[#This Row],[test_id]],experiments_specs!A:J,9,FALSE)</f>
        <v>wup_similarity</v>
      </c>
      <c r="J642" s="38" t="str">
        <f>VLOOKUP(Tabella13[[#This Row],[test_id]],experiments_specs!A:J,10,FALSE)</f>
        <v>True</v>
      </c>
      <c r="K642" s="40" t="s">
        <v>18</v>
      </c>
      <c r="L642" s="36" t="s">
        <v>1418</v>
      </c>
      <c r="M642" s="36">
        <v>2</v>
      </c>
      <c r="N642" s="36">
        <v>2.51995E-2</v>
      </c>
      <c r="O642" s="36">
        <v>0.2105263</v>
      </c>
    </row>
    <row r="643" spans="1:15" ht="85" x14ac:dyDescent="0.2">
      <c r="A643" s="36" t="s">
        <v>1304</v>
      </c>
      <c r="B643" s="45" t="str">
        <f>VLOOKUP(Tabella13[[#This Row],[test_id]],experiments_specs!A:J,2,FALSE)</f>
        <v>NN,JJ,VB,VBD,VBG,VBN,VBP,VBZ</v>
      </c>
      <c r="C643" s="38">
        <f>VLOOKUP(Tabella13[[#This Row],[test_id]],experiments_specs!A:J,3,FALSE)</f>
        <v>0</v>
      </c>
      <c r="D643" s="38">
        <f>VLOOKUP(Tabella13[[#This Row],[test_id]],experiments_specs!A:J,4,FALSE)</f>
        <v>3</v>
      </c>
      <c r="E643" s="38" t="str">
        <f>VLOOKUP(Tabella13[[#This Row],[test_id]],experiments_specs!A:J,5,FALSE)</f>
        <v>True</v>
      </c>
      <c r="F643" s="38" t="str">
        <f>VLOOKUP(Tabella13[[#This Row],[test_id]],experiments_specs!A:J,6,FALSE)</f>
        <v>False</v>
      </c>
      <c r="G643" s="38" t="str">
        <f>VLOOKUP(Tabella13[[#This Row],[test_id]],experiments_specs!A:J,7,FALSE)</f>
        <v>False</v>
      </c>
      <c r="H643" s="38" t="str">
        <f>VLOOKUP(Tabella13[[#This Row],[test_id]],experiments_specs!A:J,8,FALSE)</f>
        <v>True</v>
      </c>
      <c r="I643" s="38" t="str">
        <f>VLOOKUP(Tabella13[[#This Row],[test_id]],experiments_specs!A:J,9,FALSE)</f>
        <v>wup_similarity</v>
      </c>
      <c r="J643" s="38" t="str">
        <f>VLOOKUP(Tabella13[[#This Row],[test_id]],experiments_specs!A:J,10,FALSE)</f>
        <v>True</v>
      </c>
      <c r="K643" s="40" t="s">
        <v>19</v>
      </c>
      <c r="L643" s="36" t="s">
        <v>1402</v>
      </c>
      <c r="M643" s="36">
        <v>3</v>
      </c>
      <c r="N643" s="36">
        <v>2.64906E-2</v>
      </c>
      <c r="O643" s="36">
        <v>0.18181810000000001</v>
      </c>
    </row>
    <row r="644" spans="1:15" ht="85" x14ac:dyDescent="0.2">
      <c r="A644" s="36" t="s">
        <v>1304</v>
      </c>
      <c r="B644" s="45" t="str">
        <f>VLOOKUP(Tabella13[[#This Row],[test_id]],experiments_specs!A:J,2,FALSE)</f>
        <v>NN,JJ,VB,VBD,VBG,VBN,VBP,VBZ</v>
      </c>
      <c r="C644" s="38">
        <f>VLOOKUP(Tabella13[[#This Row],[test_id]],experiments_specs!A:J,3,FALSE)</f>
        <v>0</v>
      </c>
      <c r="D644" s="38">
        <f>VLOOKUP(Tabella13[[#This Row],[test_id]],experiments_specs!A:J,4,FALSE)</f>
        <v>3</v>
      </c>
      <c r="E644" s="38" t="str">
        <f>VLOOKUP(Tabella13[[#This Row],[test_id]],experiments_specs!A:J,5,FALSE)</f>
        <v>True</v>
      </c>
      <c r="F644" s="38" t="str">
        <f>VLOOKUP(Tabella13[[#This Row],[test_id]],experiments_specs!A:J,6,FALSE)</f>
        <v>False</v>
      </c>
      <c r="G644" s="38" t="str">
        <f>VLOOKUP(Tabella13[[#This Row],[test_id]],experiments_specs!A:J,7,FALSE)</f>
        <v>False</v>
      </c>
      <c r="H644" s="38" t="str">
        <f>VLOOKUP(Tabella13[[#This Row],[test_id]],experiments_specs!A:J,8,FALSE)</f>
        <v>True</v>
      </c>
      <c r="I644" s="38" t="str">
        <f>VLOOKUP(Tabella13[[#This Row],[test_id]],experiments_specs!A:J,9,FALSE)</f>
        <v>wup_similarity</v>
      </c>
      <c r="J644" s="38" t="str">
        <f>VLOOKUP(Tabella13[[#This Row],[test_id]],experiments_specs!A:J,10,FALSE)</f>
        <v>True</v>
      </c>
      <c r="K644" s="40" t="s">
        <v>12</v>
      </c>
      <c r="L644" s="36" t="s">
        <v>1403</v>
      </c>
      <c r="M644" s="36">
        <v>3</v>
      </c>
      <c r="N644" s="36">
        <v>3.07196E-2</v>
      </c>
      <c r="O644" s="36">
        <v>0.4</v>
      </c>
    </row>
    <row r="645" spans="1:15" ht="85" x14ac:dyDescent="0.2">
      <c r="A645" s="36" t="s">
        <v>1304</v>
      </c>
      <c r="B645" s="45" t="str">
        <f>VLOOKUP(Tabella13[[#This Row],[test_id]],experiments_specs!A:J,2,FALSE)</f>
        <v>NN,JJ,VB,VBD,VBG,VBN,VBP,VBZ</v>
      </c>
      <c r="C645" s="38">
        <f>VLOOKUP(Tabella13[[#This Row],[test_id]],experiments_specs!A:J,3,FALSE)</f>
        <v>0</v>
      </c>
      <c r="D645" s="38">
        <f>VLOOKUP(Tabella13[[#This Row],[test_id]],experiments_specs!A:J,4,FALSE)</f>
        <v>3</v>
      </c>
      <c r="E645" s="38" t="str">
        <f>VLOOKUP(Tabella13[[#This Row],[test_id]],experiments_specs!A:J,5,FALSE)</f>
        <v>True</v>
      </c>
      <c r="F645" s="38" t="str">
        <f>VLOOKUP(Tabella13[[#This Row],[test_id]],experiments_specs!A:J,6,FALSE)</f>
        <v>False</v>
      </c>
      <c r="G645" s="38" t="str">
        <f>VLOOKUP(Tabella13[[#This Row],[test_id]],experiments_specs!A:J,7,FALSE)</f>
        <v>False</v>
      </c>
      <c r="H645" s="38" t="str">
        <f>VLOOKUP(Tabella13[[#This Row],[test_id]],experiments_specs!A:J,8,FALSE)</f>
        <v>True</v>
      </c>
      <c r="I645" s="38" t="str">
        <f>VLOOKUP(Tabella13[[#This Row],[test_id]],experiments_specs!A:J,9,FALSE)</f>
        <v>wup_similarity</v>
      </c>
      <c r="J645" s="38" t="str">
        <f>VLOOKUP(Tabella13[[#This Row],[test_id]],experiments_specs!A:J,10,FALSE)</f>
        <v>True</v>
      </c>
      <c r="K645" s="40" t="s">
        <v>13</v>
      </c>
      <c r="L645" s="36" t="s">
        <v>908</v>
      </c>
      <c r="M645" s="36">
        <v>2</v>
      </c>
      <c r="N645" s="36">
        <v>3.6961000000000001E-2</v>
      </c>
      <c r="O645" s="36" t="s">
        <v>25</v>
      </c>
    </row>
    <row r="646" spans="1:15" ht="85" x14ac:dyDescent="0.2">
      <c r="A646" s="36" t="s">
        <v>1304</v>
      </c>
      <c r="B646" s="45" t="str">
        <f>VLOOKUP(Tabella13[[#This Row],[test_id]],experiments_specs!A:J,2,FALSE)</f>
        <v>NN,JJ,VB,VBD,VBG,VBN,VBP,VBZ</v>
      </c>
      <c r="C646" s="38">
        <f>VLOOKUP(Tabella13[[#This Row],[test_id]],experiments_specs!A:J,3,FALSE)</f>
        <v>0</v>
      </c>
      <c r="D646" s="38">
        <f>VLOOKUP(Tabella13[[#This Row],[test_id]],experiments_specs!A:J,4,FALSE)</f>
        <v>3</v>
      </c>
      <c r="E646" s="38" t="str">
        <f>VLOOKUP(Tabella13[[#This Row],[test_id]],experiments_specs!A:J,5,FALSE)</f>
        <v>True</v>
      </c>
      <c r="F646" s="38" t="str">
        <f>VLOOKUP(Tabella13[[#This Row],[test_id]],experiments_specs!A:J,6,FALSE)</f>
        <v>False</v>
      </c>
      <c r="G646" s="38" t="str">
        <f>VLOOKUP(Tabella13[[#This Row],[test_id]],experiments_specs!A:J,7,FALSE)</f>
        <v>False</v>
      </c>
      <c r="H646" s="38" t="str">
        <f>VLOOKUP(Tabella13[[#This Row],[test_id]],experiments_specs!A:J,8,FALSE)</f>
        <v>True</v>
      </c>
      <c r="I646" s="38" t="str">
        <f>VLOOKUP(Tabella13[[#This Row],[test_id]],experiments_specs!A:J,9,FALSE)</f>
        <v>wup_similarity</v>
      </c>
      <c r="J646" s="38" t="str">
        <f>VLOOKUP(Tabella13[[#This Row],[test_id]],experiments_specs!A:J,10,FALSE)</f>
        <v>True</v>
      </c>
      <c r="K646" s="40" t="s">
        <v>14</v>
      </c>
      <c r="L646" s="36" t="s">
        <v>1404</v>
      </c>
      <c r="M646" s="36">
        <v>3</v>
      </c>
      <c r="N646" s="36">
        <v>1.39001E-2</v>
      </c>
      <c r="O646" s="36">
        <v>0.30769229999999997</v>
      </c>
    </row>
    <row r="647" spans="1:15" ht="85" x14ac:dyDescent="0.2">
      <c r="A647" s="36" t="s">
        <v>1304</v>
      </c>
      <c r="B647" s="45" t="str">
        <f>VLOOKUP(Tabella13[[#This Row],[test_id]],experiments_specs!A:J,2,FALSE)</f>
        <v>NN,JJ,VB,VBD,VBG,VBN,VBP,VBZ</v>
      </c>
      <c r="C647" s="38">
        <f>VLOOKUP(Tabella13[[#This Row],[test_id]],experiments_specs!A:J,3,FALSE)</f>
        <v>0</v>
      </c>
      <c r="D647" s="38">
        <f>VLOOKUP(Tabella13[[#This Row],[test_id]],experiments_specs!A:J,4,FALSE)</f>
        <v>3</v>
      </c>
      <c r="E647" s="38" t="str">
        <f>VLOOKUP(Tabella13[[#This Row],[test_id]],experiments_specs!A:J,5,FALSE)</f>
        <v>True</v>
      </c>
      <c r="F647" s="38" t="str">
        <f>VLOOKUP(Tabella13[[#This Row],[test_id]],experiments_specs!A:J,6,FALSE)</f>
        <v>False</v>
      </c>
      <c r="G647" s="38" t="str">
        <f>VLOOKUP(Tabella13[[#This Row],[test_id]],experiments_specs!A:J,7,FALSE)</f>
        <v>False</v>
      </c>
      <c r="H647" s="38" t="str">
        <f>VLOOKUP(Tabella13[[#This Row],[test_id]],experiments_specs!A:J,8,FALSE)</f>
        <v>True</v>
      </c>
      <c r="I647" s="38" t="str">
        <f>VLOOKUP(Tabella13[[#This Row],[test_id]],experiments_specs!A:J,9,FALSE)</f>
        <v>wup_similarity</v>
      </c>
      <c r="J647" s="38" t="str">
        <f>VLOOKUP(Tabella13[[#This Row],[test_id]],experiments_specs!A:J,10,FALSE)</f>
        <v>True</v>
      </c>
      <c r="K647" s="40" t="s">
        <v>15</v>
      </c>
      <c r="L647" s="36" t="s">
        <v>27</v>
      </c>
      <c r="M647" s="36">
        <v>2</v>
      </c>
      <c r="N647" s="36">
        <v>2.28217E-2</v>
      </c>
      <c r="O647" s="36">
        <v>0.1666666</v>
      </c>
    </row>
    <row r="648" spans="1:15" ht="85" x14ac:dyDescent="0.2">
      <c r="A648" s="36" t="s">
        <v>1304</v>
      </c>
      <c r="B648" s="45" t="str">
        <f>VLOOKUP(Tabella13[[#This Row],[test_id]],experiments_specs!A:J,2,FALSE)</f>
        <v>NN,JJ,VB,VBD,VBG,VBN,VBP,VBZ</v>
      </c>
      <c r="C648" s="38">
        <f>VLOOKUP(Tabella13[[#This Row],[test_id]],experiments_specs!A:J,3,FALSE)</f>
        <v>0</v>
      </c>
      <c r="D648" s="38">
        <f>VLOOKUP(Tabella13[[#This Row],[test_id]],experiments_specs!A:J,4,FALSE)</f>
        <v>3</v>
      </c>
      <c r="E648" s="38" t="str">
        <f>VLOOKUP(Tabella13[[#This Row],[test_id]],experiments_specs!A:J,5,FALSE)</f>
        <v>True</v>
      </c>
      <c r="F648" s="38" t="str">
        <f>VLOOKUP(Tabella13[[#This Row],[test_id]],experiments_specs!A:J,6,FALSE)</f>
        <v>False</v>
      </c>
      <c r="G648" s="38" t="str">
        <f>VLOOKUP(Tabella13[[#This Row],[test_id]],experiments_specs!A:J,7,FALSE)</f>
        <v>False</v>
      </c>
      <c r="H648" s="38" t="str">
        <f>VLOOKUP(Tabella13[[#This Row],[test_id]],experiments_specs!A:J,8,FALSE)</f>
        <v>True</v>
      </c>
      <c r="I648" s="38" t="str">
        <f>VLOOKUP(Tabella13[[#This Row],[test_id]],experiments_specs!A:J,9,FALSE)</f>
        <v>wup_similarity</v>
      </c>
      <c r="J648" s="38" t="str">
        <f>VLOOKUP(Tabella13[[#This Row],[test_id]],experiments_specs!A:J,10,FALSE)</f>
        <v>True</v>
      </c>
      <c r="K648" s="40" t="s">
        <v>16</v>
      </c>
      <c r="L648" s="36" t="s">
        <v>1410</v>
      </c>
      <c r="M648" s="36" t="s">
        <v>1373</v>
      </c>
      <c r="N648" s="36">
        <v>2.8445100000000001E-2</v>
      </c>
      <c r="O648" s="36" t="s">
        <v>1462</v>
      </c>
    </row>
    <row r="649" spans="1:15" ht="85" x14ac:dyDescent="0.2">
      <c r="A649" s="36" t="s">
        <v>1304</v>
      </c>
      <c r="B649" s="45" t="str">
        <f>VLOOKUP(Tabella13[[#This Row],[test_id]],experiments_specs!A:J,2,FALSE)</f>
        <v>NN,JJ,VB,VBD,VBG,VBN,VBP,VBZ</v>
      </c>
      <c r="C649" s="38">
        <f>VLOOKUP(Tabella13[[#This Row],[test_id]],experiments_specs!A:J,3,FALSE)</f>
        <v>0</v>
      </c>
      <c r="D649" s="38">
        <f>VLOOKUP(Tabella13[[#This Row],[test_id]],experiments_specs!A:J,4,FALSE)</f>
        <v>3</v>
      </c>
      <c r="E649" s="38" t="str">
        <f>VLOOKUP(Tabella13[[#This Row],[test_id]],experiments_specs!A:J,5,FALSE)</f>
        <v>True</v>
      </c>
      <c r="F649" s="38" t="str">
        <f>VLOOKUP(Tabella13[[#This Row],[test_id]],experiments_specs!A:J,6,FALSE)</f>
        <v>False</v>
      </c>
      <c r="G649" s="38" t="str">
        <f>VLOOKUP(Tabella13[[#This Row],[test_id]],experiments_specs!A:J,7,FALSE)</f>
        <v>False</v>
      </c>
      <c r="H649" s="38" t="str">
        <f>VLOOKUP(Tabella13[[#This Row],[test_id]],experiments_specs!A:J,8,FALSE)</f>
        <v>True</v>
      </c>
      <c r="I649" s="38" t="str">
        <f>VLOOKUP(Tabella13[[#This Row],[test_id]],experiments_specs!A:J,9,FALSE)</f>
        <v>wup_similarity</v>
      </c>
      <c r="J649" s="38" t="str">
        <f>VLOOKUP(Tabella13[[#This Row],[test_id]],experiments_specs!A:J,10,FALSE)</f>
        <v>True</v>
      </c>
      <c r="K649" s="40" t="s">
        <v>17</v>
      </c>
      <c r="L649" s="36" t="s">
        <v>1407</v>
      </c>
      <c r="M649" s="36">
        <v>-1</v>
      </c>
      <c r="N649" s="36">
        <v>2.8309000000000001E-2</v>
      </c>
      <c r="O649" s="36">
        <v>0.15384610000000001</v>
      </c>
    </row>
    <row r="650" spans="1:15" ht="85" x14ac:dyDescent="0.2">
      <c r="A650" s="36" t="s">
        <v>1304</v>
      </c>
      <c r="B650" s="45" t="str">
        <f>VLOOKUP(Tabella13[[#This Row],[test_id]],experiments_specs!A:J,2,FALSE)</f>
        <v>NN,JJ,VB,VBD,VBG,VBN,VBP,VBZ</v>
      </c>
      <c r="C650" s="38">
        <f>VLOOKUP(Tabella13[[#This Row],[test_id]],experiments_specs!A:J,3,FALSE)</f>
        <v>0</v>
      </c>
      <c r="D650" s="38">
        <f>VLOOKUP(Tabella13[[#This Row],[test_id]],experiments_specs!A:J,4,FALSE)</f>
        <v>3</v>
      </c>
      <c r="E650" s="38" t="str">
        <f>VLOOKUP(Tabella13[[#This Row],[test_id]],experiments_specs!A:J,5,FALSE)</f>
        <v>True</v>
      </c>
      <c r="F650" s="38" t="str">
        <f>VLOOKUP(Tabella13[[#This Row],[test_id]],experiments_specs!A:J,6,FALSE)</f>
        <v>False</v>
      </c>
      <c r="G650" s="38" t="str">
        <f>VLOOKUP(Tabella13[[#This Row],[test_id]],experiments_specs!A:J,7,FALSE)</f>
        <v>False</v>
      </c>
      <c r="H650" s="38" t="str">
        <f>VLOOKUP(Tabella13[[#This Row],[test_id]],experiments_specs!A:J,8,FALSE)</f>
        <v>True</v>
      </c>
      <c r="I650" s="38" t="str">
        <f>VLOOKUP(Tabella13[[#This Row],[test_id]],experiments_specs!A:J,9,FALSE)</f>
        <v>wup_similarity</v>
      </c>
      <c r="J650" s="38" t="str">
        <f>VLOOKUP(Tabella13[[#This Row],[test_id]],experiments_specs!A:J,10,FALSE)</f>
        <v>True</v>
      </c>
      <c r="K650" s="40" t="s">
        <v>18</v>
      </c>
      <c r="L650" s="36" t="s">
        <v>1418</v>
      </c>
      <c r="M650" s="36">
        <v>2</v>
      </c>
      <c r="N650" s="36">
        <v>2.51995E-2</v>
      </c>
      <c r="O650" s="36">
        <v>0.2105263</v>
      </c>
    </row>
    <row r="651" spans="1:15" ht="85" x14ac:dyDescent="0.2">
      <c r="A651" s="36" t="s">
        <v>1215</v>
      </c>
      <c r="B651" s="45" t="str">
        <f>VLOOKUP(Tabella13[[#This Row],[test_id]],experiments_specs!A:J,2,FALSE)</f>
        <v>NN,JJ</v>
      </c>
      <c r="C651" s="38">
        <f>VLOOKUP(Tabella13[[#This Row],[test_id]],experiments_specs!A:J,3,FALSE)</f>
        <v>0</v>
      </c>
      <c r="D651" s="38">
        <f>VLOOKUP(Tabella13[[#This Row],[test_id]],experiments_specs!A:J,4,FALSE)</f>
        <v>2</v>
      </c>
      <c r="E651" s="38" t="str">
        <f>VLOOKUP(Tabella13[[#This Row],[test_id]],experiments_specs!A:J,5,FALSE)</f>
        <v>False</v>
      </c>
      <c r="F651" s="38" t="str">
        <f>VLOOKUP(Tabella13[[#This Row],[test_id]],experiments_specs!A:J,6,FALSE)</f>
        <v>True</v>
      </c>
      <c r="G651" s="38" t="str">
        <f>VLOOKUP(Tabella13[[#This Row],[test_id]],experiments_specs!A:J,7,FALSE)</f>
        <v>False</v>
      </c>
      <c r="H651" s="38" t="str">
        <f>VLOOKUP(Tabella13[[#This Row],[test_id]],experiments_specs!A:J,8,FALSE)</f>
        <v>False</v>
      </c>
      <c r="I651" s="38" t="str">
        <f>VLOOKUP(Tabella13[[#This Row],[test_id]],experiments_specs!A:J,9,FALSE)</f>
        <v>wup_similarity</v>
      </c>
      <c r="J651" s="38" t="str">
        <f>VLOOKUP(Tabella13[[#This Row],[test_id]],experiments_specs!A:J,10,FALSE)</f>
        <v>False</v>
      </c>
      <c r="K651" s="40" t="s">
        <v>19</v>
      </c>
      <c r="L651" s="36" t="s">
        <v>1312</v>
      </c>
      <c r="M651" s="36" t="s">
        <v>1314</v>
      </c>
      <c r="N651" s="36">
        <v>2.807967720417609E-3</v>
      </c>
      <c r="O651" s="36" t="s">
        <v>1316</v>
      </c>
    </row>
    <row r="652" spans="1:15" ht="85" x14ac:dyDescent="0.2">
      <c r="A652" s="36" t="s">
        <v>1215</v>
      </c>
      <c r="B652" s="45" t="str">
        <f>VLOOKUP(Tabella13[[#This Row],[test_id]],experiments_specs!A:J,2,FALSE)</f>
        <v>NN,JJ</v>
      </c>
      <c r="C652" s="38">
        <f>VLOOKUP(Tabella13[[#This Row],[test_id]],experiments_specs!A:J,3,FALSE)</f>
        <v>0</v>
      </c>
      <c r="D652" s="38">
        <f>VLOOKUP(Tabella13[[#This Row],[test_id]],experiments_specs!A:J,4,FALSE)</f>
        <v>2</v>
      </c>
      <c r="E652" s="38" t="str">
        <f>VLOOKUP(Tabella13[[#This Row],[test_id]],experiments_specs!A:J,5,FALSE)</f>
        <v>False</v>
      </c>
      <c r="F652" s="38" t="str">
        <f>VLOOKUP(Tabella13[[#This Row],[test_id]],experiments_specs!A:J,6,FALSE)</f>
        <v>True</v>
      </c>
      <c r="G652" s="38" t="str">
        <f>VLOOKUP(Tabella13[[#This Row],[test_id]],experiments_specs!A:J,7,FALSE)</f>
        <v>False</v>
      </c>
      <c r="H652" s="38" t="str">
        <f>VLOOKUP(Tabella13[[#This Row],[test_id]],experiments_specs!A:J,8,FALSE)</f>
        <v>False</v>
      </c>
      <c r="I652" s="38" t="str">
        <f>VLOOKUP(Tabella13[[#This Row],[test_id]],experiments_specs!A:J,9,FALSE)</f>
        <v>wup_similarity</v>
      </c>
      <c r="J652" s="38" t="str">
        <f>VLOOKUP(Tabella13[[#This Row],[test_id]],experiments_specs!A:J,10,FALSE)</f>
        <v>False</v>
      </c>
      <c r="K652" s="40" t="s">
        <v>12</v>
      </c>
      <c r="L652" s="36" t="s">
        <v>23</v>
      </c>
      <c r="M652" s="36">
        <v>2</v>
      </c>
      <c r="N652" s="36">
        <v>5.2849634600686431E-3</v>
      </c>
      <c r="O652" s="36">
        <v>0.42857142857142855</v>
      </c>
    </row>
    <row r="653" spans="1:15" ht="85" x14ac:dyDescent="0.2">
      <c r="A653" s="36" t="s">
        <v>1215</v>
      </c>
      <c r="B653" s="45" t="str">
        <f>VLOOKUP(Tabella13[[#This Row],[test_id]],experiments_specs!A:J,2,FALSE)</f>
        <v>NN,JJ</v>
      </c>
      <c r="C653" s="38">
        <f>VLOOKUP(Tabella13[[#This Row],[test_id]],experiments_specs!A:J,3,FALSE)</f>
        <v>0</v>
      </c>
      <c r="D653" s="38">
        <f>VLOOKUP(Tabella13[[#This Row],[test_id]],experiments_specs!A:J,4,FALSE)</f>
        <v>2</v>
      </c>
      <c r="E653" s="38" t="str">
        <f>VLOOKUP(Tabella13[[#This Row],[test_id]],experiments_specs!A:J,5,FALSE)</f>
        <v>False</v>
      </c>
      <c r="F653" s="38" t="str">
        <f>VLOOKUP(Tabella13[[#This Row],[test_id]],experiments_specs!A:J,6,FALSE)</f>
        <v>True</v>
      </c>
      <c r="G653" s="38" t="str">
        <f>VLOOKUP(Tabella13[[#This Row],[test_id]],experiments_specs!A:J,7,FALSE)</f>
        <v>False</v>
      </c>
      <c r="H653" s="38" t="str">
        <f>VLOOKUP(Tabella13[[#This Row],[test_id]],experiments_specs!A:J,8,FALSE)</f>
        <v>False</v>
      </c>
      <c r="I653" s="38" t="str">
        <f>VLOOKUP(Tabella13[[#This Row],[test_id]],experiments_specs!A:J,9,FALSE)</f>
        <v>wup_similarity</v>
      </c>
      <c r="J653" s="38" t="str">
        <f>VLOOKUP(Tabella13[[#This Row],[test_id]],experiments_specs!A:J,10,FALSE)</f>
        <v>False</v>
      </c>
      <c r="K653" s="40" t="s">
        <v>13</v>
      </c>
      <c r="L653" s="36" t="s">
        <v>1317</v>
      </c>
      <c r="M653" s="36">
        <v>3</v>
      </c>
      <c r="N653" s="36">
        <v>6.9795008830720534E-3</v>
      </c>
      <c r="O653" s="36" t="s">
        <v>25</v>
      </c>
    </row>
    <row r="654" spans="1:15" ht="85" x14ac:dyDescent="0.2">
      <c r="A654" s="36" t="s">
        <v>1215</v>
      </c>
      <c r="B654" s="45" t="str">
        <f>VLOOKUP(Tabella13[[#This Row],[test_id]],experiments_specs!A:J,2,FALSE)</f>
        <v>NN,JJ</v>
      </c>
      <c r="C654" s="38">
        <f>VLOOKUP(Tabella13[[#This Row],[test_id]],experiments_specs!A:J,3,FALSE)</f>
        <v>0</v>
      </c>
      <c r="D654" s="38">
        <f>VLOOKUP(Tabella13[[#This Row],[test_id]],experiments_specs!A:J,4,FALSE)</f>
        <v>2</v>
      </c>
      <c r="E654" s="38" t="str">
        <f>VLOOKUP(Tabella13[[#This Row],[test_id]],experiments_specs!A:J,5,FALSE)</f>
        <v>False</v>
      </c>
      <c r="F654" s="38" t="str">
        <f>VLOOKUP(Tabella13[[#This Row],[test_id]],experiments_specs!A:J,6,FALSE)</f>
        <v>True</v>
      </c>
      <c r="G654" s="38" t="str">
        <f>VLOOKUP(Tabella13[[#This Row],[test_id]],experiments_specs!A:J,7,FALSE)</f>
        <v>False</v>
      </c>
      <c r="H654" s="38" t="str">
        <f>VLOOKUP(Tabella13[[#This Row],[test_id]],experiments_specs!A:J,8,FALSE)</f>
        <v>False</v>
      </c>
      <c r="I654" s="38" t="str">
        <f>VLOOKUP(Tabella13[[#This Row],[test_id]],experiments_specs!A:J,9,FALSE)</f>
        <v>wup_similarity</v>
      </c>
      <c r="J654" s="38" t="str">
        <f>VLOOKUP(Tabella13[[#This Row],[test_id]],experiments_specs!A:J,10,FALSE)</f>
        <v>False</v>
      </c>
      <c r="K654" s="40" t="s">
        <v>14</v>
      </c>
      <c r="L654" s="36" t="s">
        <v>1319</v>
      </c>
      <c r="M654" s="36" t="s">
        <v>1314</v>
      </c>
      <c r="N654" s="36">
        <v>4.2996133803461086E-3</v>
      </c>
      <c r="O654" s="36" t="s">
        <v>1321</v>
      </c>
    </row>
    <row r="655" spans="1:15" ht="85" x14ac:dyDescent="0.2">
      <c r="A655" s="36" t="s">
        <v>1215</v>
      </c>
      <c r="B655" s="45" t="str">
        <f>VLOOKUP(Tabella13[[#This Row],[test_id]],experiments_specs!A:J,2,FALSE)</f>
        <v>NN,JJ</v>
      </c>
      <c r="C655" s="38">
        <f>VLOOKUP(Tabella13[[#This Row],[test_id]],experiments_specs!A:J,3,FALSE)</f>
        <v>0</v>
      </c>
      <c r="D655" s="38">
        <f>VLOOKUP(Tabella13[[#This Row],[test_id]],experiments_specs!A:J,4,FALSE)</f>
        <v>2</v>
      </c>
      <c r="E655" s="38" t="str">
        <f>VLOOKUP(Tabella13[[#This Row],[test_id]],experiments_specs!A:J,5,FALSE)</f>
        <v>False</v>
      </c>
      <c r="F655" s="38" t="str">
        <f>VLOOKUP(Tabella13[[#This Row],[test_id]],experiments_specs!A:J,6,FALSE)</f>
        <v>True</v>
      </c>
      <c r="G655" s="38" t="str">
        <f>VLOOKUP(Tabella13[[#This Row],[test_id]],experiments_specs!A:J,7,FALSE)</f>
        <v>False</v>
      </c>
      <c r="H655" s="38" t="str">
        <f>VLOOKUP(Tabella13[[#This Row],[test_id]],experiments_specs!A:J,8,FALSE)</f>
        <v>False</v>
      </c>
      <c r="I655" s="38" t="str">
        <f>VLOOKUP(Tabella13[[#This Row],[test_id]],experiments_specs!A:J,9,FALSE)</f>
        <v>wup_similarity</v>
      </c>
      <c r="J655" s="38" t="str">
        <f>VLOOKUP(Tabella13[[#This Row],[test_id]],experiments_specs!A:J,10,FALSE)</f>
        <v>False</v>
      </c>
      <c r="K655" s="40" t="s">
        <v>15</v>
      </c>
      <c r="L655" s="36" t="s">
        <v>293</v>
      </c>
      <c r="M655" s="36">
        <v>1</v>
      </c>
      <c r="N655" s="36">
        <v>4.3425717871683617E-3</v>
      </c>
      <c r="O655" s="36">
        <v>0.90909090909090906</v>
      </c>
    </row>
    <row r="656" spans="1:15" ht="85" x14ac:dyDescent="0.2">
      <c r="A656" s="36" t="s">
        <v>1215</v>
      </c>
      <c r="B656" s="45" t="str">
        <f>VLOOKUP(Tabella13[[#This Row],[test_id]],experiments_specs!A:J,2,FALSE)</f>
        <v>NN,JJ</v>
      </c>
      <c r="C656" s="38">
        <f>VLOOKUP(Tabella13[[#This Row],[test_id]],experiments_specs!A:J,3,FALSE)</f>
        <v>0</v>
      </c>
      <c r="D656" s="38">
        <f>VLOOKUP(Tabella13[[#This Row],[test_id]],experiments_specs!A:J,4,FALSE)</f>
        <v>2</v>
      </c>
      <c r="E656" s="38" t="str">
        <f>VLOOKUP(Tabella13[[#This Row],[test_id]],experiments_specs!A:J,5,FALSE)</f>
        <v>False</v>
      </c>
      <c r="F656" s="38" t="str">
        <f>VLOOKUP(Tabella13[[#This Row],[test_id]],experiments_specs!A:J,6,FALSE)</f>
        <v>True</v>
      </c>
      <c r="G656" s="38" t="str">
        <f>VLOOKUP(Tabella13[[#This Row],[test_id]],experiments_specs!A:J,7,FALSE)</f>
        <v>False</v>
      </c>
      <c r="H656" s="38" t="str">
        <f>VLOOKUP(Tabella13[[#This Row],[test_id]],experiments_specs!A:J,8,FALSE)</f>
        <v>False</v>
      </c>
      <c r="I656" s="38" t="str">
        <f>VLOOKUP(Tabella13[[#This Row],[test_id]],experiments_specs!A:J,9,FALSE)</f>
        <v>wup_similarity</v>
      </c>
      <c r="J656" s="38" t="str">
        <f>VLOOKUP(Tabella13[[#This Row],[test_id]],experiments_specs!A:J,10,FALSE)</f>
        <v>False</v>
      </c>
      <c r="K656" s="40" t="s">
        <v>16</v>
      </c>
      <c r="L656" s="36" t="s">
        <v>209</v>
      </c>
      <c r="M656" s="36">
        <v>2</v>
      </c>
      <c r="N656" s="36">
        <v>2.9522152250200432E-3</v>
      </c>
      <c r="O656" s="36">
        <v>0.55555555555555558</v>
      </c>
    </row>
    <row r="657" spans="1:15" ht="85" x14ac:dyDescent="0.2">
      <c r="A657" s="36" t="s">
        <v>1215</v>
      </c>
      <c r="B657" s="45" t="str">
        <f>VLOOKUP(Tabella13[[#This Row],[test_id]],experiments_specs!A:J,2,FALSE)</f>
        <v>NN,JJ</v>
      </c>
      <c r="C657" s="38">
        <f>VLOOKUP(Tabella13[[#This Row],[test_id]],experiments_specs!A:J,3,FALSE)</f>
        <v>0</v>
      </c>
      <c r="D657" s="38">
        <f>VLOOKUP(Tabella13[[#This Row],[test_id]],experiments_specs!A:J,4,FALSE)</f>
        <v>2</v>
      </c>
      <c r="E657" s="38" t="str">
        <f>VLOOKUP(Tabella13[[#This Row],[test_id]],experiments_specs!A:J,5,FALSE)</f>
        <v>False</v>
      </c>
      <c r="F657" s="38" t="str">
        <f>VLOOKUP(Tabella13[[#This Row],[test_id]],experiments_specs!A:J,6,FALSE)</f>
        <v>True</v>
      </c>
      <c r="G657" s="38" t="str">
        <f>VLOOKUP(Tabella13[[#This Row],[test_id]],experiments_specs!A:J,7,FALSE)</f>
        <v>False</v>
      </c>
      <c r="H657" s="38" t="str">
        <f>VLOOKUP(Tabella13[[#This Row],[test_id]],experiments_specs!A:J,8,FALSE)</f>
        <v>False</v>
      </c>
      <c r="I657" s="38" t="str">
        <f>VLOOKUP(Tabella13[[#This Row],[test_id]],experiments_specs!A:J,9,FALSE)</f>
        <v>wup_similarity</v>
      </c>
      <c r="J657" s="38" t="str">
        <f>VLOOKUP(Tabella13[[#This Row],[test_id]],experiments_specs!A:J,10,FALSE)</f>
        <v>False</v>
      </c>
      <c r="K657" s="40" t="s">
        <v>17</v>
      </c>
      <c r="L657" s="36" t="s">
        <v>219</v>
      </c>
      <c r="M657" s="36">
        <v>2</v>
      </c>
      <c r="N657" s="36">
        <v>2.7277236279499052E-3</v>
      </c>
      <c r="O657" s="36">
        <v>0.13333333333333333</v>
      </c>
    </row>
    <row r="658" spans="1:15" ht="85" x14ac:dyDescent="0.2">
      <c r="A658" s="36" t="s">
        <v>1215</v>
      </c>
      <c r="B658" s="45" t="str">
        <f>VLOOKUP(Tabella13[[#This Row],[test_id]],experiments_specs!A:J,2,FALSE)</f>
        <v>NN,JJ</v>
      </c>
      <c r="C658" s="38">
        <f>VLOOKUP(Tabella13[[#This Row],[test_id]],experiments_specs!A:J,3,FALSE)</f>
        <v>0</v>
      </c>
      <c r="D658" s="38">
        <f>VLOOKUP(Tabella13[[#This Row],[test_id]],experiments_specs!A:J,4,FALSE)</f>
        <v>2</v>
      </c>
      <c r="E658" s="38" t="str">
        <f>VLOOKUP(Tabella13[[#This Row],[test_id]],experiments_specs!A:J,5,FALSE)</f>
        <v>False</v>
      </c>
      <c r="F658" s="38" t="str">
        <f>VLOOKUP(Tabella13[[#This Row],[test_id]],experiments_specs!A:J,6,FALSE)</f>
        <v>True</v>
      </c>
      <c r="G658" s="38" t="str">
        <f>VLOOKUP(Tabella13[[#This Row],[test_id]],experiments_specs!A:J,7,FALSE)</f>
        <v>False</v>
      </c>
      <c r="H658" s="38" t="str">
        <f>VLOOKUP(Tabella13[[#This Row],[test_id]],experiments_specs!A:J,8,FALSE)</f>
        <v>False</v>
      </c>
      <c r="I658" s="38" t="str">
        <f>VLOOKUP(Tabella13[[#This Row],[test_id]],experiments_specs!A:J,9,FALSE)</f>
        <v>wup_similarity</v>
      </c>
      <c r="J658" s="38" t="str">
        <f>VLOOKUP(Tabella13[[#This Row],[test_id]],experiments_specs!A:J,10,FALSE)</f>
        <v>False</v>
      </c>
      <c r="K658" s="40" t="s">
        <v>18</v>
      </c>
      <c r="L658" s="36" t="s">
        <v>1323</v>
      </c>
      <c r="M658" s="36" t="s">
        <v>1314</v>
      </c>
      <c r="N658" s="36">
        <v>2.2725512037831052E-3</v>
      </c>
      <c r="O658" s="36" t="s">
        <v>1325</v>
      </c>
    </row>
    <row r="659" spans="1:15" ht="85" x14ac:dyDescent="0.2">
      <c r="A659" s="36" t="s">
        <v>1216</v>
      </c>
      <c r="B659" s="45" t="str">
        <f>VLOOKUP(Tabella13[[#This Row],[test_id]],experiments_specs!A:J,2,FALSE)</f>
        <v>NN,JJ</v>
      </c>
      <c r="C659" s="38">
        <f>VLOOKUP(Tabella13[[#This Row],[test_id]],experiments_specs!A:J,3,FALSE)</f>
        <v>0</v>
      </c>
      <c r="D659" s="38">
        <f>VLOOKUP(Tabella13[[#This Row],[test_id]],experiments_specs!A:J,4,FALSE)</f>
        <v>3</v>
      </c>
      <c r="E659" s="38" t="str">
        <f>VLOOKUP(Tabella13[[#This Row],[test_id]],experiments_specs!A:J,5,FALSE)</f>
        <v>False</v>
      </c>
      <c r="F659" s="38" t="str">
        <f>VLOOKUP(Tabella13[[#This Row],[test_id]],experiments_specs!A:J,6,FALSE)</f>
        <v>True</v>
      </c>
      <c r="G659" s="38" t="str">
        <f>VLOOKUP(Tabella13[[#This Row],[test_id]],experiments_specs!A:J,7,FALSE)</f>
        <v>False</v>
      </c>
      <c r="H659" s="38" t="str">
        <f>VLOOKUP(Tabella13[[#This Row],[test_id]],experiments_specs!A:J,8,FALSE)</f>
        <v>False</v>
      </c>
      <c r="I659" s="38" t="str">
        <f>VLOOKUP(Tabella13[[#This Row],[test_id]],experiments_specs!A:J,9,FALSE)</f>
        <v>wup_similarity</v>
      </c>
      <c r="J659" s="38" t="str">
        <f>VLOOKUP(Tabella13[[#This Row],[test_id]],experiments_specs!A:J,10,FALSE)</f>
        <v>False</v>
      </c>
      <c r="K659" s="40" t="s">
        <v>19</v>
      </c>
      <c r="L659" s="36" t="s">
        <v>1312</v>
      </c>
      <c r="M659" s="36" t="s">
        <v>1314</v>
      </c>
      <c r="N659" s="36">
        <v>2.8078999999999999E-3</v>
      </c>
      <c r="O659" s="36" t="s">
        <v>1434</v>
      </c>
    </row>
    <row r="660" spans="1:15" ht="85" x14ac:dyDescent="0.2">
      <c r="A660" s="36" t="s">
        <v>1216</v>
      </c>
      <c r="B660" s="45" t="str">
        <f>VLOOKUP(Tabella13[[#This Row],[test_id]],experiments_specs!A:J,2,FALSE)</f>
        <v>NN,JJ</v>
      </c>
      <c r="C660" s="38">
        <f>VLOOKUP(Tabella13[[#This Row],[test_id]],experiments_specs!A:J,3,FALSE)</f>
        <v>0</v>
      </c>
      <c r="D660" s="38">
        <f>VLOOKUP(Tabella13[[#This Row],[test_id]],experiments_specs!A:J,4,FALSE)</f>
        <v>3</v>
      </c>
      <c r="E660" s="38" t="str">
        <f>VLOOKUP(Tabella13[[#This Row],[test_id]],experiments_specs!A:J,5,FALSE)</f>
        <v>False</v>
      </c>
      <c r="F660" s="38" t="str">
        <f>VLOOKUP(Tabella13[[#This Row],[test_id]],experiments_specs!A:J,6,FALSE)</f>
        <v>True</v>
      </c>
      <c r="G660" s="38" t="str">
        <f>VLOOKUP(Tabella13[[#This Row],[test_id]],experiments_specs!A:J,7,FALSE)</f>
        <v>False</v>
      </c>
      <c r="H660" s="38" t="str">
        <f>VLOOKUP(Tabella13[[#This Row],[test_id]],experiments_specs!A:J,8,FALSE)</f>
        <v>False</v>
      </c>
      <c r="I660" s="38" t="str">
        <f>VLOOKUP(Tabella13[[#This Row],[test_id]],experiments_specs!A:J,9,FALSE)</f>
        <v>wup_similarity</v>
      </c>
      <c r="J660" s="38" t="str">
        <f>VLOOKUP(Tabella13[[#This Row],[test_id]],experiments_specs!A:J,10,FALSE)</f>
        <v>False</v>
      </c>
      <c r="K660" s="40" t="s">
        <v>12</v>
      </c>
      <c r="L660" s="36" t="s">
        <v>23</v>
      </c>
      <c r="M660" s="36">
        <v>2</v>
      </c>
      <c r="N660" s="36">
        <v>5.2849000000000004E-3</v>
      </c>
      <c r="O660" s="36">
        <v>0.42857139999999999</v>
      </c>
    </row>
    <row r="661" spans="1:15" ht="85" x14ac:dyDescent="0.2">
      <c r="A661" s="36" t="s">
        <v>1216</v>
      </c>
      <c r="B661" s="45" t="str">
        <f>VLOOKUP(Tabella13[[#This Row],[test_id]],experiments_specs!A:J,2,FALSE)</f>
        <v>NN,JJ</v>
      </c>
      <c r="C661" s="38">
        <f>VLOOKUP(Tabella13[[#This Row],[test_id]],experiments_specs!A:J,3,FALSE)</f>
        <v>0</v>
      </c>
      <c r="D661" s="38">
        <f>VLOOKUP(Tabella13[[#This Row],[test_id]],experiments_specs!A:J,4,FALSE)</f>
        <v>3</v>
      </c>
      <c r="E661" s="38" t="str">
        <f>VLOOKUP(Tabella13[[#This Row],[test_id]],experiments_specs!A:J,5,FALSE)</f>
        <v>False</v>
      </c>
      <c r="F661" s="38" t="str">
        <f>VLOOKUP(Tabella13[[#This Row],[test_id]],experiments_specs!A:J,6,FALSE)</f>
        <v>True</v>
      </c>
      <c r="G661" s="38" t="str">
        <f>VLOOKUP(Tabella13[[#This Row],[test_id]],experiments_specs!A:J,7,FALSE)</f>
        <v>False</v>
      </c>
      <c r="H661" s="38" t="str">
        <f>VLOOKUP(Tabella13[[#This Row],[test_id]],experiments_specs!A:J,8,FALSE)</f>
        <v>False</v>
      </c>
      <c r="I661" s="38" t="str">
        <f>VLOOKUP(Tabella13[[#This Row],[test_id]],experiments_specs!A:J,9,FALSE)</f>
        <v>wup_similarity</v>
      </c>
      <c r="J661" s="38" t="str">
        <f>VLOOKUP(Tabella13[[#This Row],[test_id]],experiments_specs!A:J,10,FALSE)</f>
        <v>False</v>
      </c>
      <c r="K661" s="40" t="s">
        <v>13</v>
      </c>
      <c r="L661" s="36" t="s">
        <v>1317</v>
      </c>
      <c r="M661" s="36">
        <v>3</v>
      </c>
      <c r="N661" s="36">
        <v>6.9794999999999996E-3</v>
      </c>
      <c r="O661" s="36" t="s">
        <v>25</v>
      </c>
    </row>
    <row r="662" spans="1:15" ht="85" x14ac:dyDescent="0.2">
      <c r="A662" s="36" t="s">
        <v>1216</v>
      </c>
      <c r="B662" s="45" t="str">
        <f>VLOOKUP(Tabella13[[#This Row],[test_id]],experiments_specs!A:J,2,FALSE)</f>
        <v>NN,JJ</v>
      </c>
      <c r="C662" s="38">
        <f>VLOOKUP(Tabella13[[#This Row],[test_id]],experiments_specs!A:J,3,FALSE)</f>
        <v>0</v>
      </c>
      <c r="D662" s="38">
        <f>VLOOKUP(Tabella13[[#This Row],[test_id]],experiments_specs!A:J,4,FALSE)</f>
        <v>3</v>
      </c>
      <c r="E662" s="38" t="str">
        <f>VLOOKUP(Tabella13[[#This Row],[test_id]],experiments_specs!A:J,5,FALSE)</f>
        <v>False</v>
      </c>
      <c r="F662" s="38" t="str">
        <f>VLOOKUP(Tabella13[[#This Row],[test_id]],experiments_specs!A:J,6,FALSE)</f>
        <v>True</v>
      </c>
      <c r="G662" s="38" t="str">
        <f>VLOOKUP(Tabella13[[#This Row],[test_id]],experiments_specs!A:J,7,FALSE)</f>
        <v>False</v>
      </c>
      <c r="H662" s="38" t="str">
        <f>VLOOKUP(Tabella13[[#This Row],[test_id]],experiments_specs!A:J,8,FALSE)</f>
        <v>False</v>
      </c>
      <c r="I662" s="38" t="str">
        <f>VLOOKUP(Tabella13[[#This Row],[test_id]],experiments_specs!A:J,9,FALSE)</f>
        <v>wup_similarity</v>
      </c>
      <c r="J662" s="38" t="str">
        <f>VLOOKUP(Tabella13[[#This Row],[test_id]],experiments_specs!A:J,10,FALSE)</f>
        <v>False</v>
      </c>
      <c r="K662" s="40" t="s">
        <v>14</v>
      </c>
      <c r="L662" s="36" t="s">
        <v>1319</v>
      </c>
      <c r="M662" s="36" t="s">
        <v>1314</v>
      </c>
      <c r="N662" s="36">
        <v>4.2995999999999998E-3</v>
      </c>
      <c r="O662" s="36" t="s">
        <v>1436</v>
      </c>
    </row>
    <row r="663" spans="1:15" ht="85" x14ac:dyDescent="0.2">
      <c r="A663" s="36" t="s">
        <v>1216</v>
      </c>
      <c r="B663" s="45" t="str">
        <f>VLOOKUP(Tabella13[[#This Row],[test_id]],experiments_specs!A:J,2,FALSE)</f>
        <v>NN,JJ</v>
      </c>
      <c r="C663" s="38">
        <f>VLOOKUP(Tabella13[[#This Row],[test_id]],experiments_specs!A:J,3,FALSE)</f>
        <v>0</v>
      </c>
      <c r="D663" s="38">
        <f>VLOOKUP(Tabella13[[#This Row],[test_id]],experiments_specs!A:J,4,FALSE)</f>
        <v>3</v>
      </c>
      <c r="E663" s="38" t="str">
        <f>VLOOKUP(Tabella13[[#This Row],[test_id]],experiments_specs!A:J,5,FALSE)</f>
        <v>False</v>
      </c>
      <c r="F663" s="38" t="str">
        <f>VLOOKUP(Tabella13[[#This Row],[test_id]],experiments_specs!A:J,6,FALSE)</f>
        <v>True</v>
      </c>
      <c r="G663" s="38" t="str">
        <f>VLOOKUP(Tabella13[[#This Row],[test_id]],experiments_specs!A:J,7,FALSE)</f>
        <v>False</v>
      </c>
      <c r="H663" s="38" t="str">
        <f>VLOOKUP(Tabella13[[#This Row],[test_id]],experiments_specs!A:J,8,FALSE)</f>
        <v>False</v>
      </c>
      <c r="I663" s="38" t="str">
        <f>VLOOKUP(Tabella13[[#This Row],[test_id]],experiments_specs!A:J,9,FALSE)</f>
        <v>wup_similarity</v>
      </c>
      <c r="J663" s="38" t="str">
        <f>VLOOKUP(Tabella13[[#This Row],[test_id]],experiments_specs!A:J,10,FALSE)</f>
        <v>False</v>
      </c>
      <c r="K663" s="40" t="s">
        <v>15</v>
      </c>
      <c r="L663" s="36" t="s">
        <v>293</v>
      </c>
      <c r="M663" s="36">
        <v>1</v>
      </c>
      <c r="N663" s="36">
        <v>4.3425E-3</v>
      </c>
      <c r="O663" s="36">
        <v>0.90909090000000004</v>
      </c>
    </row>
    <row r="664" spans="1:15" ht="85" x14ac:dyDescent="0.2">
      <c r="A664" s="36" t="s">
        <v>1216</v>
      </c>
      <c r="B664" s="45" t="str">
        <f>VLOOKUP(Tabella13[[#This Row],[test_id]],experiments_specs!A:J,2,FALSE)</f>
        <v>NN,JJ</v>
      </c>
      <c r="C664" s="38">
        <f>VLOOKUP(Tabella13[[#This Row],[test_id]],experiments_specs!A:J,3,FALSE)</f>
        <v>0</v>
      </c>
      <c r="D664" s="38">
        <f>VLOOKUP(Tabella13[[#This Row],[test_id]],experiments_specs!A:J,4,FALSE)</f>
        <v>3</v>
      </c>
      <c r="E664" s="38" t="str">
        <f>VLOOKUP(Tabella13[[#This Row],[test_id]],experiments_specs!A:J,5,FALSE)</f>
        <v>False</v>
      </c>
      <c r="F664" s="38" t="str">
        <f>VLOOKUP(Tabella13[[#This Row],[test_id]],experiments_specs!A:J,6,FALSE)</f>
        <v>True</v>
      </c>
      <c r="G664" s="38" t="str">
        <f>VLOOKUP(Tabella13[[#This Row],[test_id]],experiments_specs!A:J,7,FALSE)</f>
        <v>False</v>
      </c>
      <c r="H664" s="38" t="str">
        <f>VLOOKUP(Tabella13[[#This Row],[test_id]],experiments_specs!A:J,8,FALSE)</f>
        <v>False</v>
      </c>
      <c r="I664" s="38" t="str">
        <f>VLOOKUP(Tabella13[[#This Row],[test_id]],experiments_specs!A:J,9,FALSE)</f>
        <v>wup_similarity</v>
      </c>
      <c r="J664" s="38" t="str">
        <f>VLOOKUP(Tabella13[[#This Row],[test_id]],experiments_specs!A:J,10,FALSE)</f>
        <v>False</v>
      </c>
      <c r="K664" s="40" t="s">
        <v>16</v>
      </c>
      <c r="L664" s="36" t="s">
        <v>209</v>
      </c>
      <c r="M664" s="36">
        <v>2</v>
      </c>
      <c r="N664" s="36">
        <v>2.9521999999999999E-3</v>
      </c>
      <c r="O664" s="36">
        <v>0.55555549999999998</v>
      </c>
    </row>
    <row r="665" spans="1:15" ht="85" x14ac:dyDescent="0.2">
      <c r="A665" s="36" t="s">
        <v>1216</v>
      </c>
      <c r="B665" s="45" t="str">
        <f>VLOOKUP(Tabella13[[#This Row],[test_id]],experiments_specs!A:J,2,FALSE)</f>
        <v>NN,JJ</v>
      </c>
      <c r="C665" s="38">
        <f>VLOOKUP(Tabella13[[#This Row],[test_id]],experiments_specs!A:J,3,FALSE)</f>
        <v>0</v>
      </c>
      <c r="D665" s="38">
        <f>VLOOKUP(Tabella13[[#This Row],[test_id]],experiments_specs!A:J,4,FALSE)</f>
        <v>3</v>
      </c>
      <c r="E665" s="38" t="str">
        <f>VLOOKUP(Tabella13[[#This Row],[test_id]],experiments_specs!A:J,5,FALSE)</f>
        <v>False</v>
      </c>
      <c r="F665" s="38" t="str">
        <f>VLOOKUP(Tabella13[[#This Row],[test_id]],experiments_specs!A:J,6,FALSE)</f>
        <v>True</v>
      </c>
      <c r="G665" s="38" t="str">
        <f>VLOOKUP(Tabella13[[#This Row],[test_id]],experiments_specs!A:J,7,FALSE)</f>
        <v>False</v>
      </c>
      <c r="H665" s="38" t="str">
        <f>VLOOKUP(Tabella13[[#This Row],[test_id]],experiments_specs!A:J,8,FALSE)</f>
        <v>False</v>
      </c>
      <c r="I665" s="38" t="str">
        <f>VLOOKUP(Tabella13[[#This Row],[test_id]],experiments_specs!A:J,9,FALSE)</f>
        <v>wup_similarity</v>
      </c>
      <c r="J665" s="38" t="str">
        <f>VLOOKUP(Tabella13[[#This Row],[test_id]],experiments_specs!A:J,10,FALSE)</f>
        <v>False</v>
      </c>
      <c r="K665" s="40" t="s">
        <v>17</v>
      </c>
      <c r="L665" s="36" t="s">
        <v>219</v>
      </c>
      <c r="M665" s="36">
        <v>2</v>
      </c>
      <c r="N665" s="36">
        <v>2.7277E-3</v>
      </c>
      <c r="O665" s="36">
        <v>0.13333329999999999</v>
      </c>
    </row>
    <row r="666" spans="1:15" ht="85" x14ac:dyDescent="0.2">
      <c r="A666" s="36" t="s">
        <v>1216</v>
      </c>
      <c r="B666" s="45" t="str">
        <f>VLOOKUP(Tabella13[[#This Row],[test_id]],experiments_specs!A:J,2,FALSE)</f>
        <v>NN,JJ</v>
      </c>
      <c r="C666" s="38">
        <f>VLOOKUP(Tabella13[[#This Row],[test_id]],experiments_specs!A:J,3,FALSE)</f>
        <v>0</v>
      </c>
      <c r="D666" s="38">
        <f>VLOOKUP(Tabella13[[#This Row],[test_id]],experiments_specs!A:J,4,FALSE)</f>
        <v>3</v>
      </c>
      <c r="E666" s="38" t="str">
        <f>VLOOKUP(Tabella13[[#This Row],[test_id]],experiments_specs!A:J,5,FALSE)</f>
        <v>False</v>
      </c>
      <c r="F666" s="38" t="str">
        <f>VLOOKUP(Tabella13[[#This Row],[test_id]],experiments_specs!A:J,6,FALSE)</f>
        <v>True</v>
      </c>
      <c r="G666" s="38" t="str">
        <f>VLOOKUP(Tabella13[[#This Row],[test_id]],experiments_specs!A:J,7,FALSE)</f>
        <v>False</v>
      </c>
      <c r="H666" s="38" t="str">
        <f>VLOOKUP(Tabella13[[#This Row],[test_id]],experiments_specs!A:J,8,FALSE)</f>
        <v>False</v>
      </c>
      <c r="I666" s="38" t="str">
        <f>VLOOKUP(Tabella13[[#This Row],[test_id]],experiments_specs!A:J,9,FALSE)</f>
        <v>wup_similarity</v>
      </c>
      <c r="J666" s="38" t="str">
        <f>VLOOKUP(Tabella13[[#This Row],[test_id]],experiments_specs!A:J,10,FALSE)</f>
        <v>False</v>
      </c>
      <c r="K666" s="40" t="s">
        <v>18</v>
      </c>
      <c r="L666" s="36" t="s">
        <v>1323</v>
      </c>
      <c r="M666" s="36" t="s">
        <v>1314</v>
      </c>
      <c r="N666" s="36">
        <v>2.2725000000000002E-3</v>
      </c>
      <c r="O666" s="36" t="s">
        <v>1438</v>
      </c>
    </row>
    <row r="667" spans="1:15" ht="85" x14ac:dyDescent="0.2">
      <c r="A667" s="36" t="s">
        <v>1217</v>
      </c>
      <c r="B667" s="45" t="str">
        <f>VLOOKUP(Tabella13[[#This Row],[test_id]],experiments_specs!A:J,2,FALSE)</f>
        <v>NN,VB,VBD,VBG,VBN,VBP,VBZ</v>
      </c>
      <c r="C667" s="38">
        <f>VLOOKUP(Tabella13[[#This Row],[test_id]],experiments_specs!A:J,3,FALSE)</f>
        <v>0</v>
      </c>
      <c r="D667" s="38">
        <f>VLOOKUP(Tabella13[[#This Row],[test_id]],experiments_specs!A:J,4,FALSE)</f>
        <v>2</v>
      </c>
      <c r="E667" s="38" t="str">
        <f>VLOOKUP(Tabella13[[#This Row],[test_id]],experiments_specs!A:J,5,FALSE)</f>
        <v>False</v>
      </c>
      <c r="F667" s="38" t="str">
        <f>VLOOKUP(Tabella13[[#This Row],[test_id]],experiments_specs!A:J,6,FALSE)</f>
        <v>True</v>
      </c>
      <c r="G667" s="38" t="str">
        <f>VLOOKUP(Tabella13[[#This Row],[test_id]],experiments_specs!A:J,7,FALSE)</f>
        <v>False</v>
      </c>
      <c r="H667" s="38" t="str">
        <f>VLOOKUP(Tabella13[[#This Row],[test_id]],experiments_specs!A:J,8,FALSE)</f>
        <v>False</v>
      </c>
      <c r="I667" s="38" t="str">
        <f>VLOOKUP(Tabella13[[#This Row],[test_id]],experiments_specs!A:J,9,FALSE)</f>
        <v>wup_similarity</v>
      </c>
      <c r="J667" s="38" t="str">
        <f>VLOOKUP(Tabella13[[#This Row],[test_id]],experiments_specs!A:J,10,FALSE)</f>
        <v>False</v>
      </c>
      <c r="K667" s="40" t="s">
        <v>19</v>
      </c>
      <c r="L667" s="36" t="s">
        <v>226</v>
      </c>
      <c r="M667" s="36">
        <v>3</v>
      </c>
      <c r="N667" s="36">
        <v>2.5639E-3</v>
      </c>
      <c r="O667" s="36">
        <v>0.17391300000000001</v>
      </c>
    </row>
    <row r="668" spans="1:15" ht="85" x14ac:dyDescent="0.2">
      <c r="A668" s="36" t="s">
        <v>1217</v>
      </c>
      <c r="B668" s="45" t="str">
        <f>VLOOKUP(Tabella13[[#This Row],[test_id]],experiments_specs!A:J,2,FALSE)</f>
        <v>NN,VB,VBD,VBG,VBN,VBP,VBZ</v>
      </c>
      <c r="C668" s="38">
        <f>VLOOKUP(Tabella13[[#This Row],[test_id]],experiments_specs!A:J,3,FALSE)</f>
        <v>0</v>
      </c>
      <c r="D668" s="38">
        <f>VLOOKUP(Tabella13[[#This Row],[test_id]],experiments_specs!A:J,4,FALSE)</f>
        <v>2</v>
      </c>
      <c r="E668" s="38" t="str">
        <f>VLOOKUP(Tabella13[[#This Row],[test_id]],experiments_specs!A:J,5,FALSE)</f>
        <v>False</v>
      </c>
      <c r="F668" s="38" t="str">
        <f>VLOOKUP(Tabella13[[#This Row],[test_id]],experiments_specs!A:J,6,FALSE)</f>
        <v>True</v>
      </c>
      <c r="G668" s="38" t="str">
        <f>VLOOKUP(Tabella13[[#This Row],[test_id]],experiments_specs!A:J,7,FALSE)</f>
        <v>False</v>
      </c>
      <c r="H668" s="38" t="str">
        <f>VLOOKUP(Tabella13[[#This Row],[test_id]],experiments_specs!A:J,8,FALSE)</f>
        <v>False</v>
      </c>
      <c r="I668" s="38" t="str">
        <f>VLOOKUP(Tabella13[[#This Row],[test_id]],experiments_specs!A:J,9,FALSE)</f>
        <v>wup_similarity</v>
      </c>
      <c r="J668" s="38" t="str">
        <f>VLOOKUP(Tabella13[[#This Row],[test_id]],experiments_specs!A:J,10,FALSE)</f>
        <v>False</v>
      </c>
      <c r="K668" s="40" t="s">
        <v>12</v>
      </c>
      <c r="L668" s="36" t="s">
        <v>236</v>
      </c>
      <c r="M668" s="36">
        <v>2</v>
      </c>
      <c r="N668" s="36">
        <v>4.2827000000000004E-3</v>
      </c>
      <c r="O668" s="36">
        <v>0.125</v>
      </c>
    </row>
    <row r="669" spans="1:15" ht="85" x14ac:dyDescent="0.2">
      <c r="A669" s="36" t="s">
        <v>1217</v>
      </c>
      <c r="B669" s="45" t="str">
        <f>VLOOKUP(Tabella13[[#This Row],[test_id]],experiments_specs!A:J,2,FALSE)</f>
        <v>NN,VB,VBD,VBG,VBN,VBP,VBZ</v>
      </c>
      <c r="C669" s="38">
        <f>VLOOKUP(Tabella13[[#This Row],[test_id]],experiments_specs!A:J,3,FALSE)</f>
        <v>0</v>
      </c>
      <c r="D669" s="38">
        <f>VLOOKUP(Tabella13[[#This Row],[test_id]],experiments_specs!A:J,4,FALSE)</f>
        <v>2</v>
      </c>
      <c r="E669" s="38" t="str">
        <f>VLOOKUP(Tabella13[[#This Row],[test_id]],experiments_specs!A:J,5,FALSE)</f>
        <v>False</v>
      </c>
      <c r="F669" s="38" t="str">
        <f>VLOOKUP(Tabella13[[#This Row],[test_id]],experiments_specs!A:J,6,FALSE)</f>
        <v>True</v>
      </c>
      <c r="G669" s="38" t="str">
        <f>VLOOKUP(Tabella13[[#This Row],[test_id]],experiments_specs!A:J,7,FALSE)</f>
        <v>False</v>
      </c>
      <c r="H669" s="38" t="str">
        <f>VLOOKUP(Tabella13[[#This Row],[test_id]],experiments_specs!A:J,8,FALSE)</f>
        <v>False</v>
      </c>
      <c r="I669" s="38" t="str">
        <f>VLOOKUP(Tabella13[[#This Row],[test_id]],experiments_specs!A:J,9,FALSE)</f>
        <v>wup_similarity</v>
      </c>
      <c r="J669" s="38" t="str">
        <f>VLOOKUP(Tabella13[[#This Row],[test_id]],experiments_specs!A:J,10,FALSE)</f>
        <v>False</v>
      </c>
      <c r="K669" s="40" t="s">
        <v>13</v>
      </c>
      <c r="L669" s="36" t="s">
        <v>1317</v>
      </c>
      <c r="M669" s="36">
        <v>3</v>
      </c>
      <c r="N669" s="36">
        <v>6.3826999999999998E-3</v>
      </c>
      <c r="O669" s="36" t="s">
        <v>25</v>
      </c>
    </row>
    <row r="670" spans="1:15" ht="85" x14ac:dyDescent="0.2">
      <c r="A670" s="36" t="s">
        <v>1217</v>
      </c>
      <c r="B670" s="45" t="str">
        <f>VLOOKUP(Tabella13[[#This Row],[test_id]],experiments_specs!A:J,2,FALSE)</f>
        <v>NN,VB,VBD,VBG,VBN,VBP,VBZ</v>
      </c>
      <c r="C670" s="38">
        <f>VLOOKUP(Tabella13[[#This Row],[test_id]],experiments_specs!A:J,3,FALSE)</f>
        <v>0</v>
      </c>
      <c r="D670" s="38">
        <f>VLOOKUP(Tabella13[[#This Row],[test_id]],experiments_specs!A:J,4,FALSE)</f>
        <v>2</v>
      </c>
      <c r="E670" s="38" t="str">
        <f>VLOOKUP(Tabella13[[#This Row],[test_id]],experiments_specs!A:J,5,FALSE)</f>
        <v>False</v>
      </c>
      <c r="F670" s="38" t="str">
        <f>VLOOKUP(Tabella13[[#This Row],[test_id]],experiments_specs!A:J,6,FALSE)</f>
        <v>True</v>
      </c>
      <c r="G670" s="38" t="str">
        <f>VLOOKUP(Tabella13[[#This Row],[test_id]],experiments_specs!A:J,7,FALSE)</f>
        <v>False</v>
      </c>
      <c r="H670" s="38" t="str">
        <f>VLOOKUP(Tabella13[[#This Row],[test_id]],experiments_specs!A:J,8,FALSE)</f>
        <v>False</v>
      </c>
      <c r="I670" s="38" t="str">
        <f>VLOOKUP(Tabella13[[#This Row],[test_id]],experiments_specs!A:J,9,FALSE)</f>
        <v>wup_similarity</v>
      </c>
      <c r="J670" s="38" t="str">
        <f>VLOOKUP(Tabella13[[#This Row],[test_id]],experiments_specs!A:J,10,FALSE)</f>
        <v>False</v>
      </c>
      <c r="K670" s="40" t="s">
        <v>14</v>
      </c>
      <c r="L670" s="36" t="s">
        <v>1319</v>
      </c>
      <c r="M670" s="36" t="s">
        <v>1314</v>
      </c>
      <c r="N670" s="36">
        <v>3.7028999999999999E-3</v>
      </c>
      <c r="O670" s="36" t="s">
        <v>1436</v>
      </c>
    </row>
    <row r="671" spans="1:15" ht="85" x14ac:dyDescent="0.2">
      <c r="A671" s="36" t="s">
        <v>1217</v>
      </c>
      <c r="B671" s="45" t="str">
        <f>VLOOKUP(Tabella13[[#This Row],[test_id]],experiments_specs!A:J,2,FALSE)</f>
        <v>NN,VB,VBD,VBG,VBN,VBP,VBZ</v>
      </c>
      <c r="C671" s="38">
        <f>VLOOKUP(Tabella13[[#This Row],[test_id]],experiments_specs!A:J,3,FALSE)</f>
        <v>0</v>
      </c>
      <c r="D671" s="38">
        <f>VLOOKUP(Tabella13[[#This Row],[test_id]],experiments_specs!A:J,4,FALSE)</f>
        <v>2</v>
      </c>
      <c r="E671" s="38" t="str">
        <f>VLOOKUP(Tabella13[[#This Row],[test_id]],experiments_specs!A:J,5,FALSE)</f>
        <v>False</v>
      </c>
      <c r="F671" s="38" t="str">
        <f>VLOOKUP(Tabella13[[#This Row],[test_id]],experiments_specs!A:J,6,FALSE)</f>
        <v>True</v>
      </c>
      <c r="G671" s="38" t="str">
        <f>VLOOKUP(Tabella13[[#This Row],[test_id]],experiments_specs!A:J,7,FALSE)</f>
        <v>False</v>
      </c>
      <c r="H671" s="38" t="str">
        <f>VLOOKUP(Tabella13[[#This Row],[test_id]],experiments_specs!A:J,8,FALSE)</f>
        <v>False</v>
      </c>
      <c r="I671" s="38" t="str">
        <f>VLOOKUP(Tabella13[[#This Row],[test_id]],experiments_specs!A:J,9,FALSE)</f>
        <v>wup_similarity</v>
      </c>
      <c r="J671" s="38" t="str">
        <f>VLOOKUP(Tabella13[[#This Row],[test_id]],experiments_specs!A:J,10,FALSE)</f>
        <v>False</v>
      </c>
      <c r="K671" s="40" t="s">
        <v>15</v>
      </c>
      <c r="L671" s="36" t="s">
        <v>238</v>
      </c>
      <c r="M671" s="36">
        <v>2</v>
      </c>
      <c r="N671" s="36">
        <v>2.7751999999999998E-3</v>
      </c>
      <c r="O671" s="36">
        <v>0.2</v>
      </c>
    </row>
    <row r="672" spans="1:15" ht="85" x14ac:dyDescent="0.2">
      <c r="A672" s="36" t="s">
        <v>1217</v>
      </c>
      <c r="B672" s="45" t="str">
        <f>VLOOKUP(Tabella13[[#This Row],[test_id]],experiments_specs!A:J,2,FALSE)</f>
        <v>NN,VB,VBD,VBG,VBN,VBP,VBZ</v>
      </c>
      <c r="C672" s="38">
        <f>VLOOKUP(Tabella13[[#This Row],[test_id]],experiments_specs!A:J,3,FALSE)</f>
        <v>0</v>
      </c>
      <c r="D672" s="38">
        <f>VLOOKUP(Tabella13[[#This Row],[test_id]],experiments_specs!A:J,4,FALSE)</f>
        <v>2</v>
      </c>
      <c r="E672" s="38" t="str">
        <f>VLOOKUP(Tabella13[[#This Row],[test_id]],experiments_specs!A:J,5,FALSE)</f>
        <v>False</v>
      </c>
      <c r="F672" s="38" t="str">
        <f>VLOOKUP(Tabella13[[#This Row],[test_id]],experiments_specs!A:J,6,FALSE)</f>
        <v>True</v>
      </c>
      <c r="G672" s="38" t="str">
        <f>VLOOKUP(Tabella13[[#This Row],[test_id]],experiments_specs!A:J,7,FALSE)</f>
        <v>False</v>
      </c>
      <c r="H672" s="38" t="str">
        <f>VLOOKUP(Tabella13[[#This Row],[test_id]],experiments_specs!A:J,8,FALSE)</f>
        <v>False</v>
      </c>
      <c r="I672" s="38" t="str">
        <f>VLOOKUP(Tabella13[[#This Row],[test_id]],experiments_specs!A:J,9,FALSE)</f>
        <v>wup_similarity</v>
      </c>
      <c r="J672" s="38" t="str">
        <f>VLOOKUP(Tabella13[[#This Row],[test_id]],experiments_specs!A:J,10,FALSE)</f>
        <v>False</v>
      </c>
      <c r="K672" s="40" t="s">
        <v>16</v>
      </c>
      <c r="L672" s="36" t="s">
        <v>209</v>
      </c>
      <c r="M672" s="36">
        <v>2</v>
      </c>
      <c r="N672" s="36">
        <v>3.2967000000000001E-3</v>
      </c>
      <c r="O672" s="36">
        <v>0.55555549999999998</v>
      </c>
    </row>
    <row r="673" spans="1:15" ht="85" x14ac:dyDescent="0.2">
      <c r="A673" s="36" t="s">
        <v>1217</v>
      </c>
      <c r="B673" s="45" t="str">
        <f>VLOOKUP(Tabella13[[#This Row],[test_id]],experiments_specs!A:J,2,FALSE)</f>
        <v>NN,VB,VBD,VBG,VBN,VBP,VBZ</v>
      </c>
      <c r="C673" s="38">
        <f>VLOOKUP(Tabella13[[#This Row],[test_id]],experiments_specs!A:J,3,FALSE)</f>
        <v>0</v>
      </c>
      <c r="D673" s="38">
        <f>VLOOKUP(Tabella13[[#This Row],[test_id]],experiments_specs!A:J,4,FALSE)</f>
        <v>2</v>
      </c>
      <c r="E673" s="38" t="str">
        <f>VLOOKUP(Tabella13[[#This Row],[test_id]],experiments_specs!A:J,5,FALSE)</f>
        <v>False</v>
      </c>
      <c r="F673" s="38" t="str">
        <f>VLOOKUP(Tabella13[[#This Row],[test_id]],experiments_specs!A:J,6,FALSE)</f>
        <v>True</v>
      </c>
      <c r="G673" s="38" t="str">
        <f>VLOOKUP(Tabella13[[#This Row],[test_id]],experiments_specs!A:J,7,FALSE)</f>
        <v>False</v>
      </c>
      <c r="H673" s="38" t="str">
        <f>VLOOKUP(Tabella13[[#This Row],[test_id]],experiments_specs!A:J,8,FALSE)</f>
        <v>False</v>
      </c>
      <c r="I673" s="38" t="str">
        <f>VLOOKUP(Tabella13[[#This Row],[test_id]],experiments_specs!A:J,9,FALSE)</f>
        <v>wup_similarity</v>
      </c>
      <c r="J673" s="38" t="str">
        <f>VLOOKUP(Tabella13[[#This Row],[test_id]],experiments_specs!A:J,10,FALSE)</f>
        <v>False</v>
      </c>
      <c r="K673" s="40" t="s">
        <v>17</v>
      </c>
      <c r="L673" s="36" t="s">
        <v>1327</v>
      </c>
      <c r="M673" s="36" t="s">
        <v>1314</v>
      </c>
      <c r="N673" s="36">
        <v>2.9729999999999999E-3</v>
      </c>
      <c r="O673" s="36" t="s">
        <v>1432</v>
      </c>
    </row>
    <row r="674" spans="1:15" ht="85" x14ac:dyDescent="0.2">
      <c r="A674" s="36" t="s">
        <v>1217</v>
      </c>
      <c r="B674" s="45" t="str">
        <f>VLOOKUP(Tabella13[[#This Row],[test_id]],experiments_specs!A:J,2,FALSE)</f>
        <v>NN,VB,VBD,VBG,VBN,VBP,VBZ</v>
      </c>
      <c r="C674" s="38">
        <f>VLOOKUP(Tabella13[[#This Row],[test_id]],experiments_specs!A:J,3,FALSE)</f>
        <v>0</v>
      </c>
      <c r="D674" s="38">
        <f>VLOOKUP(Tabella13[[#This Row],[test_id]],experiments_specs!A:J,4,FALSE)</f>
        <v>2</v>
      </c>
      <c r="E674" s="38" t="str">
        <f>VLOOKUP(Tabella13[[#This Row],[test_id]],experiments_specs!A:J,5,FALSE)</f>
        <v>False</v>
      </c>
      <c r="F674" s="38" t="str">
        <f>VLOOKUP(Tabella13[[#This Row],[test_id]],experiments_specs!A:J,6,FALSE)</f>
        <v>True</v>
      </c>
      <c r="G674" s="38" t="str">
        <f>VLOOKUP(Tabella13[[#This Row],[test_id]],experiments_specs!A:J,7,FALSE)</f>
        <v>False</v>
      </c>
      <c r="H674" s="38" t="str">
        <f>VLOOKUP(Tabella13[[#This Row],[test_id]],experiments_specs!A:J,8,FALSE)</f>
        <v>False</v>
      </c>
      <c r="I674" s="38" t="str">
        <f>VLOOKUP(Tabella13[[#This Row],[test_id]],experiments_specs!A:J,9,FALSE)</f>
        <v>wup_similarity</v>
      </c>
      <c r="J674" s="38" t="str">
        <f>VLOOKUP(Tabella13[[#This Row],[test_id]],experiments_specs!A:J,10,FALSE)</f>
        <v>False</v>
      </c>
      <c r="K674" s="40" t="s">
        <v>18</v>
      </c>
      <c r="L674" s="36" t="s">
        <v>1323</v>
      </c>
      <c r="M674" s="36" t="s">
        <v>1314</v>
      </c>
      <c r="N674" s="36">
        <v>1.5208999999999999E-3</v>
      </c>
      <c r="O674" s="36" t="s">
        <v>1438</v>
      </c>
    </row>
    <row r="675" spans="1:15" ht="85" x14ac:dyDescent="0.2">
      <c r="A675" s="36" t="s">
        <v>1218</v>
      </c>
      <c r="B675" s="45" t="str">
        <f>VLOOKUP(Tabella13[[#This Row],[test_id]],experiments_specs!A:J,2,FALSE)</f>
        <v>NN,VB,VBD,VBG,VBN,VBP,VBZ</v>
      </c>
      <c r="C675" s="38">
        <f>VLOOKUP(Tabella13[[#This Row],[test_id]],experiments_specs!A:J,3,FALSE)</f>
        <v>0</v>
      </c>
      <c r="D675" s="38">
        <f>VLOOKUP(Tabella13[[#This Row],[test_id]],experiments_specs!A:J,4,FALSE)</f>
        <v>3</v>
      </c>
      <c r="E675" s="38" t="str">
        <f>VLOOKUP(Tabella13[[#This Row],[test_id]],experiments_specs!A:J,5,FALSE)</f>
        <v>False</v>
      </c>
      <c r="F675" s="38" t="str">
        <f>VLOOKUP(Tabella13[[#This Row],[test_id]],experiments_specs!A:J,6,FALSE)</f>
        <v>True</v>
      </c>
      <c r="G675" s="38" t="str">
        <f>VLOOKUP(Tabella13[[#This Row],[test_id]],experiments_specs!A:J,7,FALSE)</f>
        <v>False</v>
      </c>
      <c r="H675" s="38" t="str">
        <f>VLOOKUP(Tabella13[[#This Row],[test_id]],experiments_specs!A:J,8,FALSE)</f>
        <v>False</v>
      </c>
      <c r="I675" s="38" t="str">
        <f>VLOOKUP(Tabella13[[#This Row],[test_id]],experiments_specs!A:J,9,FALSE)</f>
        <v>wup_similarity</v>
      </c>
      <c r="J675" s="38" t="str">
        <f>VLOOKUP(Tabella13[[#This Row],[test_id]],experiments_specs!A:J,10,FALSE)</f>
        <v>False</v>
      </c>
      <c r="K675" s="40" t="s">
        <v>19</v>
      </c>
      <c r="L675" s="36" t="s">
        <v>226</v>
      </c>
      <c r="M675" s="36">
        <v>3</v>
      </c>
      <c r="N675" s="36">
        <v>2.5639E-3</v>
      </c>
      <c r="O675" s="36">
        <v>0.17391300000000001</v>
      </c>
    </row>
    <row r="676" spans="1:15" ht="85" x14ac:dyDescent="0.2">
      <c r="A676" s="36" t="s">
        <v>1218</v>
      </c>
      <c r="B676" s="45" t="str">
        <f>VLOOKUP(Tabella13[[#This Row],[test_id]],experiments_specs!A:J,2,FALSE)</f>
        <v>NN,VB,VBD,VBG,VBN,VBP,VBZ</v>
      </c>
      <c r="C676" s="38">
        <f>VLOOKUP(Tabella13[[#This Row],[test_id]],experiments_specs!A:J,3,FALSE)</f>
        <v>0</v>
      </c>
      <c r="D676" s="38">
        <f>VLOOKUP(Tabella13[[#This Row],[test_id]],experiments_specs!A:J,4,FALSE)</f>
        <v>3</v>
      </c>
      <c r="E676" s="38" t="str">
        <f>VLOOKUP(Tabella13[[#This Row],[test_id]],experiments_specs!A:J,5,FALSE)</f>
        <v>False</v>
      </c>
      <c r="F676" s="38" t="str">
        <f>VLOOKUP(Tabella13[[#This Row],[test_id]],experiments_specs!A:J,6,FALSE)</f>
        <v>True</v>
      </c>
      <c r="G676" s="38" t="str">
        <f>VLOOKUP(Tabella13[[#This Row],[test_id]],experiments_specs!A:J,7,FALSE)</f>
        <v>False</v>
      </c>
      <c r="H676" s="38" t="str">
        <f>VLOOKUP(Tabella13[[#This Row],[test_id]],experiments_specs!A:J,8,FALSE)</f>
        <v>False</v>
      </c>
      <c r="I676" s="38" t="str">
        <f>VLOOKUP(Tabella13[[#This Row],[test_id]],experiments_specs!A:J,9,FALSE)</f>
        <v>wup_similarity</v>
      </c>
      <c r="J676" s="38" t="str">
        <f>VLOOKUP(Tabella13[[#This Row],[test_id]],experiments_specs!A:J,10,FALSE)</f>
        <v>False</v>
      </c>
      <c r="K676" s="40" t="s">
        <v>12</v>
      </c>
      <c r="L676" s="36" t="s">
        <v>236</v>
      </c>
      <c r="M676" s="36">
        <v>2</v>
      </c>
      <c r="N676" s="36">
        <v>4.2827000000000004E-3</v>
      </c>
      <c r="O676" s="36">
        <v>0.125</v>
      </c>
    </row>
    <row r="677" spans="1:15" ht="85" x14ac:dyDescent="0.2">
      <c r="A677" s="36" t="s">
        <v>1218</v>
      </c>
      <c r="B677" s="45" t="str">
        <f>VLOOKUP(Tabella13[[#This Row],[test_id]],experiments_specs!A:J,2,FALSE)</f>
        <v>NN,VB,VBD,VBG,VBN,VBP,VBZ</v>
      </c>
      <c r="C677" s="38">
        <f>VLOOKUP(Tabella13[[#This Row],[test_id]],experiments_specs!A:J,3,FALSE)</f>
        <v>0</v>
      </c>
      <c r="D677" s="38">
        <f>VLOOKUP(Tabella13[[#This Row],[test_id]],experiments_specs!A:J,4,FALSE)</f>
        <v>3</v>
      </c>
      <c r="E677" s="38" t="str">
        <f>VLOOKUP(Tabella13[[#This Row],[test_id]],experiments_specs!A:J,5,FALSE)</f>
        <v>False</v>
      </c>
      <c r="F677" s="38" t="str">
        <f>VLOOKUP(Tabella13[[#This Row],[test_id]],experiments_specs!A:J,6,FALSE)</f>
        <v>True</v>
      </c>
      <c r="G677" s="38" t="str">
        <f>VLOOKUP(Tabella13[[#This Row],[test_id]],experiments_specs!A:J,7,FALSE)</f>
        <v>False</v>
      </c>
      <c r="H677" s="38" t="str">
        <f>VLOOKUP(Tabella13[[#This Row],[test_id]],experiments_specs!A:J,8,FALSE)</f>
        <v>False</v>
      </c>
      <c r="I677" s="38" t="str">
        <f>VLOOKUP(Tabella13[[#This Row],[test_id]],experiments_specs!A:J,9,FALSE)</f>
        <v>wup_similarity</v>
      </c>
      <c r="J677" s="38" t="str">
        <f>VLOOKUP(Tabella13[[#This Row],[test_id]],experiments_specs!A:J,10,FALSE)</f>
        <v>False</v>
      </c>
      <c r="K677" s="40" t="s">
        <v>13</v>
      </c>
      <c r="L677" s="36" t="s">
        <v>1317</v>
      </c>
      <c r="M677" s="36">
        <v>3</v>
      </c>
      <c r="N677" s="36">
        <v>6.3826999999999998E-3</v>
      </c>
      <c r="O677" s="36" t="s">
        <v>25</v>
      </c>
    </row>
    <row r="678" spans="1:15" ht="85" x14ac:dyDescent="0.2">
      <c r="A678" s="36" t="s">
        <v>1218</v>
      </c>
      <c r="B678" s="45" t="str">
        <f>VLOOKUP(Tabella13[[#This Row],[test_id]],experiments_specs!A:J,2,FALSE)</f>
        <v>NN,VB,VBD,VBG,VBN,VBP,VBZ</v>
      </c>
      <c r="C678" s="38">
        <f>VLOOKUP(Tabella13[[#This Row],[test_id]],experiments_specs!A:J,3,FALSE)</f>
        <v>0</v>
      </c>
      <c r="D678" s="38">
        <f>VLOOKUP(Tabella13[[#This Row],[test_id]],experiments_specs!A:J,4,FALSE)</f>
        <v>3</v>
      </c>
      <c r="E678" s="38" t="str">
        <f>VLOOKUP(Tabella13[[#This Row],[test_id]],experiments_specs!A:J,5,FALSE)</f>
        <v>False</v>
      </c>
      <c r="F678" s="38" t="str">
        <f>VLOOKUP(Tabella13[[#This Row],[test_id]],experiments_specs!A:J,6,FALSE)</f>
        <v>True</v>
      </c>
      <c r="G678" s="38" t="str">
        <f>VLOOKUP(Tabella13[[#This Row],[test_id]],experiments_specs!A:J,7,FALSE)</f>
        <v>False</v>
      </c>
      <c r="H678" s="38" t="str">
        <f>VLOOKUP(Tabella13[[#This Row],[test_id]],experiments_specs!A:J,8,FALSE)</f>
        <v>False</v>
      </c>
      <c r="I678" s="38" t="str">
        <f>VLOOKUP(Tabella13[[#This Row],[test_id]],experiments_specs!A:J,9,FALSE)</f>
        <v>wup_similarity</v>
      </c>
      <c r="J678" s="38" t="str">
        <f>VLOOKUP(Tabella13[[#This Row],[test_id]],experiments_specs!A:J,10,FALSE)</f>
        <v>False</v>
      </c>
      <c r="K678" s="40" t="s">
        <v>14</v>
      </c>
      <c r="L678" s="36" t="s">
        <v>1319</v>
      </c>
      <c r="M678" s="36" t="s">
        <v>1314</v>
      </c>
      <c r="N678" s="36">
        <v>3.7028999999999999E-3</v>
      </c>
      <c r="O678" s="36" t="s">
        <v>1436</v>
      </c>
    </row>
    <row r="679" spans="1:15" ht="85" x14ac:dyDescent="0.2">
      <c r="A679" s="36" t="s">
        <v>1218</v>
      </c>
      <c r="B679" s="45" t="str">
        <f>VLOOKUP(Tabella13[[#This Row],[test_id]],experiments_specs!A:J,2,FALSE)</f>
        <v>NN,VB,VBD,VBG,VBN,VBP,VBZ</v>
      </c>
      <c r="C679" s="38">
        <f>VLOOKUP(Tabella13[[#This Row],[test_id]],experiments_specs!A:J,3,FALSE)</f>
        <v>0</v>
      </c>
      <c r="D679" s="38">
        <f>VLOOKUP(Tabella13[[#This Row],[test_id]],experiments_specs!A:J,4,FALSE)</f>
        <v>3</v>
      </c>
      <c r="E679" s="38" t="str">
        <f>VLOOKUP(Tabella13[[#This Row],[test_id]],experiments_specs!A:J,5,FALSE)</f>
        <v>False</v>
      </c>
      <c r="F679" s="38" t="str">
        <f>VLOOKUP(Tabella13[[#This Row],[test_id]],experiments_specs!A:J,6,FALSE)</f>
        <v>True</v>
      </c>
      <c r="G679" s="38" t="str">
        <f>VLOOKUP(Tabella13[[#This Row],[test_id]],experiments_specs!A:J,7,FALSE)</f>
        <v>False</v>
      </c>
      <c r="H679" s="38" t="str">
        <f>VLOOKUP(Tabella13[[#This Row],[test_id]],experiments_specs!A:J,8,FALSE)</f>
        <v>False</v>
      </c>
      <c r="I679" s="38" t="str">
        <f>VLOOKUP(Tabella13[[#This Row],[test_id]],experiments_specs!A:J,9,FALSE)</f>
        <v>wup_similarity</v>
      </c>
      <c r="J679" s="38" t="str">
        <f>VLOOKUP(Tabella13[[#This Row],[test_id]],experiments_specs!A:J,10,FALSE)</f>
        <v>False</v>
      </c>
      <c r="K679" s="40" t="s">
        <v>15</v>
      </c>
      <c r="L679" s="36" t="s">
        <v>238</v>
      </c>
      <c r="M679" s="36">
        <v>2</v>
      </c>
      <c r="N679" s="36">
        <v>2.7751999999999998E-3</v>
      </c>
      <c r="O679" s="36">
        <v>0.2</v>
      </c>
    </row>
    <row r="680" spans="1:15" ht="85" x14ac:dyDescent="0.2">
      <c r="A680" s="36" t="s">
        <v>1218</v>
      </c>
      <c r="B680" s="45" t="str">
        <f>VLOOKUP(Tabella13[[#This Row],[test_id]],experiments_specs!A:J,2,FALSE)</f>
        <v>NN,VB,VBD,VBG,VBN,VBP,VBZ</v>
      </c>
      <c r="C680" s="38">
        <f>VLOOKUP(Tabella13[[#This Row],[test_id]],experiments_specs!A:J,3,FALSE)</f>
        <v>0</v>
      </c>
      <c r="D680" s="38">
        <f>VLOOKUP(Tabella13[[#This Row],[test_id]],experiments_specs!A:J,4,FALSE)</f>
        <v>3</v>
      </c>
      <c r="E680" s="38" t="str">
        <f>VLOOKUP(Tabella13[[#This Row],[test_id]],experiments_specs!A:J,5,FALSE)</f>
        <v>False</v>
      </c>
      <c r="F680" s="38" t="str">
        <f>VLOOKUP(Tabella13[[#This Row],[test_id]],experiments_specs!A:J,6,FALSE)</f>
        <v>True</v>
      </c>
      <c r="G680" s="38" t="str">
        <f>VLOOKUP(Tabella13[[#This Row],[test_id]],experiments_specs!A:J,7,FALSE)</f>
        <v>False</v>
      </c>
      <c r="H680" s="38" t="str">
        <f>VLOOKUP(Tabella13[[#This Row],[test_id]],experiments_specs!A:J,8,FALSE)</f>
        <v>False</v>
      </c>
      <c r="I680" s="38" t="str">
        <f>VLOOKUP(Tabella13[[#This Row],[test_id]],experiments_specs!A:J,9,FALSE)</f>
        <v>wup_similarity</v>
      </c>
      <c r="J680" s="38" t="str">
        <f>VLOOKUP(Tabella13[[#This Row],[test_id]],experiments_specs!A:J,10,FALSE)</f>
        <v>False</v>
      </c>
      <c r="K680" s="40" t="s">
        <v>16</v>
      </c>
      <c r="L680" s="36" t="s">
        <v>209</v>
      </c>
      <c r="M680" s="36">
        <v>2</v>
      </c>
      <c r="N680" s="36">
        <v>3.2967000000000001E-3</v>
      </c>
      <c r="O680" s="36">
        <v>0.55555549999999998</v>
      </c>
    </row>
    <row r="681" spans="1:15" ht="85" x14ac:dyDescent="0.2">
      <c r="A681" s="36" t="s">
        <v>1218</v>
      </c>
      <c r="B681" s="45" t="str">
        <f>VLOOKUP(Tabella13[[#This Row],[test_id]],experiments_specs!A:J,2,FALSE)</f>
        <v>NN,VB,VBD,VBG,VBN,VBP,VBZ</v>
      </c>
      <c r="C681" s="38">
        <f>VLOOKUP(Tabella13[[#This Row],[test_id]],experiments_specs!A:J,3,FALSE)</f>
        <v>0</v>
      </c>
      <c r="D681" s="38">
        <f>VLOOKUP(Tabella13[[#This Row],[test_id]],experiments_specs!A:J,4,FALSE)</f>
        <v>3</v>
      </c>
      <c r="E681" s="38" t="str">
        <f>VLOOKUP(Tabella13[[#This Row],[test_id]],experiments_specs!A:J,5,FALSE)</f>
        <v>False</v>
      </c>
      <c r="F681" s="38" t="str">
        <f>VLOOKUP(Tabella13[[#This Row],[test_id]],experiments_specs!A:J,6,FALSE)</f>
        <v>True</v>
      </c>
      <c r="G681" s="38" t="str">
        <f>VLOOKUP(Tabella13[[#This Row],[test_id]],experiments_specs!A:J,7,FALSE)</f>
        <v>False</v>
      </c>
      <c r="H681" s="38" t="str">
        <f>VLOOKUP(Tabella13[[#This Row],[test_id]],experiments_specs!A:J,8,FALSE)</f>
        <v>False</v>
      </c>
      <c r="I681" s="38" t="str">
        <f>VLOOKUP(Tabella13[[#This Row],[test_id]],experiments_specs!A:J,9,FALSE)</f>
        <v>wup_similarity</v>
      </c>
      <c r="J681" s="38" t="str">
        <f>VLOOKUP(Tabella13[[#This Row],[test_id]],experiments_specs!A:J,10,FALSE)</f>
        <v>False</v>
      </c>
      <c r="K681" s="40" t="s">
        <v>17</v>
      </c>
      <c r="L681" s="36" t="s">
        <v>1327</v>
      </c>
      <c r="M681" s="36" t="s">
        <v>1314</v>
      </c>
      <c r="N681" s="36">
        <v>2.9729999999999999E-3</v>
      </c>
      <c r="O681" s="36" t="s">
        <v>1432</v>
      </c>
    </row>
    <row r="682" spans="1:15" ht="85" x14ac:dyDescent="0.2">
      <c r="A682" s="36" t="s">
        <v>1218</v>
      </c>
      <c r="B682" s="45" t="str">
        <f>VLOOKUP(Tabella13[[#This Row],[test_id]],experiments_specs!A:J,2,FALSE)</f>
        <v>NN,VB,VBD,VBG,VBN,VBP,VBZ</v>
      </c>
      <c r="C682" s="38">
        <f>VLOOKUP(Tabella13[[#This Row],[test_id]],experiments_specs!A:J,3,FALSE)</f>
        <v>0</v>
      </c>
      <c r="D682" s="38">
        <f>VLOOKUP(Tabella13[[#This Row],[test_id]],experiments_specs!A:J,4,FALSE)</f>
        <v>3</v>
      </c>
      <c r="E682" s="38" t="str">
        <f>VLOOKUP(Tabella13[[#This Row],[test_id]],experiments_specs!A:J,5,FALSE)</f>
        <v>False</v>
      </c>
      <c r="F682" s="38" t="str">
        <f>VLOOKUP(Tabella13[[#This Row],[test_id]],experiments_specs!A:J,6,FALSE)</f>
        <v>True</v>
      </c>
      <c r="G682" s="38" t="str">
        <f>VLOOKUP(Tabella13[[#This Row],[test_id]],experiments_specs!A:J,7,FALSE)</f>
        <v>False</v>
      </c>
      <c r="H682" s="38" t="str">
        <f>VLOOKUP(Tabella13[[#This Row],[test_id]],experiments_specs!A:J,8,FALSE)</f>
        <v>False</v>
      </c>
      <c r="I682" s="38" t="str">
        <f>VLOOKUP(Tabella13[[#This Row],[test_id]],experiments_specs!A:J,9,FALSE)</f>
        <v>wup_similarity</v>
      </c>
      <c r="J682" s="38" t="str">
        <f>VLOOKUP(Tabella13[[#This Row],[test_id]],experiments_specs!A:J,10,FALSE)</f>
        <v>False</v>
      </c>
      <c r="K682" s="40" t="s">
        <v>18</v>
      </c>
      <c r="L682" s="36" t="s">
        <v>1323</v>
      </c>
      <c r="M682" s="36" t="s">
        <v>1314</v>
      </c>
      <c r="N682" s="36">
        <v>1.5208999999999999E-3</v>
      </c>
      <c r="O682" s="36" t="s">
        <v>1438</v>
      </c>
    </row>
    <row r="683" spans="1:15" ht="85" x14ac:dyDescent="0.2">
      <c r="A683" s="36" t="s">
        <v>1219</v>
      </c>
      <c r="B683" s="45" t="str">
        <f>VLOOKUP(Tabella13[[#This Row],[test_id]],experiments_specs!A:J,2,FALSE)</f>
        <v>NN,JJ,VB,VBD,VBG,VBN,VBP,VBZ</v>
      </c>
      <c r="C683" s="38">
        <f>VLOOKUP(Tabella13[[#This Row],[test_id]],experiments_specs!A:J,3,FALSE)</f>
        <v>0</v>
      </c>
      <c r="D683" s="38">
        <f>VLOOKUP(Tabella13[[#This Row],[test_id]],experiments_specs!A:J,4,FALSE)</f>
        <v>2</v>
      </c>
      <c r="E683" s="38" t="str">
        <f>VLOOKUP(Tabella13[[#This Row],[test_id]],experiments_specs!A:J,5,FALSE)</f>
        <v>False</v>
      </c>
      <c r="F683" s="38" t="str">
        <f>VLOOKUP(Tabella13[[#This Row],[test_id]],experiments_specs!A:J,6,FALSE)</f>
        <v>True</v>
      </c>
      <c r="G683" s="38" t="str">
        <f>VLOOKUP(Tabella13[[#This Row],[test_id]],experiments_specs!A:J,7,FALSE)</f>
        <v>False</v>
      </c>
      <c r="H683" s="38" t="str">
        <f>VLOOKUP(Tabella13[[#This Row],[test_id]],experiments_specs!A:J,8,FALSE)</f>
        <v>False</v>
      </c>
      <c r="I683" s="38" t="str">
        <f>VLOOKUP(Tabella13[[#This Row],[test_id]],experiments_specs!A:J,9,FALSE)</f>
        <v>wup_similarity</v>
      </c>
      <c r="J683" s="38" t="str">
        <f>VLOOKUP(Tabella13[[#This Row],[test_id]],experiments_specs!A:J,10,FALSE)</f>
        <v>False</v>
      </c>
      <c r="K683" s="40" t="s">
        <v>19</v>
      </c>
      <c r="L683" s="36" t="s">
        <v>1312</v>
      </c>
      <c r="M683" s="36" t="s">
        <v>1314</v>
      </c>
      <c r="N683" s="36">
        <v>2.2051000000000002E-3</v>
      </c>
      <c r="O683" s="36" t="s">
        <v>1434</v>
      </c>
    </row>
    <row r="684" spans="1:15" ht="85" x14ac:dyDescent="0.2">
      <c r="A684" s="36" t="s">
        <v>1219</v>
      </c>
      <c r="B684" s="45" t="str">
        <f>VLOOKUP(Tabella13[[#This Row],[test_id]],experiments_specs!A:J,2,FALSE)</f>
        <v>NN,JJ,VB,VBD,VBG,VBN,VBP,VBZ</v>
      </c>
      <c r="C684" s="38">
        <f>VLOOKUP(Tabella13[[#This Row],[test_id]],experiments_specs!A:J,3,FALSE)</f>
        <v>0</v>
      </c>
      <c r="D684" s="38">
        <f>VLOOKUP(Tabella13[[#This Row],[test_id]],experiments_specs!A:J,4,FALSE)</f>
        <v>2</v>
      </c>
      <c r="E684" s="38" t="str">
        <f>VLOOKUP(Tabella13[[#This Row],[test_id]],experiments_specs!A:J,5,FALSE)</f>
        <v>False</v>
      </c>
      <c r="F684" s="38" t="str">
        <f>VLOOKUP(Tabella13[[#This Row],[test_id]],experiments_specs!A:J,6,FALSE)</f>
        <v>True</v>
      </c>
      <c r="G684" s="38" t="str">
        <f>VLOOKUP(Tabella13[[#This Row],[test_id]],experiments_specs!A:J,7,FALSE)</f>
        <v>False</v>
      </c>
      <c r="H684" s="38" t="str">
        <f>VLOOKUP(Tabella13[[#This Row],[test_id]],experiments_specs!A:J,8,FALSE)</f>
        <v>False</v>
      </c>
      <c r="I684" s="38" t="str">
        <f>VLOOKUP(Tabella13[[#This Row],[test_id]],experiments_specs!A:J,9,FALSE)</f>
        <v>wup_similarity</v>
      </c>
      <c r="J684" s="38" t="str">
        <f>VLOOKUP(Tabella13[[#This Row],[test_id]],experiments_specs!A:J,10,FALSE)</f>
        <v>False</v>
      </c>
      <c r="K684" s="40" t="s">
        <v>12</v>
      </c>
      <c r="L684" s="36" t="s">
        <v>236</v>
      </c>
      <c r="M684" s="36">
        <v>2</v>
      </c>
      <c r="N684" s="36">
        <v>3.1492999999999998E-3</v>
      </c>
      <c r="O684" s="36">
        <v>0.125</v>
      </c>
    </row>
    <row r="685" spans="1:15" ht="85" x14ac:dyDescent="0.2">
      <c r="A685" s="36" t="s">
        <v>1219</v>
      </c>
      <c r="B685" s="45" t="str">
        <f>VLOOKUP(Tabella13[[#This Row],[test_id]],experiments_specs!A:J,2,FALSE)</f>
        <v>NN,JJ,VB,VBD,VBG,VBN,VBP,VBZ</v>
      </c>
      <c r="C685" s="38">
        <f>VLOOKUP(Tabella13[[#This Row],[test_id]],experiments_specs!A:J,3,FALSE)</f>
        <v>0</v>
      </c>
      <c r="D685" s="38">
        <f>VLOOKUP(Tabella13[[#This Row],[test_id]],experiments_specs!A:J,4,FALSE)</f>
        <v>2</v>
      </c>
      <c r="E685" s="38" t="str">
        <f>VLOOKUP(Tabella13[[#This Row],[test_id]],experiments_specs!A:J,5,FALSE)</f>
        <v>False</v>
      </c>
      <c r="F685" s="38" t="str">
        <f>VLOOKUP(Tabella13[[#This Row],[test_id]],experiments_specs!A:J,6,FALSE)</f>
        <v>True</v>
      </c>
      <c r="G685" s="38" t="str">
        <f>VLOOKUP(Tabella13[[#This Row],[test_id]],experiments_specs!A:J,7,FALSE)</f>
        <v>False</v>
      </c>
      <c r="H685" s="38" t="str">
        <f>VLOOKUP(Tabella13[[#This Row],[test_id]],experiments_specs!A:J,8,FALSE)</f>
        <v>False</v>
      </c>
      <c r="I685" s="38" t="str">
        <f>VLOOKUP(Tabella13[[#This Row],[test_id]],experiments_specs!A:J,9,FALSE)</f>
        <v>wup_similarity</v>
      </c>
      <c r="J685" s="38" t="str">
        <f>VLOOKUP(Tabella13[[#This Row],[test_id]],experiments_specs!A:J,10,FALSE)</f>
        <v>False</v>
      </c>
      <c r="K685" s="40" t="s">
        <v>13</v>
      </c>
      <c r="L685" s="36" t="s">
        <v>1317</v>
      </c>
      <c r="M685" s="36">
        <v>3</v>
      </c>
      <c r="N685" s="36">
        <v>5.4206000000000002E-3</v>
      </c>
      <c r="O685" s="36" t="s">
        <v>25</v>
      </c>
    </row>
    <row r="686" spans="1:15" ht="85" x14ac:dyDescent="0.2">
      <c r="A686" s="36" t="s">
        <v>1219</v>
      </c>
      <c r="B686" s="45" t="str">
        <f>VLOOKUP(Tabella13[[#This Row],[test_id]],experiments_specs!A:J,2,FALSE)</f>
        <v>NN,JJ,VB,VBD,VBG,VBN,VBP,VBZ</v>
      </c>
      <c r="C686" s="38">
        <f>VLOOKUP(Tabella13[[#This Row],[test_id]],experiments_specs!A:J,3,FALSE)</f>
        <v>0</v>
      </c>
      <c r="D686" s="38">
        <f>VLOOKUP(Tabella13[[#This Row],[test_id]],experiments_specs!A:J,4,FALSE)</f>
        <v>2</v>
      </c>
      <c r="E686" s="38" t="str">
        <f>VLOOKUP(Tabella13[[#This Row],[test_id]],experiments_specs!A:J,5,FALSE)</f>
        <v>False</v>
      </c>
      <c r="F686" s="38" t="str">
        <f>VLOOKUP(Tabella13[[#This Row],[test_id]],experiments_specs!A:J,6,FALSE)</f>
        <v>True</v>
      </c>
      <c r="G686" s="38" t="str">
        <f>VLOOKUP(Tabella13[[#This Row],[test_id]],experiments_specs!A:J,7,FALSE)</f>
        <v>False</v>
      </c>
      <c r="H686" s="38" t="str">
        <f>VLOOKUP(Tabella13[[#This Row],[test_id]],experiments_specs!A:J,8,FALSE)</f>
        <v>False</v>
      </c>
      <c r="I686" s="38" t="str">
        <f>VLOOKUP(Tabella13[[#This Row],[test_id]],experiments_specs!A:J,9,FALSE)</f>
        <v>wup_similarity</v>
      </c>
      <c r="J686" s="38" t="str">
        <f>VLOOKUP(Tabella13[[#This Row],[test_id]],experiments_specs!A:J,10,FALSE)</f>
        <v>False</v>
      </c>
      <c r="K686" s="40" t="s">
        <v>14</v>
      </c>
      <c r="L686" s="36" t="s">
        <v>1319</v>
      </c>
      <c r="M686" s="36" t="s">
        <v>1314</v>
      </c>
      <c r="N686" s="36">
        <v>3.1069000000000001E-3</v>
      </c>
      <c r="O686" s="36" t="s">
        <v>1436</v>
      </c>
    </row>
    <row r="687" spans="1:15" ht="85" x14ac:dyDescent="0.2">
      <c r="A687" s="36" t="s">
        <v>1219</v>
      </c>
      <c r="B687" s="45" t="str">
        <f>VLOOKUP(Tabella13[[#This Row],[test_id]],experiments_specs!A:J,2,FALSE)</f>
        <v>NN,JJ,VB,VBD,VBG,VBN,VBP,VBZ</v>
      </c>
      <c r="C687" s="38">
        <f>VLOOKUP(Tabella13[[#This Row],[test_id]],experiments_specs!A:J,3,FALSE)</f>
        <v>0</v>
      </c>
      <c r="D687" s="38">
        <f>VLOOKUP(Tabella13[[#This Row],[test_id]],experiments_specs!A:J,4,FALSE)</f>
        <v>2</v>
      </c>
      <c r="E687" s="38" t="str">
        <f>VLOOKUP(Tabella13[[#This Row],[test_id]],experiments_specs!A:J,5,FALSE)</f>
        <v>False</v>
      </c>
      <c r="F687" s="38" t="str">
        <f>VLOOKUP(Tabella13[[#This Row],[test_id]],experiments_specs!A:J,6,FALSE)</f>
        <v>True</v>
      </c>
      <c r="G687" s="38" t="str">
        <f>VLOOKUP(Tabella13[[#This Row],[test_id]],experiments_specs!A:J,7,FALSE)</f>
        <v>False</v>
      </c>
      <c r="H687" s="38" t="str">
        <f>VLOOKUP(Tabella13[[#This Row],[test_id]],experiments_specs!A:J,8,FALSE)</f>
        <v>False</v>
      </c>
      <c r="I687" s="38" t="str">
        <f>VLOOKUP(Tabella13[[#This Row],[test_id]],experiments_specs!A:J,9,FALSE)</f>
        <v>wup_similarity</v>
      </c>
      <c r="J687" s="38" t="str">
        <f>VLOOKUP(Tabella13[[#This Row],[test_id]],experiments_specs!A:J,10,FALSE)</f>
        <v>False</v>
      </c>
      <c r="K687" s="40" t="s">
        <v>15</v>
      </c>
      <c r="L687" s="36" t="s">
        <v>1420</v>
      </c>
      <c r="M687" s="36" t="s">
        <v>1354</v>
      </c>
      <c r="N687" s="36">
        <v>2.4434000000000001E-3</v>
      </c>
      <c r="O687" s="36" t="s">
        <v>1468</v>
      </c>
    </row>
    <row r="688" spans="1:15" ht="85" x14ac:dyDescent="0.2">
      <c r="A688" s="36" t="s">
        <v>1219</v>
      </c>
      <c r="B688" s="45" t="str">
        <f>VLOOKUP(Tabella13[[#This Row],[test_id]],experiments_specs!A:J,2,FALSE)</f>
        <v>NN,JJ,VB,VBD,VBG,VBN,VBP,VBZ</v>
      </c>
      <c r="C688" s="38">
        <f>VLOOKUP(Tabella13[[#This Row],[test_id]],experiments_specs!A:J,3,FALSE)</f>
        <v>0</v>
      </c>
      <c r="D688" s="38">
        <f>VLOOKUP(Tabella13[[#This Row],[test_id]],experiments_specs!A:J,4,FALSE)</f>
        <v>2</v>
      </c>
      <c r="E688" s="38" t="str">
        <f>VLOOKUP(Tabella13[[#This Row],[test_id]],experiments_specs!A:J,5,FALSE)</f>
        <v>False</v>
      </c>
      <c r="F688" s="38" t="str">
        <f>VLOOKUP(Tabella13[[#This Row],[test_id]],experiments_specs!A:J,6,FALSE)</f>
        <v>True</v>
      </c>
      <c r="G688" s="38" t="str">
        <f>VLOOKUP(Tabella13[[#This Row],[test_id]],experiments_specs!A:J,7,FALSE)</f>
        <v>False</v>
      </c>
      <c r="H688" s="38" t="str">
        <f>VLOOKUP(Tabella13[[#This Row],[test_id]],experiments_specs!A:J,8,FALSE)</f>
        <v>False</v>
      </c>
      <c r="I688" s="38" t="str">
        <f>VLOOKUP(Tabella13[[#This Row],[test_id]],experiments_specs!A:J,9,FALSE)</f>
        <v>wup_similarity</v>
      </c>
      <c r="J688" s="38" t="str">
        <f>VLOOKUP(Tabella13[[#This Row],[test_id]],experiments_specs!A:J,10,FALSE)</f>
        <v>False</v>
      </c>
      <c r="K688" s="40" t="s">
        <v>16</v>
      </c>
      <c r="L688" s="36" t="s">
        <v>209</v>
      </c>
      <c r="M688" s="36">
        <v>2</v>
      </c>
      <c r="N688" s="36">
        <v>2.8305000000000001E-3</v>
      </c>
      <c r="O688" s="36">
        <v>0.55555549999999998</v>
      </c>
    </row>
    <row r="689" spans="1:15" ht="85" x14ac:dyDescent="0.2">
      <c r="A689" s="36" t="s">
        <v>1219</v>
      </c>
      <c r="B689" s="45" t="str">
        <f>VLOOKUP(Tabella13[[#This Row],[test_id]],experiments_specs!A:J,2,FALSE)</f>
        <v>NN,JJ,VB,VBD,VBG,VBN,VBP,VBZ</v>
      </c>
      <c r="C689" s="38">
        <f>VLOOKUP(Tabella13[[#This Row],[test_id]],experiments_specs!A:J,3,FALSE)</f>
        <v>0</v>
      </c>
      <c r="D689" s="38">
        <f>VLOOKUP(Tabella13[[#This Row],[test_id]],experiments_specs!A:J,4,FALSE)</f>
        <v>2</v>
      </c>
      <c r="E689" s="38" t="str">
        <f>VLOOKUP(Tabella13[[#This Row],[test_id]],experiments_specs!A:J,5,FALSE)</f>
        <v>False</v>
      </c>
      <c r="F689" s="38" t="str">
        <f>VLOOKUP(Tabella13[[#This Row],[test_id]],experiments_specs!A:J,6,FALSE)</f>
        <v>True</v>
      </c>
      <c r="G689" s="38" t="str">
        <f>VLOOKUP(Tabella13[[#This Row],[test_id]],experiments_specs!A:J,7,FALSE)</f>
        <v>False</v>
      </c>
      <c r="H689" s="38" t="str">
        <f>VLOOKUP(Tabella13[[#This Row],[test_id]],experiments_specs!A:J,8,FALSE)</f>
        <v>False</v>
      </c>
      <c r="I689" s="38" t="str">
        <f>VLOOKUP(Tabella13[[#This Row],[test_id]],experiments_specs!A:J,9,FALSE)</f>
        <v>wup_similarity</v>
      </c>
      <c r="J689" s="38" t="str">
        <f>VLOOKUP(Tabella13[[#This Row],[test_id]],experiments_specs!A:J,10,FALSE)</f>
        <v>False</v>
      </c>
      <c r="K689" s="40" t="s">
        <v>17</v>
      </c>
      <c r="L689" s="36" t="s">
        <v>1327</v>
      </c>
      <c r="M689" s="36" t="s">
        <v>1314</v>
      </c>
      <c r="N689" s="36">
        <v>2.8416000000000001E-3</v>
      </c>
      <c r="O689" s="36" t="s">
        <v>1432</v>
      </c>
    </row>
    <row r="690" spans="1:15" ht="85" x14ac:dyDescent="0.2">
      <c r="A690" s="36" t="s">
        <v>1219</v>
      </c>
      <c r="B690" s="45" t="str">
        <f>VLOOKUP(Tabella13[[#This Row],[test_id]],experiments_specs!A:J,2,FALSE)</f>
        <v>NN,JJ,VB,VBD,VBG,VBN,VBP,VBZ</v>
      </c>
      <c r="C690" s="38">
        <f>VLOOKUP(Tabella13[[#This Row],[test_id]],experiments_specs!A:J,3,FALSE)</f>
        <v>0</v>
      </c>
      <c r="D690" s="38">
        <f>VLOOKUP(Tabella13[[#This Row],[test_id]],experiments_specs!A:J,4,FALSE)</f>
        <v>2</v>
      </c>
      <c r="E690" s="38" t="str">
        <f>VLOOKUP(Tabella13[[#This Row],[test_id]],experiments_specs!A:J,5,FALSE)</f>
        <v>False</v>
      </c>
      <c r="F690" s="38" t="str">
        <f>VLOOKUP(Tabella13[[#This Row],[test_id]],experiments_specs!A:J,6,FALSE)</f>
        <v>True</v>
      </c>
      <c r="G690" s="38" t="str">
        <f>VLOOKUP(Tabella13[[#This Row],[test_id]],experiments_specs!A:J,7,FALSE)</f>
        <v>False</v>
      </c>
      <c r="H690" s="38" t="str">
        <f>VLOOKUP(Tabella13[[#This Row],[test_id]],experiments_specs!A:J,8,FALSE)</f>
        <v>False</v>
      </c>
      <c r="I690" s="38" t="str">
        <f>VLOOKUP(Tabella13[[#This Row],[test_id]],experiments_specs!A:J,9,FALSE)</f>
        <v>wup_similarity</v>
      </c>
      <c r="J690" s="38" t="str">
        <f>VLOOKUP(Tabella13[[#This Row],[test_id]],experiments_specs!A:J,10,FALSE)</f>
        <v>False</v>
      </c>
      <c r="K690" s="40" t="s">
        <v>18</v>
      </c>
      <c r="L690" s="36" t="s">
        <v>1323</v>
      </c>
      <c r="M690" s="36" t="s">
        <v>1314</v>
      </c>
      <c r="N690" s="36">
        <v>1.2853000000000001E-3</v>
      </c>
      <c r="O690" s="36" t="s">
        <v>1438</v>
      </c>
    </row>
    <row r="691" spans="1:15" ht="85" x14ac:dyDescent="0.2">
      <c r="A691" s="36" t="s">
        <v>1220</v>
      </c>
      <c r="B691" s="45" t="str">
        <f>VLOOKUP(Tabella13[[#This Row],[test_id]],experiments_specs!A:J,2,FALSE)</f>
        <v>NN,JJ,VB,VBD,VBG,VBN,VBP,VBZ</v>
      </c>
      <c r="C691" s="38">
        <f>VLOOKUP(Tabella13[[#This Row],[test_id]],experiments_specs!A:J,3,FALSE)</f>
        <v>0</v>
      </c>
      <c r="D691" s="38">
        <f>VLOOKUP(Tabella13[[#This Row],[test_id]],experiments_specs!A:J,4,FALSE)</f>
        <v>3</v>
      </c>
      <c r="E691" s="38" t="str">
        <f>VLOOKUP(Tabella13[[#This Row],[test_id]],experiments_specs!A:J,5,FALSE)</f>
        <v>False</v>
      </c>
      <c r="F691" s="38" t="str">
        <f>VLOOKUP(Tabella13[[#This Row],[test_id]],experiments_specs!A:J,6,FALSE)</f>
        <v>True</v>
      </c>
      <c r="G691" s="38" t="str">
        <f>VLOOKUP(Tabella13[[#This Row],[test_id]],experiments_specs!A:J,7,FALSE)</f>
        <v>False</v>
      </c>
      <c r="H691" s="38" t="str">
        <f>VLOOKUP(Tabella13[[#This Row],[test_id]],experiments_specs!A:J,8,FALSE)</f>
        <v>False</v>
      </c>
      <c r="I691" s="38" t="str">
        <f>VLOOKUP(Tabella13[[#This Row],[test_id]],experiments_specs!A:J,9,FALSE)</f>
        <v>wup_similarity</v>
      </c>
      <c r="J691" s="38" t="str">
        <f>VLOOKUP(Tabella13[[#This Row],[test_id]],experiments_specs!A:J,10,FALSE)</f>
        <v>False</v>
      </c>
      <c r="K691" s="40" t="s">
        <v>19</v>
      </c>
      <c r="L691" s="36" t="s">
        <v>1312</v>
      </c>
      <c r="M691" s="36" t="s">
        <v>1314</v>
      </c>
      <c r="N691" s="36">
        <v>2.2051000000000002E-3</v>
      </c>
      <c r="O691" s="36" t="s">
        <v>1434</v>
      </c>
    </row>
    <row r="692" spans="1:15" ht="85" x14ac:dyDescent="0.2">
      <c r="A692" s="36" t="s">
        <v>1220</v>
      </c>
      <c r="B692" s="45" t="str">
        <f>VLOOKUP(Tabella13[[#This Row],[test_id]],experiments_specs!A:J,2,FALSE)</f>
        <v>NN,JJ,VB,VBD,VBG,VBN,VBP,VBZ</v>
      </c>
      <c r="C692" s="38">
        <f>VLOOKUP(Tabella13[[#This Row],[test_id]],experiments_specs!A:J,3,FALSE)</f>
        <v>0</v>
      </c>
      <c r="D692" s="38">
        <f>VLOOKUP(Tabella13[[#This Row],[test_id]],experiments_specs!A:J,4,FALSE)</f>
        <v>3</v>
      </c>
      <c r="E692" s="38" t="str">
        <f>VLOOKUP(Tabella13[[#This Row],[test_id]],experiments_specs!A:J,5,FALSE)</f>
        <v>False</v>
      </c>
      <c r="F692" s="38" t="str">
        <f>VLOOKUP(Tabella13[[#This Row],[test_id]],experiments_specs!A:J,6,FALSE)</f>
        <v>True</v>
      </c>
      <c r="G692" s="38" t="str">
        <f>VLOOKUP(Tabella13[[#This Row],[test_id]],experiments_specs!A:J,7,FALSE)</f>
        <v>False</v>
      </c>
      <c r="H692" s="38" t="str">
        <f>VLOOKUP(Tabella13[[#This Row],[test_id]],experiments_specs!A:J,8,FALSE)</f>
        <v>False</v>
      </c>
      <c r="I692" s="38" t="str">
        <f>VLOOKUP(Tabella13[[#This Row],[test_id]],experiments_specs!A:J,9,FALSE)</f>
        <v>wup_similarity</v>
      </c>
      <c r="J692" s="38" t="str">
        <f>VLOOKUP(Tabella13[[#This Row],[test_id]],experiments_specs!A:J,10,FALSE)</f>
        <v>False</v>
      </c>
      <c r="K692" s="40" t="s">
        <v>12</v>
      </c>
      <c r="L692" s="36" t="s">
        <v>236</v>
      </c>
      <c r="M692" s="36">
        <v>2</v>
      </c>
      <c r="N692" s="36">
        <v>3.1492999999999998E-3</v>
      </c>
      <c r="O692" s="36">
        <v>0.125</v>
      </c>
    </row>
    <row r="693" spans="1:15" ht="85" x14ac:dyDescent="0.2">
      <c r="A693" s="36" t="s">
        <v>1220</v>
      </c>
      <c r="B693" s="45" t="str">
        <f>VLOOKUP(Tabella13[[#This Row],[test_id]],experiments_specs!A:J,2,FALSE)</f>
        <v>NN,JJ,VB,VBD,VBG,VBN,VBP,VBZ</v>
      </c>
      <c r="C693" s="38">
        <f>VLOOKUP(Tabella13[[#This Row],[test_id]],experiments_specs!A:J,3,FALSE)</f>
        <v>0</v>
      </c>
      <c r="D693" s="38">
        <f>VLOOKUP(Tabella13[[#This Row],[test_id]],experiments_specs!A:J,4,FALSE)</f>
        <v>3</v>
      </c>
      <c r="E693" s="38" t="str">
        <f>VLOOKUP(Tabella13[[#This Row],[test_id]],experiments_specs!A:J,5,FALSE)</f>
        <v>False</v>
      </c>
      <c r="F693" s="38" t="str">
        <f>VLOOKUP(Tabella13[[#This Row],[test_id]],experiments_specs!A:J,6,FALSE)</f>
        <v>True</v>
      </c>
      <c r="G693" s="38" t="str">
        <f>VLOOKUP(Tabella13[[#This Row],[test_id]],experiments_specs!A:J,7,FALSE)</f>
        <v>False</v>
      </c>
      <c r="H693" s="38" t="str">
        <f>VLOOKUP(Tabella13[[#This Row],[test_id]],experiments_specs!A:J,8,FALSE)</f>
        <v>False</v>
      </c>
      <c r="I693" s="38" t="str">
        <f>VLOOKUP(Tabella13[[#This Row],[test_id]],experiments_specs!A:J,9,FALSE)</f>
        <v>wup_similarity</v>
      </c>
      <c r="J693" s="38" t="str">
        <f>VLOOKUP(Tabella13[[#This Row],[test_id]],experiments_specs!A:J,10,FALSE)</f>
        <v>False</v>
      </c>
      <c r="K693" s="40" t="s">
        <v>13</v>
      </c>
      <c r="L693" s="36" t="s">
        <v>1317</v>
      </c>
      <c r="M693" s="36">
        <v>3</v>
      </c>
      <c r="N693" s="36">
        <v>5.4206000000000002E-3</v>
      </c>
      <c r="O693" s="36" t="s">
        <v>25</v>
      </c>
    </row>
    <row r="694" spans="1:15" ht="85" x14ac:dyDescent="0.2">
      <c r="A694" s="36" t="s">
        <v>1220</v>
      </c>
      <c r="B694" s="45" t="str">
        <f>VLOOKUP(Tabella13[[#This Row],[test_id]],experiments_specs!A:J,2,FALSE)</f>
        <v>NN,JJ,VB,VBD,VBG,VBN,VBP,VBZ</v>
      </c>
      <c r="C694" s="38">
        <f>VLOOKUP(Tabella13[[#This Row],[test_id]],experiments_specs!A:J,3,FALSE)</f>
        <v>0</v>
      </c>
      <c r="D694" s="38">
        <f>VLOOKUP(Tabella13[[#This Row],[test_id]],experiments_specs!A:J,4,FALSE)</f>
        <v>3</v>
      </c>
      <c r="E694" s="38" t="str">
        <f>VLOOKUP(Tabella13[[#This Row],[test_id]],experiments_specs!A:J,5,FALSE)</f>
        <v>False</v>
      </c>
      <c r="F694" s="38" t="str">
        <f>VLOOKUP(Tabella13[[#This Row],[test_id]],experiments_specs!A:J,6,FALSE)</f>
        <v>True</v>
      </c>
      <c r="G694" s="38" t="str">
        <f>VLOOKUP(Tabella13[[#This Row],[test_id]],experiments_specs!A:J,7,FALSE)</f>
        <v>False</v>
      </c>
      <c r="H694" s="38" t="str">
        <f>VLOOKUP(Tabella13[[#This Row],[test_id]],experiments_specs!A:J,8,FALSE)</f>
        <v>False</v>
      </c>
      <c r="I694" s="38" t="str">
        <f>VLOOKUP(Tabella13[[#This Row],[test_id]],experiments_specs!A:J,9,FALSE)</f>
        <v>wup_similarity</v>
      </c>
      <c r="J694" s="38" t="str">
        <f>VLOOKUP(Tabella13[[#This Row],[test_id]],experiments_specs!A:J,10,FALSE)</f>
        <v>False</v>
      </c>
      <c r="K694" s="40" t="s">
        <v>14</v>
      </c>
      <c r="L694" s="36" t="s">
        <v>1319</v>
      </c>
      <c r="M694" s="36" t="s">
        <v>1314</v>
      </c>
      <c r="N694" s="36">
        <v>3.1069000000000001E-3</v>
      </c>
      <c r="O694" s="36" t="s">
        <v>1436</v>
      </c>
    </row>
    <row r="695" spans="1:15" ht="85" x14ac:dyDescent="0.2">
      <c r="A695" s="36" t="s">
        <v>1220</v>
      </c>
      <c r="B695" s="45" t="str">
        <f>VLOOKUP(Tabella13[[#This Row],[test_id]],experiments_specs!A:J,2,FALSE)</f>
        <v>NN,JJ,VB,VBD,VBG,VBN,VBP,VBZ</v>
      </c>
      <c r="C695" s="38">
        <f>VLOOKUP(Tabella13[[#This Row],[test_id]],experiments_specs!A:J,3,FALSE)</f>
        <v>0</v>
      </c>
      <c r="D695" s="38">
        <f>VLOOKUP(Tabella13[[#This Row],[test_id]],experiments_specs!A:J,4,FALSE)</f>
        <v>3</v>
      </c>
      <c r="E695" s="38" t="str">
        <f>VLOOKUP(Tabella13[[#This Row],[test_id]],experiments_specs!A:J,5,FALSE)</f>
        <v>False</v>
      </c>
      <c r="F695" s="38" t="str">
        <f>VLOOKUP(Tabella13[[#This Row],[test_id]],experiments_specs!A:J,6,FALSE)</f>
        <v>True</v>
      </c>
      <c r="G695" s="38" t="str">
        <f>VLOOKUP(Tabella13[[#This Row],[test_id]],experiments_specs!A:J,7,FALSE)</f>
        <v>False</v>
      </c>
      <c r="H695" s="38" t="str">
        <f>VLOOKUP(Tabella13[[#This Row],[test_id]],experiments_specs!A:J,8,FALSE)</f>
        <v>False</v>
      </c>
      <c r="I695" s="38" t="str">
        <f>VLOOKUP(Tabella13[[#This Row],[test_id]],experiments_specs!A:J,9,FALSE)</f>
        <v>wup_similarity</v>
      </c>
      <c r="J695" s="38" t="str">
        <f>VLOOKUP(Tabella13[[#This Row],[test_id]],experiments_specs!A:J,10,FALSE)</f>
        <v>False</v>
      </c>
      <c r="K695" s="40" t="s">
        <v>15</v>
      </c>
      <c r="L695" s="36" t="s">
        <v>1420</v>
      </c>
      <c r="M695" s="36" t="s">
        <v>1354</v>
      </c>
      <c r="N695" s="36">
        <v>2.4434000000000001E-3</v>
      </c>
      <c r="O695" s="36" t="s">
        <v>1468</v>
      </c>
    </row>
    <row r="696" spans="1:15" ht="85" x14ac:dyDescent="0.2">
      <c r="A696" s="36" t="s">
        <v>1220</v>
      </c>
      <c r="B696" s="45" t="str">
        <f>VLOOKUP(Tabella13[[#This Row],[test_id]],experiments_specs!A:J,2,FALSE)</f>
        <v>NN,JJ,VB,VBD,VBG,VBN,VBP,VBZ</v>
      </c>
      <c r="C696" s="38">
        <f>VLOOKUP(Tabella13[[#This Row],[test_id]],experiments_specs!A:J,3,FALSE)</f>
        <v>0</v>
      </c>
      <c r="D696" s="38">
        <f>VLOOKUP(Tabella13[[#This Row],[test_id]],experiments_specs!A:J,4,FALSE)</f>
        <v>3</v>
      </c>
      <c r="E696" s="38" t="str">
        <f>VLOOKUP(Tabella13[[#This Row],[test_id]],experiments_specs!A:J,5,FALSE)</f>
        <v>False</v>
      </c>
      <c r="F696" s="38" t="str">
        <f>VLOOKUP(Tabella13[[#This Row],[test_id]],experiments_specs!A:J,6,FALSE)</f>
        <v>True</v>
      </c>
      <c r="G696" s="38" t="str">
        <f>VLOOKUP(Tabella13[[#This Row],[test_id]],experiments_specs!A:J,7,FALSE)</f>
        <v>False</v>
      </c>
      <c r="H696" s="38" t="str">
        <f>VLOOKUP(Tabella13[[#This Row],[test_id]],experiments_specs!A:J,8,FALSE)</f>
        <v>False</v>
      </c>
      <c r="I696" s="38" t="str">
        <f>VLOOKUP(Tabella13[[#This Row],[test_id]],experiments_specs!A:J,9,FALSE)</f>
        <v>wup_similarity</v>
      </c>
      <c r="J696" s="38" t="str">
        <f>VLOOKUP(Tabella13[[#This Row],[test_id]],experiments_specs!A:J,10,FALSE)</f>
        <v>False</v>
      </c>
      <c r="K696" s="40" t="s">
        <v>16</v>
      </c>
      <c r="L696" s="36" t="s">
        <v>209</v>
      </c>
      <c r="M696" s="36">
        <v>2</v>
      </c>
      <c r="N696" s="36">
        <v>2.8305000000000001E-3</v>
      </c>
      <c r="O696" s="36">
        <v>0.55555549999999998</v>
      </c>
    </row>
    <row r="697" spans="1:15" ht="85" x14ac:dyDescent="0.2">
      <c r="A697" s="36" t="s">
        <v>1220</v>
      </c>
      <c r="B697" s="45" t="str">
        <f>VLOOKUP(Tabella13[[#This Row],[test_id]],experiments_specs!A:J,2,FALSE)</f>
        <v>NN,JJ,VB,VBD,VBG,VBN,VBP,VBZ</v>
      </c>
      <c r="C697" s="38">
        <f>VLOOKUP(Tabella13[[#This Row],[test_id]],experiments_specs!A:J,3,FALSE)</f>
        <v>0</v>
      </c>
      <c r="D697" s="38">
        <f>VLOOKUP(Tabella13[[#This Row],[test_id]],experiments_specs!A:J,4,FALSE)</f>
        <v>3</v>
      </c>
      <c r="E697" s="38" t="str">
        <f>VLOOKUP(Tabella13[[#This Row],[test_id]],experiments_specs!A:J,5,FALSE)</f>
        <v>False</v>
      </c>
      <c r="F697" s="38" t="str">
        <f>VLOOKUP(Tabella13[[#This Row],[test_id]],experiments_specs!A:J,6,FALSE)</f>
        <v>True</v>
      </c>
      <c r="G697" s="38" t="str">
        <f>VLOOKUP(Tabella13[[#This Row],[test_id]],experiments_specs!A:J,7,FALSE)</f>
        <v>False</v>
      </c>
      <c r="H697" s="38" t="str">
        <f>VLOOKUP(Tabella13[[#This Row],[test_id]],experiments_specs!A:J,8,FALSE)</f>
        <v>False</v>
      </c>
      <c r="I697" s="38" t="str">
        <f>VLOOKUP(Tabella13[[#This Row],[test_id]],experiments_specs!A:J,9,FALSE)</f>
        <v>wup_similarity</v>
      </c>
      <c r="J697" s="38" t="str">
        <f>VLOOKUP(Tabella13[[#This Row],[test_id]],experiments_specs!A:J,10,FALSE)</f>
        <v>False</v>
      </c>
      <c r="K697" s="40" t="s">
        <v>17</v>
      </c>
      <c r="L697" s="36" t="s">
        <v>1327</v>
      </c>
      <c r="M697" s="36" t="s">
        <v>1314</v>
      </c>
      <c r="N697" s="36">
        <v>2.8416000000000001E-3</v>
      </c>
      <c r="O697" s="36" t="s">
        <v>1432</v>
      </c>
    </row>
    <row r="698" spans="1:15" ht="85" x14ac:dyDescent="0.2">
      <c r="A698" s="36" t="s">
        <v>1220</v>
      </c>
      <c r="B698" s="45" t="str">
        <f>VLOOKUP(Tabella13[[#This Row],[test_id]],experiments_specs!A:J,2,FALSE)</f>
        <v>NN,JJ,VB,VBD,VBG,VBN,VBP,VBZ</v>
      </c>
      <c r="C698" s="38">
        <f>VLOOKUP(Tabella13[[#This Row],[test_id]],experiments_specs!A:J,3,FALSE)</f>
        <v>0</v>
      </c>
      <c r="D698" s="38">
        <f>VLOOKUP(Tabella13[[#This Row],[test_id]],experiments_specs!A:J,4,FALSE)</f>
        <v>3</v>
      </c>
      <c r="E698" s="38" t="str">
        <f>VLOOKUP(Tabella13[[#This Row],[test_id]],experiments_specs!A:J,5,FALSE)</f>
        <v>False</v>
      </c>
      <c r="F698" s="38" t="str">
        <f>VLOOKUP(Tabella13[[#This Row],[test_id]],experiments_specs!A:J,6,FALSE)</f>
        <v>True</v>
      </c>
      <c r="G698" s="38" t="str">
        <f>VLOOKUP(Tabella13[[#This Row],[test_id]],experiments_specs!A:J,7,FALSE)</f>
        <v>False</v>
      </c>
      <c r="H698" s="38" t="str">
        <f>VLOOKUP(Tabella13[[#This Row],[test_id]],experiments_specs!A:J,8,FALSE)</f>
        <v>False</v>
      </c>
      <c r="I698" s="38" t="str">
        <f>VLOOKUP(Tabella13[[#This Row],[test_id]],experiments_specs!A:J,9,FALSE)</f>
        <v>wup_similarity</v>
      </c>
      <c r="J698" s="38" t="str">
        <f>VLOOKUP(Tabella13[[#This Row],[test_id]],experiments_specs!A:J,10,FALSE)</f>
        <v>False</v>
      </c>
      <c r="K698" s="40" t="s">
        <v>18</v>
      </c>
      <c r="L698" s="36" t="s">
        <v>1323</v>
      </c>
      <c r="M698" s="36" t="s">
        <v>1314</v>
      </c>
      <c r="N698" s="36">
        <v>1.2853000000000001E-3</v>
      </c>
      <c r="O698" s="36" t="s">
        <v>1438</v>
      </c>
    </row>
    <row r="699" spans="1:15" ht="85" x14ac:dyDescent="0.2">
      <c r="A699" s="36" t="s">
        <v>1221</v>
      </c>
      <c r="B699" s="45" t="str">
        <f>VLOOKUP(Tabella13[[#This Row],[test_id]],experiments_specs!A:J,2,FALSE)</f>
        <v>NN,JJ</v>
      </c>
      <c r="C699" s="38">
        <f>VLOOKUP(Tabella13[[#This Row],[test_id]],experiments_specs!A:J,3,FALSE)</f>
        <v>0</v>
      </c>
      <c r="D699" s="38">
        <f>VLOOKUP(Tabella13[[#This Row],[test_id]],experiments_specs!A:J,4,FALSE)</f>
        <v>2</v>
      </c>
      <c r="E699" s="38" t="str">
        <f>VLOOKUP(Tabella13[[#This Row],[test_id]],experiments_specs!A:J,5,FALSE)</f>
        <v>True</v>
      </c>
      <c r="F699" s="38" t="str">
        <f>VLOOKUP(Tabella13[[#This Row],[test_id]],experiments_specs!A:J,6,FALSE)</f>
        <v>True</v>
      </c>
      <c r="G699" s="38" t="str">
        <f>VLOOKUP(Tabella13[[#This Row],[test_id]],experiments_specs!A:J,7,FALSE)</f>
        <v>False</v>
      </c>
      <c r="H699" s="38" t="str">
        <f>VLOOKUP(Tabella13[[#This Row],[test_id]],experiments_specs!A:J,8,FALSE)</f>
        <v>False</v>
      </c>
      <c r="I699" s="38" t="str">
        <f>VLOOKUP(Tabella13[[#This Row],[test_id]],experiments_specs!A:J,9,FALSE)</f>
        <v>wup_similarity</v>
      </c>
      <c r="J699" s="38" t="str">
        <f>VLOOKUP(Tabella13[[#This Row],[test_id]],experiments_specs!A:J,10,FALSE)</f>
        <v>False</v>
      </c>
      <c r="K699" s="40" t="s">
        <v>19</v>
      </c>
      <c r="L699" s="36" t="s">
        <v>1312</v>
      </c>
      <c r="M699" s="36" t="s">
        <v>1314</v>
      </c>
      <c r="N699" s="36">
        <v>2.6177499999999999E-2</v>
      </c>
      <c r="O699" s="36" t="s">
        <v>1434</v>
      </c>
    </row>
    <row r="700" spans="1:15" ht="85" x14ac:dyDescent="0.2">
      <c r="A700" s="36" t="s">
        <v>1221</v>
      </c>
      <c r="B700" s="45" t="str">
        <f>VLOOKUP(Tabella13[[#This Row],[test_id]],experiments_specs!A:J,2,FALSE)</f>
        <v>NN,JJ</v>
      </c>
      <c r="C700" s="38">
        <f>VLOOKUP(Tabella13[[#This Row],[test_id]],experiments_specs!A:J,3,FALSE)</f>
        <v>0</v>
      </c>
      <c r="D700" s="38">
        <f>VLOOKUP(Tabella13[[#This Row],[test_id]],experiments_specs!A:J,4,FALSE)</f>
        <v>2</v>
      </c>
      <c r="E700" s="38" t="str">
        <f>VLOOKUP(Tabella13[[#This Row],[test_id]],experiments_specs!A:J,5,FALSE)</f>
        <v>True</v>
      </c>
      <c r="F700" s="38" t="str">
        <f>VLOOKUP(Tabella13[[#This Row],[test_id]],experiments_specs!A:J,6,FALSE)</f>
        <v>True</v>
      </c>
      <c r="G700" s="38" t="str">
        <f>VLOOKUP(Tabella13[[#This Row],[test_id]],experiments_specs!A:J,7,FALSE)</f>
        <v>False</v>
      </c>
      <c r="H700" s="38" t="str">
        <f>VLOOKUP(Tabella13[[#This Row],[test_id]],experiments_specs!A:J,8,FALSE)</f>
        <v>False</v>
      </c>
      <c r="I700" s="38" t="str">
        <f>VLOOKUP(Tabella13[[#This Row],[test_id]],experiments_specs!A:J,9,FALSE)</f>
        <v>wup_similarity</v>
      </c>
      <c r="J700" s="38" t="str">
        <f>VLOOKUP(Tabella13[[#This Row],[test_id]],experiments_specs!A:J,10,FALSE)</f>
        <v>False</v>
      </c>
      <c r="K700" s="40" t="s">
        <v>12</v>
      </c>
      <c r="L700" s="36" t="s">
        <v>23</v>
      </c>
      <c r="M700" s="36">
        <v>2</v>
      </c>
      <c r="N700" s="36">
        <v>3.6466199999999997E-2</v>
      </c>
      <c r="O700" s="36">
        <v>0.42857139999999999</v>
      </c>
    </row>
    <row r="701" spans="1:15" ht="85" x14ac:dyDescent="0.2">
      <c r="A701" s="36" t="s">
        <v>1221</v>
      </c>
      <c r="B701" s="45" t="str">
        <f>VLOOKUP(Tabella13[[#This Row],[test_id]],experiments_specs!A:J,2,FALSE)</f>
        <v>NN,JJ</v>
      </c>
      <c r="C701" s="38">
        <f>VLOOKUP(Tabella13[[#This Row],[test_id]],experiments_specs!A:J,3,FALSE)</f>
        <v>0</v>
      </c>
      <c r="D701" s="38">
        <f>VLOOKUP(Tabella13[[#This Row],[test_id]],experiments_specs!A:J,4,FALSE)</f>
        <v>2</v>
      </c>
      <c r="E701" s="38" t="str">
        <f>VLOOKUP(Tabella13[[#This Row],[test_id]],experiments_specs!A:J,5,FALSE)</f>
        <v>True</v>
      </c>
      <c r="F701" s="38" t="str">
        <f>VLOOKUP(Tabella13[[#This Row],[test_id]],experiments_specs!A:J,6,FALSE)</f>
        <v>True</v>
      </c>
      <c r="G701" s="38" t="str">
        <f>VLOOKUP(Tabella13[[#This Row],[test_id]],experiments_specs!A:J,7,FALSE)</f>
        <v>False</v>
      </c>
      <c r="H701" s="38" t="str">
        <f>VLOOKUP(Tabella13[[#This Row],[test_id]],experiments_specs!A:J,8,FALSE)</f>
        <v>False</v>
      </c>
      <c r="I701" s="38" t="str">
        <f>VLOOKUP(Tabella13[[#This Row],[test_id]],experiments_specs!A:J,9,FALSE)</f>
        <v>wup_similarity</v>
      </c>
      <c r="J701" s="38" t="str">
        <f>VLOOKUP(Tabella13[[#This Row],[test_id]],experiments_specs!A:J,10,FALSE)</f>
        <v>False</v>
      </c>
      <c r="K701" s="40" t="s">
        <v>13</v>
      </c>
      <c r="L701" s="36" t="s">
        <v>33</v>
      </c>
      <c r="M701" s="36">
        <v>2</v>
      </c>
      <c r="N701" s="36">
        <v>2.4573600000000001E-2</v>
      </c>
      <c r="O701" s="36">
        <v>0.4</v>
      </c>
    </row>
    <row r="702" spans="1:15" ht="85" x14ac:dyDescent="0.2">
      <c r="A702" s="36" t="s">
        <v>1221</v>
      </c>
      <c r="B702" s="45" t="str">
        <f>VLOOKUP(Tabella13[[#This Row],[test_id]],experiments_specs!A:J,2,FALSE)</f>
        <v>NN,JJ</v>
      </c>
      <c r="C702" s="38">
        <f>VLOOKUP(Tabella13[[#This Row],[test_id]],experiments_specs!A:J,3,FALSE)</f>
        <v>0</v>
      </c>
      <c r="D702" s="38">
        <f>VLOOKUP(Tabella13[[#This Row],[test_id]],experiments_specs!A:J,4,FALSE)</f>
        <v>2</v>
      </c>
      <c r="E702" s="38" t="str">
        <f>VLOOKUP(Tabella13[[#This Row],[test_id]],experiments_specs!A:J,5,FALSE)</f>
        <v>True</v>
      </c>
      <c r="F702" s="38" t="str">
        <f>VLOOKUP(Tabella13[[#This Row],[test_id]],experiments_specs!A:J,6,FALSE)</f>
        <v>True</v>
      </c>
      <c r="G702" s="38" t="str">
        <f>VLOOKUP(Tabella13[[#This Row],[test_id]],experiments_specs!A:J,7,FALSE)</f>
        <v>False</v>
      </c>
      <c r="H702" s="38" t="str">
        <f>VLOOKUP(Tabella13[[#This Row],[test_id]],experiments_specs!A:J,8,FALSE)</f>
        <v>False</v>
      </c>
      <c r="I702" s="38" t="str">
        <f>VLOOKUP(Tabella13[[#This Row],[test_id]],experiments_specs!A:J,9,FALSE)</f>
        <v>wup_similarity</v>
      </c>
      <c r="J702" s="38" t="str">
        <f>VLOOKUP(Tabella13[[#This Row],[test_id]],experiments_specs!A:J,10,FALSE)</f>
        <v>False</v>
      </c>
      <c r="K702" s="40" t="s">
        <v>14</v>
      </c>
      <c r="L702" s="36" t="s">
        <v>1329</v>
      </c>
      <c r="M702" s="36" t="s">
        <v>1331</v>
      </c>
      <c r="N702" s="36">
        <v>1.2371699999999999E-2</v>
      </c>
      <c r="O702" s="36" t="s">
        <v>1430</v>
      </c>
    </row>
    <row r="703" spans="1:15" ht="85" x14ac:dyDescent="0.2">
      <c r="A703" s="36" t="s">
        <v>1221</v>
      </c>
      <c r="B703" s="45" t="str">
        <f>VLOOKUP(Tabella13[[#This Row],[test_id]],experiments_specs!A:J,2,FALSE)</f>
        <v>NN,JJ</v>
      </c>
      <c r="C703" s="38">
        <f>VLOOKUP(Tabella13[[#This Row],[test_id]],experiments_specs!A:J,3,FALSE)</f>
        <v>0</v>
      </c>
      <c r="D703" s="38">
        <f>VLOOKUP(Tabella13[[#This Row],[test_id]],experiments_specs!A:J,4,FALSE)</f>
        <v>2</v>
      </c>
      <c r="E703" s="38" t="str">
        <f>VLOOKUP(Tabella13[[#This Row],[test_id]],experiments_specs!A:J,5,FALSE)</f>
        <v>True</v>
      </c>
      <c r="F703" s="38" t="str">
        <f>VLOOKUP(Tabella13[[#This Row],[test_id]],experiments_specs!A:J,6,FALSE)</f>
        <v>True</v>
      </c>
      <c r="G703" s="38" t="str">
        <f>VLOOKUP(Tabella13[[#This Row],[test_id]],experiments_specs!A:J,7,FALSE)</f>
        <v>False</v>
      </c>
      <c r="H703" s="38" t="str">
        <f>VLOOKUP(Tabella13[[#This Row],[test_id]],experiments_specs!A:J,8,FALSE)</f>
        <v>False</v>
      </c>
      <c r="I703" s="38" t="str">
        <f>VLOOKUP(Tabella13[[#This Row],[test_id]],experiments_specs!A:J,9,FALSE)</f>
        <v>wup_similarity</v>
      </c>
      <c r="J703" s="38" t="str">
        <f>VLOOKUP(Tabella13[[#This Row],[test_id]],experiments_specs!A:J,10,FALSE)</f>
        <v>False</v>
      </c>
      <c r="K703" s="40" t="s">
        <v>15</v>
      </c>
      <c r="L703" s="36" t="s">
        <v>293</v>
      </c>
      <c r="M703" s="36">
        <v>1</v>
      </c>
      <c r="N703" s="36">
        <v>3.6439800000000001E-2</v>
      </c>
      <c r="O703" s="36">
        <v>0.90909090000000004</v>
      </c>
    </row>
    <row r="704" spans="1:15" ht="85" x14ac:dyDescent="0.2">
      <c r="A704" s="36" t="s">
        <v>1221</v>
      </c>
      <c r="B704" s="45" t="str">
        <f>VLOOKUP(Tabella13[[#This Row],[test_id]],experiments_specs!A:J,2,FALSE)</f>
        <v>NN,JJ</v>
      </c>
      <c r="C704" s="38">
        <f>VLOOKUP(Tabella13[[#This Row],[test_id]],experiments_specs!A:J,3,FALSE)</f>
        <v>0</v>
      </c>
      <c r="D704" s="38">
        <f>VLOOKUP(Tabella13[[#This Row],[test_id]],experiments_specs!A:J,4,FALSE)</f>
        <v>2</v>
      </c>
      <c r="E704" s="38" t="str">
        <f>VLOOKUP(Tabella13[[#This Row],[test_id]],experiments_specs!A:J,5,FALSE)</f>
        <v>True</v>
      </c>
      <c r="F704" s="38" t="str">
        <f>VLOOKUP(Tabella13[[#This Row],[test_id]],experiments_specs!A:J,6,FALSE)</f>
        <v>True</v>
      </c>
      <c r="G704" s="38" t="str">
        <f>VLOOKUP(Tabella13[[#This Row],[test_id]],experiments_specs!A:J,7,FALSE)</f>
        <v>False</v>
      </c>
      <c r="H704" s="38" t="str">
        <f>VLOOKUP(Tabella13[[#This Row],[test_id]],experiments_specs!A:J,8,FALSE)</f>
        <v>False</v>
      </c>
      <c r="I704" s="38" t="str">
        <f>VLOOKUP(Tabella13[[#This Row],[test_id]],experiments_specs!A:J,9,FALSE)</f>
        <v>wup_similarity</v>
      </c>
      <c r="J704" s="38" t="str">
        <f>VLOOKUP(Tabella13[[#This Row],[test_id]],experiments_specs!A:J,10,FALSE)</f>
        <v>False</v>
      </c>
      <c r="K704" s="40" t="s">
        <v>16</v>
      </c>
      <c r="L704" s="36" t="s">
        <v>1333</v>
      </c>
      <c r="M704" s="36" t="s">
        <v>1314</v>
      </c>
      <c r="N704" s="36">
        <v>1.7010299999999999E-2</v>
      </c>
      <c r="O704" s="36" t="s">
        <v>1432</v>
      </c>
    </row>
    <row r="705" spans="1:15" ht="85" x14ac:dyDescent="0.2">
      <c r="A705" s="36" t="s">
        <v>1221</v>
      </c>
      <c r="B705" s="45" t="str">
        <f>VLOOKUP(Tabella13[[#This Row],[test_id]],experiments_specs!A:J,2,FALSE)</f>
        <v>NN,JJ</v>
      </c>
      <c r="C705" s="38">
        <f>VLOOKUP(Tabella13[[#This Row],[test_id]],experiments_specs!A:J,3,FALSE)</f>
        <v>0</v>
      </c>
      <c r="D705" s="38">
        <f>VLOOKUP(Tabella13[[#This Row],[test_id]],experiments_specs!A:J,4,FALSE)</f>
        <v>2</v>
      </c>
      <c r="E705" s="38" t="str">
        <f>VLOOKUP(Tabella13[[#This Row],[test_id]],experiments_specs!A:J,5,FALSE)</f>
        <v>True</v>
      </c>
      <c r="F705" s="38" t="str">
        <f>VLOOKUP(Tabella13[[#This Row],[test_id]],experiments_specs!A:J,6,FALSE)</f>
        <v>True</v>
      </c>
      <c r="G705" s="38" t="str">
        <f>VLOOKUP(Tabella13[[#This Row],[test_id]],experiments_specs!A:J,7,FALSE)</f>
        <v>False</v>
      </c>
      <c r="H705" s="38" t="str">
        <f>VLOOKUP(Tabella13[[#This Row],[test_id]],experiments_specs!A:J,8,FALSE)</f>
        <v>False</v>
      </c>
      <c r="I705" s="38" t="str">
        <f>VLOOKUP(Tabella13[[#This Row],[test_id]],experiments_specs!A:J,9,FALSE)</f>
        <v>wup_similarity</v>
      </c>
      <c r="J705" s="38" t="str">
        <f>VLOOKUP(Tabella13[[#This Row],[test_id]],experiments_specs!A:J,10,FALSE)</f>
        <v>False</v>
      </c>
      <c r="K705" s="40" t="s">
        <v>17</v>
      </c>
      <c r="L705" s="36" t="s">
        <v>1335</v>
      </c>
      <c r="M705" s="36" t="s">
        <v>1314</v>
      </c>
      <c r="N705" s="36">
        <v>1.88982E-2</v>
      </c>
      <c r="O705" s="36" t="s">
        <v>1440</v>
      </c>
    </row>
    <row r="706" spans="1:15" ht="85" x14ac:dyDescent="0.2">
      <c r="A706" s="36" t="s">
        <v>1221</v>
      </c>
      <c r="B706" s="45" t="str">
        <f>VLOOKUP(Tabella13[[#This Row],[test_id]],experiments_specs!A:J,2,FALSE)</f>
        <v>NN,JJ</v>
      </c>
      <c r="C706" s="38">
        <f>VLOOKUP(Tabella13[[#This Row],[test_id]],experiments_specs!A:J,3,FALSE)</f>
        <v>0</v>
      </c>
      <c r="D706" s="38">
        <f>VLOOKUP(Tabella13[[#This Row],[test_id]],experiments_specs!A:J,4,FALSE)</f>
        <v>2</v>
      </c>
      <c r="E706" s="38" t="str">
        <f>VLOOKUP(Tabella13[[#This Row],[test_id]],experiments_specs!A:J,5,FALSE)</f>
        <v>True</v>
      </c>
      <c r="F706" s="38" t="str">
        <f>VLOOKUP(Tabella13[[#This Row],[test_id]],experiments_specs!A:J,6,FALSE)</f>
        <v>True</v>
      </c>
      <c r="G706" s="38" t="str">
        <f>VLOOKUP(Tabella13[[#This Row],[test_id]],experiments_specs!A:J,7,FALSE)</f>
        <v>False</v>
      </c>
      <c r="H706" s="38" t="str">
        <f>VLOOKUP(Tabella13[[#This Row],[test_id]],experiments_specs!A:J,8,FALSE)</f>
        <v>False</v>
      </c>
      <c r="I706" s="38" t="str">
        <f>VLOOKUP(Tabella13[[#This Row],[test_id]],experiments_specs!A:J,9,FALSE)</f>
        <v>wup_similarity</v>
      </c>
      <c r="J706" s="38" t="str">
        <f>VLOOKUP(Tabella13[[#This Row],[test_id]],experiments_specs!A:J,10,FALSE)</f>
        <v>False</v>
      </c>
      <c r="K706" s="40" t="s">
        <v>18</v>
      </c>
      <c r="L706" s="36" t="s">
        <v>45</v>
      </c>
      <c r="M706" s="36">
        <v>2</v>
      </c>
      <c r="N706" s="36">
        <v>1.30895E-2</v>
      </c>
      <c r="O706" s="36">
        <v>0.2105263</v>
      </c>
    </row>
    <row r="707" spans="1:15" ht="85" x14ac:dyDescent="0.2">
      <c r="A707" s="36" t="s">
        <v>1222</v>
      </c>
      <c r="B707" s="45" t="str">
        <f>VLOOKUP(Tabella13[[#This Row],[test_id]],experiments_specs!A:J,2,FALSE)</f>
        <v>NN,JJ</v>
      </c>
      <c r="C707" s="38">
        <f>VLOOKUP(Tabella13[[#This Row],[test_id]],experiments_specs!A:J,3,FALSE)</f>
        <v>0</v>
      </c>
      <c r="D707" s="38">
        <f>VLOOKUP(Tabella13[[#This Row],[test_id]],experiments_specs!A:J,4,FALSE)</f>
        <v>3</v>
      </c>
      <c r="E707" s="38" t="str">
        <f>VLOOKUP(Tabella13[[#This Row],[test_id]],experiments_specs!A:J,5,FALSE)</f>
        <v>True</v>
      </c>
      <c r="F707" s="38" t="str">
        <f>VLOOKUP(Tabella13[[#This Row],[test_id]],experiments_specs!A:J,6,FALSE)</f>
        <v>True</v>
      </c>
      <c r="G707" s="38" t="str">
        <f>VLOOKUP(Tabella13[[#This Row],[test_id]],experiments_specs!A:J,7,FALSE)</f>
        <v>False</v>
      </c>
      <c r="H707" s="38" t="str">
        <f>VLOOKUP(Tabella13[[#This Row],[test_id]],experiments_specs!A:J,8,FALSE)</f>
        <v>False</v>
      </c>
      <c r="I707" s="38" t="str">
        <f>VLOOKUP(Tabella13[[#This Row],[test_id]],experiments_specs!A:J,9,FALSE)</f>
        <v>wup_similarity</v>
      </c>
      <c r="J707" s="38" t="str">
        <f>VLOOKUP(Tabella13[[#This Row],[test_id]],experiments_specs!A:J,10,FALSE)</f>
        <v>False</v>
      </c>
      <c r="K707" s="40" t="s">
        <v>19</v>
      </c>
      <c r="L707" s="36" t="s">
        <v>1312</v>
      </c>
      <c r="M707" s="36" t="s">
        <v>1314</v>
      </c>
      <c r="N707" s="36">
        <v>2.6177499999999999E-2</v>
      </c>
      <c r="O707" s="36" t="s">
        <v>1434</v>
      </c>
    </row>
    <row r="708" spans="1:15" ht="85" x14ac:dyDescent="0.2">
      <c r="A708" s="36" t="s">
        <v>1222</v>
      </c>
      <c r="B708" s="45" t="str">
        <f>VLOOKUP(Tabella13[[#This Row],[test_id]],experiments_specs!A:J,2,FALSE)</f>
        <v>NN,JJ</v>
      </c>
      <c r="C708" s="38">
        <f>VLOOKUP(Tabella13[[#This Row],[test_id]],experiments_specs!A:J,3,FALSE)</f>
        <v>0</v>
      </c>
      <c r="D708" s="38">
        <f>VLOOKUP(Tabella13[[#This Row],[test_id]],experiments_specs!A:J,4,FALSE)</f>
        <v>3</v>
      </c>
      <c r="E708" s="38" t="str">
        <f>VLOOKUP(Tabella13[[#This Row],[test_id]],experiments_specs!A:J,5,FALSE)</f>
        <v>True</v>
      </c>
      <c r="F708" s="38" t="str">
        <f>VLOOKUP(Tabella13[[#This Row],[test_id]],experiments_specs!A:J,6,FALSE)</f>
        <v>True</v>
      </c>
      <c r="G708" s="38" t="str">
        <f>VLOOKUP(Tabella13[[#This Row],[test_id]],experiments_specs!A:J,7,FALSE)</f>
        <v>False</v>
      </c>
      <c r="H708" s="38" t="str">
        <f>VLOOKUP(Tabella13[[#This Row],[test_id]],experiments_specs!A:J,8,FALSE)</f>
        <v>False</v>
      </c>
      <c r="I708" s="38" t="str">
        <f>VLOOKUP(Tabella13[[#This Row],[test_id]],experiments_specs!A:J,9,FALSE)</f>
        <v>wup_similarity</v>
      </c>
      <c r="J708" s="38" t="str">
        <f>VLOOKUP(Tabella13[[#This Row],[test_id]],experiments_specs!A:J,10,FALSE)</f>
        <v>False</v>
      </c>
      <c r="K708" s="40" t="s">
        <v>12</v>
      </c>
      <c r="L708" s="36" t="s">
        <v>23</v>
      </c>
      <c r="M708" s="36">
        <v>2</v>
      </c>
      <c r="N708" s="36">
        <v>3.6466199999999997E-2</v>
      </c>
      <c r="O708" s="36">
        <v>0.42857139999999999</v>
      </c>
    </row>
    <row r="709" spans="1:15" ht="85" x14ac:dyDescent="0.2">
      <c r="A709" s="36" t="s">
        <v>1222</v>
      </c>
      <c r="B709" s="45" t="str">
        <f>VLOOKUP(Tabella13[[#This Row],[test_id]],experiments_specs!A:J,2,FALSE)</f>
        <v>NN,JJ</v>
      </c>
      <c r="C709" s="38">
        <f>VLOOKUP(Tabella13[[#This Row],[test_id]],experiments_specs!A:J,3,FALSE)</f>
        <v>0</v>
      </c>
      <c r="D709" s="38">
        <f>VLOOKUP(Tabella13[[#This Row],[test_id]],experiments_specs!A:J,4,FALSE)</f>
        <v>3</v>
      </c>
      <c r="E709" s="38" t="str">
        <f>VLOOKUP(Tabella13[[#This Row],[test_id]],experiments_specs!A:J,5,FALSE)</f>
        <v>True</v>
      </c>
      <c r="F709" s="38" t="str">
        <f>VLOOKUP(Tabella13[[#This Row],[test_id]],experiments_specs!A:J,6,FALSE)</f>
        <v>True</v>
      </c>
      <c r="G709" s="38" t="str">
        <f>VLOOKUP(Tabella13[[#This Row],[test_id]],experiments_specs!A:J,7,FALSE)</f>
        <v>False</v>
      </c>
      <c r="H709" s="38" t="str">
        <f>VLOOKUP(Tabella13[[#This Row],[test_id]],experiments_specs!A:J,8,FALSE)</f>
        <v>False</v>
      </c>
      <c r="I709" s="38" t="str">
        <f>VLOOKUP(Tabella13[[#This Row],[test_id]],experiments_specs!A:J,9,FALSE)</f>
        <v>wup_similarity</v>
      </c>
      <c r="J709" s="38" t="str">
        <f>VLOOKUP(Tabella13[[#This Row],[test_id]],experiments_specs!A:J,10,FALSE)</f>
        <v>False</v>
      </c>
      <c r="K709" s="40" t="s">
        <v>13</v>
      </c>
      <c r="L709" s="36" t="s">
        <v>33</v>
      </c>
      <c r="M709" s="36">
        <v>2</v>
      </c>
      <c r="N709" s="36">
        <v>2.4573600000000001E-2</v>
      </c>
      <c r="O709" s="36">
        <v>0.4</v>
      </c>
    </row>
    <row r="710" spans="1:15" ht="85" x14ac:dyDescent="0.2">
      <c r="A710" s="36" t="s">
        <v>1222</v>
      </c>
      <c r="B710" s="45" t="str">
        <f>VLOOKUP(Tabella13[[#This Row],[test_id]],experiments_specs!A:J,2,FALSE)</f>
        <v>NN,JJ</v>
      </c>
      <c r="C710" s="38">
        <f>VLOOKUP(Tabella13[[#This Row],[test_id]],experiments_specs!A:J,3,FALSE)</f>
        <v>0</v>
      </c>
      <c r="D710" s="38">
        <f>VLOOKUP(Tabella13[[#This Row],[test_id]],experiments_specs!A:J,4,FALSE)</f>
        <v>3</v>
      </c>
      <c r="E710" s="38" t="str">
        <f>VLOOKUP(Tabella13[[#This Row],[test_id]],experiments_specs!A:J,5,FALSE)</f>
        <v>True</v>
      </c>
      <c r="F710" s="38" t="str">
        <f>VLOOKUP(Tabella13[[#This Row],[test_id]],experiments_specs!A:J,6,FALSE)</f>
        <v>True</v>
      </c>
      <c r="G710" s="38" t="str">
        <f>VLOOKUP(Tabella13[[#This Row],[test_id]],experiments_specs!A:J,7,FALSE)</f>
        <v>False</v>
      </c>
      <c r="H710" s="38" t="str">
        <f>VLOOKUP(Tabella13[[#This Row],[test_id]],experiments_specs!A:J,8,FALSE)</f>
        <v>False</v>
      </c>
      <c r="I710" s="38" t="str">
        <f>VLOOKUP(Tabella13[[#This Row],[test_id]],experiments_specs!A:J,9,FALSE)</f>
        <v>wup_similarity</v>
      </c>
      <c r="J710" s="38" t="str">
        <f>VLOOKUP(Tabella13[[#This Row],[test_id]],experiments_specs!A:J,10,FALSE)</f>
        <v>False</v>
      </c>
      <c r="K710" s="40" t="s">
        <v>14</v>
      </c>
      <c r="L710" s="36" t="s">
        <v>1329</v>
      </c>
      <c r="M710" s="36" t="s">
        <v>1331</v>
      </c>
      <c r="N710" s="36">
        <v>1.2371699999999999E-2</v>
      </c>
      <c r="O710" s="36" t="s">
        <v>1430</v>
      </c>
    </row>
    <row r="711" spans="1:15" ht="85" x14ac:dyDescent="0.2">
      <c r="A711" s="36" t="s">
        <v>1222</v>
      </c>
      <c r="B711" s="45" t="str">
        <f>VLOOKUP(Tabella13[[#This Row],[test_id]],experiments_specs!A:J,2,FALSE)</f>
        <v>NN,JJ</v>
      </c>
      <c r="C711" s="38">
        <f>VLOOKUP(Tabella13[[#This Row],[test_id]],experiments_specs!A:J,3,FALSE)</f>
        <v>0</v>
      </c>
      <c r="D711" s="38">
        <f>VLOOKUP(Tabella13[[#This Row],[test_id]],experiments_specs!A:J,4,FALSE)</f>
        <v>3</v>
      </c>
      <c r="E711" s="38" t="str">
        <f>VLOOKUP(Tabella13[[#This Row],[test_id]],experiments_specs!A:J,5,FALSE)</f>
        <v>True</v>
      </c>
      <c r="F711" s="38" t="str">
        <f>VLOOKUP(Tabella13[[#This Row],[test_id]],experiments_specs!A:J,6,FALSE)</f>
        <v>True</v>
      </c>
      <c r="G711" s="38" t="str">
        <f>VLOOKUP(Tabella13[[#This Row],[test_id]],experiments_specs!A:J,7,FALSE)</f>
        <v>False</v>
      </c>
      <c r="H711" s="38" t="str">
        <f>VLOOKUP(Tabella13[[#This Row],[test_id]],experiments_specs!A:J,8,FALSE)</f>
        <v>False</v>
      </c>
      <c r="I711" s="38" t="str">
        <f>VLOOKUP(Tabella13[[#This Row],[test_id]],experiments_specs!A:J,9,FALSE)</f>
        <v>wup_similarity</v>
      </c>
      <c r="J711" s="38" t="str">
        <f>VLOOKUP(Tabella13[[#This Row],[test_id]],experiments_specs!A:J,10,FALSE)</f>
        <v>False</v>
      </c>
      <c r="K711" s="40" t="s">
        <v>15</v>
      </c>
      <c r="L711" s="36" t="s">
        <v>293</v>
      </c>
      <c r="M711" s="36">
        <v>1</v>
      </c>
      <c r="N711" s="36">
        <v>3.6439800000000001E-2</v>
      </c>
      <c r="O711" s="36">
        <v>0.90909090000000004</v>
      </c>
    </row>
    <row r="712" spans="1:15" ht="85" x14ac:dyDescent="0.2">
      <c r="A712" s="36" t="s">
        <v>1222</v>
      </c>
      <c r="B712" s="45" t="str">
        <f>VLOOKUP(Tabella13[[#This Row],[test_id]],experiments_specs!A:J,2,FALSE)</f>
        <v>NN,JJ</v>
      </c>
      <c r="C712" s="38">
        <f>VLOOKUP(Tabella13[[#This Row],[test_id]],experiments_specs!A:J,3,FALSE)</f>
        <v>0</v>
      </c>
      <c r="D712" s="38">
        <f>VLOOKUP(Tabella13[[#This Row],[test_id]],experiments_specs!A:J,4,FALSE)</f>
        <v>3</v>
      </c>
      <c r="E712" s="38" t="str">
        <f>VLOOKUP(Tabella13[[#This Row],[test_id]],experiments_specs!A:J,5,FALSE)</f>
        <v>True</v>
      </c>
      <c r="F712" s="38" t="str">
        <f>VLOOKUP(Tabella13[[#This Row],[test_id]],experiments_specs!A:J,6,FALSE)</f>
        <v>True</v>
      </c>
      <c r="G712" s="38" t="str">
        <f>VLOOKUP(Tabella13[[#This Row],[test_id]],experiments_specs!A:J,7,FALSE)</f>
        <v>False</v>
      </c>
      <c r="H712" s="38" t="str">
        <f>VLOOKUP(Tabella13[[#This Row],[test_id]],experiments_specs!A:J,8,FALSE)</f>
        <v>False</v>
      </c>
      <c r="I712" s="38" t="str">
        <f>VLOOKUP(Tabella13[[#This Row],[test_id]],experiments_specs!A:J,9,FALSE)</f>
        <v>wup_similarity</v>
      </c>
      <c r="J712" s="38" t="str">
        <f>VLOOKUP(Tabella13[[#This Row],[test_id]],experiments_specs!A:J,10,FALSE)</f>
        <v>False</v>
      </c>
      <c r="K712" s="40" t="s">
        <v>16</v>
      </c>
      <c r="L712" s="36" t="s">
        <v>1333</v>
      </c>
      <c r="M712" s="36" t="s">
        <v>1314</v>
      </c>
      <c r="N712" s="36">
        <v>1.7010299999999999E-2</v>
      </c>
      <c r="O712" s="36" t="s">
        <v>1432</v>
      </c>
    </row>
    <row r="713" spans="1:15" ht="85" x14ac:dyDescent="0.2">
      <c r="A713" s="36" t="s">
        <v>1222</v>
      </c>
      <c r="B713" s="45" t="str">
        <f>VLOOKUP(Tabella13[[#This Row],[test_id]],experiments_specs!A:J,2,FALSE)</f>
        <v>NN,JJ</v>
      </c>
      <c r="C713" s="38">
        <f>VLOOKUP(Tabella13[[#This Row],[test_id]],experiments_specs!A:J,3,FALSE)</f>
        <v>0</v>
      </c>
      <c r="D713" s="38">
        <f>VLOOKUP(Tabella13[[#This Row],[test_id]],experiments_specs!A:J,4,FALSE)</f>
        <v>3</v>
      </c>
      <c r="E713" s="38" t="str">
        <f>VLOOKUP(Tabella13[[#This Row],[test_id]],experiments_specs!A:J,5,FALSE)</f>
        <v>True</v>
      </c>
      <c r="F713" s="38" t="str">
        <f>VLOOKUP(Tabella13[[#This Row],[test_id]],experiments_specs!A:J,6,FALSE)</f>
        <v>True</v>
      </c>
      <c r="G713" s="38" t="str">
        <f>VLOOKUP(Tabella13[[#This Row],[test_id]],experiments_specs!A:J,7,FALSE)</f>
        <v>False</v>
      </c>
      <c r="H713" s="38" t="str">
        <f>VLOOKUP(Tabella13[[#This Row],[test_id]],experiments_specs!A:J,8,FALSE)</f>
        <v>False</v>
      </c>
      <c r="I713" s="38" t="str">
        <f>VLOOKUP(Tabella13[[#This Row],[test_id]],experiments_specs!A:J,9,FALSE)</f>
        <v>wup_similarity</v>
      </c>
      <c r="J713" s="38" t="str">
        <f>VLOOKUP(Tabella13[[#This Row],[test_id]],experiments_specs!A:J,10,FALSE)</f>
        <v>False</v>
      </c>
      <c r="K713" s="40" t="s">
        <v>17</v>
      </c>
      <c r="L713" s="36" t="s">
        <v>1335</v>
      </c>
      <c r="M713" s="36" t="s">
        <v>1314</v>
      </c>
      <c r="N713" s="36">
        <v>1.88982E-2</v>
      </c>
      <c r="O713" s="36" t="s">
        <v>1440</v>
      </c>
    </row>
    <row r="714" spans="1:15" ht="85" x14ac:dyDescent="0.2">
      <c r="A714" s="36" t="s">
        <v>1222</v>
      </c>
      <c r="B714" s="45" t="str">
        <f>VLOOKUP(Tabella13[[#This Row],[test_id]],experiments_specs!A:J,2,FALSE)</f>
        <v>NN,JJ</v>
      </c>
      <c r="C714" s="38">
        <f>VLOOKUP(Tabella13[[#This Row],[test_id]],experiments_specs!A:J,3,FALSE)</f>
        <v>0</v>
      </c>
      <c r="D714" s="38">
        <f>VLOOKUP(Tabella13[[#This Row],[test_id]],experiments_specs!A:J,4,FALSE)</f>
        <v>3</v>
      </c>
      <c r="E714" s="38" t="str">
        <f>VLOOKUP(Tabella13[[#This Row],[test_id]],experiments_specs!A:J,5,FALSE)</f>
        <v>True</v>
      </c>
      <c r="F714" s="38" t="str">
        <f>VLOOKUP(Tabella13[[#This Row],[test_id]],experiments_specs!A:J,6,FALSE)</f>
        <v>True</v>
      </c>
      <c r="G714" s="38" t="str">
        <f>VLOOKUP(Tabella13[[#This Row],[test_id]],experiments_specs!A:J,7,FALSE)</f>
        <v>False</v>
      </c>
      <c r="H714" s="38" t="str">
        <f>VLOOKUP(Tabella13[[#This Row],[test_id]],experiments_specs!A:J,8,FALSE)</f>
        <v>False</v>
      </c>
      <c r="I714" s="38" t="str">
        <f>VLOOKUP(Tabella13[[#This Row],[test_id]],experiments_specs!A:J,9,FALSE)</f>
        <v>wup_similarity</v>
      </c>
      <c r="J714" s="38" t="str">
        <f>VLOOKUP(Tabella13[[#This Row],[test_id]],experiments_specs!A:J,10,FALSE)</f>
        <v>False</v>
      </c>
      <c r="K714" s="40" t="s">
        <v>18</v>
      </c>
      <c r="L714" s="36" t="s">
        <v>45</v>
      </c>
      <c r="M714" s="36">
        <v>2</v>
      </c>
      <c r="N714" s="36">
        <v>1.30895E-2</v>
      </c>
      <c r="O714" s="36">
        <v>0.2105263</v>
      </c>
    </row>
    <row r="715" spans="1:15" ht="85" x14ac:dyDescent="0.2">
      <c r="A715" s="36" t="s">
        <v>1223</v>
      </c>
      <c r="B715" s="45" t="str">
        <f>VLOOKUP(Tabella13[[#This Row],[test_id]],experiments_specs!A:J,2,FALSE)</f>
        <v>NN,VB,VBD,VBG,VBN,VBP,VBZ</v>
      </c>
      <c r="C715" s="38">
        <f>VLOOKUP(Tabella13[[#This Row],[test_id]],experiments_specs!A:J,3,FALSE)</f>
        <v>0</v>
      </c>
      <c r="D715" s="38">
        <f>VLOOKUP(Tabella13[[#This Row],[test_id]],experiments_specs!A:J,4,FALSE)</f>
        <v>2</v>
      </c>
      <c r="E715" s="38" t="str">
        <f>VLOOKUP(Tabella13[[#This Row],[test_id]],experiments_specs!A:J,5,FALSE)</f>
        <v>True</v>
      </c>
      <c r="F715" s="38" t="str">
        <f>VLOOKUP(Tabella13[[#This Row],[test_id]],experiments_specs!A:J,6,FALSE)</f>
        <v>True</v>
      </c>
      <c r="G715" s="38" t="str">
        <f>VLOOKUP(Tabella13[[#This Row],[test_id]],experiments_specs!A:J,7,FALSE)</f>
        <v>False</v>
      </c>
      <c r="H715" s="38" t="str">
        <f>VLOOKUP(Tabella13[[#This Row],[test_id]],experiments_specs!A:J,8,FALSE)</f>
        <v>False</v>
      </c>
      <c r="I715" s="38" t="str">
        <f>VLOOKUP(Tabella13[[#This Row],[test_id]],experiments_specs!A:J,9,FALSE)</f>
        <v>wup_similarity</v>
      </c>
      <c r="J715" s="38" t="str">
        <f>VLOOKUP(Tabella13[[#This Row],[test_id]],experiments_specs!A:J,10,FALSE)</f>
        <v>False</v>
      </c>
      <c r="K715" s="40" t="s">
        <v>19</v>
      </c>
      <c r="L715" s="36" t="s">
        <v>226</v>
      </c>
      <c r="M715" s="36">
        <v>4</v>
      </c>
      <c r="N715" s="36">
        <v>2.5359400000000001E-2</v>
      </c>
      <c r="O715" s="36">
        <v>0.17391300000000001</v>
      </c>
    </row>
    <row r="716" spans="1:15" ht="85" x14ac:dyDescent="0.2">
      <c r="A716" s="36" t="s">
        <v>1223</v>
      </c>
      <c r="B716" s="45" t="str">
        <f>VLOOKUP(Tabella13[[#This Row],[test_id]],experiments_specs!A:J,2,FALSE)</f>
        <v>NN,VB,VBD,VBG,VBN,VBP,VBZ</v>
      </c>
      <c r="C716" s="38">
        <f>VLOOKUP(Tabella13[[#This Row],[test_id]],experiments_specs!A:J,3,FALSE)</f>
        <v>0</v>
      </c>
      <c r="D716" s="38">
        <f>VLOOKUP(Tabella13[[#This Row],[test_id]],experiments_specs!A:J,4,FALSE)</f>
        <v>2</v>
      </c>
      <c r="E716" s="38" t="str">
        <f>VLOOKUP(Tabella13[[#This Row],[test_id]],experiments_specs!A:J,5,FALSE)</f>
        <v>True</v>
      </c>
      <c r="F716" s="38" t="str">
        <f>VLOOKUP(Tabella13[[#This Row],[test_id]],experiments_specs!A:J,6,FALSE)</f>
        <v>True</v>
      </c>
      <c r="G716" s="38" t="str">
        <f>VLOOKUP(Tabella13[[#This Row],[test_id]],experiments_specs!A:J,7,FALSE)</f>
        <v>False</v>
      </c>
      <c r="H716" s="38" t="str">
        <f>VLOOKUP(Tabella13[[#This Row],[test_id]],experiments_specs!A:J,8,FALSE)</f>
        <v>False</v>
      </c>
      <c r="I716" s="38" t="str">
        <f>VLOOKUP(Tabella13[[#This Row],[test_id]],experiments_specs!A:J,9,FALSE)</f>
        <v>wup_similarity</v>
      </c>
      <c r="J716" s="38" t="str">
        <f>VLOOKUP(Tabella13[[#This Row],[test_id]],experiments_specs!A:J,10,FALSE)</f>
        <v>False</v>
      </c>
      <c r="K716" s="40" t="s">
        <v>12</v>
      </c>
      <c r="L716" s="36" t="s">
        <v>23</v>
      </c>
      <c r="M716" s="36">
        <v>2</v>
      </c>
      <c r="N716" s="36">
        <v>3.0388499999999999E-2</v>
      </c>
      <c r="O716" s="36">
        <v>0.42857139999999999</v>
      </c>
    </row>
    <row r="717" spans="1:15" ht="85" x14ac:dyDescent="0.2">
      <c r="A717" s="36" t="s">
        <v>1223</v>
      </c>
      <c r="B717" s="45" t="str">
        <f>VLOOKUP(Tabella13[[#This Row],[test_id]],experiments_specs!A:J,2,FALSE)</f>
        <v>NN,VB,VBD,VBG,VBN,VBP,VBZ</v>
      </c>
      <c r="C717" s="38">
        <f>VLOOKUP(Tabella13[[#This Row],[test_id]],experiments_specs!A:J,3,FALSE)</f>
        <v>0</v>
      </c>
      <c r="D717" s="38">
        <f>VLOOKUP(Tabella13[[#This Row],[test_id]],experiments_specs!A:J,4,FALSE)</f>
        <v>2</v>
      </c>
      <c r="E717" s="38" t="str">
        <f>VLOOKUP(Tabella13[[#This Row],[test_id]],experiments_specs!A:J,5,FALSE)</f>
        <v>True</v>
      </c>
      <c r="F717" s="38" t="str">
        <f>VLOOKUP(Tabella13[[#This Row],[test_id]],experiments_specs!A:J,6,FALSE)</f>
        <v>True</v>
      </c>
      <c r="G717" s="38" t="str">
        <f>VLOOKUP(Tabella13[[#This Row],[test_id]],experiments_specs!A:J,7,FALSE)</f>
        <v>False</v>
      </c>
      <c r="H717" s="38" t="str">
        <f>VLOOKUP(Tabella13[[#This Row],[test_id]],experiments_specs!A:J,8,FALSE)</f>
        <v>False</v>
      </c>
      <c r="I717" s="38" t="str">
        <f>VLOOKUP(Tabella13[[#This Row],[test_id]],experiments_specs!A:J,9,FALSE)</f>
        <v>wup_similarity</v>
      </c>
      <c r="J717" s="38" t="str">
        <f>VLOOKUP(Tabella13[[#This Row],[test_id]],experiments_specs!A:J,10,FALSE)</f>
        <v>False</v>
      </c>
      <c r="K717" s="40" t="s">
        <v>13</v>
      </c>
      <c r="L717" s="36" t="s">
        <v>33</v>
      </c>
      <c r="M717" s="36">
        <v>2</v>
      </c>
      <c r="N717" s="36">
        <v>2.9100299999999999E-2</v>
      </c>
      <c r="O717" s="36">
        <v>0.4</v>
      </c>
    </row>
    <row r="718" spans="1:15" ht="85" x14ac:dyDescent="0.2">
      <c r="A718" s="36" t="s">
        <v>1223</v>
      </c>
      <c r="B718" s="45" t="str">
        <f>VLOOKUP(Tabella13[[#This Row],[test_id]],experiments_specs!A:J,2,FALSE)</f>
        <v>NN,VB,VBD,VBG,VBN,VBP,VBZ</v>
      </c>
      <c r="C718" s="38">
        <f>VLOOKUP(Tabella13[[#This Row],[test_id]],experiments_specs!A:J,3,FALSE)</f>
        <v>0</v>
      </c>
      <c r="D718" s="38">
        <f>VLOOKUP(Tabella13[[#This Row],[test_id]],experiments_specs!A:J,4,FALSE)</f>
        <v>2</v>
      </c>
      <c r="E718" s="38" t="str">
        <f>VLOOKUP(Tabella13[[#This Row],[test_id]],experiments_specs!A:J,5,FALSE)</f>
        <v>True</v>
      </c>
      <c r="F718" s="38" t="str">
        <f>VLOOKUP(Tabella13[[#This Row],[test_id]],experiments_specs!A:J,6,FALSE)</f>
        <v>True</v>
      </c>
      <c r="G718" s="38" t="str">
        <f>VLOOKUP(Tabella13[[#This Row],[test_id]],experiments_specs!A:J,7,FALSE)</f>
        <v>False</v>
      </c>
      <c r="H718" s="38" t="str">
        <f>VLOOKUP(Tabella13[[#This Row],[test_id]],experiments_specs!A:J,8,FALSE)</f>
        <v>False</v>
      </c>
      <c r="I718" s="38" t="str">
        <f>VLOOKUP(Tabella13[[#This Row],[test_id]],experiments_specs!A:J,9,FALSE)</f>
        <v>wup_similarity</v>
      </c>
      <c r="J718" s="38" t="str">
        <f>VLOOKUP(Tabella13[[#This Row],[test_id]],experiments_specs!A:J,10,FALSE)</f>
        <v>False</v>
      </c>
      <c r="K718" s="40" t="s">
        <v>14</v>
      </c>
      <c r="L718" s="36" t="s">
        <v>1329</v>
      </c>
      <c r="M718" s="36" t="s">
        <v>1331</v>
      </c>
      <c r="N718" s="36">
        <v>1.05612E-2</v>
      </c>
      <c r="O718" s="36" t="s">
        <v>1430</v>
      </c>
    </row>
    <row r="719" spans="1:15" ht="85" x14ac:dyDescent="0.2">
      <c r="A719" s="36" t="s">
        <v>1223</v>
      </c>
      <c r="B719" s="45" t="str">
        <f>VLOOKUP(Tabella13[[#This Row],[test_id]],experiments_specs!A:J,2,FALSE)</f>
        <v>NN,VB,VBD,VBG,VBN,VBP,VBZ</v>
      </c>
      <c r="C719" s="38">
        <f>VLOOKUP(Tabella13[[#This Row],[test_id]],experiments_specs!A:J,3,FALSE)</f>
        <v>0</v>
      </c>
      <c r="D719" s="38">
        <f>VLOOKUP(Tabella13[[#This Row],[test_id]],experiments_specs!A:J,4,FALSE)</f>
        <v>2</v>
      </c>
      <c r="E719" s="38" t="str">
        <f>VLOOKUP(Tabella13[[#This Row],[test_id]],experiments_specs!A:J,5,FALSE)</f>
        <v>True</v>
      </c>
      <c r="F719" s="38" t="str">
        <f>VLOOKUP(Tabella13[[#This Row],[test_id]],experiments_specs!A:J,6,FALSE)</f>
        <v>True</v>
      </c>
      <c r="G719" s="38" t="str">
        <f>VLOOKUP(Tabella13[[#This Row],[test_id]],experiments_specs!A:J,7,FALSE)</f>
        <v>False</v>
      </c>
      <c r="H719" s="38" t="str">
        <f>VLOOKUP(Tabella13[[#This Row],[test_id]],experiments_specs!A:J,8,FALSE)</f>
        <v>False</v>
      </c>
      <c r="I719" s="38" t="str">
        <f>VLOOKUP(Tabella13[[#This Row],[test_id]],experiments_specs!A:J,9,FALSE)</f>
        <v>wup_similarity</v>
      </c>
      <c r="J719" s="38" t="str">
        <f>VLOOKUP(Tabella13[[#This Row],[test_id]],experiments_specs!A:J,10,FALSE)</f>
        <v>False</v>
      </c>
      <c r="K719" s="40" t="s">
        <v>15</v>
      </c>
      <c r="L719" s="36" t="s">
        <v>27</v>
      </c>
      <c r="M719" s="36">
        <v>2</v>
      </c>
      <c r="N719" s="36">
        <v>1.00757E-2</v>
      </c>
      <c r="O719" s="36">
        <v>0.1666666</v>
      </c>
    </row>
    <row r="720" spans="1:15" ht="85" x14ac:dyDescent="0.2">
      <c r="A720" s="36" t="s">
        <v>1223</v>
      </c>
      <c r="B720" s="45" t="str">
        <f>VLOOKUP(Tabella13[[#This Row],[test_id]],experiments_specs!A:J,2,FALSE)</f>
        <v>NN,VB,VBD,VBG,VBN,VBP,VBZ</v>
      </c>
      <c r="C720" s="38">
        <f>VLOOKUP(Tabella13[[#This Row],[test_id]],experiments_specs!A:J,3,FALSE)</f>
        <v>0</v>
      </c>
      <c r="D720" s="38">
        <f>VLOOKUP(Tabella13[[#This Row],[test_id]],experiments_specs!A:J,4,FALSE)</f>
        <v>2</v>
      </c>
      <c r="E720" s="38" t="str">
        <f>VLOOKUP(Tabella13[[#This Row],[test_id]],experiments_specs!A:J,5,FALSE)</f>
        <v>True</v>
      </c>
      <c r="F720" s="38" t="str">
        <f>VLOOKUP(Tabella13[[#This Row],[test_id]],experiments_specs!A:J,6,FALSE)</f>
        <v>True</v>
      </c>
      <c r="G720" s="38" t="str">
        <f>VLOOKUP(Tabella13[[#This Row],[test_id]],experiments_specs!A:J,7,FALSE)</f>
        <v>False</v>
      </c>
      <c r="H720" s="38" t="str">
        <f>VLOOKUP(Tabella13[[#This Row],[test_id]],experiments_specs!A:J,8,FALSE)</f>
        <v>False</v>
      </c>
      <c r="I720" s="38" t="str">
        <f>VLOOKUP(Tabella13[[#This Row],[test_id]],experiments_specs!A:J,9,FALSE)</f>
        <v>wup_similarity</v>
      </c>
      <c r="J720" s="38" t="str">
        <f>VLOOKUP(Tabella13[[#This Row],[test_id]],experiments_specs!A:J,10,FALSE)</f>
        <v>False</v>
      </c>
      <c r="K720" s="40" t="s">
        <v>16</v>
      </c>
      <c r="L720" s="36" t="s">
        <v>1333</v>
      </c>
      <c r="M720" s="36" t="s">
        <v>1314</v>
      </c>
      <c r="N720" s="36">
        <v>1.91366E-2</v>
      </c>
      <c r="O720" s="36" t="s">
        <v>1432</v>
      </c>
    </row>
    <row r="721" spans="1:15" ht="85" x14ac:dyDescent="0.2">
      <c r="A721" s="36" t="s">
        <v>1223</v>
      </c>
      <c r="B721" s="45" t="str">
        <f>VLOOKUP(Tabella13[[#This Row],[test_id]],experiments_specs!A:J,2,FALSE)</f>
        <v>NN,VB,VBD,VBG,VBN,VBP,VBZ</v>
      </c>
      <c r="C721" s="38">
        <f>VLOOKUP(Tabella13[[#This Row],[test_id]],experiments_specs!A:J,3,FALSE)</f>
        <v>0</v>
      </c>
      <c r="D721" s="38">
        <f>VLOOKUP(Tabella13[[#This Row],[test_id]],experiments_specs!A:J,4,FALSE)</f>
        <v>2</v>
      </c>
      <c r="E721" s="38" t="str">
        <f>VLOOKUP(Tabella13[[#This Row],[test_id]],experiments_specs!A:J,5,FALSE)</f>
        <v>True</v>
      </c>
      <c r="F721" s="38" t="str">
        <f>VLOOKUP(Tabella13[[#This Row],[test_id]],experiments_specs!A:J,6,FALSE)</f>
        <v>True</v>
      </c>
      <c r="G721" s="38" t="str">
        <f>VLOOKUP(Tabella13[[#This Row],[test_id]],experiments_specs!A:J,7,FALSE)</f>
        <v>False</v>
      </c>
      <c r="H721" s="38" t="str">
        <f>VLOOKUP(Tabella13[[#This Row],[test_id]],experiments_specs!A:J,8,FALSE)</f>
        <v>False</v>
      </c>
      <c r="I721" s="38" t="str">
        <f>VLOOKUP(Tabella13[[#This Row],[test_id]],experiments_specs!A:J,9,FALSE)</f>
        <v>wup_similarity</v>
      </c>
      <c r="J721" s="38" t="str">
        <f>VLOOKUP(Tabella13[[#This Row],[test_id]],experiments_specs!A:J,10,FALSE)</f>
        <v>False</v>
      </c>
      <c r="K721" s="40" t="s">
        <v>17</v>
      </c>
      <c r="L721" s="36" t="s">
        <v>1327</v>
      </c>
      <c r="M721" s="36" t="s">
        <v>1314</v>
      </c>
      <c r="N721" s="36">
        <v>3.50689E-2</v>
      </c>
      <c r="O721" s="36" t="s">
        <v>1432</v>
      </c>
    </row>
    <row r="722" spans="1:15" ht="85" x14ac:dyDescent="0.2">
      <c r="A722" s="36" t="s">
        <v>1223</v>
      </c>
      <c r="B722" s="45" t="str">
        <f>VLOOKUP(Tabella13[[#This Row],[test_id]],experiments_specs!A:J,2,FALSE)</f>
        <v>NN,VB,VBD,VBG,VBN,VBP,VBZ</v>
      </c>
      <c r="C722" s="38">
        <f>VLOOKUP(Tabella13[[#This Row],[test_id]],experiments_specs!A:J,3,FALSE)</f>
        <v>0</v>
      </c>
      <c r="D722" s="38">
        <f>VLOOKUP(Tabella13[[#This Row],[test_id]],experiments_specs!A:J,4,FALSE)</f>
        <v>2</v>
      </c>
      <c r="E722" s="38" t="str">
        <f>VLOOKUP(Tabella13[[#This Row],[test_id]],experiments_specs!A:J,5,FALSE)</f>
        <v>True</v>
      </c>
      <c r="F722" s="38" t="str">
        <f>VLOOKUP(Tabella13[[#This Row],[test_id]],experiments_specs!A:J,6,FALSE)</f>
        <v>True</v>
      </c>
      <c r="G722" s="38" t="str">
        <f>VLOOKUP(Tabella13[[#This Row],[test_id]],experiments_specs!A:J,7,FALSE)</f>
        <v>False</v>
      </c>
      <c r="H722" s="38" t="str">
        <f>VLOOKUP(Tabella13[[#This Row],[test_id]],experiments_specs!A:J,8,FALSE)</f>
        <v>False</v>
      </c>
      <c r="I722" s="38" t="str">
        <f>VLOOKUP(Tabella13[[#This Row],[test_id]],experiments_specs!A:J,9,FALSE)</f>
        <v>wup_similarity</v>
      </c>
      <c r="J722" s="38" t="str">
        <f>VLOOKUP(Tabella13[[#This Row],[test_id]],experiments_specs!A:J,10,FALSE)</f>
        <v>False</v>
      </c>
      <c r="K722" s="40" t="s">
        <v>18</v>
      </c>
      <c r="L722" s="36" t="s">
        <v>45</v>
      </c>
      <c r="M722" s="36">
        <v>2</v>
      </c>
      <c r="N722" s="36">
        <v>1.00217E-2</v>
      </c>
      <c r="O722" s="36">
        <v>0.2105263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1B2E2-7A1C-E848-889B-6AD1478CF743}">
  <sheetPr codeName="Foglio8"/>
  <dimension ref="B1:R495"/>
  <sheetViews>
    <sheetView topLeftCell="F429" workbookViewId="0">
      <selection activeCell="I9" sqref="I9"/>
    </sheetView>
  </sheetViews>
  <sheetFormatPr baseColWidth="10" defaultColWidth="19.6640625" defaultRowHeight="16" x14ac:dyDescent="0.2"/>
  <cols>
    <col min="1" max="1" width="1.6640625" customWidth="1"/>
    <col min="4" max="4" width="1.83203125" customWidth="1"/>
    <col min="6" max="6" width="22.6640625" customWidth="1"/>
    <col min="7" max="7" width="5" bestFit="1" customWidth="1"/>
    <col min="8" max="8" width="12.1640625" bestFit="1" customWidth="1"/>
    <col min="12" max="12" width="13.83203125" customWidth="1"/>
    <col min="13" max="13" width="3" customWidth="1"/>
    <col min="16" max="16" width="5" bestFit="1" customWidth="1"/>
    <col min="17" max="17" width="12.1640625" bestFit="1" customWidth="1"/>
    <col min="18" max="18" width="9.1640625" bestFit="1" customWidth="1"/>
  </cols>
  <sheetData>
    <row r="1" spans="2:18" ht="17" thickBot="1" x14ac:dyDescent="0.25"/>
    <row r="2" spans="2:18" ht="20" thickBot="1" x14ac:dyDescent="0.3">
      <c r="B2" s="13" t="s">
        <v>126</v>
      </c>
      <c r="C2" s="14"/>
      <c r="D2" s="9"/>
      <c r="E2" s="10" t="s">
        <v>1305</v>
      </c>
      <c r="F2" s="41" t="s">
        <v>1306</v>
      </c>
      <c r="G2" s="41"/>
      <c r="H2" s="41"/>
      <c r="I2" s="41"/>
      <c r="K2" s="13" t="s">
        <v>126</v>
      </c>
      <c r="L2" s="14"/>
      <c r="M2" s="9"/>
      <c r="N2" s="10" t="str">
        <f>"TEST_"&amp;TEXT(RIGHT(E2,2)+1, "00")</f>
        <v>TEST_92</v>
      </c>
      <c r="O2" s="41" t="s">
        <v>1306</v>
      </c>
      <c r="P2" s="41"/>
      <c r="Q2" s="41"/>
      <c r="R2" s="41"/>
    </row>
    <row r="3" spans="2:18" x14ac:dyDescent="0.2">
      <c r="B3" s="11" t="s">
        <v>1</v>
      </c>
      <c r="C3" s="12" t="str">
        <f>VLOOKUP(LOWER(E2),experiments_specs!$A:$J,2,FALSE)</f>
        <v>NN,JJ</v>
      </c>
      <c r="D3" s="15" t="str">
        <f>"{"&amp;LOWER(E2)&amp;".csv}"</f>
        <v>{test_91.csv}</v>
      </c>
      <c r="E3" s="8" t="s">
        <v>118</v>
      </c>
      <c r="F3" s="3" t="s">
        <v>1307</v>
      </c>
      <c r="G3" s="3" t="s">
        <v>1308</v>
      </c>
      <c r="H3" s="3" t="s">
        <v>178</v>
      </c>
      <c r="I3" s="29" t="s">
        <v>121</v>
      </c>
      <c r="K3" s="11" t="s">
        <v>1</v>
      </c>
      <c r="L3" s="12" t="str">
        <f>VLOOKUP(LOWER(N2),experiments_specs!$A:$J,2,FALSE)</f>
        <v>NN,JJ</v>
      </c>
      <c r="M3" s="15" t="str">
        <f>"{"&amp;LOWER(N2)&amp;".csv}"</f>
        <v>{test_92.csv}</v>
      </c>
      <c r="N3" s="8" t="s">
        <v>118</v>
      </c>
      <c r="O3" s="3" t="s">
        <v>1307</v>
      </c>
      <c r="P3" s="3" t="s">
        <v>1308</v>
      </c>
      <c r="Q3" s="3" t="s">
        <v>178</v>
      </c>
      <c r="R3" s="29" t="s">
        <v>121</v>
      </c>
    </row>
    <row r="4" spans="2:18" ht="68" x14ac:dyDescent="0.2">
      <c r="B4" s="11" t="s">
        <v>2</v>
      </c>
      <c r="C4" s="12">
        <f>VLOOKUP(LOWER(E2),experiments_specs!$A:$J,3,FALSE)</f>
        <v>0</v>
      </c>
      <c r="D4" s="15" t="s">
        <v>1215</v>
      </c>
      <c r="E4" s="5" t="s">
        <v>19</v>
      </c>
      <c r="F4" s="17" t="s">
        <v>1311</v>
      </c>
      <c r="G4" s="17" t="s">
        <v>1313</v>
      </c>
      <c r="H4" s="17">
        <v>2.807967720417609E-3</v>
      </c>
      <c r="I4" s="50" t="s">
        <v>1315</v>
      </c>
      <c r="K4" s="11" t="s">
        <v>2</v>
      </c>
      <c r="L4" s="12">
        <f>VLOOKUP(LOWER(N2),experiments_specs!$A:$J,3,FALSE)</f>
        <v>0</v>
      </c>
      <c r="M4" s="15" t="s">
        <v>1216</v>
      </c>
      <c r="N4" s="5" t="s">
        <v>19</v>
      </c>
      <c r="O4" s="17" t="s">
        <v>1311</v>
      </c>
      <c r="P4" s="17" t="s">
        <v>1313</v>
      </c>
      <c r="Q4" s="17">
        <v>2.8078999999999999E-3</v>
      </c>
      <c r="R4" s="50" t="s">
        <v>1433</v>
      </c>
    </row>
    <row r="5" spans="2:18" x14ac:dyDescent="0.2">
      <c r="B5" s="11" t="s">
        <v>3</v>
      </c>
      <c r="C5" s="12">
        <f>VLOOKUP(LOWER(E2),experiments_specs!$A:$J,4,FALSE)</f>
        <v>2</v>
      </c>
      <c r="D5" s="15" t="s">
        <v>1215</v>
      </c>
      <c r="E5" s="6" t="s">
        <v>12</v>
      </c>
      <c r="F5" s="19" t="s">
        <v>23</v>
      </c>
      <c r="G5" s="19">
        <v>2</v>
      </c>
      <c r="H5" s="19">
        <v>5.2849634600686431E-3</v>
      </c>
      <c r="I5" s="31">
        <v>0.42857142857142855</v>
      </c>
      <c r="K5" s="11" t="s">
        <v>3</v>
      </c>
      <c r="L5" s="12">
        <f>VLOOKUP(LOWER(N2),experiments_specs!$A:$J,4,FALSE)</f>
        <v>3</v>
      </c>
      <c r="M5" s="15" t="s">
        <v>1216</v>
      </c>
      <c r="N5" s="6" t="s">
        <v>12</v>
      </c>
      <c r="O5" s="19" t="s">
        <v>23</v>
      </c>
      <c r="P5" s="19">
        <v>2</v>
      </c>
      <c r="Q5" s="19">
        <v>5.2849000000000004E-3</v>
      </c>
      <c r="R5" s="31">
        <v>0.42857139999999999</v>
      </c>
    </row>
    <row r="6" spans="2:18" x14ac:dyDescent="0.2">
      <c r="B6" s="11" t="s">
        <v>4</v>
      </c>
      <c r="C6" s="12" t="str">
        <f>VLOOKUP(LOWER(E2),experiments_specs!$A:$J,5,FALSE)</f>
        <v>False</v>
      </c>
      <c r="D6" s="15" t="s">
        <v>1215</v>
      </c>
      <c r="E6" s="6" t="s">
        <v>13</v>
      </c>
      <c r="F6" s="19" t="s">
        <v>1317</v>
      </c>
      <c r="G6" s="19">
        <v>3</v>
      </c>
      <c r="H6" s="19">
        <v>6.9795008830720534E-3</v>
      </c>
      <c r="I6" s="31" t="s">
        <v>25</v>
      </c>
      <c r="K6" s="11" t="s">
        <v>4</v>
      </c>
      <c r="L6" s="12" t="str">
        <f>VLOOKUP(LOWER(N2),experiments_specs!$A:$J,5,FALSE)</f>
        <v>False</v>
      </c>
      <c r="M6" s="15" t="s">
        <v>1216</v>
      </c>
      <c r="N6" s="6" t="s">
        <v>13</v>
      </c>
      <c r="O6" s="19" t="s">
        <v>1317</v>
      </c>
      <c r="P6" s="19">
        <v>3</v>
      </c>
      <c r="Q6" s="19">
        <v>6.9794999999999996E-3</v>
      </c>
      <c r="R6" s="31" t="s">
        <v>25</v>
      </c>
    </row>
    <row r="7" spans="2:18" ht="68" x14ac:dyDescent="0.2">
      <c r="B7" s="11" t="s">
        <v>5</v>
      </c>
      <c r="C7" s="12" t="str">
        <f>VLOOKUP(LOWER(E2),experiments_specs!$A:$J,6,FALSE)</f>
        <v>True</v>
      </c>
      <c r="D7" s="15" t="s">
        <v>1215</v>
      </c>
      <c r="E7" s="6" t="s">
        <v>14</v>
      </c>
      <c r="F7" s="18" t="s">
        <v>1318</v>
      </c>
      <c r="G7" s="18" t="s">
        <v>1313</v>
      </c>
      <c r="H7" s="19">
        <v>4.2996133803461086E-3</v>
      </c>
      <c r="I7" s="51" t="s">
        <v>1320</v>
      </c>
      <c r="K7" s="11" t="s">
        <v>5</v>
      </c>
      <c r="L7" s="12" t="str">
        <f>VLOOKUP(LOWER(N2),experiments_specs!$A:$J,6,FALSE)</f>
        <v>True</v>
      </c>
      <c r="M7" s="15" t="s">
        <v>1216</v>
      </c>
      <c r="N7" s="6" t="s">
        <v>14</v>
      </c>
      <c r="O7" s="18" t="s">
        <v>1318</v>
      </c>
      <c r="P7" s="18" t="s">
        <v>1313</v>
      </c>
      <c r="Q7" s="19">
        <v>4.2995999999999998E-3</v>
      </c>
      <c r="R7" s="51" t="s">
        <v>1435</v>
      </c>
    </row>
    <row r="8" spans="2:18" x14ac:dyDescent="0.2">
      <c r="B8" s="11" t="s">
        <v>6</v>
      </c>
      <c r="C8" s="12" t="str">
        <f>VLOOKUP(LOWER(E2),experiments_specs!$A:$J,7,FALSE)</f>
        <v>False</v>
      </c>
      <c r="D8" s="15" t="s">
        <v>1215</v>
      </c>
      <c r="E8" s="6" t="s">
        <v>15</v>
      </c>
      <c r="F8" s="19" t="s">
        <v>293</v>
      </c>
      <c r="G8" s="19">
        <v>1</v>
      </c>
      <c r="H8" s="19">
        <v>4.3425717871683617E-3</v>
      </c>
      <c r="I8" s="31">
        <v>0.90909090909090906</v>
      </c>
      <c r="K8" s="11" t="s">
        <v>6</v>
      </c>
      <c r="L8" s="12" t="str">
        <f>VLOOKUP(LOWER(N2),experiments_specs!$A:$J,7,FALSE)</f>
        <v>False</v>
      </c>
      <c r="M8" s="15" t="s">
        <v>1216</v>
      </c>
      <c r="N8" s="6" t="s">
        <v>15</v>
      </c>
      <c r="O8" s="19" t="s">
        <v>293</v>
      </c>
      <c r="P8" s="19">
        <v>1</v>
      </c>
      <c r="Q8" s="19">
        <v>4.3425E-3</v>
      </c>
      <c r="R8" s="31">
        <v>0.90909090000000004</v>
      </c>
    </row>
    <row r="9" spans="2:18" x14ac:dyDescent="0.2">
      <c r="B9" s="11" t="s">
        <v>7</v>
      </c>
      <c r="C9" s="12" t="str">
        <f>VLOOKUP(LOWER(E2),experiments_specs!$A:$J,8,FALSE)</f>
        <v>False</v>
      </c>
      <c r="D9" s="15" t="s">
        <v>1215</v>
      </c>
      <c r="E9" s="6" t="s">
        <v>16</v>
      </c>
      <c r="F9" s="19" t="s">
        <v>209</v>
      </c>
      <c r="G9" s="19">
        <v>2</v>
      </c>
      <c r="H9" s="19">
        <v>2.9522152250200432E-3</v>
      </c>
      <c r="I9" s="31">
        <v>0.55555555555555558</v>
      </c>
      <c r="K9" s="11" t="s">
        <v>7</v>
      </c>
      <c r="L9" s="12" t="str">
        <f>VLOOKUP(LOWER(N2),experiments_specs!$A:$J,8,FALSE)</f>
        <v>False</v>
      </c>
      <c r="M9" s="15" t="s">
        <v>1216</v>
      </c>
      <c r="N9" s="6" t="s">
        <v>16</v>
      </c>
      <c r="O9" s="19" t="s">
        <v>209</v>
      </c>
      <c r="P9" s="19">
        <v>2</v>
      </c>
      <c r="Q9" s="19">
        <v>2.9521999999999999E-3</v>
      </c>
      <c r="R9" s="31">
        <v>0.55555549999999998</v>
      </c>
    </row>
    <row r="10" spans="2:18" x14ac:dyDescent="0.2">
      <c r="B10" s="11" t="s">
        <v>8</v>
      </c>
      <c r="C10" s="12" t="str">
        <f>VLOOKUP(LOWER(E2),experiments_specs!$A:$J,9,FALSE)</f>
        <v>wup_similarity</v>
      </c>
      <c r="D10" s="15" t="s">
        <v>1215</v>
      </c>
      <c r="E10" s="6" t="s">
        <v>17</v>
      </c>
      <c r="F10" s="19" t="s">
        <v>219</v>
      </c>
      <c r="G10" s="19">
        <v>2</v>
      </c>
      <c r="H10" s="19">
        <v>2.7277236279499052E-3</v>
      </c>
      <c r="I10" s="31">
        <v>0.13333333333333333</v>
      </c>
      <c r="K10" s="11" t="s">
        <v>8</v>
      </c>
      <c r="L10" s="12" t="str">
        <f>VLOOKUP(LOWER(N2),experiments_specs!$A:$J,9,FALSE)</f>
        <v>wup_similarity</v>
      </c>
      <c r="M10" s="15" t="s">
        <v>1216</v>
      </c>
      <c r="N10" s="6" t="s">
        <v>17</v>
      </c>
      <c r="O10" s="19" t="s">
        <v>219</v>
      </c>
      <c r="P10" s="19">
        <v>2</v>
      </c>
      <c r="Q10" s="19">
        <v>2.7277E-3</v>
      </c>
      <c r="R10" s="31">
        <v>0.13333329999999999</v>
      </c>
    </row>
    <row r="11" spans="2:18" ht="68" x14ac:dyDescent="0.2">
      <c r="B11" s="11" t="s">
        <v>9</v>
      </c>
      <c r="C11" s="12" t="str">
        <f>VLOOKUP(LOWER(E2),experiments_specs!$A:$J,10,FALSE)</f>
        <v>False</v>
      </c>
      <c r="D11" s="15" t="s">
        <v>1215</v>
      </c>
      <c r="E11" s="7" t="s">
        <v>18</v>
      </c>
      <c r="F11" s="49" t="s">
        <v>1322</v>
      </c>
      <c r="G11" s="49" t="s">
        <v>1313</v>
      </c>
      <c r="H11" s="20">
        <v>2.2725512037831052E-3</v>
      </c>
      <c r="I11" s="52" t="s">
        <v>1324</v>
      </c>
      <c r="K11" s="11" t="s">
        <v>9</v>
      </c>
      <c r="L11" s="12" t="str">
        <f>VLOOKUP(LOWER(N2),experiments_specs!$A:$J,10,FALSE)</f>
        <v>False</v>
      </c>
      <c r="M11" s="15" t="s">
        <v>1216</v>
      </c>
      <c r="N11" s="7" t="s">
        <v>18</v>
      </c>
      <c r="O11" s="49" t="s">
        <v>1322</v>
      </c>
      <c r="P11" s="49" t="s">
        <v>1313</v>
      </c>
      <c r="Q11" s="20">
        <v>2.2725000000000002E-3</v>
      </c>
      <c r="R11" s="52" t="s">
        <v>1437</v>
      </c>
    </row>
    <row r="12" spans="2:18" ht="17" thickBot="1" x14ac:dyDescent="0.25"/>
    <row r="13" spans="2:18" ht="20" thickBot="1" x14ac:dyDescent="0.3">
      <c r="B13" s="13" t="s">
        <v>126</v>
      </c>
      <c r="C13" s="14"/>
      <c r="D13" s="9"/>
      <c r="E13" s="10" t="str">
        <f>"TEST_"&amp;TEXT(RIGHT(N2,2)+1, "00")</f>
        <v>TEST_93</v>
      </c>
      <c r="F13" s="41" t="s">
        <v>1306</v>
      </c>
      <c r="G13" s="41"/>
      <c r="H13" s="41"/>
      <c r="I13" s="41"/>
      <c r="K13" s="13" t="s">
        <v>126</v>
      </c>
      <c r="L13" s="14"/>
      <c r="M13" s="9"/>
      <c r="N13" s="10" t="str">
        <f>"TEST_"&amp;TEXT(RIGHT(E13,2)+1, "00")</f>
        <v>TEST_94</v>
      </c>
      <c r="O13" s="41" t="s">
        <v>1306</v>
      </c>
      <c r="P13" s="41"/>
      <c r="Q13" s="41"/>
      <c r="R13" s="41"/>
    </row>
    <row r="14" spans="2:18" x14ac:dyDescent="0.2">
      <c r="B14" s="11" t="s">
        <v>1</v>
      </c>
      <c r="C14" s="12" t="str">
        <f>VLOOKUP(LOWER(E13),experiments_specs!$A:$J,2,FALSE)</f>
        <v>NN,VB,VBD,VBG,VBN,VBP,VBZ</v>
      </c>
      <c r="D14" s="15" t="str">
        <f>"{"&amp;LOWER(E13)&amp;".csv}"</f>
        <v>{test_93.csv}</v>
      </c>
      <c r="E14" s="8" t="s">
        <v>118</v>
      </c>
      <c r="F14" s="3" t="s">
        <v>1307</v>
      </c>
      <c r="G14" s="3"/>
      <c r="H14" s="3" t="s">
        <v>178</v>
      </c>
      <c r="I14" s="29" t="s">
        <v>121</v>
      </c>
      <c r="K14" s="11" t="s">
        <v>1</v>
      </c>
      <c r="L14" s="12" t="str">
        <f>VLOOKUP(LOWER(N13),experiments_specs!$A:$J,2,FALSE)</f>
        <v>NN,VB,VBD,VBG,VBN,VBP,VBZ</v>
      </c>
      <c r="M14" s="15" t="str">
        <f>"{"&amp;LOWER(N13)&amp;".csv}"</f>
        <v>{test_94.csv}</v>
      </c>
      <c r="N14" s="8" t="s">
        <v>118</v>
      </c>
      <c r="O14" s="3" t="s">
        <v>1307</v>
      </c>
      <c r="P14" s="3"/>
      <c r="Q14" s="3" t="s">
        <v>178</v>
      </c>
      <c r="R14" s="29" t="s">
        <v>121</v>
      </c>
    </row>
    <row r="15" spans="2:18" ht="17" x14ac:dyDescent="0.2">
      <c r="B15" s="11" t="s">
        <v>2</v>
      </c>
      <c r="C15" s="12">
        <f>VLOOKUP(LOWER(E13),experiments_specs!$A:$J,3,FALSE)</f>
        <v>0</v>
      </c>
      <c r="D15" s="15" t="s">
        <v>1217</v>
      </c>
      <c r="E15" s="5" t="s">
        <v>19</v>
      </c>
      <c r="F15" s="17" t="s">
        <v>226</v>
      </c>
      <c r="G15" s="17">
        <v>3</v>
      </c>
      <c r="H15" s="17">
        <v>2.5639E-3</v>
      </c>
      <c r="I15" s="30">
        <v>0.17391300000000001</v>
      </c>
      <c r="K15" s="11" t="s">
        <v>2</v>
      </c>
      <c r="L15" s="12">
        <f>VLOOKUP(LOWER(N13),experiments_specs!$A:$J,3,FALSE)</f>
        <v>0</v>
      </c>
      <c r="M15" s="15" t="s">
        <v>1218</v>
      </c>
      <c r="N15" s="5" t="s">
        <v>19</v>
      </c>
      <c r="O15" s="17" t="s">
        <v>226</v>
      </c>
      <c r="P15" s="17">
        <v>3</v>
      </c>
      <c r="Q15" s="17">
        <v>2.5639E-3</v>
      </c>
      <c r="R15" s="30">
        <v>0.17391300000000001</v>
      </c>
    </row>
    <row r="16" spans="2:18" x14ac:dyDescent="0.2">
      <c r="B16" s="11" t="s">
        <v>3</v>
      </c>
      <c r="C16" s="12">
        <f>VLOOKUP(LOWER(E13),experiments_specs!$A:$J,4,FALSE)</f>
        <v>2</v>
      </c>
      <c r="D16" s="15" t="s">
        <v>1217</v>
      </c>
      <c r="E16" s="6" t="s">
        <v>12</v>
      </c>
      <c r="F16" s="19" t="s">
        <v>236</v>
      </c>
      <c r="G16" s="19">
        <v>2</v>
      </c>
      <c r="H16" s="19">
        <v>4.2827000000000004E-3</v>
      </c>
      <c r="I16" s="31">
        <v>0.125</v>
      </c>
      <c r="K16" s="11" t="s">
        <v>3</v>
      </c>
      <c r="L16" s="12">
        <f>VLOOKUP(LOWER(N13),experiments_specs!$A:$J,4,FALSE)</f>
        <v>3</v>
      </c>
      <c r="M16" s="15" t="s">
        <v>1218</v>
      </c>
      <c r="N16" s="6" t="s">
        <v>12</v>
      </c>
      <c r="O16" s="19" t="s">
        <v>236</v>
      </c>
      <c r="P16" s="19">
        <v>2</v>
      </c>
      <c r="Q16" s="19">
        <v>4.2827000000000004E-3</v>
      </c>
      <c r="R16" s="31">
        <v>0.125</v>
      </c>
    </row>
    <row r="17" spans="2:18" x14ac:dyDescent="0.2">
      <c r="B17" s="11" t="s">
        <v>4</v>
      </c>
      <c r="C17" s="12" t="str">
        <f>VLOOKUP(LOWER(E13),experiments_specs!$A:$J,5,FALSE)</f>
        <v>False</v>
      </c>
      <c r="D17" s="15" t="s">
        <v>1217</v>
      </c>
      <c r="E17" s="6" t="s">
        <v>13</v>
      </c>
      <c r="F17" s="19" t="s">
        <v>1317</v>
      </c>
      <c r="G17" s="19">
        <v>3</v>
      </c>
      <c r="H17" s="19">
        <v>6.3826999999999998E-3</v>
      </c>
      <c r="I17" s="31" t="s">
        <v>25</v>
      </c>
      <c r="K17" s="11" t="s">
        <v>4</v>
      </c>
      <c r="L17" s="12" t="str">
        <f>VLOOKUP(LOWER(N13),experiments_specs!$A:$J,5,FALSE)</f>
        <v>False</v>
      </c>
      <c r="M17" s="15" t="s">
        <v>1218</v>
      </c>
      <c r="N17" s="6" t="s">
        <v>13</v>
      </c>
      <c r="O17" s="19" t="s">
        <v>1317</v>
      </c>
      <c r="P17" s="19">
        <v>3</v>
      </c>
      <c r="Q17" s="19">
        <v>6.3826999999999998E-3</v>
      </c>
      <c r="R17" s="31" t="s">
        <v>25</v>
      </c>
    </row>
    <row r="18" spans="2:18" ht="68" x14ac:dyDescent="0.2">
      <c r="B18" s="11" t="s">
        <v>5</v>
      </c>
      <c r="C18" s="12" t="str">
        <f>VLOOKUP(LOWER(E13),experiments_specs!$A:$J,6,FALSE)</f>
        <v>True</v>
      </c>
      <c r="D18" s="15" t="s">
        <v>1217</v>
      </c>
      <c r="E18" s="6" t="s">
        <v>14</v>
      </c>
      <c r="F18" s="18" t="s">
        <v>1318</v>
      </c>
      <c r="G18" s="18" t="s">
        <v>1313</v>
      </c>
      <c r="H18" s="19">
        <v>3.7028999999999999E-3</v>
      </c>
      <c r="I18" s="51" t="s">
        <v>1435</v>
      </c>
      <c r="K18" s="11" t="s">
        <v>5</v>
      </c>
      <c r="L18" s="12" t="str">
        <f>VLOOKUP(LOWER(N13),experiments_specs!$A:$J,6,FALSE)</f>
        <v>True</v>
      </c>
      <c r="M18" s="15" t="s">
        <v>1218</v>
      </c>
      <c r="N18" s="6" t="s">
        <v>14</v>
      </c>
      <c r="O18" s="18" t="s">
        <v>1318</v>
      </c>
      <c r="P18" s="18" t="s">
        <v>1313</v>
      </c>
      <c r="Q18" s="19">
        <v>3.7028999999999999E-3</v>
      </c>
      <c r="R18" s="51" t="s">
        <v>1435</v>
      </c>
    </row>
    <row r="19" spans="2:18" x14ac:dyDescent="0.2">
      <c r="B19" s="11" t="s">
        <v>6</v>
      </c>
      <c r="C19" s="12" t="str">
        <f>VLOOKUP(LOWER(E13),experiments_specs!$A:$J,7,FALSE)</f>
        <v>False</v>
      </c>
      <c r="D19" s="15" t="s">
        <v>1217</v>
      </c>
      <c r="E19" s="6" t="s">
        <v>15</v>
      </c>
      <c r="F19" s="19" t="s">
        <v>238</v>
      </c>
      <c r="G19" s="19">
        <v>2</v>
      </c>
      <c r="H19" s="19">
        <v>2.7751999999999998E-3</v>
      </c>
      <c r="I19" s="31">
        <v>0.2</v>
      </c>
      <c r="K19" s="11" t="s">
        <v>6</v>
      </c>
      <c r="L19" s="12" t="str">
        <f>VLOOKUP(LOWER(N13),experiments_specs!$A:$J,7,FALSE)</f>
        <v>False</v>
      </c>
      <c r="M19" s="15" t="s">
        <v>1218</v>
      </c>
      <c r="N19" s="6" t="s">
        <v>15</v>
      </c>
      <c r="O19" s="19" t="s">
        <v>238</v>
      </c>
      <c r="P19" s="19">
        <v>2</v>
      </c>
      <c r="Q19" s="19">
        <v>2.7751999999999998E-3</v>
      </c>
      <c r="R19" s="31">
        <v>0.2</v>
      </c>
    </row>
    <row r="20" spans="2:18" x14ac:dyDescent="0.2">
      <c r="B20" s="11" t="s">
        <v>7</v>
      </c>
      <c r="C20" s="12" t="str">
        <f>VLOOKUP(LOWER(E13),experiments_specs!$A:$J,8,FALSE)</f>
        <v>False</v>
      </c>
      <c r="D20" s="15" t="s">
        <v>1217</v>
      </c>
      <c r="E20" s="6" t="s">
        <v>16</v>
      </c>
      <c r="F20" s="19" t="s">
        <v>209</v>
      </c>
      <c r="G20" s="19">
        <v>2</v>
      </c>
      <c r="H20" s="19">
        <v>3.2967000000000001E-3</v>
      </c>
      <c r="I20" s="31">
        <v>0.55555549999999998</v>
      </c>
      <c r="K20" s="11" t="s">
        <v>7</v>
      </c>
      <c r="L20" s="12" t="str">
        <f>VLOOKUP(LOWER(N13),experiments_specs!$A:$J,8,FALSE)</f>
        <v>False</v>
      </c>
      <c r="M20" s="15" t="s">
        <v>1218</v>
      </c>
      <c r="N20" s="6" t="s">
        <v>16</v>
      </c>
      <c r="O20" s="19" t="s">
        <v>209</v>
      </c>
      <c r="P20" s="19">
        <v>2</v>
      </c>
      <c r="Q20" s="19">
        <v>3.2967000000000001E-3</v>
      </c>
      <c r="R20" s="31">
        <v>0.55555549999999998</v>
      </c>
    </row>
    <row r="21" spans="2:18" ht="68" x14ac:dyDescent="0.2">
      <c r="B21" s="11" t="s">
        <v>8</v>
      </c>
      <c r="C21" s="12" t="str">
        <f>VLOOKUP(LOWER(E13),experiments_specs!$A:$J,9,FALSE)</f>
        <v>wup_similarity</v>
      </c>
      <c r="D21" s="15" t="s">
        <v>1217</v>
      </c>
      <c r="E21" s="6" t="s">
        <v>17</v>
      </c>
      <c r="F21" s="18" t="s">
        <v>1326</v>
      </c>
      <c r="G21" s="18" t="s">
        <v>1313</v>
      </c>
      <c r="H21" s="19">
        <v>2.9729999999999999E-3</v>
      </c>
      <c r="I21" s="51" t="s">
        <v>1431</v>
      </c>
      <c r="K21" s="11" t="s">
        <v>8</v>
      </c>
      <c r="L21" s="12" t="str">
        <f>VLOOKUP(LOWER(N13),experiments_specs!$A:$J,9,FALSE)</f>
        <v>wup_similarity</v>
      </c>
      <c r="M21" s="15" t="s">
        <v>1218</v>
      </c>
      <c r="N21" s="6" t="s">
        <v>17</v>
      </c>
      <c r="O21" s="18" t="s">
        <v>1326</v>
      </c>
      <c r="P21" s="18" t="s">
        <v>1313</v>
      </c>
      <c r="Q21" s="19">
        <v>2.9729999999999999E-3</v>
      </c>
      <c r="R21" s="51" t="s">
        <v>1431</v>
      </c>
    </row>
    <row r="22" spans="2:18" ht="68" x14ac:dyDescent="0.2">
      <c r="B22" s="11" t="s">
        <v>9</v>
      </c>
      <c r="C22" s="12" t="str">
        <f>VLOOKUP(LOWER(E13),experiments_specs!$A:$J,10,FALSE)</f>
        <v>False</v>
      </c>
      <c r="D22" s="15" t="s">
        <v>1217</v>
      </c>
      <c r="E22" s="7" t="s">
        <v>18</v>
      </c>
      <c r="F22" s="49" t="s">
        <v>1322</v>
      </c>
      <c r="G22" s="49" t="s">
        <v>1313</v>
      </c>
      <c r="H22" s="20">
        <v>1.5208999999999999E-3</v>
      </c>
      <c r="I22" s="52" t="s">
        <v>1437</v>
      </c>
      <c r="K22" s="11" t="s">
        <v>9</v>
      </c>
      <c r="L22" s="12" t="str">
        <f>VLOOKUP(LOWER(N13),experiments_specs!$A:$J,10,FALSE)</f>
        <v>False</v>
      </c>
      <c r="M22" s="15" t="s">
        <v>1218</v>
      </c>
      <c r="N22" s="7" t="s">
        <v>18</v>
      </c>
      <c r="O22" s="49" t="s">
        <v>1322</v>
      </c>
      <c r="P22" s="49" t="s">
        <v>1313</v>
      </c>
      <c r="Q22" s="20">
        <v>1.5208999999999999E-3</v>
      </c>
      <c r="R22" s="52" t="s">
        <v>1437</v>
      </c>
    </row>
    <row r="23" spans="2:18" ht="17" thickBot="1" x14ac:dyDescent="0.25"/>
    <row r="24" spans="2:18" ht="20" thickBot="1" x14ac:dyDescent="0.3">
      <c r="B24" s="13" t="s">
        <v>126</v>
      </c>
      <c r="C24" s="14"/>
      <c r="D24" s="9"/>
      <c r="E24" s="10" t="str">
        <f>"TEST_"&amp;TEXT(RIGHT(N13,2)+1, "00")</f>
        <v>TEST_95</v>
      </c>
      <c r="F24" s="41" t="s">
        <v>1306</v>
      </c>
      <c r="G24" s="41"/>
      <c r="H24" s="41"/>
      <c r="I24" s="41"/>
      <c r="K24" s="13" t="s">
        <v>126</v>
      </c>
      <c r="L24" s="14"/>
      <c r="M24" s="9"/>
      <c r="N24" s="10" t="str">
        <f>"TEST_"&amp;TEXT(RIGHT(E24,2)+1, "00")</f>
        <v>TEST_96</v>
      </c>
      <c r="O24" s="41" t="s">
        <v>1306</v>
      </c>
      <c r="P24" s="41"/>
      <c r="Q24" s="41"/>
      <c r="R24" s="41"/>
    </row>
    <row r="25" spans="2:18" x14ac:dyDescent="0.2">
      <c r="B25" s="11" t="s">
        <v>1</v>
      </c>
      <c r="C25" s="12" t="str">
        <f>VLOOKUP(LOWER(E24),experiments_specs!$A:$J,2,FALSE)</f>
        <v>NN,JJ,VB,VBD,VBG,VBN,VBP,VBZ</v>
      </c>
      <c r="D25" s="15" t="str">
        <f>"{"&amp;LOWER(E24)&amp;".csv}"</f>
        <v>{test_95.csv}</v>
      </c>
      <c r="E25" s="8" t="s">
        <v>118</v>
      </c>
      <c r="F25" s="3" t="s">
        <v>1307</v>
      </c>
      <c r="G25" s="3"/>
      <c r="H25" s="3" t="s">
        <v>178</v>
      </c>
      <c r="I25" s="29" t="s">
        <v>121</v>
      </c>
      <c r="K25" s="11" t="s">
        <v>1</v>
      </c>
      <c r="L25" s="12" t="str">
        <f>VLOOKUP(LOWER(N24),experiments_specs!$A:$J,2,FALSE)</f>
        <v>NN,JJ,VB,VBD,VBG,VBN,VBP,VBZ</v>
      </c>
      <c r="M25" s="15" t="str">
        <f>"{"&amp;LOWER(N24)&amp;".csv}"</f>
        <v>{test_96.csv}</v>
      </c>
      <c r="N25" s="8" t="s">
        <v>118</v>
      </c>
      <c r="O25" s="3" t="s">
        <v>1307</v>
      </c>
      <c r="P25" s="3"/>
      <c r="Q25" s="3" t="s">
        <v>178</v>
      </c>
      <c r="R25" s="29" t="s">
        <v>121</v>
      </c>
    </row>
    <row r="26" spans="2:18" ht="68" x14ac:dyDescent="0.2">
      <c r="B26" s="11" t="s">
        <v>2</v>
      </c>
      <c r="C26" s="12">
        <f>VLOOKUP(LOWER(E24),experiments_specs!$A:$J,3,FALSE)</f>
        <v>0</v>
      </c>
      <c r="D26" s="15" t="s">
        <v>1219</v>
      </c>
      <c r="E26" s="5" t="s">
        <v>19</v>
      </c>
      <c r="F26" s="17" t="s">
        <v>1311</v>
      </c>
      <c r="G26" s="17" t="s">
        <v>1313</v>
      </c>
      <c r="H26" s="17">
        <v>2.2051000000000002E-3</v>
      </c>
      <c r="I26" s="50" t="s">
        <v>1433</v>
      </c>
      <c r="K26" s="11" t="s">
        <v>2</v>
      </c>
      <c r="L26" s="12">
        <f>VLOOKUP(LOWER(N24),experiments_specs!$A:$J,3,FALSE)</f>
        <v>0</v>
      </c>
      <c r="M26" s="15" t="s">
        <v>1220</v>
      </c>
      <c r="N26" s="5" t="s">
        <v>19</v>
      </c>
      <c r="O26" s="17" t="s">
        <v>1311</v>
      </c>
      <c r="P26" s="17" t="s">
        <v>1313</v>
      </c>
      <c r="Q26" s="17">
        <v>2.2051000000000002E-3</v>
      </c>
      <c r="R26" s="50" t="s">
        <v>1433</v>
      </c>
    </row>
    <row r="27" spans="2:18" x14ac:dyDescent="0.2">
      <c r="B27" s="11" t="s">
        <v>3</v>
      </c>
      <c r="C27" s="12">
        <f>VLOOKUP(LOWER(E24),experiments_specs!$A:$J,4,FALSE)</f>
        <v>2</v>
      </c>
      <c r="D27" s="15" t="s">
        <v>1219</v>
      </c>
      <c r="E27" s="6" t="s">
        <v>12</v>
      </c>
      <c r="F27" s="19" t="s">
        <v>236</v>
      </c>
      <c r="G27" s="19">
        <v>2</v>
      </c>
      <c r="H27" s="19">
        <v>3.1492999999999998E-3</v>
      </c>
      <c r="I27" s="31">
        <v>0.125</v>
      </c>
      <c r="K27" s="11" t="s">
        <v>3</v>
      </c>
      <c r="L27" s="12">
        <f>VLOOKUP(LOWER(N24),experiments_specs!$A:$J,4,FALSE)</f>
        <v>3</v>
      </c>
      <c r="M27" s="15" t="s">
        <v>1220</v>
      </c>
      <c r="N27" s="6" t="s">
        <v>12</v>
      </c>
      <c r="O27" s="19" t="s">
        <v>236</v>
      </c>
      <c r="P27" s="19">
        <v>2</v>
      </c>
      <c r="Q27" s="19">
        <v>3.1492999999999998E-3</v>
      </c>
      <c r="R27" s="31">
        <v>0.125</v>
      </c>
    </row>
    <row r="28" spans="2:18" x14ac:dyDescent="0.2">
      <c r="B28" s="11" t="s">
        <v>4</v>
      </c>
      <c r="C28" s="12" t="str">
        <f>VLOOKUP(LOWER(E24),experiments_specs!$A:$J,5,FALSE)</f>
        <v>False</v>
      </c>
      <c r="D28" s="15" t="s">
        <v>1219</v>
      </c>
      <c r="E28" s="6" t="s">
        <v>13</v>
      </c>
      <c r="F28" s="19" t="s">
        <v>1317</v>
      </c>
      <c r="G28" s="19">
        <v>3</v>
      </c>
      <c r="H28" s="19">
        <v>5.4206000000000002E-3</v>
      </c>
      <c r="I28" s="31" t="s">
        <v>25</v>
      </c>
      <c r="K28" s="11" t="s">
        <v>4</v>
      </c>
      <c r="L28" s="12" t="str">
        <f>VLOOKUP(LOWER(N24),experiments_specs!$A:$J,5,FALSE)</f>
        <v>False</v>
      </c>
      <c r="M28" s="15" t="s">
        <v>1220</v>
      </c>
      <c r="N28" s="6" t="s">
        <v>13</v>
      </c>
      <c r="O28" s="19" t="s">
        <v>1317</v>
      </c>
      <c r="P28" s="19">
        <v>3</v>
      </c>
      <c r="Q28" s="19">
        <v>5.4206000000000002E-3</v>
      </c>
      <c r="R28" s="31" t="s">
        <v>25</v>
      </c>
    </row>
    <row r="29" spans="2:18" ht="68" x14ac:dyDescent="0.2">
      <c r="B29" s="11" t="s">
        <v>5</v>
      </c>
      <c r="C29" s="12" t="str">
        <f>VLOOKUP(LOWER(E24),experiments_specs!$A:$J,6,FALSE)</f>
        <v>True</v>
      </c>
      <c r="D29" s="15" t="s">
        <v>1219</v>
      </c>
      <c r="E29" s="6" t="s">
        <v>14</v>
      </c>
      <c r="F29" s="18" t="s">
        <v>1318</v>
      </c>
      <c r="G29" s="18" t="s">
        <v>1313</v>
      </c>
      <c r="H29" s="19">
        <v>3.1069000000000001E-3</v>
      </c>
      <c r="I29" s="51" t="s">
        <v>1435</v>
      </c>
      <c r="K29" s="11" t="s">
        <v>5</v>
      </c>
      <c r="L29" s="12" t="str">
        <f>VLOOKUP(LOWER(N24),experiments_specs!$A:$J,6,FALSE)</f>
        <v>True</v>
      </c>
      <c r="M29" s="15" t="s">
        <v>1220</v>
      </c>
      <c r="N29" s="6" t="s">
        <v>14</v>
      </c>
      <c r="O29" s="18" t="s">
        <v>1318</v>
      </c>
      <c r="P29" s="18" t="s">
        <v>1313</v>
      </c>
      <c r="Q29" s="19">
        <v>3.1069000000000001E-3</v>
      </c>
      <c r="R29" s="51" t="s">
        <v>1435</v>
      </c>
    </row>
    <row r="30" spans="2:18" ht="51" x14ac:dyDescent="0.2">
      <c r="B30" s="11" t="s">
        <v>6</v>
      </c>
      <c r="C30" s="12" t="str">
        <f>VLOOKUP(LOWER(E24),experiments_specs!$A:$J,7,FALSE)</f>
        <v>False</v>
      </c>
      <c r="D30" s="15" t="s">
        <v>1219</v>
      </c>
      <c r="E30" s="6" t="s">
        <v>15</v>
      </c>
      <c r="F30" s="18" t="s">
        <v>1419</v>
      </c>
      <c r="G30" s="18" t="s">
        <v>1353</v>
      </c>
      <c r="H30" s="19">
        <v>2.4434000000000001E-3</v>
      </c>
      <c r="I30" s="51" t="s">
        <v>1467</v>
      </c>
      <c r="K30" s="11" t="s">
        <v>6</v>
      </c>
      <c r="L30" s="12" t="str">
        <f>VLOOKUP(LOWER(N24),experiments_specs!$A:$J,7,FALSE)</f>
        <v>False</v>
      </c>
      <c r="M30" s="15" t="s">
        <v>1220</v>
      </c>
      <c r="N30" s="6" t="s">
        <v>15</v>
      </c>
      <c r="O30" s="18" t="s">
        <v>1419</v>
      </c>
      <c r="P30" s="18" t="s">
        <v>1353</v>
      </c>
      <c r="Q30" s="19">
        <v>2.4434000000000001E-3</v>
      </c>
      <c r="R30" s="51" t="s">
        <v>1467</v>
      </c>
    </row>
    <row r="31" spans="2:18" x14ac:dyDescent="0.2">
      <c r="B31" s="11" t="s">
        <v>7</v>
      </c>
      <c r="C31" s="12" t="str">
        <f>VLOOKUP(LOWER(E24),experiments_specs!$A:$J,8,FALSE)</f>
        <v>False</v>
      </c>
      <c r="D31" s="15" t="s">
        <v>1219</v>
      </c>
      <c r="E31" s="6" t="s">
        <v>16</v>
      </c>
      <c r="F31" s="19" t="s">
        <v>209</v>
      </c>
      <c r="G31" s="19">
        <v>2</v>
      </c>
      <c r="H31" s="19">
        <v>2.8305000000000001E-3</v>
      </c>
      <c r="I31" s="31">
        <v>0.55555549999999998</v>
      </c>
      <c r="K31" s="11" t="s">
        <v>7</v>
      </c>
      <c r="L31" s="12" t="str">
        <f>VLOOKUP(LOWER(N24),experiments_specs!$A:$J,8,FALSE)</f>
        <v>False</v>
      </c>
      <c r="M31" s="15" t="s">
        <v>1220</v>
      </c>
      <c r="N31" s="6" t="s">
        <v>16</v>
      </c>
      <c r="O31" s="19" t="s">
        <v>209</v>
      </c>
      <c r="P31" s="19">
        <v>2</v>
      </c>
      <c r="Q31" s="19">
        <v>2.8305000000000001E-3</v>
      </c>
      <c r="R31" s="31">
        <v>0.55555549999999998</v>
      </c>
    </row>
    <row r="32" spans="2:18" ht="68" x14ac:dyDescent="0.2">
      <c r="B32" s="11" t="s">
        <v>8</v>
      </c>
      <c r="C32" s="12" t="str">
        <f>VLOOKUP(LOWER(E24),experiments_specs!$A:$J,9,FALSE)</f>
        <v>wup_similarity</v>
      </c>
      <c r="D32" s="15" t="s">
        <v>1219</v>
      </c>
      <c r="E32" s="6" t="s">
        <v>17</v>
      </c>
      <c r="F32" s="18" t="s">
        <v>1326</v>
      </c>
      <c r="G32" s="18" t="s">
        <v>1313</v>
      </c>
      <c r="H32" s="19">
        <v>2.8416000000000001E-3</v>
      </c>
      <c r="I32" s="51" t="s">
        <v>1431</v>
      </c>
      <c r="K32" s="11" t="s">
        <v>8</v>
      </c>
      <c r="L32" s="12" t="str">
        <f>VLOOKUP(LOWER(N24),experiments_specs!$A:$J,9,FALSE)</f>
        <v>wup_similarity</v>
      </c>
      <c r="M32" s="15" t="s">
        <v>1220</v>
      </c>
      <c r="N32" s="6" t="s">
        <v>17</v>
      </c>
      <c r="O32" s="18" t="s">
        <v>1326</v>
      </c>
      <c r="P32" s="18" t="s">
        <v>1313</v>
      </c>
      <c r="Q32" s="19">
        <v>2.8416000000000001E-3</v>
      </c>
      <c r="R32" s="51" t="s">
        <v>1431</v>
      </c>
    </row>
    <row r="33" spans="2:18" ht="68" x14ac:dyDescent="0.2">
      <c r="B33" s="11" t="s">
        <v>9</v>
      </c>
      <c r="C33" s="12" t="str">
        <f>VLOOKUP(LOWER(E24),experiments_specs!$A:$J,10,FALSE)</f>
        <v>False</v>
      </c>
      <c r="D33" s="15" t="s">
        <v>1219</v>
      </c>
      <c r="E33" s="7" t="s">
        <v>18</v>
      </c>
      <c r="F33" s="49" t="s">
        <v>1322</v>
      </c>
      <c r="G33" s="49" t="s">
        <v>1313</v>
      </c>
      <c r="H33" s="20">
        <v>1.2853000000000001E-3</v>
      </c>
      <c r="I33" s="52" t="s">
        <v>1437</v>
      </c>
      <c r="K33" s="11" t="s">
        <v>9</v>
      </c>
      <c r="L33" s="12" t="str">
        <f>VLOOKUP(LOWER(N24),experiments_specs!$A:$J,10,FALSE)</f>
        <v>False</v>
      </c>
      <c r="M33" s="15" t="s">
        <v>1220</v>
      </c>
      <c r="N33" s="7" t="s">
        <v>18</v>
      </c>
      <c r="O33" s="49" t="s">
        <v>1322</v>
      </c>
      <c r="P33" s="49" t="s">
        <v>1313</v>
      </c>
      <c r="Q33" s="20">
        <v>1.2853000000000001E-3</v>
      </c>
      <c r="R33" s="52" t="s">
        <v>1437</v>
      </c>
    </row>
    <row r="34" spans="2:18" ht="17" thickBot="1" x14ac:dyDescent="0.25"/>
    <row r="35" spans="2:18" ht="20" thickBot="1" x14ac:dyDescent="0.3">
      <c r="B35" s="13" t="s">
        <v>126</v>
      </c>
      <c r="C35" s="14"/>
      <c r="D35" s="9"/>
      <c r="E35" s="10" t="str">
        <f>"TEST_"&amp;TEXT(RIGHT(N24,2)+1, "00")</f>
        <v>TEST_97</v>
      </c>
      <c r="F35" s="41" t="s">
        <v>1306</v>
      </c>
      <c r="G35" s="41"/>
      <c r="H35" s="41"/>
      <c r="I35" s="41"/>
      <c r="K35" s="13" t="s">
        <v>126</v>
      </c>
      <c r="L35" s="14"/>
      <c r="M35" s="9"/>
      <c r="N35" s="10" t="str">
        <f>"TEST_"&amp;TEXT(RIGHT(E35,2)+1, "00")</f>
        <v>TEST_98</v>
      </c>
      <c r="O35" s="41" t="s">
        <v>1306</v>
      </c>
      <c r="P35" s="41"/>
      <c r="Q35" s="41"/>
      <c r="R35" s="41"/>
    </row>
    <row r="36" spans="2:18" x14ac:dyDescent="0.2">
      <c r="B36" s="11" t="s">
        <v>1</v>
      </c>
      <c r="C36" s="12" t="str">
        <f>VLOOKUP(LOWER(E35),experiments_specs!$A:$J,2,FALSE)</f>
        <v>NN,JJ</v>
      </c>
      <c r="D36" s="15" t="str">
        <f>"{"&amp;LOWER(E35)&amp;".csv}"</f>
        <v>{test_97.csv}</v>
      </c>
      <c r="E36" s="8" t="s">
        <v>118</v>
      </c>
      <c r="F36" s="3" t="s">
        <v>1307</v>
      </c>
      <c r="G36" s="3"/>
      <c r="H36" s="3" t="s">
        <v>178</v>
      </c>
      <c r="I36" s="29" t="s">
        <v>121</v>
      </c>
      <c r="K36" s="11" t="s">
        <v>1</v>
      </c>
      <c r="L36" s="12" t="str">
        <f>VLOOKUP(LOWER(N35),experiments_specs!$A:$J,2,FALSE)</f>
        <v>NN,JJ</v>
      </c>
      <c r="M36" s="15" t="str">
        <f>"{"&amp;LOWER(N35)&amp;".csv}"</f>
        <v>{test_98.csv}</v>
      </c>
      <c r="N36" s="8" t="s">
        <v>118</v>
      </c>
      <c r="O36" s="3" t="s">
        <v>1307</v>
      </c>
      <c r="P36" s="3"/>
      <c r="Q36" s="3" t="s">
        <v>178</v>
      </c>
      <c r="R36" s="29" t="s">
        <v>121</v>
      </c>
    </row>
    <row r="37" spans="2:18" ht="68" x14ac:dyDescent="0.2">
      <c r="B37" s="11" t="s">
        <v>2</v>
      </c>
      <c r="C37" s="12">
        <f>VLOOKUP(LOWER(E35),experiments_specs!$A:$J,3,FALSE)</f>
        <v>0</v>
      </c>
      <c r="D37" s="15" t="s">
        <v>1221</v>
      </c>
      <c r="E37" s="5" t="s">
        <v>19</v>
      </c>
      <c r="F37" s="17" t="s">
        <v>1311</v>
      </c>
      <c r="G37" s="17" t="s">
        <v>1313</v>
      </c>
      <c r="H37" s="17">
        <v>2.6177499999999999E-2</v>
      </c>
      <c r="I37" s="50" t="s">
        <v>1433</v>
      </c>
      <c r="K37" s="11" t="s">
        <v>2</v>
      </c>
      <c r="L37" s="12">
        <f>VLOOKUP(LOWER(N35),experiments_specs!$A:$J,3,FALSE)</f>
        <v>0</v>
      </c>
      <c r="M37" s="15" t="s">
        <v>1222</v>
      </c>
      <c r="N37" s="5" t="s">
        <v>19</v>
      </c>
      <c r="O37" s="17" t="s">
        <v>1311</v>
      </c>
      <c r="P37" s="17" t="s">
        <v>1313</v>
      </c>
      <c r="Q37" s="17">
        <v>2.6177499999999999E-2</v>
      </c>
      <c r="R37" s="50" t="s">
        <v>1433</v>
      </c>
    </row>
    <row r="38" spans="2:18" x14ac:dyDescent="0.2">
      <c r="B38" s="11" t="s">
        <v>3</v>
      </c>
      <c r="C38" s="12">
        <f>VLOOKUP(LOWER(E35),experiments_specs!$A:$J,4,FALSE)</f>
        <v>2</v>
      </c>
      <c r="D38" s="15" t="s">
        <v>1221</v>
      </c>
      <c r="E38" s="6" t="s">
        <v>12</v>
      </c>
      <c r="F38" s="19" t="s">
        <v>23</v>
      </c>
      <c r="G38" s="19">
        <v>2</v>
      </c>
      <c r="H38" s="19">
        <v>3.6466199999999997E-2</v>
      </c>
      <c r="I38" s="31">
        <v>0.42857139999999999</v>
      </c>
      <c r="K38" s="11" t="s">
        <v>3</v>
      </c>
      <c r="L38" s="12">
        <f>VLOOKUP(LOWER(N35),experiments_specs!$A:$J,4,FALSE)</f>
        <v>3</v>
      </c>
      <c r="M38" s="15" t="s">
        <v>1222</v>
      </c>
      <c r="N38" s="6" t="s">
        <v>12</v>
      </c>
      <c r="O38" s="19" t="s">
        <v>23</v>
      </c>
      <c r="P38" s="19">
        <v>2</v>
      </c>
      <c r="Q38" s="19">
        <v>3.6466199999999997E-2</v>
      </c>
      <c r="R38" s="31">
        <v>0.42857139999999999</v>
      </c>
    </row>
    <row r="39" spans="2:18" x14ac:dyDescent="0.2">
      <c r="B39" s="11" t="s">
        <v>4</v>
      </c>
      <c r="C39" s="12" t="str">
        <f>VLOOKUP(LOWER(E35),experiments_specs!$A:$J,5,FALSE)</f>
        <v>True</v>
      </c>
      <c r="D39" s="15" t="s">
        <v>1221</v>
      </c>
      <c r="E39" s="6" t="s">
        <v>13</v>
      </c>
      <c r="F39" s="19" t="s">
        <v>33</v>
      </c>
      <c r="G39" s="19">
        <v>2</v>
      </c>
      <c r="H39" s="19">
        <v>2.4573600000000001E-2</v>
      </c>
      <c r="I39" s="31">
        <v>0.4</v>
      </c>
      <c r="K39" s="11" t="s">
        <v>4</v>
      </c>
      <c r="L39" s="12" t="str">
        <f>VLOOKUP(LOWER(N35),experiments_specs!$A:$J,5,FALSE)</f>
        <v>True</v>
      </c>
      <c r="M39" s="15" t="s">
        <v>1222</v>
      </c>
      <c r="N39" s="6" t="s">
        <v>13</v>
      </c>
      <c r="O39" s="19" t="s">
        <v>33</v>
      </c>
      <c r="P39" s="19">
        <v>2</v>
      </c>
      <c r="Q39" s="19">
        <v>2.4573600000000001E-2</v>
      </c>
      <c r="R39" s="31">
        <v>0.4</v>
      </c>
    </row>
    <row r="40" spans="2:18" ht="68" x14ac:dyDescent="0.2">
      <c r="B40" s="11" t="s">
        <v>5</v>
      </c>
      <c r="C40" s="12" t="str">
        <f>VLOOKUP(LOWER(E35),experiments_specs!$A:$J,6,FALSE)</f>
        <v>True</v>
      </c>
      <c r="D40" s="15" t="s">
        <v>1221</v>
      </c>
      <c r="E40" s="6" t="s">
        <v>14</v>
      </c>
      <c r="F40" s="18" t="s">
        <v>1328</v>
      </c>
      <c r="G40" s="18" t="s">
        <v>1330</v>
      </c>
      <c r="H40" s="19">
        <v>1.2371699999999999E-2</v>
      </c>
      <c r="I40" s="51" t="s">
        <v>1429</v>
      </c>
      <c r="K40" s="11" t="s">
        <v>5</v>
      </c>
      <c r="L40" s="12" t="str">
        <f>VLOOKUP(LOWER(N35),experiments_specs!$A:$J,6,FALSE)</f>
        <v>True</v>
      </c>
      <c r="M40" s="15" t="s">
        <v>1222</v>
      </c>
      <c r="N40" s="6" t="s">
        <v>14</v>
      </c>
      <c r="O40" s="18" t="s">
        <v>1328</v>
      </c>
      <c r="P40" s="18" t="s">
        <v>1330</v>
      </c>
      <c r="Q40" s="19">
        <v>1.2371699999999999E-2</v>
      </c>
      <c r="R40" s="51" t="s">
        <v>1429</v>
      </c>
    </row>
    <row r="41" spans="2:18" x14ac:dyDescent="0.2">
      <c r="B41" s="11" t="s">
        <v>6</v>
      </c>
      <c r="C41" s="12" t="str">
        <f>VLOOKUP(LOWER(E35),experiments_specs!$A:$J,7,FALSE)</f>
        <v>False</v>
      </c>
      <c r="D41" s="15" t="s">
        <v>1221</v>
      </c>
      <c r="E41" s="6" t="s">
        <v>15</v>
      </c>
      <c r="F41" s="19" t="s">
        <v>293</v>
      </c>
      <c r="G41" s="19">
        <v>1</v>
      </c>
      <c r="H41" s="19">
        <v>3.6439800000000001E-2</v>
      </c>
      <c r="I41" s="31">
        <v>0.90909090000000004</v>
      </c>
      <c r="K41" s="11" t="s">
        <v>6</v>
      </c>
      <c r="L41" s="12" t="str">
        <f>VLOOKUP(LOWER(N35),experiments_specs!$A:$J,7,FALSE)</f>
        <v>False</v>
      </c>
      <c r="M41" s="15" t="s">
        <v>1222</v>
      </c>
      <c r="N41" s="6" t="s">
        <v>15</v>
      </c>
      <c r="O41" s="19" t="s">
        <v>293</v>
      </c>
      <c r="P41" s="19">
        <v>1</v>
      </c>
      <c r="Q41" s="19">
        <v>3.6439800000000001E-2</v>
      </c>
      <c r="R41" s="31">
        <v>0.90909090000000004</v>
      </c>
    </row>
    <row r="42" spans="2:18" ht="68" x14ac:dyDescent="0.2">
      <c r="B42" s="11" t="s">
        <v>7</v>
      </c>
      <c r="C42" s="12" t="str">
        <f>VLOOKUP(LOWER(E35),experiments_specs!$A:$J,8,FALSE)</f>
        <v>False</v>
      </c>
      <c r="D42" s="15" t="s">
        <v>1221</v>
      </c>
      <c r="E42" s="6" t="s">
        <v>16</v>
      </c>
      <c r="F42" s="18" t="s">
        <v>1332</v>
      </c>
      <c r="G42" s="18" t="s">
        <v>1313</v>
      </c>
      <c r="H42" s="19">
        <v>1.7010299999999999E-2</v>
      </c>
      <c r="I42" s="51" t="s">
        <v>1431</v>
      </c>
      <c r="K42" s="11" t="s">
        <v>7</v>
      </c>
      <c r="L42" s="12" t="str">
        <f>VLOOKUP(LOWER(N35),experiments_specs!$A:$J,8,FALSE)</f>
        <v>False</v>
      </c>
      <c r="M42" s="15" t="s">
        <v>1222</v>
      </c>
      <c r="N42" s="6" t="s">
        <v>16</v>
      </c>
      <c r="O42" s="18" t="s">
        <v>1332</v>
      </c>
      <c r="P42" s="18" t="s">
        <v>1313</v>
      </c>
      <c r="Q42" s="19">
        <v>1.7010299999999999E-2</v>
      </c>
      <c r="R42" s="51" t="s">
        <v>1431</v>
      </c>
    </row>
    <row r="43" spans="2:18" ht="68" x14ac:dyDescent="0.2">
      <c r="B43" s="11" t="s">
        <v>8</v>
      </c>
      <c r="C43" s="12" t="str">
        <f>VLOOKUP(LOWER(E35),experiments_specs!$A:$J,9,FALSE)</f>
        <v>wup_similarity</v>
      </c>
      <c r="D43" s="15" t="s">
        <v>1221</v>
      </c>
      <c r="E43" s="6" t="s">
        <v>17</v>
      </c>
      <c r="F43" s="18" t="s">
        <v>1334</v>
      </c>
      <c r="G43" s="18" t="s">
        <v>1313</v>
      </c>
      <c r="H43" s="19">
        <v>1.88982E-2</v>
      </c>
      <c r="I43" s="51" t="s">
        <v>1439</v>
      </c>
      <c r="K43" s="11" t="s">
        <v>8</v>
      </c>
      <c r="L43" s="12" t="str">
        <f>VLOOKUP(LOWER(N35),experiments_specs!$A:$J,9,FALSE)</f>
        <v>wup_similarity</v>
      </c>
      <c r="M43" s="15" t="s">
        <v>1222</v>
      </c>
      <c r="N43" s="6" t="s">
        <v>17</v>
      </c>
      <c r="O43" s="18" t="s">
        <v>1334</v>
      </c>
      <c r="P43" s="18" t="s">
        <v>1313</v>
      </c>
      <c r="Q43" s="19">
        <v>1.88982E-2</v>
      </c>
      <c r="R43" s="51" t="s">
        <v>1439</v>
      </c>
    </row>
    <row r="44" spans="2:18" x14ac:dyDescent="0.2">
      <c r="B44" s="11" t="s">
        <v>9</v>
      </c>
      <c r="C44" s="12" t="str">
        <f>VLOOKUP(LOWER(E35),experiments_specs!$A:$J,10,FALSE)</f>
        <v>False</v>
      </c>
      <c r="D44" s="15" t="s">
        <v>1221</v>
      </c>
      <c r="E44" s="7" t="s">
        <v>18</v>
      </c>
      <c r="F44" s="20" t="s">
        <v>45</v>
      </c>
      <c r="G44" s="20">
        <v>2</v>
      </c>
      <c r="H44" s="20">
        <v>1.30895E-2</v>
      </c>
      <c r="I44" s="32">
        <v>0.2105263</v>
      </c>
      <c r="K44" s="11" t="s">
        <v>9</v>
      </c>
      <c r="L44" s="12" t="str">
        <f>VLOOKUP(LOWER(N35),experiments_specs!$A:$J,10,FALSE)</f>
        <v>False</v>
      </c>
      <c r="M44" s="15" t="s">
        <v>1222</v>
      </c>
      <c r="N44" s="7" t="s">
        <v>18</v>
      </c>
      <c r="O44" s="20" t="s">
        <v>45</v>
      </c>
      <c r="P44" s="20">
        <v>2</v>
      </c>
      <c r="Q44" s="20">
        <v>1.30895E-2</v>
      </c>
      <c r="R44" s="32">
        <v>0.2105263</v>
      </c>
    </row>
    <row r="45" spans="2:18" ht="17" thickBot="1" x14ac:dyDescent="0.25"/>
    <row r="46" spans="2:18" ht="20" thickBot="1" x14ac:dyDescent="0.3">
      <c r="B46" s="13" t="s">
        <v>126</v>
      </c>
      <c r="C46" s="14"/>
      <c r="D46" s="9"/>
      <c r="E46" s="10" t="str">
        <f>"TEST_"&amp;TEXT(RIGHT(N35,2)+1, "00")</f>
        <v>TEST_99</v>
      </c>
      <c r="F46" s="41" t="s">
        <v>1306</v>
      </c>
      <c r="G46" s="41"/>
      <c r="H46" s="41"/>
      <c r="I46" s="41"/>
      <c r="K46" s="13" t="s">
        <v>126</v>
      </c>
      <c r="L46" s="14"/>
      <c r="M46" s="9"/>
      <c r="N46" s="10" t="str">
        <f>"TEST_"&amp;TEXT(RIGHT(E46,2)+1, "00")</f>
        <v>TEST_100</v>
      </c>
      <c r="O46" s="41" t="s">
        <v>1306</v>
      </c>
      <c r="P46" s="41"/>
      <c r="Q46" s="41"/>
      <c r="R46" s="41"/>
    </row>
    <row r="47" spans="2:18" x14ac:dyDescent="0.2">
      <c r="B47" s="11" t="s">
        <v>1</v>
      </c>
      <c r="C47" s="12" t="str">
        <f>VLOOKUP(LOWER(E46),experiments_specs!$A:$J,2,FALSE)</f>
        <v>NN,VB,VBD,VBG,VBN,VBP,VBZ</v>
      </c>
      <c r="D47" s="15" t="str">
        <f>"{"&amp;LOWER(E46)&amp;".csv}"</f>
        <v>{test_99.csv}</v>
      </c>
      <c r="E47" s="8" t="s">
        <v>118</v>
      </c>
      <c r="F47" s="3" t="s">
        <v>1307</v>
      </c>
      <c r="G47" s="3"/>
      <c r="H47" s="3" t="s">
        <v>178</v>
      </c>
      <c r="I47" s="29" t="s">
        <v>121</v>
      </c>
      <c r="K47" s="11" t="s">
        <v>1</v>
      </c>
      <c r="L47" s="12" t="str">
        <f>VLOOKUP(LOWER(N46),experiments_specs!$A:$J,2,FALSE)</f>
        <v>NN,VB,VBD,VBG,VBN,VBP,VBZ</v>
      </c>
      <c r="M47" s="15" t="str">
        <f>"{"&amp;LOWER(N46)&amp;".csv}"</f>
        <v>{test_100.csv}</v>
      </c>
      <c r="N47" s="8" t="s">
        <v>118</v>
      </c>
      <c r="O47" s="3" t="s">
        <v>1307</v>
      </c>
      <c r="P47" s="3"/>
      <c r="Q47" s="3" t="s">
        <v>178</v>
      </c>
      <c r="R47" s="29" t="s">
        <v>121</v>
      </c>
    </row>
    <row r="48" spans="2:18" ht="17" x14ac:dyDescent="0.2">
      <c r="B48" s="11" t="s">
        <v>2</v>
      </c>
      <c r="C48" s="12">
        <f>VLOOKUP(LOWER(E46),experiments_specs!$A:$J,3,FALSE)</f>
        <v>0</v>
      </c>
      <c r="D48" s="15" t="s">
        <v>1223</v>
      </c>
      <c r="E48" s="5" t="s">
        <v>19</v>
      </c>
      <c r="F48" s="17" t="s">
        <v>226</v>
      </c>
      <c r="G48" s="17">
        <v>4</v>
      </c>
      <c r="H48" s="17">
        <v>2.5359400000000001E-2</v>
      </c>
      <c r="I48" s="30">
        <v>0.17391300000000001</v>
      </c>
      <c r="K48" s="11" t="s">
        <v>2</v>
      </c>
      <c r="L48" s="12">
        <f>VLOOKUP(LOWER(N46),experiments_specs!$A:$J,3,FALSE)</f>
        <v>0</v>
      </c>
      <c r="M48" s="15" t="s">
        <v>1224</v>
      </c>
      <c r="N48" s="5" t="s">
        <v>19</v>
      </c>
      <c r="O48" s="17" t="s">
        <v>226</v>
      </c>
      <c r="P48" s="17">
        <v>4</v>
      </c>
      <c r="Q48" s="17">
        <v>2.5359400000000001E-2</v>
      </c>
      <c r="R48" s="30">
        <v>0.17391300000000001</v>
      </c>
    </row>
    <row r="49" spans="2:18" x14ac:dyDescent="0.2">
      <c r="B49" s="11" t="s">
        <v>3</v>
      </c>
      <c r="C49" s="12">
        <f>VLOOKUP(LOWER(E46),experiments_specs!$A:$J,4,FALSE)</f>
        <v>2</v>
      </c>
      <c r="D49" s="15" t="s">
        <v>1223</v>
      </c>
      <c r="E49" s="6" t="s">
        <v>12</v>
      </c>
      <c r="F49" s="19" t="s">
        <v>23</v>
      </c>
      <c r="G49" s="19">
        <v>2</v>
      </c>
      <c r="H49" s="19">
        <v>3.0388499999999999E-2</v>
      </c>
      <c r="I49" s="31">
        <v>0.42857139999999999</v>
      </c>
      <c r="K49" s="11" t="s">
        <v>3</v>
      </c>
      <c r="L49" s="12">
        <f>VLOOKUP(LOWER(N46),experiments_specs!$A:$J,4,FALSE)</f>
        <v>3</v>
      </c>
      <c r="M49" s="15" t="s">
        <v>1224</v>
      </c>
      <c r="N49" s="6" t="s">
        <v>12</v>
      </c>
      <c r="O49" s="19" t="s">
        <v>23</v>
      </c>
      <c r="P49" s="19">
        <v>2</v>
      </c>
      <c r="Q49" s="19">
        <v>3.0388499999999999E-2</v>
      </c>
      <c r="R49" s="31">
        <v>0.42857139999999999</v>
      </c>
    </row>
    <row r="50" spans="2:18" x14ac:dyDescent="0.2">
      <c r="B50" s="11" t="s">
        <v>4</v>
      </c>
      <c r="C50" s="12" t="str">
        <f>VLOOKUP(LOWER(E46),experiments_specs!$A:$J,5,FALSE)</f>
        <v>True</v>
      </c>
      <c r="D50" s="15" t="s">
        <v>1223</v>
      </c>
      <c r="E50" s="6" t="s">
        <v>13</v>
      </c>
      <c r="F50" s="19" t="s">
        <v>33</v>
      </c>
      <c r="G50" s="19">
        <v>2</v>
      </c>
      <c r="H50" s="19">
        <v>2.9100299999999999E-2</v>
      </c>
      <c r="I50" s="31">
        <v>0.4</v>
      </c>
      <c r="K50" s="11" t="s">
        <v>4</v>
      </c>
      <c r="L50" s="12" t="str">
        <f>VLOOKUP(LOWER(N46),experiments_specs!$A:$J,5,FALSE)</f>
        <v>True</v>
      </c>
      <c r="M50" s="15" t="s">
        <v>1224</v>
      </c>
      <c r="N50" s="6" t="s">
        <v>13</v>
      </c>
      <c r="O50" s="19" t="s">
        <v>33</v>
      </c>
      <c r="P50" s="19">
        <v>2</v>
      </c>
      <c r="Q50" s="19">
        <v>2.9100299999999999E-2</v>
      </c>
      <c r="R50" s="31">
        <v>0.4</v>
      </c>
    </row>
    <row r="51" spans="2:18" ht="68" x14ac:dyDescent="0.2">
      <c r="B51" s="11" t="s">
        <v>5</v>
      </c>
      <c r="C51" s="12" t="str">
        <f>VLOOKUP(LOWER(E46),experiments_specs!$A:$J,6,FALSE)</f>
        <v>True</v>
      </c>
      <c r="D51" s="15" t="s">
        <v>1223</v>
      </c>
      <c r="E51" s="6" t="s">
        <v>14</v>
      </c>
      <c r="F51" s="18" t="s">
        <v>1328</v>
      </c>
      <c r="G51" s="18" t="s">
        <v>1330</v>
      </c>
      <c r="H51" s="19">
        <v>1.05612E-2</v>
      </c>
      <c r="I51" s="51" t="s">
        <v>1429</v>
      </c>
      <c r="K51" s="11" t="s">
        <v>5</v>
      </c>
      <c r="L51" s="12" t="str">
        <f>VLOOKUP(LOWER(N46),experiments_specs!$A:$J,6,FALSE)</f>
        <v>True</v>
      </c>
      <c r="M51" s="15" t="s">
        <v>1224</v>
      </c>
      <c r="N51" s="6" t="s">
        <v>14</v>
      </c>
      <c r="O51" s="18" t="s">
        <v>1328</v>
      </c>
      <c r="P51" s="18" t="s">
        <v>1330</v>
      </c>
      <c r="Q51" s="19">
        <v>1.05612E-2</v>
      </c>
      <c r="R51" s="51" t="s">
        <v>1429</v>
      </c>
    </row>
    <row r="52" spans="2:18" x14ac:dyDescent="0.2">
      <c r="B52" s="11" t="s">
        <v>6</v>
      </c>
      <c r="C52" s="12" t="str">
        <f>VLOOKUP(LOWER(E46),experiments_specs!$A:$J,7,FALSE)</f>
        <v>False</v>
      </c>
      <c r="D52" s="15" t="s">
        <v>1223</v>
      </c>
      <c r="E52" s="6" t="s">
        <v>15</v>
      </c>
      <c r="F52" s="19" t="s">
        <v>27</v>
      </c>
      <c r="G52" s="19">
        <v>2</v>
      </c>
      <c r="H52" s="19">
        <v>1.00757E-2</v>
      </c>
      <c r="I52" s="31">
        <v>0.1666666</v>
      </c>
      <c r="K52" s="11" t="s">
        <v>6</v>
      </c>
      <c r="L52" s="12" t="str">
        <f>VLOOKUP(LOWER(N46),experiments_specs!$A:$J,7,FALSE)</f>
        <v>False</v>
      </c>
      <c r="M52" s="15" t="s">
        <v>1224</v>
      </c>
      <c r="N52" s="6" t="s">
        <v>15</v>
      </c>
      <c r="O52" s="19" t="s">
        <v>27</v>
      </c>
      <c r="P52" s="19">
        <v>2</v>
      </c>
      <c r="Q52" s="19">
        <v>1.00757E-2</v>
      </c>
      <c r="R52" s="31">
        <v>0.1666666</v>
      </c>
    </row>
    <row r="53" spans="2:18" ht="68" x14ac:dyDescent="0.2">
      <c r="B53" s="11" t="s">
        <v>7</v>
      </c>
      <c r="C53" s="12" t="str">
        <f>VLOOKUP(LOWER(E46),experiments_specs!$A:$J,8,FALSE)</f>
        <v>False</v>
      </c>
      <c r="D53" s="15" t="s">
        <v>1223</v>
      </c>
      <c r="E53" s="6" t="s">
        <v>16</v>
      </c>
      <c r="F53" s="18" t="s">
        <v>1332</v>
      </c>
      <c r="G53" s="18" t="s">
        <v>1313</v>
      </c>
      <c r="H53" s="19">
        <v>1.91366E-2</v>
      </c>
      <c r="I53" s="51" t="s">
        <v>1431</v>
      </c>
      <c r="K53" s="11" t="s">
        <v>7</v>
      </c>
      <c r="L53" s="12" t="str">
        <f>VLOOKUP(LOWER(N46),experiments_specs!$A:$J,8,FALSE)</f>
        <v>False</v>
      </c>
      <c r="M53" s="15" t="s">
        <v>1224</v>
      </c>
      <c r="N53" s="6" t="s">
        <v>16</v>
      </c>
      <c r="O53" s="18" t="s">
        <v>1332</v>
      </c>
      <c r="P53" s="18" t="s">
        <v>1313</v>
      </c>
      <c r="Q53" s="19">
        <v>1.91366E-2</v>
      </c>
      <c r="R53" s="51" t="s">
        <v>1431</v>
      </c>
    </row>
    <row r="54" spans="2:18" ht="68" x14ac:dyDescent="0.2">
      <c r="B54" s="11" t="s">
        <v>8</v>
      </c>
      <c r="C54" s="12" t="str">
        <f>VLOOKUP(LOWER(E46),experiments_specs!$A:$J,9,FALSE)</f>
        <v>wup_similarity</v>
      </c>
      <c r="D54" s="15" t="s">
        <v>1223</v>
      </c>
      <c r="E54" s="6" t="s">
        <v>17</v>
      </c>
      <c r="F54" s="18" t="s">
        <v>1326</v>
      </c>
      <c r="G54" s="18" t="s">
        <v>1313</v>
      </c>
      <c r="H54" s="19">
        <v>3.50689E-2</v>
      </c>
      <c r="I54" s="51" t="s">
        <v>1431</v>
      </c>
      <c r="K54" s="11" t="s">
        <v>8</v>
      </c>
      <c r="L54" s="12" t="str">
        <f>VLOOKUP(LOWER(N46),experiments_specs!$A:$J,9,FALSE)</f>
        <v>wup_similarity</v>
      </c>
      <c r="M54" s="15" t="s">
        <v>1224</v>
      </c>
      <c r="N54" s="6" t="s">
        <v>17</v>
      </c>
      <c r="O54" s="18" t="s">
        <v>1326</v>
      </c>
      <c r="P54" s="18" t="s">
        <v>1313</v>
      </c>
      <c r="Q54" s="19">
        <v>3.50689E-2</v>
      </c>
      <c r="R54" s="51" t="s">
        <v>1431</v>
      </c>
    </row>
    <row r="55" spans="2:18" x14ac:dyDescent="0.2">
      <c r="B55" s="11" t="s">
        <v>9</v>
      </c>
      <c r="C55" s="12" t="str">
        <f>VLOOKUP(LOWER(E46),experiments_specs!$A:$J,10,FALSE)</f>
        <v>False</v>
      </c>
      <c r="D55" s="15" t="s">
        <v>1223</v>
      </c>
      <c r="E55" s="7" t="s">
        <v>18</v>
      </c>
      <c r="F55" s="20" t="s">
        <v>45</v>
      </c>
      <c r="G55" s="20">
        <v>2</v>
      </c>
      <c r="H55" s="20">
        <v>1.00217E-2</v>
      </c>
      <c r="I55" s="32">
        <v>0.2105263</v>
      </c>
      <c r="K55" s="11" t="s">
        <v>9</v>
      </c>
      <c r="L55" s="12" t="str">
        <f>VLOOKUP(LOWER(N46),experiments_specs!$A:$J,10,FALSE)</f>
        <v>False</v>
      </c>
      <c r="M55" s="15" t="s">
        <v>1224</v>
      </c>
      <c r="N55" s="7" t="s">
        <v>18</v>
      </c>
      <c r="O55" s="20" t="s">
        <v>45</v>
      </c>
      <c r="P55" s="20">
        <v>2</v>
      </c>
      <c r="Q55" s="20">
        <v>1.00217E-2</v>
      </c>
      <c r="R55" s="32">
        <v>0.2105263</v>
      </c>
    </row>
    <row r="56" spans="2:18" ht="17" thickBot="1" x14ac:dyDescent="0.25"/>
    <row r="57" spans="2:18" ht="20" thickBot="1" x14ac:dyDescent="0.3">
      <c r="B57" s="13" t="s">
        <v>126</v>
      </c>
      <c r="C57" s="14"/>
      <c r="D57" s="9"/>
      <c r="E57" s="10" t="str">
        <f>"TEST_"&amp;TEXT(RIGHT(N46,3)+1, "00")</f>
        <v>TEST_101</v>
      </c>
      <c r="F57" s="41" t="s">
        <v>1306</v>
      </c>
      <c r="G57" s="41"/>
      <c r="H57" s="41"/>
      <c r="I57" s="41"/>
      <c r="K57" s="13" t="s">
        <v>126</v>
      </c>
      <c r="L57" s="14"/>
      <c r="M57" s="9"/>
      <c r="N57" s="10" t="str">
        <f>"TEST_"&amp;TEXT(RIGHT(E57,3)+1, "00")</f>
        <v>TEST_102</v>
      </c>
      <c r="O57" s="41" t="s">
        <v>1306</v>
      </c>
      <c r="P57" s="41"/>
      <c r="Q57" s="41"/>
      <c r="R57" s="41"/>
    </row>
    <row r="58" spans="2:18" x14ac:dyDescent="0.2">
      <c r="B58" s="11" t="s">
        <v>1</v>
      </c>
      <c r="C58" s="12" t="str">
        <f>VLOOKUP(LOWER(E57),experiments_specs!$A:$J,2,FALSE)</f>
        <v>NN,JJ,VB,VBD,VBG,VBN,VBP,VBZ</v>
      </c>
      <c r="D58" s="15" t="str">
        <f>"{"&amp;LOWER(E57)&amp;".csv}"</f>
        <v>{test_101.csv}</v>
      </c>
      <c r="E58" s="8" t="s">
        <v>118</v>
      </c>
      <c r="F58" s="3" t="s">
        <v>1307</v>
      </c>
      <c r="G58" s="3"/>
      <c r="H58" s="3" t="s">
        <v>178</v>
      </c>
      <c r="I58" s="29" t="s">
        <v>121</v>
      </c>
      <c r="K58" s="11" t="s">
        <v>1</v>
      </c>
      <c r="L58" s="12" t="str">
        <f>VLOOKUP(LOWER(N57),experiments_specs!$A:$J,2,FALSE)</f>
        <v>NN,JJ,VB,VBD,VBG,VBN,VBP,VBZ</v>
      </c>
      <c r="M58" s="15" t="str">
        <f>"{"&amp;LOWER(N57)&amp;".csv}"</f>
        <v>{test_102.csv}</v>
      </c>
      <c r="N58" s="8" t="s">
        <v>118</v>
      </c>
      <c r="O58" s="3" t="s">
        <v>1307</v>
      </c>
      <c r="P58" s="3"/>
      <c r="Q58" s="3" t="s">
        <v>178</v>
      </c>
      <c r="R58" s="29" t="s">
        <v>121</v>
      </c>
    </row>
    <row r="59" spans="2:18" ht="68" x14ac:dyDescent="0.2">
      <c r="B59" s="11" t="s">
        <v>2</v>
      </c>
      <c r="C59" s="12">
        <f>VLOOKUP(LOWER(E57),experiments_specs!$A:$J,3,FALSE)</f>
        <v>0</v>
      </c>
      <c r="D59" s="15" t="s">
        <v>1225</v>
      </c>
      <c r="E59" s="5" t="s">
        <v>19</v>
      </c>
      <c r="F59" s="17" t="s">
        <v>1311</v>
      </c>
      <c r="G59" s="17" t="s">
        <v>1313</v>
      </c>
      <c r="H59" s="17">
        <v>1.97927E-2</v>
      </c>
      <c r="I59" s="50" t="s">
        <v>1433</v>
      </c>
      <c r="K59" s="11" t="s">
        <v>2</v>
      </c>
      <c r="L59" s="12">
        <f>VLOOKUP(LOWER(N57),experiments_specs!$A:$J,3,FALSE)</f>
        <v>0</v>
      </c>
      <c r="M59" s="15" t="s">
        <v>1226</v>
      </c>
      <c r="N59" s="5" t="s">
        <v>19</v>
      </c>
      <c r="O59" s="17" t="s">
        <v>1311</v>
      </c>
      <c r="P59" s="17" t="s">
        <v>1313</v>
      </c>
      <c r="Q59" s="17">
        <v>1.97927E-2</v>
      </c>
      <c r="R59" s="50" t="s">
        <v>1433</v>
      </c>
    </row>
    <row r="60" spans="2:18" x14ac:dyDescent="0.2">
      <c r="B60" s="11" t="s">
        <v>3</v>
      </c>
      <c r="C60" s="12">
        <f>VLOOKUP(LOWER(E57),experiments_specs!$A:$J,4,FALSE)</f>
        <v>2</v>
      </c>
      <c r="D60" s="15" t="s">
        <v>1225</v>
      </c>
      <c r="E60" s="6" t="s">
        <v>12</v>
      </c>
      <c r="F60" s="19" t="s">
        <v>23</v>
      </c>
      <c r="G60" s="19">
        <v>2</v>
      </c>
      <c r="H60" s="19">
        <v>2.27914E-2</v>
      </c>
      <c r="I60" s="31">
        <v>0.42857139999999999</v>
      </c>
      <c r="K60" s="11" t="s">
        <v>3</v>
      </c>
      <c r="L60" s="12">
        <f>VLOOKUP(LOWER(N57),experiments_specs!$A:$J,4,FALSE)</f>
        <v>3</v>
      </c>
      <c r="M60" s="15" t="s">
        <v>1226</v>
      </c>
      <c r="N60" s="6" t="s">
        <v>12</v>
      </c>
      <c r="O60" s="19" t="s">
        <v>23</v>
      </c>
      <c r="P60" s="19">
        <v>2</v>
      </c>
      <c r="Q60" s="19">
        <v>2.27914E-2</v>
      </c>
      <c r="R60" s="31">
        <v>0.42857139999999999</v>
      </c>
    </row>
    <row r="61" spans="2:18" x14ac:dyDescent="0.2">
      <c r="B61" s="11" t="s">
        <v>4</v>
      </c>
      <c r="C61" s="12" t="str">
        <f>VLOOKUP(LOWER(E57),experiments_specs!$A:$J,5,FALSE)</f>
        <v>True</v>
      </c>
      <c r="D61" s="15" t="s">
        <v>1225</v>
      </c>
      <c r="E61" s="6" t="s">
        <v>13</v>
      </c>
      <c r="F61" s="19" t="s">
        <v>33</v>
      </c>
      <c r="G61" s="19">
        <v>2</v>
      </c>
      <c r="H61" s="19">
        <v>2.2116199999999999E-2</v>
      </c>
      <c r="I61" s="31">
        <v>0.4</v>
      </c>
      <c r="K61" s="11" t="s">
        <v>4</v>
      </c>
      <c r="L61" s="12" t="str">
        <f>VLOOKUP(LOWER(N57),experiments_specs!$A:$J,5,FALSE)</f>
        <v>True</v>
      </c>
      <c r="M61" s="15" t="s">
        <v>1226</v>
      </c>
      <c r="N61" s="6" t="s">
        <v>13</v>
      </c>
      <c r="O61" s="19" t="s">
        <v>33</v>
      </c>
      <c r="P61" s="19">
        <v>2</v>
      </c>
      <c r="Q61" s="19">
        <v>2.2116199999999999E-2</v>
      </c>
      <c r="R61" s="31">
        <v>0.4</v>
      </c>
    </row>
    <row r="62" spans="2:18" ht="68" x14ac:dyDescent="0.2">
      <c r="B62" s="11" t="s">
        <v>5</v>
      </c>
      <c r="C62" s="12" t="str">
        <f>VLOOKUP(LOWER(E57),experiments_specs!$A:$J,6,FALSE)</f>
        <v>True</v>
      </c>
      <c r="D62" s="15" t="s">
        <v>1225</v>
      </c>
      <c r="E62" s="6" t="s">
        <v>14</v>
      </c>
      <c r="F62" s="18" t="s">
        <v>1328</v>
      </c>
      <c r="G62" s="18" t="s">
        <v>1330</v>
      </c>
      <c r="H62" s="19">
        <v>9.0209999999999995E-3</v>
      </c>
      <c r="I62" s="51" t="s">
        <v>1429</v>
      </c>
      <c r="K62" s="11" t="s">
        <v>5</v>
      </c>
      <c r="L62" s="12" t="str">
        <f>VLOOKUP(LOWER(N57),experiments_specs!$A:$J,6,FALSE)</f>
        <v>True</v>
      </c>
      <c r="M62" s="15" t="s">
        <v>1226</v>
      </c>
      <c r="N62" s="6" t="s">
        <v>14</v>
      </c>
      <c r="O62" s="18" t="s">
        <v>1328</v>
      </c>
      <c r="P62" s="18" t="s">
        <v>1330</v>
      </c>
      <c r="Q62" s="19">
        <v>9.0209999999999995E-3</v>
      </c>
      <c r="R62" s="51" t="s">
        <v>1429</v>
      </c>
    </row>
    <row r="63" spans="2:18" x14ac:dyDescent="0.2">
      <c r="B63" s="11" t="s">
        <v>6</v>
      </c>
      <c r="C63" s="12" t="str">
        <f>VLOOKUP(LOWER(E57),experiments_specs!$A:$J,7,FALSE)</f>
        <v>False</v>
      </c>
      <c r="D63" s="15" t="s">
        <v>1225</v>
      </c>
      <c r="E63" s="6" t="s">
        <v>15</v>
      </c>
      <c r="F63" s="19" t="s">
        <v>293</v>
      </c>
      <c r="G63" s="19">
        <v>1</v>
      </c>
      <c r="H63" s="19">
        <v>2.09529E-2</v>
      </c>
      <c r="I63" s="31">
        <v>0.90909090000000004</v>
      </c>
      <c r="K63" s="11" t="s">
        <v>6</v>
      </c>
      <c r="L63" s="12" t="str">
        <f>VLOOKUP(LOWER(N57),experiments_specs!$A:$J,7,FALSE)</f>
        <v>False</v>
      </c>
      <c r="M63" s="15" t="s">
        <v>1226</v>
      </c>
      <c r="N63" s="6" t="s">
        <v>15</v>
      </c>
      <c r="O63" s="19" t="s">
        <v>293</v>
      </c>
      <c r="P63" s="19">
        <v>1</v>
      </c>
      <c r="Q63" s="19">
        <v>2.09529E-2</v>
      </c>
      <c r="R63" s="31">
        <v>0.90909090000000004</v>
      </c>
    </row>
    <row r="64" spans="2:18" ht="68" x14ac:dyDescent="0.2">
      <c r="B64" s="11" t="s">
        <v>7</v>
      </c>
      <c r="C64" s="12" t="str">
        <f>VLOOKUP(LOWER(E57),experiments_specs!$A:$J,8,FALSE)</f>
        <v>False</v>
      </c>
      <c r="D64" s="15" t="s">
        <v>1225</v>
      </c>
      <c r="E64" s="6" t="s">
        <v>16</v>
      </c>
      <c r="F64" s="18" t="s">
        <v>1332</v>
      </c>
      <c r="G64" s="18" t="s">
        <v>1313</v>
      </c>
      <c r="H64" s="19">
        <v>1.76645E-2</v>
      </c>
      <c r="I64" s="51" t="s">
        <v>1431</v>
      </c>
      <c r="K64" s="11" t="s">
        <v>7</v>
      </c>
      <c r="L64" s="12" t="str">
        <f>VLOOKUP(LOWER(N57),experiments_specs!$A:$J,8,FALSE)</f>
        <v>False</v>
      </c>
      <c r="M64" s="15" t="s">
        <v>1226</v>
      </c>
      <c r="N64" s="6" t="s">
        <v>16</v>
      </c>
      <c r="O64" s="18" t="s">
        <v>1332</v>
      </c>
      <c r="P64" s="18" t="s">
        <v>1313</v>
      </c>
      <c r="Q64" s="19">
        <v>1.76645E-2</v>
      </c>
      <c r="R64" s="51" t="s">
        <v>1431</v>
      </c>
    </row>
    <row r="65" spans="2:18" ht="68" x14ac:dyDescent="0.2">
      <c r="B65" s="11" t="s">
        <v>8</v>
      </c>
      <c r="C65" s="12" t="str">
        <f>VLOOKUP(LOWER(E57),experiments_specs!$A:$J,9,FALSE)</f>
        <v>wup_similarity</v>
      </c>
      <c r="D65" s="15" t="s">
        <v>1225</v>
      </c>
      <c r="E65" s="6" t="s">
        <v>17</v>
      </c>
      <c r="F65" s="18" t="s">
        <v>1326</v>
      </c>
      <c r="G65" s="18" t="s">
        <v>1313</v>
      </c>
      <c r="H65" s="19">
        <v>3.1490400000000002E-2</v>
      </c>
      <c r="I65" s="51" t="s">
        <v>1431</v>
      </c>
      <c r="K65" s="11" t="s">
        <v>8</v>
      </c>
      <c r="L65" s="12" t="str">
        <f>VLOOKUP(LOWER(N57),experiments_specs!$A:$J,9,FALSE)</f>
        <v>wup_similarity</v>
      </c>
      <c r="M65" s="15" t="s">
        <v>1226</v>
      </c>
      <c r="N65" s="6" t="s">
        <v>17</v>
      </c>
      <c r="O65" s="18" t="s">
        <v>1326</v>
      </c>
      <c r="P65" s="18" t="s">
        <v>1313</v>
      </c>
      <c r="Q65" s="19">
        <v>3.1490400000000002E-2</v>
      </c>
      <c r="R65" s="51" t="s">
        <v>1431</v>
      </c>
    </row>
    <row r="66" spans="2:18" x14ac:dyDescent="0.2">
      <c r="B66" s="11" t="s">
        <v>9</v>
      </c>
      <c r="C66" s="12" t="str">
        <f>VLOOKUP(LOWER(E57),experiments_specs!$A:$J,10,FALSE)</f>
        <v>False</v>
      </c>
      <c r="D66" s="15" t="s">
        <v>1225</v>
      </c>
      <c r="E66" s="7" t="s">
        <v>18</v>
      </c>
      <c r="F66" s="20" t="s">
        <v>45</v>
      </c>
      <c r="G66" s="20">
        <v>2</v>
      </c>
      <c r="H66" s="20">
        <v>8.1188000000000007E-3</v>
      </c>
      <c r="I66" s="32">
        <v>0.2105263</v>
      </c>
      <c r="K66" s="11" t="s">
        <v>9</v>
      </c>
      <c r="L66" s="12" t="str">
        <f>VLOOKUP(LOWER(N57),experiments_specs!$A:$J,10,FALSE)</f>
        <v>False</v>
      </c>
      <c r="M66" s="15" t="s">
        <v>1226</v>
      </c>
      <c r="N66" s="7" t="s">
        <v>18</v>
      </c>
      <c r="O66" s="20" t="s">
        <v>45</v>
      </c>
      <c r="P66" s="20">
        <v>2</v>
      </c>
      <c r="Q66" s="20">
        <v>8.1188000000000007E-3</v>
      </c>
      <c r="R66" s="32">
        <v>0.2105263</v>
      </c>
    </row>
    <row r="67" spans="2:18" ht="17" thickBot="1" x14ac:dyDescent="0.25"/>
    <row r="68" spans="2:18" ht="20" thickBot="1" x14ac:dyDescent="0.3">
      <c r="B68" s="13" t="s">
        <v>126</v>
      </c>
      <c r="C68" s="14"/>
      <c r="D68" s="9"/>
      <c r="E68" s="10" t="str">
        <f>"TEST_"&amp;TEXT(RIGHT(N57,3)+1, "00")</f>
        <v>TEST_103</v>
      </c>
      <c r="F68" s="41" t="s">
        <v>1306</v>
      </c>
      <c r="G68" s="41"/>
      <c r="H68" s="41"/>
      <c r="I68" s="41"/>
      <c r="K68" s="13" t="s">
        <v>126</v>
      </c>
      <c r="L68" s="14"/>
      <c r="M68" s="9"/>
      <c r="N68" s="10" t="str">
        <f>"TEST_"&amp;TEXT(RIGHT(E68,3)+1, "00")</f>
        <v>TEST_104</v>
      </c>
      <c r="O68" s="41" t="s">
        <v>1306</v>
      </c>
      <c r="P68" s="41"/>
      <c r="Q68" s="41"/>
      <c r="R68" s="41"/>
    </row>
    <row r="69" spans="2:18" x14ac:dyDescent="0.2">
      <c r="B69" s="11" t="s">
        <v>1</v>
      </c>
      <c r="C69" s="12" t="str">
        <f>VLOOKUP(LOWER(E68),experiments_specs!$A:$J,2,FALSE)</f>
        <v>NN,JJ</v>
      </c>
      <c r="D69" s="15" t="str">
        <f>"{"&amp;LOWER(E68)&amp;".csv}"</f>
        <v>{test_103.csv}</v>
      </c>
      <c r="E69" s="8" t="s">
        <v>118</v>
      </c>
      <c r="F69" s="3" t="s">
        <v>1307</v>
      </c>
      <c r="G69" s="3"/>
      <c r="H69" s="3" t="s">
        <v>178</v>
      </c>
      <c r="I69" s="29" t="s">
        <v>121</v>
      </c>
      <c r="K69" s="11" t="s">
        <v>1</v>
      </c>
      <c r="L69" s="12" t="str">
        <f>VLOOKUP(LOWER(N68),experiments_specs!$A:$J,2,FALSE)</f>
        <v>NN,JJ</v>
      </c>
      <c r="M69" s="15" t="str">
        <f>"{"&amp;LOWER(N68)&amp;".csv}"</f>
        <v>{test_104.csv}</v>
      </c>
      <c r="N69" s="8" t="s">
        <v>118</v>
      </c>
      <c r="O69" s="3" t="s">
        <v>1307</v>
      </c>
      <c r="P69" s="3"/>
      <c r="Q69" s="3" t="s">
        <v>178</v>
      </c>
      <c r="R69" s="29" t="s">
        <v>121</v>
      </c>
    </row>
    <row r="70" spans="2:18" ht="68" x14ac:dyDescent="0.2">
      <c r="B70" s="11" t="s">
        <v>2</v>
      </c>
      <c r="C70" s="12">
        <f>VLOOKUP(LOWER(E68),experiments_specs!$A:$J,3,FALSE)</f>
        <v>0</v>
      </c>
      <c r="D70" s="15" t="s">
        <v>1227</v>
      </c>
      <c r="E70" s="5" t="s">
        <v>19</v>
      </c>
      <c r="F70" s="17" t="s">
        <v>1311</v>
      </c>
      <c r="G70" s="17" t="s">
        <v>1313</v>
      </c>
      <c r="H70" s="17">
        <v>2.8078999999999999E-3</v>
      </c>
      <c r="I70" s="50" t="s">
        <v>1433</v>
      </c>
      <c r="K70" s="11" t="s">
        <v>2</v>
      </c>
      <c r="L70" s="12">
        <f>VLOOKUP(LOWER(N68),experiments_specs!$A:$J,3,FALSE)</f>
        <v>0</v>
      </c>
      <c r="M70" s="15" t="s">
        <v>1228</v>
      </c>
      <c r="N70" s="5" t="s">
        <v>19</v>
      </c>
      <c r="O70" s="17" t="s">
        <v>1311</v>
      </c>
      <c r="P70" s="17" t="s">
        <v>1313</v>
      </c>
      <c r="Q70" s="17">
        <v>2.7982799999999999E-2</v>
      </c>
      <c r="R70" s="50" t="s">
        <v>1433</v>
      </c>
    </row>
    <row r="71" spans="2:18" x14ac:dyDescent="0.2">
      <c r="B71" s="11" t="s">
        <v>3</v>
      </c>
      <c r="C71" s="12">
        <f>VLOOKUP(LOWER(E68),experiments_specs!$A:$J,4,FALSE)</f>
        <v>2</v>
      </c>
      <c r="D71" s="15" t="s">
        <v>1227</v>
      </c>
      <c r="E71" s="6" t="s">
        <v>12</v>
      </c>
      <c r="F71" s="19" t="s">
        <v>23</v>
      </c>
      <c r="G71" s="19">
        <v>2</v>
      </c>
      <c r="H71" s="19">
        <v>5.2849000000000004E-3</v>
      </c>
      <c r="I71" s="31">
        <v>0.42857139999999999</v>
      </c>
      <c r="K71" s="11" t="s">
        <v>3</v>
      </c>
      <c r="L71" s="12">
        <f>VLOOKUP(LOWER(N68),experiments_specs!$A:$J,4,FALSE)</f>
        <v>3</v>
      </c>
      <c r="M71" s="15" t="s">
        <v>1228</v>
      </c>
      <c r="N71" s="6" t="s">
        <v>12</v>
      </c>
      <c r="O71" s="19" t="s">
        <v>23</v>
      </c>
      <c r="P71" s="19">
        <v>2</v>
      </c>
      <c r="Q71" s="19">
        <v>4.9726699999999999E-2</v>
      </c>
      <c r="R71" s="31">
        <v>0.42857139999999999</v>
      </c>
    </row>
    <row r="72" spans="2:18" x14ac:dyDescent="0.2">
      <c r="B72" s="11" t="s">
        <v>4</v>
      </c>
      <c r="C72" s="12" t="str">
        <f>VLOOKUP(LOWER(E68),experiments_specs!$A:$J,5,FALSE)</f>
        <v>False</v>
      </c>
      <c r="D72" s="15" t="s">
        <v>1227</v>
      </c>
      <c r="E72" s="6" t="s">
        <v>13</v>
      </c>
      <c r="F72" s="19" t="s">
        <v>1317</v>
      </c>
      <c r="G72" s="19">
        <v>3</v>
      </c>
      <c r="H72" s="19">
        <v>6.9794999999999996E-3</v>
      </c>
      <c r="I72" s="31" t="s">
        <v>25</v>
      </c>
      <c r="K72" s="11" t="s">
        <v>4</v>
      </c>
      <c r="L72" s="12" t="str">
        <f>VLOOKUP(LOWER(N68),experiments_specs!$A:$J,5,FALSE)</f>
        <v>True</v>
      </c>
      <c r="M72" s="15" t="s">
        <v>1228</v>
      </c>
      <c r="N72" s="6" t="s">
        <v>13</v>
      </c>
      <c r="O72" s="19" t="s">
        <v>327</v>
      </c>
      <c r="P72" s="19">
        <v>2</v>
      </c>
      <c r="Q72" s="19">
        <v>2.4573600000000001E-2</v>
      </c>
      <c r="R72" s="31" t="s">
        <v>25</v>
      </c>
    </row>
    <row r="73" spans="2:18" ht="68" x14ac:dyDescent="0.2">
      <c r="B73" s="11" t="s">
        <v>5</v>
      </c>
      <c r="C73" s="12" t="str">
        <f>VLOOKUP(LOWER(E68),experiments_specs!$A:$J,6,FALSE)</f>
        <v>True</v>
      </c>
      <c r="D73" s="15" t="s">
        <v>1227</v>
      </c>
      <c r="E73" s="6" t="s">
        <v>14</v>
      </c>
      <c r="F73" s="18" t="s">
        <v>1318</v>
      </c>
      <c r="G73" s="18" t="s">
        <v>1313</v>
      </c>
      <c r="H73" s="19">
        <v>4.2995999999999998E-3</v>
      </c>
      <c r="I73" s="51" t="s">
        <v>1435</v>
      </c>
      <c r="K73" s="11" t="s">
        <v>5</v>
      </c>
      <c r="L73" s="12" t="str">
        <f>VLOOKUP(LOWER(N68),experiments_specs!$A:$J,6,FALSE)</f>
        <v>True</v>
      </c>
      <c r="M73" s="15" t="s">
        <v>1228</v>
      </c>
      <c r="N73" s="6" t="s">
        <v>14</v>
      </c>
      <c r="O73" s="18" t="s">
        <v>1328</v>
      </c>
      <c r="P73" s="18" t="s">
        <v>1330</v>
      </c>
      <c r="Q73" s="19">
        <v>1.3121499999999999E-2</v>
      </c>
      <c r="R73" s="51" t="s">
        <v>1429</v>
      </c>
    </row>
    <row r="74" spans="2:18" x14ac:dyDescent="0.2">
      <c r="B74" s="11" t="s">
        <v>6</v>
      </c>
      <c r="C74" s="12" t="str">
        <f>VLOOKUP(LOWER(E68),experiments_specs!$A:$J,7,FALSE)</f>
        <v>False</v>
      </c>
      <c r="D74" s="15" t="s">
        <v>1227</v>
      </c>
      <c r="E74" s="6" t="s">
        <v>15</v>
      </c>
      <c r="F74" s="19" t="s">
        <v>293</v>
      </c>
      <c r="G74" s="19">
        <v>1</v>
      </c>
      <c r="H74" s="19">
        <v>4.3425E-3</v>
      </c>
      <c r="I74" s="31">
        <v>0.90909090000000004</v>
      </c>
      <c r="K74" s="11" t="s">
        <v>6</v>
      </c>
      <c r="L74" s="12" t="str">
        <f>VLOOKUP(LOWER(N68),experiments_specs!$A:$J,7,FALSE)</f>
        <v>False</v>
      </c>
      <c r="M74" s="15" t="s">
        <v>1228</v>
      </c>
      <c r="N74" s="6" t="s">
        <v>15</v>
      </c>
      <c r="O74" s="19" t="s">
        <v>293</v>
      </c>
      <c r="P74" s="19">
        <v>1</v>
      </c>
      <c r="Q74" s="19">
        <v>4.19058E-2</v>
      </c>
      <c r="R74" s="31">
        <v>0.90909090000000004</v>
      </c>
    </row>
    <row r="75" spans="2:18" ht="68" x14ac:dyDescent="0.2">
      <c r="B75" s="11" t="s">
        <v>7</v>
      </c>
      <c r="C75" s="12" t="str">
        <f>VLOOKUP(LOWER(E68),experiments_specs!$A:$J,8,FALSE)</f>
        <v>False</v>
      </c>
      <c r="D75" s="15" t="s">
        <v>1227</v>
      </c>
      <c r="E75" s="6" t="s">
        <v>16</v>
      </c>
      <c r="F75" s="19" t="s">
        <v>209</v>
      </c>
      <c r="G75" s="19">
        <v>2</v>
      </c>
      <c r="H75" s="19">
        <v>2.9521999999999999E-3</v>
      </c>
      <c r="I75" s="31">
        <v>0.55555549999999998</v>
      </c>
      <c r="K75" s="11" t="s">
        <v>7</v>
      </c>
      <c r="L75" s="12" t="str">
        <f>VLOOKUP(LOWER(N68),experiments_specs!$A:$J,8,FALSE)</f>
        <v>False</v>
      </c>
      <c r="M75" s="15" t="s">
        <v>1228</v>
      </c>
      <c r="N75" s="6" t="s">
        <v>16</v>
      </c>
      <c r="O75" s="18" t="s">
        <v>1332</v>
      </c>
      <c r="P75" s="18" t="s">
        <v>1313</v>
      </c>
      <c r="Q75" s="19">
        <v>1.91366E-2</v>
      </c>
      <c r="R75" s="51" t="s">
        <v>1431</v>
      </c>
    </row>
    <row r="76" spans="2:18" ht="68" x14ac:dyDescent="0.2">
      <c r="B76" s="11" t="s">
        <v>8</v>
      </c>
      <c r="C76" s="12" t="str">
        <f>VLOOKUP(LOWER(E68),experiments_specs!$A:$J,9,FALSE)</f>
        <v>wup_similarity</v>
      </c>
      <c r="D76" s="15" t="s">
        <v>1227</v>
      </c>
      <c r="E76" s="6" t="s">
        <v>17</v>
      </c>
      <c r="F76" s="19" t="s">
        <v>219</v>
      </c>
      <c r="G76" s="19">
        <v>2</v>
      </c>
      <c r="H76" s="19">
        <v>2.7277E-3</v>
      </c>
      <c r="I76" s="31">
        <v>0.13333329999999999</v>
      </c>
      <c r="K76" s="11" t="s">
        <v>8</v>
      </c>
      <c r="L76" s="12" t="str">
        <f>VLOOKUP(LOWER(N68),experiments_specs!$A:$J,9,FALSE)</f>
        <v>wup_similarity</v>
      </c>
      <c r="M76" s="15" t="s">
        <v>1228</v>
      </c>
      <c r="N76" s="6" t="s">
        <v>17</v>
      </c>
      <c r="O76" s="18" t="s">
        <v>1334</v>
      </c>
      <c r="P76" s="18" t="s">
        <v>1313</v>
      </c>
      <c r="Q76" s="19">
        <v>2.0997999999999999E-2</v>
      </c>
      <c r="R76" s="51" t="s">
        <v>1439</v>
      </c>
    </row>
    <row r="77" spans="2:18" ht="34" x14ac:dyDescent="0.2">
      <c r="B77" s="11" t="s">
        <v>9</v>
      </c>
      <c r="C77" s="12" t="str">
        <f>VLOOKUP(LOWER(E68),experiments_specs!$A:$J,10,FALSE)</f>
        <v>True</v>
      </c>
      <c r="D77" s="15" t="s">
        <v>1227</v>
      </c>
      <c r="E77" s="7" t="s">
        <v>18</v>
      </c>
      <c r="F77" s="49" t="s">
        <v>1322</v>
      </c>
      <c r="G77" s="49" t="s">
        <v>1313</v>
      </c>
      <c r="H77" s="20">
        <v>2.2725000000000002E-3</v>
      </c>
      <c r="I77" s="52" t="s">
        <v>1437</v>
      </c>
      <c r="K77" s="11" t="s">
        <v>9</v>
      </c>
      <c r="L77" s="12" t="str">
        <f>VLOOKUP(LOWER(N68),experiments_specs!$A:$J,10,FALSE)</f>
        <v>True</v>
      </c>
      <c r="M77" s="15" t="s">
        <v>1228</v>
      </c>
      <c r="N77" s="7" t="s">
        <v>18</v>
      </c>
      <c r="O77" s="20" t="s">
        <v>45</v>
      </c>
      <c r="P77" s="20">
        <v>2</v>
      </c>
      <c r="Q77" s="20">
        <v>1.7334800000000001E-2</v>
      </c>
      <c r="R77" s="32">
        <v>0.2105263</v>
      </c>
    </row>
    <row r="78" spans="2:18" ht="17" thickBot="1" x14ac:dyDescent="0.25"/>
    <row r="79" spans="2:18" ht="20" thickBot="1" x14ac:dyDescent="0.3">
      <c r="B79" s="13" t="s">
        <v>126</v>
      </c>
      <c r="C79" s="14"/>
      <c r="D79" s="9"/>
      <c r="E79" s="10" t="str">
        <f>"TEST_"&amp;TEXT(RIGHT(N68,3)+1, "00")</f>
        <v>TEST_105</v>
      </c>
      <c r="F79" s="41" t="s">
        <v>1306</v>
      </c>
      <c r="G79" s="41"/>
      <c r="H79" s="41"/>
      <c r="I79" s="41"/>
      <c r="K79" s="13" t="s">
        <v>126</v>
      </c>
      <c r="L79" s="14"/>
      <c r="M79" s="9"/>
      <c r="N79" s="10" t="str">
        <f>"TEST_"&amp;TEXT(RIGHT(E79,3)+1, "00")</f>
        <v>TEST_106</v>
      </c>
      <c r="O79" s="41" t="s">
        <v>1306</v>
      </c>
      <c r="P79" s="41"/>
      <c r="Q79" s="41"/>
      <c r="R79" s="41"/>
    </row>
    <row r="80" spans="2:18" x14ac:dyDescent="0.2">
      <c r="B80" s="11" t="s">
        <v>1</v>
      </c>
      <c r="C80" s="12" t="str">
        <f>VLOOKUP(LOWER(E79),experiments_specs!$A:$J,2,FALSE)</f>
        <v>NN,VB,VBD,VBG,VBN,VBP,VBZ</v>
      </c>
      <c r="D80" s="15" t="str">
        <f>"{"&amp;LOWER(E79)&amp;".csv}"</f>
        <v>{test_105.csv}</v>
      </c>
      <c r="E80" s="8" t="s">
        <v>118</v>
      </c>
      <c r="F80" s="3" t="s">
        <v>1307</v>
      </c>
      <c r="G80" s="3"/>
      <c r="H80" s="3" t="s">
        <v>178</v>
      </c>
      <c r="I80" s="29" t="s">
        <v>121</v>
      </c>
      <c r="K80" s="11" t="s">
        <v>1</v>
      </c>
      <c r="L80" s="12" t="str">
        <f>VLOOKUP(LOWER(N79),experiments_specs!$A:$J,2,FALSE)</f>
        <v>NN,VB,VBD,VBG,VBN,VBP,VBZ</v>
      </c>
      <c r="M80" s="15" t="str">
        <f>"{"&amp;LOWER(N79)&amp;".csv}"</f>
        <v>{test_106.csv}</v>
      </c>
      <c r="N80" s="8" t="s">
        <v>118</v>
      </c>
      <c r="O80" s="3" t="s">
        <v>1307</v>
      </c>
      <c r="P80" s="3"/>
      <c r="Q80" s="3" t="s">
        <v>178</v>
      </c>
      <c r="R80" s="29" t="s">
        <v>121</v>
      </c>
    </row>
    <row r="81" spans="2:18" ht="17" x14ac:dyDescent="0.2">
      <c r="B81" s="11" t="s">
        <v>2</v>
      </c>
      <c r="C81" s="12">
        <f>VLOOKUP(LOWER(E79),experiments_specs!$A:$J,3,FALSE)</f>
        <v>0</v>
      </c>
      <c r="D81" s="15" t="s">
        <v>1229</v>
      </c>
      <c r="E81" s="5" t="s">
        <v>19</v>
      </c>
      <c r="F81" s="17" t="s">
        <v>226</v>
      </c>
      <c r="G81" s="17">
        <v>4</v>
      </c>
      <c r="H81" s="17">
        <v>3.52827E-2</v>
      </c>
      <c r="I81" s="30">
        <v>0.17391300000000001</v>
      </c>
      <c r="K81" s="11" t="s">
        <v>2</v>
      </c>
      <c r="L81" s="12">
        <f>VLOOKUP(LOWER(N79),experiments_specs!$A:$J,3,FALSE)</f>
        <v>0</v>
      </c>
      <c r="M81" s="15" t="s">
        <v>1230</v>
      </c>
      <c r="N81" s="5" t="s">
        <v>19</v>
      </c>
      <c r="O81" s="17" t="s">
        <v>226</v>
      </c>
      <c r="P81" s="17">
        <v>4</v>
      </c>
      <c r="Q81" s="17">
        <v>3.52827E-2</v>
      </c>
      <c r="R81" s="30">
        <v>0.17391300000000001</v>
      </c>
    </row>
    <row r="82" spans="2:18" x14ac:dyDescent="0.2">
      <c r="B82" s="11" t="s">
        <v>3</v>
      </c>
      <c r="C82" s="12">
        <f>VLOOKUP(LOWER(E79),experiments_specs!$A:$J,4,FALSE)</f>
        <v>2</v>
      </c>
      <c r="D82" s="15" t="s">
        <v>1229</v>
      </c>
      <c r="E82" s="6" t="s">
        <v>12</v>
      </c>
      <c r="F82" s="19" t="s">
        <v>23</v>
      </c>
      <c r="G82" s="19">
        <v>2</v>
      </c>
      <c r="H82" s="19">
        <v>4.3759399999999997E-2</v>
      </c>
      <c r="I82" s="31">
        <v>0.42857139999999999</v>
      </c>
      <c r="K82" s="11" t="s">
        <v>3</v>
      </c>
      <c r="L82" s="12">
        <f>VLOOKUP(LOWER(N79),experiments_specs!$A:$J,4,FALSE)</f>
        <v>3</v>
      </c>
      <c r="M82" s="15" t="s">
        <v>1230</v>
      </c>
      <c r="N82" s="6" t="s">
        <v>12</v>
      </c>
      <c r="O82" s="19" t="s">
        <v>23</v>
      </c>
      <c r="P82" s="19">
        <v>2</v>
      </c>
      <c r="Q82" s="19">
        <v>4.3759399999999997E-2</v>
      </c>
      <c r="R82" s="31">
        <v>0.42857139999999999</v>
      </c>
    </row>
    <row r="83" spans="2:18" x14ac:dyDescent="0.2">
      <c r="B83" s="11" t="s">
        <v>4</v>
      </c>
      <c r="C83" s="12" t="str">
        <f>VLOOKUP(LOWER(E79),experiments_specs!$A:$J,5,FALSE)</f>
        <v>True</v>
      </c>
      <c r="D83" s="15" t="s">
        <v>1229</v>
      </c>
      <c r="E83" s="6" t="s">
        <v>13</v>
      </c>
      <c r="F83" s="19" t="s">
        <v>327</v>
      </c>
      <c r="G83" s="19">
        <v>2</v>
      </c>
      <c r="H83" s="19">
        <v>2.4573600000000001E-2</v>
      </c>
      <c r="I83" s="31" t="s">
        <v>25</v>
      </c>
      <c r="K83" s="11" t="s">
        <v>4</v>
      </c>
      <c r="L83" s="12" t="str">
        <f>VLOOKUP(LOWER(N79),experiments_specs!$A:$J,5,FALSE)</f>
        <v>True</v>
      </c>
      <c r="M83" s="15" t="s">
        <v>1230</v>
      </c>
      <c r="N83" s="6" t="s">
        <v>13</v>
      </c>
      <c r="O83" s="19" t="s">
        <v>327</v>
      </c>
      <c r="P83" s="19">
        <v>2</v>
      </c>
      <c r="Q83" s="19">
        <v>2.4573600000000001E-2</v>
      </c>
      <c r="R83" s="31" t="s">
        <v>25</v>
      </c>
    </row>
    <row r="84" spans="2:18" ht="68" x14ac:dyDescent="0.2">
      <c r="B84" s="11" t="s">
        <v>5</v>
      </c>
      <c r="C84" s="12" t="str">
        <f>VLOOKUP(LOWER(E79),experiments_specs!$A:$J,6,FALSE)</f>
        <v>True</v>
      </c>
      <c r="D84" s="15" t="s">
        <v>1229</v>
      </c>
      <c r="E84" s="6" t="s">
        <v>14</v>
      </c>
      <c r="F84" s="18" t="s">
        <v>1328</v>
      </c>
      <c r="G84" s="18" t="s">
        <v>1330</v>
      </c>
      <c r="H84" s="19">
        <v>1.27356E-2</v>
      </c>
      <c r="I84" s="51" t="s">
        <v>1429</v>
      </c>
      <c r="K84" s="11" t="s">
        <v>5</v>
      </c>
      <c r="L84" s="12" t="str">
        <f>VLOOKUP(LOWER(N79),experiments_specs!$A:$J,6,FALSE)</f>
        <v>True</v>
      </c>
      <c r="M84" s="15" t="s">
        <v>1230</v>
      </c>
      <c r="N84" s="6" t="s">
        <v>14</v>
      </c>
      <c r="O84" s="18" t="s">
        <v>1328</v>
      </c>
      <c r="P84" s="18" t="s">
        <v>1330</v>
      </c>
      <c r="Q84" s="19">
        <v>1.27356E-2</v>
      </c>
      <c r="R84" s="51" t="s">
        <v>1429</v>
      </c>
    </row>
    <row r="85" spans="2:18" x14ac:dyDescent="0.2">
      <c r="B85" s="11" t="s">
        <v>6</v>
      </c>
      <c r="C85" s="12" t="str">
        <f>VLOOKUP(LOWER(E79),experiments_specs!$A:$J,7,FALSE)</f>
        <v>False</v>
      </c>
      <c r="D85" s="15" t="s">
        <v>1229</v>
      </c>
      <c r="E85" s="6" t="s">
        <v>15</v>
      </c>
      <c r="F85" s="19" t="s">
        <v>27</v>
      </c>
      <c r="G85" s="19">
        <v>2</v>
      </c>
      <c r="H85" s="19">
        <v>1.7352599999999999E-2</v>
      </c>
      <c r="I85" s="31">
        <v>0.1666666</v>
      </c>
      <c r="K85" s="11" t="s">
        <v>6</v>
      </c>
      <c r="L85" s="12" t="str">
        <f>VLOOKUP(LOWER(N79),experiments_specs!$A:$J,7,FALSE)</f>
        <v>False</v>
      </c>
      <c r="M85" s="15" t="s">
        <v>1230</v>
      </c>
      <c r="N85" s="6" t="s">
        <v>15</v>
      </c>
      <c r="O85" s="19" t="s">
        <v>27</v>
      </c>
      <c r="P85" s="19">
        <v>2</v>
      </c>
      <c r="Q85" s="19">
        <v>1.7352599999999999E-2</v>
      </c>
      <c r="R85" s="31">
        <v>0.1666666</v>
      </c>
    </row>
    <row r="86" spans="2:18" ht="68" x14ac:dyDescent="0.2">
      <c r="B86" s="11" t="s">
        <v>7</v>
      </c>
      <c r="C86" s="12" t="str">
        <f>VLOOKUP(LOWER(E79),experiments_specs!$A:$J,8,FALSE)</f>
        <v>False</v>
      </c>
      <c r="D86" s="15" t="s">
        <v>1229</v>
      </c>
      <c r="E86" s="6" t="s">
        <v>16</v>
      </c>
      <c r="F86" s="18" t="s">
        <v>1332</v>
      </c>
      <c r="G86" s="18" t="s">
        <v>1313</v>
      </c>
      <c r="H86" s="19">
        <v>2.55155E-2</v>
      </c>
      <c r="I86" s="51" t="s">
        <v>1431</v>
      </c>
      <c r="K86" s="11" t="s">
        <v>7</v>
      </c>
      <c r="L86" s="12" t="str">
        <f>VLOOKUP(LOWER(N79),experiments_specs!$A:$J,8,FALSE)</f>
        <v>False</v>
      </c>
      <c r="M86" s="15" t="s">
        <v>1230</v>
      </c>
      <c r="N86" s="6" t="s">
        <v>16</v>
      </c>
      <c r="O86" s="18" t="s">
        <v>1332</v>
      </c>
      <c r="P86" s="18" t="s">
        <v>1313</v>
      </c>
      <c r="Q86" s="19">
        <v>2.55155E-2</v>
      </c>
      <c r="R86" s="51" t="s">
        <v>1431</v>
      </c>
    </row>
    <row r="87" spans="2:18" ht="68" x14ac:dyDescent="0.2">
      <c r="B87" s="11" t="s">
        <v>8</v>
      </c>
      <c r="C87" s="12" t="str">
        <f>VLOOKUP(LOWER(E79),experiments_specs!$A:$J,9,FALSE)</f>
        <v>wup_similarity</v>
      </c>
      <c r="D87" s="15" t="s">
        <v>1229</v>
      </c>
      <c r="E87" s="6" t="s">
        <v>17</v>
      </c>
      <c r="F87" s="18" t="s">
        <v>1334</v>
      </c>
      <c r="G87" s="18" t="s">
        <v>1313</v>
      </c>
      <c r="H87" s="19">
        <v>1.88982E-2</v>
      </c>
      <c r="I87" s="51" t="s">
        <v>1439</v>
      </c>
      <c r="K87" s="11" t="s">
        <v>8</v>
      </c>
      <c r="L87" s="12" t="str">
        <f>VLOOKUP(LOWER(N79),experiments_specs!$A:$J,9,FALSE)</f>
        <v>wup_similarity</v>
      </c>
      <c r="M87" s="15" t="s">
        <v>1230</v>
      </c>
      <c r="N87" s="6" t="s">
        <v>17</v>
      </c>
      <c r="O87" s="18" t="s">
        <v>1334</v>
      </c>
      <c r="P87" s="18" t="s">
        <v>1313</v>
      </c>
      <c r="Q87" s="19">
        <v>1.88982E-2</v>
      </c>
      <c r="R87" s="51" t="s">
        <v>1439</v>
      </c>
    </row>
    <row r="88" spans="2:18" x14ac:dyDescent="0.2">
      <c r="B88" s="11" t="s">
        <v>9</v>
      </c>
      <c r="C88" s="12" t="str">
        <f>VLOOKUP(LOWER(E79),experiments_specs!$A:$J,10,FALSE)</f>
        <v>True</v>
      </c>
      <c r="D88" s="15" t="s">
        <v>1229</v>
      </c>
      <c r="E88" s="7" t="s">
        <v>18</v>
      </c>
      <c r="F88" s="20" t="s">
        <v>45</v>
      </c>
      <c r="G88" s="20">
        <v>2</v>
      </c>
      <c r="H88" s="20">
        <v>1.3362199999999999E-2</v>
      </c>
      <c r="I88" s="32">
        <v>0.2105263</v>
      </c>
      <c r="K88" s="11" t="s">
        <v>9</v>
      </c>
      <c r="L88" s="12" t="str">
        <f>VLOOKUP(LOWER(N79),experiments_specs!$A:$J,10,FALSE)</f>
        <v>True</v>
      </c>
      <c r="M88" s="15" t="s">
        <v>1230</v>
      </c>
      <c r="N88" s="7" t="s">
        <v>18</v>
      </c>
      <c r="O88" s="20" t="s">
        <v>45</v>
      </c>
      <c r="P88" s="20">
        <v>2</v>
      </c>
      <c r="Q88" s="20">
        <v>1.3362199999999999E-2</v>
      </c>
      <c r="R88" s="32">
        <v>0.2105263</v>
      </c>
    </row>
    <row r="89" spans="2:18" ht="17" thickBot="1" x14ac:dyDescent="0.25"/>
    <row r="90" spans="2:18" ht="20" thickBot="1" x14ac:dyDescent="0.3">
      <c r="B90" s="13" t="s">
        <v>126</v>
      </c>
      <c r="C90" s="14"/>
      <c r="D90" s="9"/>
      <c r="E90" s="10" t="str">
        <f>"TEST_"&amp;TEXT(RIGHT(N79,3)+1, "00")</f>
        <v>TEST_107</v>
      </c>
      <c r="F90" s="41" t="s">
        <v>1306</v>
      </c>
      <c r="G90" s="41"/>
      <c r="H90" s="41"/>
      <c r="I90" s="41"/>
      <c r="K90" s="13" t="s">
        <v>126</v>
      </c>
      <c r="L90" s="14"/>
      <c r="M90" s="9"/>
      <c r="N90" s="10" t="str">
        <f>"TEST_"&amp;TEXT(RIGHT(E90,3)+1, "00")</f>
        <v>TEST_108</v>
      </c>
      <c r="O90" s="41" t="s">
        <v>1306</v>
      </c>
      <c r="P90" s="41"/>
      <c r="Q90" s="41"/>
      <c r="R90" s="41"/>
    </row>
    <row r="91" spans="2:18" x14ac:dyDescent="0.2">
      <c r="B91" s="11" t="s">
        <v>1</v>
      </c>
      <c r="C91" s="12" t="str">
        <f>VLOOKUP(LOWER(E90),experiments_specs!$A:$J,2,FALSE)</f>
        <v>NN,JJ,VB,VBD,VBG,VBN,VBP,VBZ</v>
      </c>
      <c r="D91" s="15" t="str">
        <f>"{"&amp;LOWER(E90)&amp;".csv}"</f>
        <v>{test_107.csv}</v>
      </c>
      <c r="E91" s="8" t="s">
        <v>118</v>
      </c>
      <c r="F91" s="3" t="s">
        <v>1307</v>
      </c>
      <c r="G91" s="3"/>
      <c r="H91" s="3" t="s">
        <v>178</v>
      </c>
      <c r="I91" s="29" t="s">
        <v>121</v>
      </c>
      <c r="K91" s="11" t="s">
        <v>1</v>
      </c>
      <c r="L91" s="12" t="str">
        <f>VLOOKUP(LOWER(N90),experiments_specs!$A:$J,2,FALSE)</f>
        <v>NN,JJ,VB,VBD,VBG,VBN,VBP,VBZ</v>
      </c>
      <c r="M91" s="15" t="str">
        <f>"{"&amp;LOWER(N90)&amp;".csv}"</f>
        <v>{test_108.csv}</v>
      </c>
      <c r="N91" s="8" t="s">
        <v>118</v>
      </c>
      <c r="O91" s="3" t="s">
        <v>1307</v>
      </c>
      <c r="P91" s="3"/>
      <c r="Q91" s="3" t="s">
        <v>178</v>
      </c>
      <c r="R91" s="29" t="s">
        <v>121</v>
      </c>
    </row>
    <row r="92" spans="2:18" ht="68" x14ac:dyDescent="0.2">
      <c r="B92" s="11" t="s">
        <v>2</v>
      </c>
      <c r="C92" s="12">
        <f>VLOOKUP(LOWER(E90),experiments_specs!$A:$J,3,FALSE)</f>
        <v>0</v>
      </c>
      <c r="D92" s="15" t="s">
        <v>1231</v>
      </c>
      <c r="E92" s="5" t="s">
        <v>19</v>
      </c>
      <c r="F92" s="17" t="s">
        <v>1311</v>
      </c>
      <c r="G92" s="17" t="s">
        <v>1313</v>
      </c>
      <c r="H92" s="17">
        <v>2.7050000000000001E-2</v>
      </c>
      <c r="I92" s="50" t="s">
        <v>1433</v>
      </c>
      <c r="K92" s="11" t="s">
        <v>2</v>
      </c>
      <c r="L92" s="12">
        <f>VLOOKUP(LOWER(N90),experiments_specs!$A:$J,3,FALSE)</f>
        <v>0</v>
      </c>
      <c r="M92" s="15" t="s">
        <v>1232</v>
      </c>
      <c r="N92" s="5" t="s">
        <v>19</v>
      </c>
      <c r="O92" s="17" t="s">
        <v>1311</v>
      </c>
      <c r="P92" s="17" t="s">
        <v>1313</v>
      </c>
      <c r="Q92" s="17">
        <v>2.7050000000000001E-2</v>
      </c>
      <c r="R92" s="50" t="s">
        <v>1433</v>
      </c>
    </row>
    <row r="93" spans="2:18" x14ac:dyDescent="0.2">
      <c r="B93" s="11" t="s">
        <v>3</v>
      </c>
      <c r="C93" s="12">
        <f>VLOOKUP(LOWER(E90),experiments_specs!$A:$J,4,FALSE)</f>
        <v>2</v>
      </c>
      <c r="D93" s="15" t="s">
        <v>1231</v>
      </c>
      <c r="E93" s="6" t="s">
        <v>12</v>
      </c>
      <c r="F93" s="19" t="s">
        <v>23</v>
      </c>
      <c r="G93" s="19">
        <v>2</v>
      </c>
      <c r="H93" s="19">
        <v>3.7723699999999999E-2</v>
      </c>
      <c r="I93" s="31">
        <v>0.42857139999999999</v>
      </c>
      <c r="K93" s="11" t="s">
        <v>3</v>
      </c>
      <c r="L93" s="12">
        <f>VLOOKUP(LOWER(N90),experiments_specs!$A:$J,4,FALSE)</f>
        <v>3</v>
      </c>
      <c r="M93" s="15" t="s">
        <v>1232</v>
      </c>
      <c r="N93" s="6" t="s">
        <v>12</v>
      </c>
      <c r="O93" s="19" t="s">
        <v>23</v>
      </c>
      <c r="P93" s="19">
        <v>2</v>
      </c>
      <c r="Q93" s="19">
        <v>3.7723699999999999E-2</v>
      </c>
      <c r="R93" s="31">
        <v>0.42857139999999999</v>
      </c>
    </row>
    <row r="94" spans="2:18" x14ac:dyDescent="0.2">
      <c r="B94" s="11" t="s">
        <v>4</v>
      </c>
      <c r="C94" s="12" t="str">
        <f>VLOOKUP(LOWER(E90),experiments_specs!$A:$J,5,FALSE)</f>
        <v>True</v>
      </c>
      <c r="D94" s="15" t="s">
        <v>1231</v>
      </c>
      <c r="E94" s="6" t="s">
        <v>13</v>
      </c>
      <c r="F94" s="19" t="s">
        <v>327</v>
      </c>
      <c r="G94" s="19">
        <v>2</v>
      </c>
      <c r="H94" s="19">
        <v>2.4573600000000001E-2</v>
      </c>
      <c r="I94" s="31" t="s">
        <v>25</v>
      </c>
      <c r="K94" s="11" t="s">
        <v>4</v>
      </c>
      <c r="L94" s="12" t="str">
        <f>VLOOKUP(LOWER(N90),experiments_specs!$A:$J,5,FALSE)</f>
        <v>True</v>
      </c>
      <c r="M94" s="15" t="s">
        <v>1232</v>
      </c>
      <c r="N94" s="6" t="s">
        <v>13</v>
      </c>
      <c r="O94" s="19" t="s">
        <v>327</v>
      </c>
      <c r="P94" s="19">
        <v>2</v>
      </c>
      <c r="Q94" s="19">
        <v>2.4573600000000001E-2</v>
      </c>
      <c r="R94" s="31" t="s">
        <v>25</v>
      </c>
    </row>
    <row r="95" spans="2:18" ht="68" x14ac:dyDescent="0.2">
      <c r="B95" s="11" t="s">
        <v>5</v>
      </c>
      <c r="C95" s="12" t="str">
        <f>VLOOKUP(LOWER(E90),experiments_specs!$A:$J,6,FALSE)</f>
        <v>True</v>
      </c>
      <c r="D95" s="15" t="s">
        <v>1231</v>
      </c>
      <c r="E95" s="6" t="s">
        <v>14</v>
      </c>
      <c r="F95" s="18" t="s">
        <v>1328</v>
      </c>
      <c r="G95" s="18" t="s">
        <v>1330</v>
      </c>
      <c r="H95" s="19">
        <v>1.1102799999999999E-2</v>
      </c>
      <c r="I95" s="51" t="s">
        <v>1429</v>
      </c>
      <c r="K95" s="11" t="s">
        <v>5</v>
      </c>
      <c r="L95" s="12" t="str">
        <f>VLOOKUP(LOWER(N90),experiments_specs!$A:$J,6,FALSE)</f>
        <v>True</v>
      </c>
      <c r="M95" s="15" t="s">
        <v>1232</v>
      </c>
      <c r="N95" s="6" t="s">
        <v>14</v>
      </c>
      <c r="O95" s="18" t="s">
        <v>1328</v>
      </c>
      <c r="P95" s="18" t="s">
        <v>1330</v>
      </c>
      <c r="Q95" s="19">
        <v>1.1102799999999999E-2</v>
      </c>
      <c r="R95" s="51" t="s">
        <v>1429</v>
      </c>
    </row>
    <row r="96" spans="2:18" x14ac:dyDescent="0.2">
      <c r="B96" s="11" t="s">
        <v>6</v>
      </c>
      <c r="C96" s="12" t="str">
        <f>VLOOKUP(LOWER(E90),experiments_specs!$A:$J,7,FALSE)</f>
        <v>False</v>
      </c>
      <c r="D96" s="15" t="s">
        <v>1231</v>
      </c>
      <c r="E96" s="6" t="s">
        <v>15</v>
      </c>
      <c r="F96" s="19" t="s">
        <v>293</v>
      </c>
      <c r="G96" s="19">
        <v>1</v>
      </c>
      <c r="H96" s="19">
        <v>3.4921500000000001E-2</v>
      </c>
      <c r="I96" s="31">
        <v>0.90909090000000004</v>
      </c>
      <c r="K96" s="11" t="s">
        <v>6</v>
      </c>
      <c r="L96" s="12" t="str">
        <f>VLOOKUP(LOWER(N90),experiments_specs!$A:$J,7,FALSE)</f>
        <v>False</v>
      </c>
      <c r="M96" s="15" t="s">
        <v>1232</v>
      </c>
      <c r="N96" s="6" t="s">
        <v>15</v>
      </c>
      <c r="O96" s="19" t="s">
        <v>293</v>
      </c>
      <c r="P96" s="19">
        <v>1</v>
      </c>
      <c r="Q96" s="19">
        <v>3.4921500000000001E-2</v>
      </c>
      <c r="R96" s="31">
        <v>0.90909090000000004</v>
      </c>
    </row>
    <row r="97" spans="2:18" ht="68" x14ac:dyDescent="0.2">
      <c r="B97" s="11" t="s">
        <v>7</v>
      </c>
      <c r="C97" s="12" t="str">
        <f>VLOOKUP(LOWER(E90),experiments_specs!$A:$J,8,FALSE)</f>
        <v>False</v>
      </c>
      <c r="D97" s="15" t="s">
        <v>1231</v>
      </c>
      <c r="E97" s="6" t="s">
        <v>16</v>
      </c>
      <c r="F97" s="18" t="s">
        <v>1332</v>
      </c>
      <c r="G97" s="18" t="s">
        <v>1313</v>
      </c>
      <c r="H97" s="19">
        <v>2.4825900000000001E-2</v>
      </c>
      <c r="I97" s="51" t="s">
        <v>1431</v>
      </c>
      <c r="K97" s="11" t="s">
        <v>7</v>
      </c>
      <c r="L97" s="12" t="str">
        <f>VLOOKUP(LOWER(N90),experiments_specs!$A:$J,8,FALSE)</f>
        <v>False</v>
      </c>
      <c r="M97" s="15" t="s">
        <v>1232</v>
      </c>
      <c r="N97" s="6" t="s">
        <v>16</v>
      </c>
      <c r="O97" s="18" t="s">
        <v>1332</v>
      </c>
      <c r="P97" s="18" t="s">
        <v>1313</v>
      </c>
      <c r="Q97" s="19">
        <v>2.4825900000000001E-2</v>
      </c>
      <c r="R97" s="51" t="s">
        <v>1431</v>
      </c>
    </row>
    <row r="98" spans="2:18" ht="68" x14ac:dyDescent="0.2">
      <c r="B98" s="11" t="s">
        <v>8</v>
      </c>
      <c r="C98" s="12" t="str">
        <f>VLOOKUP(LOWER(E90),experiments_specs!$A:$J,9,FALSE)</f>
        <v>wup_similarity</v>
      </c>
      <c r="D98" s="15" t="s">
        <v>1231</v>
      </c>
      <c r="E98" s="6" t="s">
        <v>17</v>
      </c>
      <c r="F98" s="18" t="s">
        <v>1334</v>
      </c>
      <c r="G98" s="18" t="s">
        <v>1313</v>
      </c>
      <c r="H98" s="19">
        <v>1.71802E-2</v>
      </c>
      <c r="I98" s="51" t="s">
        <v>1439</v>
      </c>
      <c r="K98" s="11" t="s">
        <v>8</v>
      </c>
      <c r="L98" s="12" t="str">
        <f>VLOOKUP(LOWER(N90),experiments_specs!$A:$J,9,FALSE)</f>
        <v>wup_similarity</v>
      </c>
      <c r="M98" s="15" t="s">
        <v>1232</v>
      </c>
      <c r="N98" s="6" t="s">
        <v>17</v>
      </c>
      <c r="O98" s="18" t="s">
        <v>1334</v>
      </c>
      <c r="P98" s="18" t="s">
        <v>1313</v>
      </c>
      <c r="Q98" s="19">
        <v>1.71802E-2</v>
      </c>
      <c r="R98" s="51" t="s">
        <v>1439</v>
      </c>
    </row>
    <row r="99" spans="2:18" x14ac:dyDescent="0.2">
      <c r="B99" s="11" t="s">
        <v>9</v>
      </c>
      <c r="C99" s="12" t="str">
        <f>VLOOKUP(LOWER(E90),experiments_specs!$A:$J,10,FALSE)</f>
        <v>True</v>
      </c>
      <c r="D99" s="15" t="s">
        <v>1231</v>
      </c>
      <c r="E99" s="7" t="s">
        <v>18</v>
      </c>
      <c r="F99" s="20" t="s">
        <v>45</v>
      </c>
      <c r="G99" s="20">
        <v>2</v>
      </c>
      <c r="H99" s="20">
        <v>1.2576199999999999E-2</v>
      </c>
      <c r="I99" s="32">
        <v>0.2105263</v>
      </c>
      <c r="K99" s="11" t="s">
        <v>9</v>
      </c>
      <c r="L99" s="12" t="str">
        <f>VLOOKUP(LOWER(N90),experiments_specs!$A:$J,10,FALSE)</f>
        <v>True</v>
      </c>
      <c r="M99" s="15" t="s">
        <v>1232</v>
      </c>
      <c r="N99" s="7" t="s">
        <v>18</v>
      </c>
      <c r="O99" s="20" t="s">
        <v>45</v>
      </c>
      <c r="P99" s="20">
        <v>2</v>
      </c>
      <c r="Q99" s="20">
        <v>1.2576199999999999E-2</v>
      </c>
      <c r="R99" s="32">
        <v>0.2105263</v>
      </c>
    </row>
    <row r="100" spans="2:18" ht="17" thickBot="1" x14ac:dyDescent="0.25"/>
    <row r="101" spans="2:18" ht="20" thickBot="1" x14ac:dyDescent="0.3">
      <c r="B101" s="13" t="s">
        <v>126</v>
      </c>
      <c r="C101" s="14"/>
      <c r="D101" s="9"/>
      <c r="E101" s="10" t="str">
        <f>"TEST_"&amp;TEXT(RIGHT(N90,3)+1, "00")</f>
        <v>TEST_109</v>
      </c>
      <c r="F101" s="41" t="s">
        <v>1306</v>
      </c>
      <c r="G101" s="41"/>
      <c r="H101" s="41"/>
      <c r="I101" s="41"/>
      <c r="K101" s="13" t="s">
        <v>126</v>
      </c>
      <c r="L101" s="14"/>
      <c r="M101" s="9"/>
      <c r="N101" s="10" t="str">
        <f>"TEST_"&amp;TEXT(RIGHT(E101,3)+1, "00")</f>
        <v>TEST_110</v>
      </c>
      <c r="O101" s="41" t="s">
        <v>1306</v>
      </c>
      <c r="P101" s="41"/>
      <c r="Q101" s="41"/>
      <c r="R101" s="41"/>
    </row>
    <row r="102" spans="2:18" x14ac:dyDescent="0.2">
      <c r="B102" s="11" t="s">
        <v>1</v>
      </c>
      <c r="C102" s="12" t="str">
        <f>VLOOKUP(LOWER(E101),experiments_specs!$A:$J,2,FALSE)</f>
        <v>NN,JJ</v>
      </c>
      <c r="D102" s="15" t="str">
        <f>"{"&amp;LOWER(E101)&amp;".csv}"</f>
        <v>{test_109.csv}</v>
      </c>
      <c r="E102" s="8" t="s">
        <v>118</v>
      </c>
      <c r="F102" s="3" t="s">
        <v>1307</v>
      </c>
      <c r="G102" s="3"/>
      <c r="H102" s="3" t="s">
        <v>178</v>
      </c>
      <c r="I102" s="29" t="s">
        <v>121</v>
      </c>
      <c r="K102" s="11" t="s">
        <v>1</v>
      </c>
      <c r="L102" s="12" t="str">
        <f>VLOOKUP(LOWER(N101),experiments_specs!$A:$J,2,FALSE)</f>
        <v>NN,JJ</v>
      </c>
      <c r="M102" s="15" t="str">
        <f>"{"&amp;LOWER(N101)&amp;".csv}"</f>
        <v>{test_110.csv}</v>
      </c>
      <c r="N102" s="8" t="s">
        <v>118</v>
      </c>
      <c r="O102" s="3" t="s">
        <v>1307</v>
      </c>
      <c r="P102" s="3"/>
      <c r="Q102" s="3" t="s">
        <v>178</v>
      </c>
      <c r="R102" s="29" t="s">
        <v>121</v>
      </c>
    </row>
    <row r="103" spans="2:18" ht="68" x14ac:dyDescent="0.2">
      <c r="B103" s="11" t="s">
        <v>2</v>
      </c>
      <c r="C103" s="12">
        <f>VLOOKUP(LOWER(E101),experiments_specs!$A:$J,3,FALSE)</f>
        <v>0</v>
      </c>
      <c r="D103" s="15" t="s">
        <v>1233</v>
      </c>
      <c r="E103" s="5" t="s">
        <v>19</v>
      </c>
      <c r="F103" s="17" t="s">
        <v>1311</v>
      </c>
      <c r="G103" s="17" t="s">
        <v>1313</v>
      </c>
      <c r="H103" s="17">
        <v>2.8078999999999999E-3</v>
      </c>
      <c r="I103" s="50" t="s">
        <v>1433</v>
      </c>
      <c r="K103" s="11" t="s">
        <v>2</v>
      </c>
      <c r="L103" s="12">
        <f>VLOOKUP(LOWER(N101),experiments_specs!$A:$J,3,FALSE)</f>
        <v>0</v>
      </c>
      <c r="M103" s="15" t="s">
        <v>1234</v>
      </c>
      <c r="N103" s="5" t="s">
        <v>19</v>
      </c>
      <c r="O103" s="17" t="s">
        <v>1311</v>
      </c>
      <c r="P103" s="17" t="s">
        <v>1313</v>
      </c>
      <c r="Q103" s="17">
        <v>2.8078999999999999E-3</v>
      </c>
      <c r="R103" s="50" t="s">
        <v>1433</v>
      </c>
    </row>
    <row r="104" spans="2:18" x14ac:dyDescent="0.2">
      <c r="B104" s="11" t="s">
        <v>3</v>
      </c>
      <c r="C104" s="12">
        <f>VLOOKUP(LOWER(E101),experiments_specs!$A:$J,4,FALSE)</f>
        <v>2</v>
      </c>
      <c r="D104" s="15" t="s">
        <v>1233</v>
      </c>
      <c r="E104" s="6" t="s">
        <v>12</v>
      </c>
      <c r="F104" s="19" t="s">
        <v>1336</v>
      </c>
      <c r="G104" s="19">
        <v>4</v>
      </c>
      <c r="H104" s="19">
        <v>4.0683000000000004E-3</v>
      </c>
      <c r="I104" s="31">
        <v>0.25</v>
      </c>
      <c r="K104" s="11" t="s">
        <v>3</v>
      </c>
      <c r="L104" s="12">
        <f>VLOOKUP(LOWER(N101),experiments_specs!$A:$J,4,FALSE)</f>
        <v>3</v>
      </c>
      <c r="M104" s="15" t="s">
        <v>1234</v>
      </c>
      <c r="N104" s="6" t="s">
        <v>12</v>
      </c>
      <c r="O104" s="19" t="s">
        <v>1336</v>
      </c>
      <c r="P104" s="19">
        <v>4</v>
      </c>
      <c r="Q104" s="19">
        <v>4.0683000000000004E-3</v>
      </c>
      <c r="R104" s="31">
        <v>0.25</v>
      </c>
    </row>
    <row r="105" spans="2:18" x14ac:dyDescent="0.2">
      <c r="B105" s="11" t="s">
        <v>4</v>
      </c>
      <c r="C105" s="12" t="str">
        <f>VLOOKUP(LOWER(E101),experiments_specs!$A:$J,5,FALSE)</f>
        <v>False</v>
      </c>
      <c r="D105" s="15" t="s">
        <v>1233</v>
      </c>
      <c r="E105" s="6" t="s">
        <v>13</v>
      </c>
      <c r="F105" s="19" t="s">
        <v>1317</v>
      </c>
      <c r="G105" s="19">
        <v>3</v>
      </c>
      <c r="H105" s="19">
        <v>6.9794999999999996E-3</v>
      </c>
      <c r="I105" s="31" t="s">
        <v>25</v>
      </c>
      <c r="K105" s="11" t="s">
        <v>4</v>
      </c>
      <c r="L105" s="12" t="str">
        <f>VLOOKUP(LOWER(N101),experiments_specs!$A:$J,5,FALSE)</f>
        <v>False</v>
      </c>
      <c r="M105" s="15" t="s">
        <v>1234</v>
      </c>
      <c r="N105" s="6" t="s">
        <v>13</v>
      </c>
      <c r="O105" s="19" t="s">
        <v>1317</v>
      </c>
      <c r="P105" s="19">
        <v>3</v>
      </c>
      <c r="Q105" s="19">
        <v>6.9794999999999996E-3</v>
      </c>
      <c r="R105" s="31" t="s">
        <v>25</v>
      </c>
    </row>
    <row r="106" spans="2:18" ht="68" x14ac:dyDescent="0.2">
      <c r="B106" s="11" t="s">
        <v>5</v>
      </c>
      <c r="C106" s="12" t="str">
        <f>VLOOKUP(LOWER(E101),experiments_specs!$A:$J,6,FALSE)</f>
        <v>True</v>
      </c>
      <c r="D106" s="15" t="s">
        <v>1233</v>
      </c>
      <c r="E106" s="6" t="s">
        <v>14</v>
      </c>
      <c r="F106" s="18" t="s">
        <v>1318</v>
      </c>
      <c r="G106" s="18" t="s">
        <v>1313</v>
      </c>
      <c r="H106" s="19">
        <v>3.2247E-3</v>
      </c>
      <c r="I106" s="51" t="s">
        <v>1435</v>
      </c>
      <c r="K106" s="11" t="s">
        <v>5</v>
      </c>
      <c r="L106" s="12" t="str">
        <f>VLOOKUP(LOWER(N101),experiments_specs!$A:$J,6,FALSE)</f>
        <v>True</v>
      </c>
      <c r="M106" s="15" t="s">
        <v>1234</v>
      </c>
      <c r="N106" s="6" t="s">
        <v>14</v>
      </c>
      <c r="O106" s="18" t="s">
        <v>1318</v>
      </c>
      <c r="P106" s="18" t="s">
        <v>1313</v>
      </c>
      <c r="Q106" s="19">
        <v>3.2247E-3</v>
      </c>
      <c r="R106" s="51" t="s">
        <v>1435</v>
      </c>
    </row>
    <row r="107" spans="2:18" x14ac:dyDescent="0.2">
      <c r="B107" s="11" t="s">
        <v>6</v>
      </c>
      <c r="C107" s="12" t="str">
        <f>VLOOKUP(LOWER(E101),experiments_specs!$A:$J,7,FALSE)</f>
        <v>True</v>
      </c>
      <c r="D107" s="15" t="s">
        <v>1233</v>
      </c>
      <c r="E107" s="6" t="s">
        <v>15</v>
      </c>
      <c r="F107" s="19" t="s">
        <v>293</v>
      </c>
      <c r="G107" s="19">
        <v>1</v>
      </c>
      <c r="H107" s="19">
        <v>4.5773999999999997E-3</v>
      </c>
      <c r="I107" s="31">
        <v>0.90909090000000004</v>
      </c>
      <c r="K107" s="11" t="s">
        <v>6</v>
      </c>
      <c r="L107" s="12" t="str">
        <f>VLOOKUP(LOWER(N101),experiments_specs!$A:$J,7,FALSE)</f>
        <v>True</v>
      </c>
      <c r="M107" s="15" t="s">
        <v>1234</v>
      </c>
      <c r="N107" s="6" t="s">
        <v>15</v>
      </c>
      <c r="O107" s="19" t="s">
        <v>293</v>
      </c>
      <c r="P107" s="19">
        <v>1</v>
      </c>
      <c r="Q107" s="19">
        <v>4.5773999999999997E-3</v>
      </c>
      <c r="R107" s="31">
        <v>0.90909090000000004</v>
      </c>
    </row>
    <row r="108" spans="2:18" x14ac:dyDescent="0.2">
      <c r="B108" s="11" t="s">
        <v>7</v>
      </c>
      <c r="C108" s="12" t="str">
        <f>VLOOKUP(LOWER(E101),experiments_specs!$A:$J,8,FALSE)</f>
        <v>False</v>
      </c>
      <c r="D108" s="15" t="s">
        <v>1233</v>
      </c>
      <c r="E108" s="6" t="s">
        <v>16</v>
      </c>
      <c r="F108" s="19" t="s">
        <v>209</v>
      </c>
      <c r="G108" s="19">
        <v>2</v>
      </c>
      <c r="H108" s="19">
        <v>2.9521999999999999E-3</v>
      </c>
      <c r="I108" s="31">
        <v>0.55555549999999998</v>
      </c>
      <c r="K108" s="11" t="s">
        <v>7</v>
      </c>
      <c r="L108" s="12" t="str">
        <f>VLOOKUP(LOWER(N101),experiments_specs!$A:$J,8,FALSE)</f>
        <v>False</v>
      </c>
      <c r="M108" s="15" t="s">
        <v>1234</v>
      </c>
      <c r="N108" s="6" t="s">
        <v>16</v>
      </c>
      <c r="O108" s="19" t="s">
        <v>209</v>
      </c>
      <c r="P108" s="19">
        <v>2</v>
      </c>
      <c r="Q108" s="19">
        <v>2.9521999999999999E-3</v>
      </c>
      <c r="R108" s="31">
        <v>0.55555549999999998</v>
      </c>
    </row>
    <row r="109" spans="2:18" x14ac:dyDescent="0.2">
      <c r="B109" s="11" t="s">
        <v>8</v>
      </c>
      <c r="C109" s="12" t="str">
        <f>VLOOKUP(LOWER(E101),experiments_specs!$A:$J,9,FALSE)</f>
        <v>wup_similarity</v>
      </c>
      <c r="D109" s="15" t="s">
        <v>1233</v>
      </c>
      <c r="E109" s="6" t="s">
        <v>17</v>
      </c>
      <c r="F109" s="19" t="s">
        <v>219</v>
      </c>
      <c r="G109" s="19">
        <v>2</v>
      </c>
      <c r="H109" s="19">
        <v>2.7277E-3</v>
      </c>
      <c r="I109" s="31">
        <v>0.13333329999999999</v>
      </c>
      <c r="K109" s="11" t="s">
        <v>8</v>
      </c>
      <c r="L109" s="12" t="str">
        <f>VLOOKUP(LOWER(N101),experiments_specs!$A:$J,9,FALSE)</f>
        <v>wup_similarity</v>
      </c>
      <c r="M109" s="15" t="s">
        <v>1234</v>
      </c>
      <c r="N109" s="6" t="s">
        <v>17</v>
      </c>
      <c r="O109" s="19" t="s">
        <v>219</v>
      </c>
      <c r="P109" s="19">
        <v>2</v>
      </c>
      <c r="Q109" s="19">
        <v>2.7277E-3</v>
      </c>
      <c r="R109" s="31">
        <v>0.13333329999999999</v>
      </c>
    </row>
    <row r="110" spans="2:18" ht="68" x14ac:dyDescent="0.2">
      <c r="B110" s="11" t="s">
        <v>9</v>
      </c>
      <c r="C110" s="12" t="str">
        <f>VLOOKUP(LOWER(E101),experiments_specs!$A:$J,10,FALSE)</f>
        <v>False</v>
      </c>
      <c r="D110" s="15" t="s">
        <v>1233</v>
      </c>
      <c r="E110" s="7" t="s">
        <v>18</v>
      </c>
      <c r="F110" s="49" t="s">
        <v>1322</v>
      </c>
      <c r="G110" s="49" t="s">
        <v>1313</v>
      </c>
      <c r="H110" s="20">
        <v>2.2725000000000002E-3</v>
      </c>
      <c r="I110" s="52" t="s">
        <v>1437</v>
      </c>
      <c r="K110" s="11" t="s">
        <v>9</v>
      </c>
      <c r="L110" s="12" t="str">
        <f>VLOOKUP(LOWER(N101),experiments_specs!$A:$J,10,FALSE)</f>
        <v>False</v>
      </c>
      <c r="M110" s="15" t="s">
        <v>1234</v>
      </c>
      <c r="N110" s="7" t="s">
        <v>18</v>
      </c>
      <c r="O110" s="49" t="s">
        <v>1322</v>
      </c>
      <c r="P110" s="49" t="s">
        <v>1313</v>
      </c>
      <c r="Q110" s="20">
        <v>2.2725000000000002E-3</v>
      </c>
      <c r="R110" s="52" t="s">
        <v>1437</v>
      </c>
    </row>
    <row r="111" spans="2:18" ht="17" thickBot="1" x14ac:dyDescent="0.25"/>
    <row r="112" spans="2:18" ht="20" thickBot="1" x14ac:dyDescent="0.3">
      <c r="B112" s="13" t="s">
        <v>126</v>
      </c>
      <c r="C112" s="14"/>
      <c r="D112" s="9"/>
      <c r="E112" s="10" t="str">
        <f>"TEST_"&amp;TEXT(RIGHT(N101,3)+1, "00")</f>
        <v>TEST_111</v>
      </c>
      <c r="F112" s="41" t="s">
        <v>1306</v>
      </c>
      <c r="G112" s="41"/>
      <c r="H112" s="41"/>
      <c r="I112" s="41"/>
      <c r="K112" s="13" t="s">
        <v>126</v>
      </c>
      <c r="L112" s="14"/>
      <c r="M112" s="9"/>
      <c r="N112" s="10" t="str">
        <f>"TEST_"&amp;TEXT(RIGHT(E112,3)+1, "00")</f>
        <v>TEST_112</v>
      </c>
      <c r="O112" s="41" t="s">
        <v>1306</v>
      </c>
      <c r="P112" s="41"/>
      <c r="Q112" s="41"/>
      <c r="R112" s="41"/>
    </row>
    <row r="113" spans="2:18" x14ac:dyDescent="0.2">
      <c r="B113" s="11" t="s">
        <v>1</v>
      </c>
      <c r="C113" s="12" t="str">
        <f>VLOOKUP(LOWER(E112),experiments_specs!$A:$J,2,FALSE)</f>
        <v>NN,VB,VBD,VBG,VBN,VBP,VBZ</v>
      </c>
      <c r="D113" s="15" t="str">
        <f>"{"&amp;LOWER(E112)&amp;".csv}"</f>
        <v>{test_111.csv}</v>
      </c>
      <c r="E113" s="8" t="s">
        <v>118</v>
      </c>
      <c r="F113" s="3" t="s">
        <v>1307</v>
      </c>
      <c r="G113" s="3"/>
      <c r="H113" s="3" t="s">
        <v>178</v>
      </c>
      <c r="I113" s="29" t="s">
        <v>121</v>
      </c>
      <c r="K113" s="11" t="s">
        <v>1</v>
      </c>
      <c r="L113" s="12" t="str">
        <f>VLOOKUP(LOWER(N112),experiments_specs!$A:$J,2,FALSE)</f>
        <v>NN,VB,VBD,VBG,VBN,VBP,VBZ</v>
      </c>
      <c r="M113" s="15" t="str">
        <f>"{"&amp;LOWER(N112)&amp;".csv}"</f>
        <v>{test_112.csv}</v>
      </c>
      <c r="N113" s="8" t="s">
        <v>118</v>
      </c>
      <c r="O113" s="3" t="s">
        <v>1307</v>
      </c>
      <c r="P113" s="3"/>
      <c r="Q113" s="3" t="s">
        <v>178</v>
      </c>
      <c r="R113" s="29" t="s">
        <v>121</v>
      </c>
    </row>
    <row r="114" spans="2:18" ht="17" x14ac:dyDescent="0.2">
      <c r="B114" s="11" t="s">
        <v>2</v>
      </c>
      <c r="C114" s="12">
        <f>VLOOKUP(LOWER(E112),experiments_specs!$A:$J,3,FALSE)</f>
        <v>0</v>
      </c>
      <c r="D114" s="15" t="s">
        <v>1235</v>
      </c>
      <c r="E114" s="5" t="s">
        <v>19</v>
      </c>
      <c r="F114" s="17" t="s">
        <v>226</v>
      </c>
      <c r="G114" s="17">
        <v>3</v>
      </c>
      <c r="H114" s="17">
        <v>2.5639E-3</v>
      </c>
      <c r="I114" s="30">
        <v>0.17391300000000001</v>
      </c>
      <c r="K114" s="11" t="s">
        <v>2</v>
      </c>
      <c r="L114" s="12">
        <f>VLOOKUP(LOWER(N112),experiments_specs!$A:$J,3,FALSE)</f>
        <v>0</v>
      </c>
      <c r="M114" s="15" t="s">
        <v>1236</v>
      </c>
      <c r="N114" s="5" t="s">
        <v>19</v>
      </c>
      <c r="O114" s="17" t="s">
        <v>226</v>
      </c>
      <c r="P114" s="17">
        <v>3</v>
      </c>
      <c r="Q114" s="17">
        <v>2.5639E-3</v>
      </c>
      <c r="R114" s="30">
        <v>0.17391300000000001</v>
      </c>
    </row>
    <row r="115" spans="2:18" x14ac:dyDescent="0.2">
      <c r="B115" s="11" t="s">
        <v>3</v>
      </c>
      <c r="C115" s="12">
        <f>VLOOKUP(LOWER(E112),experiments_specs!$A:$J,4,FALSE)</f>
        <v>2</v>
      </c>
      <c r="D115" s="15" t="s">
        <v>1235</v>
      </c>
      <c r="E115" s="6" t="s">
        <v>12</v>
      </c>
      <c r="F115" s="19" t="s">
        <v>236</v>
      </c>
      <c r="G115" s="19">
        <v>2</v>
      </c>
      <c r="H115" s="19">
        <v>3.212E-3</v>
      </c>
      <c r="I115" s="31">
        <v>0.125</v>
      </c>
      <c r="K115" s="11" t="s">
        <v>3</v>
      </c>
      <c r="L115" s="12">
        <f>VLOOKUP(LOWER(N112),experiments_specs!$A:$J,4,FALSE)</f>
        <v>3</v>
      </c>
      <c r="M115" s="15" t="s">
        <v>1236</v>
      </c>
      <c r="N115" s="6" t="s">
        <v>12</v>
      </c>
      <c r="O115" s="19" t="s">
        <v>236</v>
      </c>
      <c r="P115" s="19">
        <v>2</v>
      </c>
      <c r="Q115" s="19">
        <v>3.212E-3</v>
      </c>
      <c r="R115" s="31">
        <v>0.125</v>
      </c>
    </row>
    <row r="116" spans="2:18" x14ac:dyDescent="0.2">
      <c r="B116" s="11" t="s">
        <v>4</v>
      </c>
      <c r="C116" s="12" t="str">
        <f>VLOOKUP(LOWER(E112),experiments_specs!$A:$J,5,FALSE)</f>
        <v>False</v>
      </c>
      <c r="D116" s="15" t="s">
        <v>1235</v>
      </c>
      <c r="E116" s="6" t="s">
        <v>13</v>
      </c>
      <c r="F116" s="19" t="s">
        <v>1317</v>
      </c>
      <c r="G116" s="19">
        <v>3</v>
      </c>
      <c r="H116" s="19">
        <v>6.3826999999999998E-3</v>
      </c>
      <c r="I116" s="31" t="s">
        <v>25</v>
      </c>
      <c r="K116" s="11" t="s">
        <v>4</v>
      </c>
      <c r="L116" s="12" t="str">
        <f>VLOOKUP(LOWER(N112),experiments_specs!$A:$J,5,FALSE)</f>
        <v>False</v>
      </c>
      <c r="M116" s="15" t="s">
        <v>1236</v>
      </c>
      <c r="N116" s="6" t="s">
        <v>13</v>
      </c>
      <c r="O116" s="19" t="s">
        <v>1317</v>
      </c>
      <c r="P116" s="19">
        <v>3</v>
      </c>
      <c r="Q116" s="19">
        <v>6.3826999999999998E-3</v>
      </c>
      <c r="R116" s="31" t="s">
        <v>25</v>
      </c>
    </row>
    <row r="117" spans="2:18" x14ac:dyDescent="0.2">
      <c r="B117" s="11" t="s">
        <v>5</v>
      </c>
      <c r="C117" s="12" t="str">
        <f>VLOOKUP(LOWER(E112),experiments_specs!$A:$J,6,FALSE)</f>
        <v>True</v>
      </c>
      <c r="D117" s="15" t="s">
        <v>1235</v>
      </c>
      <c r="E117" s="6" t="s">
        <v>14</v>
      </c>
      <c r="F117" s="19" t="s">
        <v>382</v>
      </c>
      <c r="G117" s="19">
        <v>2</v>
      </c>
      <c r="H117" s="19">
        <v>2.8861E-3</v>
      </c>
      <c r="I117" s="31">
        <v>0.625</v>
      </c>
      <c r="K117" s="11" t="s">
        <v>5</v>
      </c>
      <c r="L117" s="12" t="str">
        <f>VLOOKUP(LOWER(N112),experiments_specs!$A:$J,6,FALSE)</f>
        <v>True</v>
      </c>
      <c r="M117" s="15" t="s">
        <v>1236</v>
      </c>
      <c r="N117" s="6" t="s">
        <v>14</v>
      </c>
      <c r="O117" s="19" t="s">
        <v>382</v>
      </c>
      <c r="P117" s="19">
        <v>2</v>
      </c>
      <c r="Q117" s="19">
        <v>2.8861E-3</v>
      </c>
      <c r="R117" s="31">
        <v>0.625</v>
      </c>
    </row>
    <row r="118" spans="2:18" x14ac:dyDescent="0.2">
      <c r="B118" s="11" t="s">
        <v>6</v>
      </c>
      <c r="C118" s="12" t="str">
        <f>VLOOKUP(LOWER(E112),experiments_specs!$A:$J,7,FALSE)</f>
        <v>True</v>
      </c>
      <c r="D118" s="15" t="s">
        <v>1235</v>
      </c>
      <c r="E118" s="6" t="s">
        <v>15</v>
      </c>
      <c r="F118" s="19" t="s">
        <v>238</v>
      </c>
      <c r="G118" s="19">
        <v>2</v>
      </c>
      <c r="H118" s="19">
        <v>2.758E-3</v>
      </c>
      <c r="I118" s="31">
        <v>0.2</v>
      </c>
      <c r="K118" s="11" t="s">
        <v>6</v>
      </c>
      <c r="L118" s="12" t="str">
        <f>VLOOKUP(LOWER(N112),experiments_specs!$A:$J,7,FALSE)</f>
        <v>True</v>
      </c>
      <c r="M118" s="15" t="s">
        <v>1236</v>
      </c>
      <c r="N118" s="6" t="s">
        <v>15</v>
      </c>
      <c r="O118" s="19" t="s">
        <v>238</v>
      </c>
      <c r="P118" s="19">
        <v>2</v>
      </c>
      <c r="Q118" s="19">
        <v>2.758E-3</v>
      </c>
      <c r="R118" s="31">
        <v>0.2</v>
      </c>
    </row>
    <row r="119" spans="2:18" x14ac:dyDescent="0.2">
      <c r="B119" s="11" t="s">
        <v>7</v>
      </c>
      <c r="C119" s="12" t="str">
        <f>VLOOKUP(LOWER(E112),experiments_specs!$A:$J,8,FALSE)</f>
        <v>False</v>
      </c>
      <c r="D119" s="15" t="s">
        <v>1235</v>
      </c>
      <c r="E119" s="6" t="s">
        <v>16</v>
      </c>
      <c r="F119" s="19" t="s">
        <v>209</v>
      </c>
      <c r="G119" s="19">
        <v>2</v>
      </c>
      <c r="H119" s="19">
        <v>3.2967000000000001E-3</v>
      </c>
      <c r="I119" s="31">
        <v>0.55555549999999998</v>
      </c>
      <c r="K119" s="11" t="s">
        <v>7</v>
      </c>
      <c r="L119" s="12" t="str">
        <f>VLOOKUP(LOWER(N112),experiments_specs!$A:$J,8,FALSE)</f>
        <v>False</v>
      </c>
      <c r="M119" s="15" t="s">
        <v>1236</v>
      </c>
      <c r="N119" s="6" t="s">
        <v>16</v>
      </c>
      <c r="O119" s="19" t="s">
        <v>209</v>
      </c>
      <c r="P119" s="19">
        <v>2</v>
      </c>
      <c r="Q119" s="19">
        <v>3.2967000000000001E-3</v>
      </c>
      <c r="R119" s="31">
        <v>0.55555549999999998</v>
      </c>
    </row>
    <row r="120" spans="2:18" x14ac:dyDescent="0.2">
      <c r="B120" s="11" t="s">
        <v>8</v>
      </c>
      <c r="C120" s="12" t="str">
        <f>VLOOKUP(LOWER(E112),experiments_specs!$A:$J,9,FALSE)</f>
        <v>wup_similarity</v>
      </c>
      <c r="D120" s="15" t="s">
        <v>1235</v>
      </c>
      <c r="E120" s="6" t="s">
        <v>17</v>
      </c>
      <c r="F120" s="19" t="s">
        <v>387</v>
      </c>
      <c r="G120" s="19">
        <v>2</v>
      </c>
      <c r="H120" s="19">
        <v>2.6592E-3</v>
      </c>
      <c r="I120" s="31">
        <v>0.22222220000000001</v>
      </c>
      <c r="K120" s="11" t="s">
        <v>8</v>
      </c>
      <c r="L120" s="12" t="str">
        <f>VLOOKUP(LOWER(N112),experiments_specs!$A:$J,9,FALSE)</f>
        <v>wup_similarity</v>
      </c>
      <c r="M120" s="15" t="s">
        <v>1236</v>
      </c>
      <c r="N120" s="6" t="s">
        <v>17</v>
      </c>
      <c r="O120" s="19" t="s">
        <v>387</v>
      </c>
      <c r="P120" s="19">
        <v>2</v>
      </c>
      <c r="Q120" s="19">
        <v>2.6592E-3</v>
      </c>
      <c r="R120" s="31">
        <v>0.22222220000000001</v>
      </c>
    </row>
    <row r="121" spans="2:18" ht="68" x14ac:dyDescent="0.2">
      <c r="B121" s="11" t="s">
        <v>9</v>
      </c>
      <c r="C121" s="12" t="str">
        <f>VLOOKUP(LOWER(E112),experiments_specs!$A:$J,10,FALSE)</f>
        <v>False</v>
      </c>
      <c r="D121" s="15" t="s">
        <v>1235</v>
      </c>
      <c r="E121" s="7" t="s">
        <v>18</v>
      </c>
      <c r="F121" s="49" t="s">
        <v>1322</v>
      </c>
      <c r="G121" s="49" t="s">
        <v>1313</v>
      </c>
      <c r="H121" s="20">
        <v>1.5208999999999999E-3</v>
      </c>
      <c r="I121" s="52" t="s">
        <v>1437</v>
      </c>
      <c r="K121" s="11" t="s">
        <v>9</v>
      </c>
      <c r="L121" s="12" t="str">
        <f>VLOOKUP(LOWER(N112),experiments_specs!$A:$J,10,FALSE)</f>
        <v>False</v>
      </c>
      <c r="M121" s="15" t="s">
        <v>1236</v>
      </c>
      <c r="N121" s="7" t="s">
        <v>18</v>
      </c>
      <c r="O121" s="49" t="s">
        <v>1322</v>
      </c>
      <c r="P121" s="49" t="s">
        <v>1313</v>
      </c>
      <c r="Q121" s="20">
        <v>1.5208999999999999E-3</v>
      </c>
      <c r="R121" s="52" t="s">
        <v>1437</v>
      </c>
    </row>
    <row r="122" spans="2:18" ht="17" thickBot="1" x14ac:dyDescent="0.25"/>
    <row r="123" spans="2:18" ht="20" thickBot="1" x14ac:dyDescent="0.3">
      <c r="B123" s="13" t="s">
        <v>126</v>
      </c>
      <c r="C123" s="14"/>
      <c r="D123" s="9"/>
      <c r="E123" s="10" t="str">
        <f>"TEST_"&amp;TEXT(RIGHT(N112,3)+1, "00")</f>
        <v>TEST_113</v>
      </c>
      <c r="F123" s="41" t="s">
        <v>1306</v>
      </c>
      <c r="G123" s="41"/>
      <c r="H123" s="41"/>
      <c r="I123" s="41"/>
      <c r="K123" s="13" t="s">
        <v>126</v>
      </c>
      <c r="L123" s="14"/>
      <c r="M123" s="9"/>
      <c r="N123" s="10" t="str">
        <f>"TEST_"&amp;TEXT(RIGHT(E123,3)+1, "00")</f>
        <v>TEST_114</v>
      </c>
      <c r="O123" s="41" t="s">
        <v>1306</v>
      </c>
      <c r="P123" s="41"/>
      <c r="Q123" s="41"/>
      <c r="R123" s="41"/>
    </row>
    <row r="124" spans="2:18" x14ac:dyDescent="0.2">
      <c r="B124" s="11" t="s">
        <v>1</v>
      </c>
      <c r="C124" s="12" t="str">
        <f>VLOOKUP(LOWER(E123),experiments_specs!$A:$J,2,FALSE)</f>
        <v>NN,JJ,VB,VBD,VBG,VBN,VBP,VBZ</v>
      </c>
      <c r="D124" s="15" t="str">
        <f>"{"&amp;LOWER(E123)&amp;".csv}"</f>
        <v>{test_113.csv}</v>
      </c>
      <c r="E124" s="8" t="s">
        <v>118</v>
      </c>
      <c r="F124" s="3" t="s">
        <v>1307</v>
      </c>
      <c r="G124" s="3"/>
      <c r="H124" s="3" t="s">
        <v>178</v>
      </c>
      <c r="I124" s="29" t="s">
        <v>121</v>
      </c>
      <c r="K124" s="11" t="s">
        <v>1</v>
      </c>
      <c r="L124" s="12" t="str">
        <f>VLOOKUP(LOWER(N123),experiments_specs!$A:$J,2,FALSE)</f>
        <v>NN,JJ,VB,VBD,VBG,VBN,VBP,VBZ</v>
      </c>
      <c r="M124" s="15" t="str">
        <f>"{"&amp;LOWER(N123)&amp;".csv}"</f>
        <v>{test_114.csv}</v>
      </c>
      <c r="N124" s="8" t="s">
        <v>118</v>
      </c>
      <c r="O124" s="3" t="s">
        <v>1307</v>
      </c>
      <c r="P124" s="3"/>
      <c r="Q124" s="3" t="s">
        <v>178</v>
      </c>
      <c r="R124" s="29" t="s">
        <v>121</v>
      </c>
    </row>
    <row r="125" spans="2:18" ht="68" x14ac:dyDescent="0.2">
      <c r="B125" s="11" t="s">
        <v>2</v>
      </c>
      <c r="C125" s="12">
        <f>VLOOKUP(LOWER(E123),experiments_specs!$A:$J,3,FALSE)</f>
        <v>0</v>
      </c>
      <c r="D125" s="15" t="s">
        <v>1237</v>
      </c>
      <c r="E125" s="5" t="s">
        <v>19</v>
      </c>
      <c r="F125" s="17" t="s">
        <v>1311</v>
      </c>
      <c r="G125" s="17" t="s">
        <v>1313</v>
      </c>
      <c r="H125" s="17">
        <v>2.2051000000000002E-3</v>
      </c>
      <c r="I125" s="50" t="s">
        <v>1433</v>
      </c>
      <c r="K125" s="11" t="s">
        <v>2</v>
      </c>
      <c r="L125" s="12">
        <f>VLOOKUP(LOWER(N123),experiments_specs!$A:$J,3,FALSE)</f>
        <v>0</v>
      </c>
      <c r="M125" s="15" t="s">
        <v>1238</v>
      </c>
      <c r="N125" s="5" t="s">
        <v>19</v>
      </c>
      <c r="O125" s="17" t="s">
        <v>1311</v>
      </c>
      <c r="P125" s="17" t="s">
        <v>1313</v>
      </c>
      <c r="Q125" s="17">
        <v>2.2051000000000002E-3</v>
      </c>
      <c r="R125" s="50" t="s">
        <v>1433</v>
      </c>
    </row>
    <row r="126" spans="2:18" x14ac:dyDescent="0.2">
      <c r="B126" s="11" t="s">
        <v>3</v>
      </c>
      <c r="C126" s="12">
        <f>VLOOKUP(LOWER(E123),experiments_specs!$A:$J,4,FALSE)</f>
        <v>2</v>
      </c>
      <c r="D126" s="15" t="s">
        <v>1237</v>
      </c>
      <c r="E126" s="6" t="s">
        <v>12</v>
      </c>
      <c r="F126" s="19" t="s">
        <v>236</v>
      </c>
      <c r="G126" s="19">
        <v>2</v>
      </c>
      <c r="H126" s="19">
        <v>2.362E-3</v>
      </c>
      <c r="I126" s="31">
        <v>0.125</v>
      </c>
      <c r="K126" s="11" t="s">
        <v>3</v>
      </c>
      <c r="L126" s="12">
        <f>VLOOKUP(LOWER(N123),experiments_specs!$A:$J,4,FALSE)</f>
        <v>3</v>
      </c>
      <c r="M126" s="15" t="s">
        <v>1238</v>
      </c>
      <c r="N126" s="6" t="s">
        <v>12</v>
      </c>
      <c r="O126" s="19" t="s">
        <v>236</v>
      </c>
      <c r="P126" s="19">
        <v>2</v>
      </c>
      <c r="Q126" s="19">
        <v>2.362E-3</v>
      </c>
      <c r="R126" s="31">
        <v>0.125</v>
      </c>
    </row>
    <row r="127" spans="2:18" x14ac:dyDescent="0.2">
      <c r="B127" s="11" t="s">
        <v>4</v>
      </c>
      <c r="C127" s="12" t="str">
        <f>VLOOKUP(LOWER(E123),experiments_specs!$A:$J,5,FALSE)</f>
        <v>False</v>
      </c>
      <c r="D127" s="15" t="s">
        <v>1237</v>
      </c>
      <c r="E127" s="6" t="s">
        <v>13</v>
      </c>
      <c r="F127" s="19" t="s">
        <v>1317</v>
      </c>
      <c r="G127" s="19">
        <v>3</v>
      </c>
      <c r="H127" s="19">
        <v>5.4206000000000002E-3</v>
      </c>
      <c r="I127" s="31" t="s">
        <v>25</v>
      </c>
      <c r="K127" s="11" t="s">
        <v>4</v>
      </c>
      <c r="L127" s="12" t="str">
        <f>VLOOKUP(LOWER(N123),experiments_specs!$A:$J,5,FALSE)</f>
        <v>False</v>
      </c>
      <c r="M127" s="15" t="s">
        <v>1238</v>
      </c>
      <c r="N127" s="6" t="s">
        <v>13</v>
      </c>
      <c r="O127" s="19" t="s">
        <v>1317</v>
      </c>
      <c r="P127" s="19">
        <v>3</v>
      </c>
      <c r="Q127" s="19">
        <v>5.4206000000000002E-3</v>
      </c>
      <c r="R127" s="31" t="s">
        <v>25</v>
      </c>
    </row>
    <row r="128" spans="2:18" x14ac:dyDescent="0.2">
      <c r="B128" s="11" t="s">
        <v>5</v>
      </c>
      <c r="C128" s="12" t="str">
        <f>VLOOKUP(LOWER(E123),experiments_specs!$A:$J,6,FALSE)</f>
        <v>True</v>
      </c>
      <c r="D128" s="15" t="s">
        <v>1237</v>
      </c>
      <c r="E128" s="6" t="s">
        <v>14</v>
      </c>
      <c r="F128" s="19" t="s">
        <v>382</v>
      </c>
      <c r="G128" s="19">
        <v>2</v>
      </c>
      <c r="H128" s="19">
        <v>2.4215E-3</v>
      </c>
      <c r="I128" s="31">
        <v>0.625</v>
      </c>
      <c r="K128" s="11" t="s">
        <v>5</v>
      </c>
      <c r="L128" s="12" t="str">
        <f>VLOOKUP(LOWER(N123),experiments_specs!$A:$J,6,FALSE)</f>
        <v>True</v>
      </c>
      <c r="M128" s="15" t="s">
        <v>1238</v>
      </c>
      <c r="N128" s="6" t="s">
        <v>14</v>
      </c>
      <c r="O128" s="19" t="s">
        <v>382</v>
      </c>
      <c r="P128" s="19">
        <v>2</v>
      </c>
      <c r="Q128" s="19">
        <v>2.4215E-3</v>
      </c>
      <c r="R128" s="31">
        <v>0.625</v>
      </c>
    </row>
    <row r="129" spans="2:18" x14ac:dyDescent="0.2">
      <c r="B129" s="11" t="s">
        <v>6</v>
      </c>
      <c r="C129" s="12" t="str">
        <f>VLOOKUP(LOWER(E123),experiments_specs!$A:$J,7,FALSE)</f>
        <v>True</v>
      </c>
      <c r="D129" s="15" t="s">
        <v>1237</v>
      </c>
      <c r="E129" s="6" t="s">
        <v>15</v>
      </c>
      <c r="F129" s="19" t="s">
        <v>293</v>
      </c>
      <c r="G129" s="19">
        <v>1</v>
      </c>
      <c r="H129" s="19">
        <v>2.5755999999999999E-3</v>
      </c>
      <c r="I129" s="31">
        <v>0.90909090000000004</v>
      </c>
      <c r="K129" s="11" t="s">
        <v>6</v>
      </c>
      <c r="L129" s="12" t="str">
        <f>VLOOKUP(LOWER(N123),experiments_specs!$A:$J,7,FALSE)</f>
        <v>True</v>
      </c>
      <c r="M129" s="15" t="s">
        <v>1238</v>
      </c>
      <c r="N129" s="6" t="s">
        <v>15</v>
      </c>
      <c r="O129" s="19" t="s">
        <v>293</v>
      </c>
      <c r="P129" s="19">
        <v>1</v>
      </c>
      <c r="Q129" s="19">
        <v>2.5755999999999999E-3</v>
      </c>
      <c r="R129" s="31">
        <v>0.90909090000000004</v>
      </c>
    </row>
    <row r="130" spans="2:18" x14ac:dyDescent="0.2">
      <c r="B130" s="11" t="s">
        <v>7</v>
      </c>
      <c r="C130" s="12" t="str">
        <f>VLOOKUP(LOWER(E123),experiments_specs!$A:$J,8,FALSE)</f>
        <v>False</v>
      </c>
      <c r="D130" s="15" t="s">
        <v>1237</v>
      </c>
      <c r="E130" s="6" t="s">
        <v>16</v>
      </c>
      <c r="F130" s="19" t="s">
        <v>209</v>
      </c>
      <c r="G130" s="19">
        <v>2</v>
      </c>
      <c r="H130" s="19">
        <v>2.8305000000000001E-3</v>
      </c>
      <c r="I130" s="31">
        <v>0.55555549999999998</v>
      </c>
      <c r="K130" s="11" t="s">
        <v>7</v>
      </c>
      <c r="L130" s="12" t="str">
        <f>VLOOKUP(LOWER(N123),experiments_specs!$A:$J,8,FALSE)</f>
        <v>False</v>
      </c>
      <c r="M130" s="15" t="s">
        <v>1238</v>
      </c>
      <c r="N130" s="6" t="s">
        <v>16</v>
      </c>
      <c r="O130" s="19" t="s">
        <v>209</v>
      </c>
      <c r="P130" s="19">
        <v>2</v>
      </c>
      <c r="Q130" s="19">
        <v>2.8305000000000001E-3</v>
      </c>
      <c r="R130" s="31">
        <v>0.55555549999999998</v>
      </c>
    </row>
    <row r="131" spans="2:18" x14ac:dyDescent="0.2">
      <c r="B131" s="11" t="s">
        <v>8</v>
      </c>
      <c r="C131" s="12" t="str">
        <f>VLOOKUP(LOWER(E123),experiments_specs!$A:$J,9,FALSE)</f>
        <v>wup_similarity</v>
      </c>
      <c r="D131" s="15" t="s">
        <v>1237</v>
      </c>
      <c r="E131" s="6" t="s">
        <v>17</v>
      </c>
      <c r="F131" s="19" t="s">
        <v>387</v>
      </c>
      <c r="G131" s="19">
        <v>2</v>
      </c>
      <c r="H131" s="19">
        <v>2.5416000000000002E-3</v>
      </c>
      <c r="I131" s="31">
        <v>0.22222220000000001</v>
      </c>
      <c r="K131" s="11" t="s">
        <v>8</v>
      </c>
      <c r="L131" s="12" t="str">
        <f>VLOOKUP(LOWER(N123),experiments_specs!$A:$J,9,FALSE)</f>
        <v>wup_similarity</v>
      </c>
      <c r="M131" s="15" t="s">
        <v>1238</v>
      </c>
      <c r="N131" s="6" t="s">
        <v>17</v>
      </c>
      <c r="O131" s="19" t="s">
        <v>387</v>
      </c>
      <c r="P131" s="19">
        <v>2</v>
      </c>
      <c r="Q131" s="19">
        <v>2.5416000000000002E-3</v>
      </c>
      <c r="R131" s="31">
        <v>0.22222220000000001</v>
      </c>
    </row>
    <row r="132" spans="2:18" ht="68" x14ac:dyDescent="0.2">
      <c r="B132" s="11" t="s">
        <v>9</v>
      </c>
      <c r="C132" s="12" t="str">
        <f>VLOOKUP(LOWER(E123),experiments_specs!$A:$J,10,FALSE)</f>
        <v>False</v>
      </c>
      <c r="D132" s="15" t="s">
        <v>1237</v>
      </c>
      <c r="E132" s="7" t="s">
        <v>18</v>
      </c>
      <c r="F132" s="49" t="s">
        <v>1322</v>
      </c>
      <c r="G132" s="49" t="s">
        <v>1313</v>
      </c>
      <c r="H132" s="20">
        <v>1.2853000000000001E-3</v>
      </c>
      <c r="I132" s="52" t="s">
        <v>1437</v>
      </c>
      <c r="K132" s="11" t="s">
        <v>9</v>
      </c>
      <c r="L132" s="12" t="str">
        <f>VLOOKUP(LOWER(N123),experiments_specs!$A:$J,10,FALSE)</f>
        <v>False</v>
      </c>
      <c r="M132" s="15" t="s">
        <v>1238</v>
      </c>
      <c r="N132" s="7" t="s">
        <v>18</v>
      </c>
      <c r="O132" s="49" t="s">
        <v>1322</v>
      </c>
      <c r="P132" s="49" t="s">
        <v>1313</v>
      </c>
      <c r="Q132" s="20">
        <v>1.2853000000000001E-3</v>
      </c>
      <c r="R132" s="52" t="s">
        <v>1437</v>
      </c>
    </row>
    <row r="133" spans="2:18" ht="17" thickBot="1" x14ac:dyDescent="0.25"/>
    <row r="134" spans="2:18" ht="20" thickBot="1" x14ac:dyDescent="0.3">
      <c r="B134" s="13" t="s">
        <v>126</v>
      </c>
      <c r="C134" s="14"/>
      <c r="D134" s="9"/>
      <c r="E134" s="10" t="str">
        <f>"TEST_"&amp;TEXT(RIGHT(N123,3)+1, "00")</f>
        <v>TEST_115</v>
      </c>
      <c r="F134" s="41" t="s">
        <v>1306</v>
      </c>
      <c r="G134" s="41"/>
      <c r="H134" s="41"/>
      <c r="I134" s="41"/>
      <c r="K134" s="13" t="s">
        <v>126</v>
      </c>
      <c r="L134" s="14"/>
      <c r="M134" s="9"/>
      <c r="N134" s="10" t="str">
        <f>"TEST_"&amp;TEXT(RIGHT(E134,3)+1, "00")</f>
        <v>TEST_116</v>
      </c>
      <c r="O134" s="41" t="s">
        <v>1306</v>
      </c>
      <c r="P134" s="41"/>
      <c r="Q134" s="41"/>
      <c r="R134" s="41"/>
    </row>
    <row r="135" spans="2:18" x14ac:dyDescent="0.2">
      <c r="B135" s="11" t="s">
        <v>1</v>
      </c>
      <c r="C135" s="12" t="str">
        <f>VLOOKUP(LOWER(E134),experiments_specs!$A:$J,2,FALSE)</f>
        <v>NN,JJ</v>
      </c>
      <c r="D135" s="15" t="str">
        <f>"{"&amp;LOWER(E134)&amp;".csv}"</f>
        <v>{test_115.csv}</v>
      </c>
      <c r="E135" s="8" t="s">
        <v>118</v>
      </c>
      <c r="F135" s="3" t="s">
        <v>1307</v>
      </c>
      <c r="G135" s="3"/>
      <c r="H135" s="3" t="s">
        <v>178</v>
      </c>
      <c r="I135" s="29" t="s">
        <v>121</v>
      </c>
      <c r="K135" s="11" t="s">
        <v>1</v>
      </c>
      <c r="L135" s="12" t="str">
        <f>VLOOKUP(LOWER(N134),experiments_specs!$A:$J,2,FALSE)</f>
        <v>NN,JJ</v>
      </c>
      <c r="M135" s="15" t="str">
        <f>"{"&amp;LOWER(N134)&amp;".csv}"</f>
        <v>{test_116.csv}</v>
      </c>
      <c r="N135" s="8" t="s">
        <v>118</v>
      </c>
      <c r="O135" s="3" t="s">
        <v>1307</v>
      </c>
      <c r="P135" s="3"/>
      <c r="Q135" s="3" t="s">
        <v>178</v>
      </c>
      <c r="R135" s="29" t="s">
        <v>121</v>
      </c>
    </row>
    <row r="136" spans="2:18" ht="68" x14ac:dyDescent="0.2">
      <c r="B136" s="11" t="s">
        <v>2</v>
      </c>
      <c r="C136" s="12">
        <f>VLOOKUP(LOWER(E134),experiments_specs!$A:$J,3,FALSE)</f>
        <v>0</v>
      </c>
      <c r="D136" s="15" t="s">
        <v>1239</v>
      </c>
      <c r="E136" s="5" t="s">
        <v>19</v>
      </c>
      <c r="F136" s="17" t="s">
        <v>1311</v>
      </c>
      <c r="G136" s="17" t="s">
        <v>1313</v>
      </c>
      <c r="H136" s="17">
        <v>2.6177499999999999E-2</v>
      </c>
      <c r="I136" s="50" t="s">
        <v>1433</v>
      </c>
      <c r="K136" s="11" t="s">
        <v>2</v>
      </c>
      <c r="L136" s="12">
        <f>VLOOKUP(LOWER(N134),experiments_specs!$A:$J,3,FALSE)</f>
        <v>0</v>
      </c>
      <c r="M136" s="15" t="s">
        <v>1240</v>
      </c>
      <c r="N136" s="5" t="s">
        <v>19</v>
      </c>
      <c r="O136" s="17" t="s">
        <v>1311</v>
      </c>
      <c r="P136" s="17" t="s">
        <v>1313</v>
      </c>
      <c r="Q136" s="17">
        <v>2.6177499999999999E-2</v>
      </c>
      <c r="R136" s="50" t="s">
        <v>1433</v>
      </c>
    </row>
    <row r="137" spans="2:18" x14ac:dyDescent="0.2">
      <c r="B137" s="11" t="s">
        <v>3</v>
      </c>
      <c r="C137" s="12">
        <f>VLOOKUP(LOWER(E134),experiments_specs!$A:$J,4,FALSE)</f>
        <v>2</v>
      </c>
      <c r="D137" s="15" t="s">
        <v>1239</v>
      </c>
      <c r="E137" s="6" t="s">
        <v>12</v>
      </c>
      <c r="F137" s="19" t="s">
        <v>23</v>
      </c>
      <c r="G137" s="19">
        <v>2</v>
      </c>
      <c r="H137" s="19">
        <v>2.3063199999999999E-2</v>
      </c>
      <c r="I137" s="31">
        <v>0.42857139999999999</v>
      </c>
      <c r="K137" s="11" t="s">
        <v>3</v>
      </c>
      <c r="L137" s="12">
        <f>VLOOKUP(LOWER(N134),experiments_specs!$A:$J,4,FALSE)</f>
        <v>3</v>
      </c>
      <c r="M137" s="15" t="s">
        <v>1240</v>
      </c>
      <c r="N137" s="6" t="s">
        <v>12</v>
      </c>
      <c r="O137" s="19" t="s">
        <v>23</v>
      </c>
      <c r="P137" s="19">
        <v>2</v>
      </c>
      <c r="Q137" s="19">
        <v>2.3063199999999999E-2</v>
      </c>
      <c r="R137" s="31">
        <v>0.42857139999999999</v>
      </c>
    </row>
    <row r="138" spans="2:18" x14ac:dyDescent="0.2">
      <c r="B138" s="11" t="s">
        <v>4</v>
      </c>
      <c r="C138" s="12" t="str">
        <f>VLOOKUP(LOWER(E134),experiments_specs!$A:$J,5,FALSE)</f>
        <v>True</v>
      </c>
      <c r="D138" s="15" t="s">
        <v>1239</v>
      </c>
      <c r="E138" s="6" t="s">
        <v>13</v>
      </c>
      <c r="F138" s="19" t="s">
        <v>398</v>
      </c>
      <c r="G138" s="19">
        <v>2</v>
      </c>
      <c r="H138" s="19">
        <v>1.8916800000000001E-2</v>
      </c>
      <c r="I138" s="31">
        <v>0.4</v>
      </c>
      <c r="K138" s="11" t="s">
        <v>4</v>
      </c>
      <c r="L138" s="12" t="str">
        <f>VLOOKUP(LOWER(N134),experiments_specs!$A:$J,5,FALSE)</f>
        <v>True</v>
      </c>
      <c r="M138" s="15" t="s">
        <v>1240</v>
      </c>
      <c r="N138" s="6" t="s">
        <v>13</v>
      </c>
      <c r="O138" s="19" t="s">
        <v>398</v>
      </c>
      <c r="P138" s="19">
        <v>2</v>
      </c>
      <c r="Q138" s="19">
        <v>1.8916800000000001E-2</v>
      </c>
      <c r="R138" s="31">
        <v>0.4</v>
      </c>
    </row>
    <row r="139" spans="2:18" ht="102" x14ac:dyDescent="0.2">
      <c r="B139" s="11" t="s">
        <v>5</v>
      </c>
      <c r="C139" s="12" t="str">
        <f>VLOOKUP(LOWER(E134),experiments_specs!$A:$J,6,FALSE)</f>
        <v>True</v>
      </c>
      <c r="D139" s="15" t="s">
        <v>1239</v>
      </c>
      <c r="E139" s="6" t="s">
        <v>14</v>
      </c>
      <c r="F139" s="18" t="s">
        <v>1337</v>
      </c>
      <c r="G139" s="18" t="s">
        <v>1339</v>
      </c>
      <c r="H139" s="19">
        <v>1.17564E-2</v>
      </c>
      <c r="I139" s="51" t="s">
        <v>1441</v>
      </c>
      <c r="K139" s="11" t="s">
        <v>5</v>
      </c>
      <c r="L139" s="12" t="str">
        <f>VLOOKUP(LOWER(N134),experiments_specs!$A:$J,6,FALSE)</f>
        <v>True</v>
      </c>
      <c r="M139" s="15" t="s">
        <v>1240</v>
      </c>
      <c r="N139" s="6" t="s">
        <v>14</v>
      </c>
      <c r="O139" s="18" t="s">
        <v>1337</v>
      </c>
      <c r="P139" s="18" t="s">
        <v>1339</v>
      </c>
      <c r="Q139" s="19">
        <v>1.17564E-2</v>
      </c>
      <c r="R139" s="51" t="s">
        <v>1441</v>
      </c>
    </row>
    <row r="140" spans="2:18" x14ac:dyDescent="0.2">
      <c r="B140" s="11" t="s">
        <v>6</v>
      </c>
      <c r="C140" s="12" t="str">
        <f>VLOOKUP(LOWER(E134),experiments_specs!$A:$J,7,FALSE)</f>
        <v>True</v>
      </c>
      <c r="D140" s="15" t="s">
        <v>1239</v>
      </c>
      <c r="E140" s="6" t="s">
        <v>15</v>
      </c>
      <c r="F140" s="19" t="s">
        <v>293</v>
      </c>
      <c r="G140" s="19">
        <v>1</v>
      </c>
      <c r="H140" s="19">
        <v>3.8410899999999998E-2</v>
      </c>
      <c r="I140" s="31">
        <v>0.90909090000000004</v>
      </c>
      <c r="K140" s="11" t="s">
        <v>6</v>
      </c>
      <c r="L140" s="12" t="str">
        <f>VLOOKUP(LOWER(N134),experiments_specs!$A:$J,7,FALSE)</f>
        <v>True</v>
      </c>
      <c r="M140" s="15" t="s">
        <v>1240</v>
      </c>
      <c r="N140" s="6" t="s">
        <v>15</v>
      </c>
      <c r="O140" s="19" t="s">
        <v>293</v>
      </c>
      <c r="P140" s="19">
        <v>1</v>
      </c>
      <c r="Q140" s="19">
        <v>3.8410899999999998E-2</v>
      </c>
      <c r="R140" s="31">
        <v>0.90909090000000004</v>
      </c>
    </row>
    <row r="141" spans="2:18" ht="68" x14ac:dyDescent="0.2">
      <c r="B141" s="11" t="s">
        <v>7</v>
      </c>
      <c r="C141" s="12" t="str">
        <f>VLOOKUP(LOWER(E134),experiments_specs!$A:$J,8,FALSE)</f>
        <v>False</v>
      </c>
      <c r="D141" s="15" t="s">
        <v>1239</v>
      </c>
      <c r="E141" s="6" t="s">
        <v>16</v>
      </c>
      <c r="F141" s="18" t="s">
        <v>1332</v>
      </c>
      <c r="G141" s="18" t="s">
        <v>1313</v>
      </c>
      <c r="H141" s="19">
        <v>1.7010299999999999E-2</v>
      </c>
      <c r="I141" s="51" t="s">
        <v>1431</v>
      </c>
      <c r="K141" s="11" t="s">
        <v>7</v>
      </c>
      <c r="L141" s="12" t="str">
        <f>VLOOKUP(LOWER(N134),experiments_specs!$A:$J,8,FALSE)</f>
        <v>False</v>
      </c>
      <c r="M141" s="15" t="s">
        <v>1240</v>
      </c>
      <c r="N141" s="6" t="s">
        <v>16</v>
      </c>
      <c r="O141" s="18" t="s">
        <v>1332</v>
      </c>
      <c r="P141" s="18" t="s">
        <v>1313</v>
      </c>
      <c r="Q141" s="19">
        <v>1.7010299999999999E-2</v>
      </c>
      <c r="R141" s="51" t="s">
        <v>1431</v>
      </c>
    </row>
    <row r="142" spans="2:18" ht="68" x14ac:dyDescent="0.2">
      <c r="B142" s="11" t="s">
        <v>8</v>
      </c>
      <c r="C142" s="12" t="str">
        <f>VLOOKUP(LOWER(E134),experiments_specs!$A:$J,9,FALSE)</f>
        <v>wup_similarity</v>
      </c>
      <c r="D142" s="15" t="s">
        <v>1239</v>
      </c>
      <c r="E142" s="6" t="s">
        <v>17</v>
      </c>
      <c r="F142" s="18" t="s">
        <v>1334</v>
      </c>
      <c r="G142" s="18" t="s">
        <v>1313</v>
      </c>
      <c r="H142" s="19">
        <v>1.88982E-2</v>
      </c>
      <c r="I142" s="51" t="s">
        <v>1439</v>
      </c>
      <c r="K142" s="11" t="s">
        <v>8</v>
      </c>
      <c r="L142" s="12" t="str">
        <f>VLOOKUP(LOWER(N134),experiments_specs!$A:$J,9,FALSE)</f>
        <v>wup_similarity</v>
      </c>
      <c r="M142" s="15" t="s">
        <v>1240</v>
      </c>
      <c r="N142" s="6" t="s">
        <v>17</v>
      </c>
      <c r="O142" s="18" t="s">
        <v>1334</v>
      </c>
      <c r="P142" s="18" t="s">
        <v>1313</v>
      </c>
      <c r="Q142" s="19">
        <v>1.88982E-2</v>
      </c>
      <c r="R142" s="51" t="s">
        <v>1439</v>
      </c>
    </row>
    <row r="143" spans="2:18" x14ac:dyDescent="0.2">
      <c r="B143" s="11" t="s">
        <v>9</v>
      </c>
      <c r="C143" s="12" t="str">
        <f>VLOOKUP(LOWER(E134),experiments_specs!$A:$J,10,FALSE)</f>
        <v>False</v>
      </c>
      <c r="D143" s="15" t="s">
        <v>1239</v>
      </c>
      <c r="E143" s="7" t="s">
        <v>18</v>
      </c>
      <c r="F143" s="20" t="s">
        <v>45</v>
      </c>
      <c r="G143" s="20">
        <v>2</v>
      </c>
      <c r="H143" s="20">
        <v>1.30895E-2</v>
      </c>
      <c r="I143" s="32">
        <v>0.2105263</v>
      </c>
      <c r="K143" s="11" t="s">
        <v>9</v>
      </c>
      <c r="L143" s="12" t="str">
        <f>VLOOKUP(LOWER(N134),experiments_specs!$A:$J,10,FALSE)</f>
        <v>False</v>
      </c>
      <c r="M143" s="15" t="s">
        <v>1240</v>
      </c>
      <c r="N143" s="7" t="s">
        <v>18</v>
      </c>
      <c r="O143" s="20" t="s">
        <v>45</v>
      </c>
      <c r="P143" s="20">
        <v>2</v>
      </c>
      <c r="Q143" s="20">
        <v>1.30895E-2</v>
      </c>
      <c r="R143" s="32">
        <v>0.2105263</v>
      </c>
    </row>
    <row r="144" spans="2:18" ht="17" thickBot="1" x14ac:dyDescent="0.25"/>
    <row r="145" spans="2:18" ht="20" thickBot="1" x14ac:dyDescent="0.3">
      <c r="B145" s="13" t="s">
        <v>126</v>
      </c>
      <c r="C145" s="14"/>
      <c r="D145" s="9"/>
      <c r="E145" s="10" t="str">
        <f>"TEST_"&amp;TEXT(RIGHT(N134,3)+1, "00")</f>
        <v>TEST_117</v>
      </c>
      <c r="F145" s="41" t="s">
        <v>1306</v>
      </c>
      <c r="G145" s="41"/>
      <c r="H145" s="41"/>
      <c r="I145" s="41"/>
      <c r="K145" s="13" t="s">
        <v>126</v>
      </c>
      <c r="L145" s="14"/>
      <c r="M145" s="9"/>
      <c r="N145" s="10" t="str">
        <f>"TEST_"&amp;TEXT(RIGHT(E145,3)+1, "00")</f>
        <v>TEST_118</v>
      </c>
      <c r="O145" s="41" t="s">
        <v>1306</v>
      </c>
      <c r="P145" s="41"/>
      <c r="Q145" s="41"/>
      <c r="R145" s="41"/>
    </row>
    <row r="146" spans="2:18" x14ac:dyDescent="0.2">
      <c r="B146" s="11" t="s">
        <v>1</v>
      </c>
      <c r="C146" s="12" t="str">
        <f>VLOOKUP(LOWER(E145),experiments_specs!$A:$J,2,FALSE)</f>
        <v>NN,VB,VBD,VBG,VBN,VBP,VBZ</v>
      </c>
      <c r="D146" s="15" t="str">
        <f>"{"&amp;LOWER(E145)&amp;".csv}"</f>
        <v>{test_117.csv}</v>
      </c>
      <c r="E146" s="8" t="s">
        <v>118</v>
      </c>
      <c r="F146" s="3" t="s">
        <v>1307</v>
      </c>
      <c r="G146" s="3"/>
      <c r="H146" s="3" t="s">
        <v>178</v>
      </c>
      <c r="I146" s="29" t="s">
        <v>121</v>
      </c>
      <c r="K146" s="11" t="s">
        <v>1</v>
      </c>
      <c r="L146" s="12" t="str">
        <f>VLOOKUP(LOWER(N145),experiments_specs!$A:$J,2,FALSE)</f>
        <v>NN,VB,VBD,VBG,VBN,VBP,VBZ</v>
      </c>
      <c r="M146" s="15" t="str">
        <f>"{"&amp;LOWER(N145)&amp;".csv}"</f>
        <v>{test_118.csv}</v>
      </c>
      <c r="N146" s="8" t="s">
        <v>118</v>
      </c>
      <c r="O146" s="3" t="s">
        <v>1307</v>
      </c>
      <c r="P146" s="3"/>
      <c r="Q146" s="3" t="s">
        <v>178</v>
      </c>
      <c r="R146" s="29" t="s">
        <v>121</v>
      </c>
    </row>
    <row r="147" spans="2:18" ht="17" x14ac:dyDescent="0.2">
      <c r="B147" s="11" t="s">
        <v>2</v>
      </c>
      <c r="C147" s="12">
        <f>VLOOKUP(LOWER(E145),experiments_specs!$A:$J,3,FALSE)</f>
        <v>0</v>
      </c>
      <c r="D147" s="15" t="s">
        <v>1241</v>
      </c>
      <c r="E147" s="5" t="s">
        <v>19</v>
      </c>
      <c r="F147" s="17" t="s">
        <v>226</v>
      </c>
      <c r="G147" s="17">
        <v>4</v>
      </c>
      <c r="H147" s="17">
        <v>2.5359400000000001E-2</v>
      </c>
      <c r="I147" s="30">
        <v>0.17391300000000001</v>
      </c>
      <c r="K147" s="11" t="s">
        <v>2</v>
      </c>
      <c r="L147" s="12">
        <f>VLOOKUP(LOWER(N145),experiments_specs!$A:$J,3,FALSE)</f>
        <v>0</v>
      </c>
      <c r="M147" s="15" t="s">
        <v>1242</v>
      </c>
      <c r="N147" s="5" t="s">
        <v>19</v>
      </c>
      <c r="O147" s="17" t="s">
        <v>226</v>
      </c>
      <c r="P147" s="17">
        <v>4</v>
      </c>
      <c r="Q147" s="17">
        <v>2.5359400000000001E-2</v>
      </c>
      <c r="R147" s="30">
        <v>0.17391300000000001</v>
      </c>
    </row>
    <row r="148" spans="2:18" x14ac:dyDescent="0.2">
      <c r="B148" s="11" t="s">
        <v>3</v>
      </c>
      <c r="C148" s="12">
        <f>VLOOKUP(LOWER(E145),experiments_specs!$A:$J,4,FALSE)</f>
        <v>2</v>
      </c>
      <c r="D148" s="15" t="s">
        <v>1241</v>
      </c>
      <c r="E148" s="6" t="s">
        <v>12</v>
      </c>
      <c r="F148" s="19" t="s">
        <v>23</v>
      </c>
      <c r="G148" s="19">
        <v>2</v>
      </c>
      <c r="H148" s="19">
        <v>1.9219400000000001E-2</v>
      </c>
      <c r="I148" s="31">
        <v>0.42857139999999999</v>
      </c>
      <c r="K148" s="11" t="s">
        <v>3</v>
      </c>
      <c r="L148" s="12">
        <f>VLOOKUP(LOWER(N145),experiments_specs!$A:$J,4,FALSE)</f>
        <v>3</v>
      </c>
      <c r="M148" s="15" t="s">
        <v>1242</v>
      </c>
      <c r="N148" s="6" t="s">
        <v>12</v>
      </c>
      <c r="O148" s="19" t="s">
        <v>23</v>
      </c>
      <c r="P148" s="19">
        <v>2</v>
      </c>
      <c r="Q148" s="19">
        <v>1.9219400000000001E-2</v>
      </c>
      <c r="R148" s="31">
        <v>0.42857139999999999</v>
      </c>
    </row>
    <row r="149" spans="2:18" x14ac:dyDescent="0.2">
      <c r="B149" s="11" t="s">
        <v>4</v>
      </c>
      <c r="C149" s="12" t="str">
        <f>VLOOKUP(LOWER(E145),experiments_specs!$A:$J,5,FALSE)</f>
        <v>True</v>
      </c>
      <c r="D149" s="15" t="s">
        <v>1241</v>
      </c>
      <c r="E149" s="6" t="s">
        <v>13</v>
      </c>
      <c r="F149" s="19" t="s">
        <v>398</v>
      </c>
      <c r="G149" s="19">
        <v>2</v>
      </c>
      <c r="H149" s="19">
        <v>2.2401399999999998E-2</v>
      </c>
      <c r="I149" s="31">
        <v>0.4</v>
      </c>
      <c r="K149" s="11" t="s">
        <v>4</v>
      </c>
      <c r="L149" s="12" t="str">
        <f>VLOOKUP(LOWER(N145),experiments_specs!$A:$J,5,FALSE)</f>
        <v>True</v>
      </c>
      <c r="M149" s="15" t="s">
        <v>1242</v>
      </c>
      <c r="N149" s="6" t="s">
        <v>13</v>
      </c>
      <c r="O149" s="19" t="s">
        <v>398</v>
      </c>
      <c r="P149" s="19">
        <v>2</v>
      </c>
      <c r="Q149" s="19">
        <v>2.2401399999999998E-2</v>
      </c>
      <c r="R149" s="31">
        <v>0.4</v>
      </c>
    </row>
    <row r="150" spans="2:18" ht="102" x14ac:dyDescent="0.2">
      <c r="B150" s="11" t="s">
        <v>5</v>
      </c>
      <c r="C150" s="12" t="str">
        <f>VLOOKUP(LOWER(E145),experiments_specs!$A:$J,6,FALSE)</f>
        <v>True</v>
      </c>
      <c r="D150" s="15" t="s">
        <v>1241</v>
      </c>
      <c r="E150" s="6" t="s">
        <v>14</v>
      </c>
      <c r="F150" s="18" t="s">
        <v>1337</v>
      </c>
      <c r="G150" s="18" t="s">
        <v>1339</v>
      </c>
      <c r="H150" s="19">
        <v>1.00359E-2</v>
      </c>
      <c r="I150" s="51" t="s">
        <v>1441</v>
      </c>
      <c r="K150" s="11" t="s">
        <v>5</v>
      </c>
      <c r="L150" s="12" t="str">
        <f>VLOOKUP(LOWER(N145),experiments_specs!$A:$J,6,FALSE)</f>
        <v>True</v>
      </c>
      <c r="M150" s="15" t="s">
        <v>1242</v>
      </c>
      <c r="N150" s="6" t="s">
        <v>14</v>
      </c>
      <c r="O150" s="18" t="s">
        <v>1337</v>
      </c>
      <c r="P150" s="18" t="s">
        <v>1339</v>
      </c>
      <c r="Q150" s="19">
        <v>1.00359E-2</v>
      </c>
      <c r="R150" s="51" t="s">
        <v>1441</v>
      </c>
    </row>
    <row r="151" spans="2:18" x14ac:dyDescent="0.2">
      <c r="B151" s="11" t="s">
        <v>6</v>
      </c>
      <c r="C151" s="12" t="str">
        <f>VLOOKUP(LOWER(E145),experiments_specs!$A:$J,7,FALSE)</f>
        <v>True</v>
      </c>
      <c r="D151" s="15" t="s">
        <v>1241</v>
      </c>
      <c r="E151" s="6" t="s">
        <v>15</v>
      </c>
      <c r="F151" s="19" t="s">
        <v>410</v>
      </c>
      <c r="G151" s="19">
        <v>2</v>
      </c>
      <c r="H151" s="19">
        <v>1.23401E-2</v>
      </c>
      <c r="I151" s="31">
        <v>0.22222220000000001</v>
      </c>
      <c r="K151" s="11" t="s">
        <v>6</v>
      </c>
      <c r="L151" s="12" t="str">
        <f>VLOOKUP(LOWER(N145),experiments_specs!$A:$J,7,FALSE)</f>
        <v>True</v>
      </c>
      <c r="M151" s="15" t="s">
        <v>1242</v>
      </c>
      <c r="N151" s="6" t="s">
        <v>15</v>
      </c>
      <c r="O151" s="19" t="s">
        <v>410</v>
      </c>
      <c r="P151" s="19">
        <v>2</v>
      </c>
      <c r="Q151" s="19">
        <v>1.23401E-2</v>
      </c>
      <c r="R151" s="31">
        <v>0.22222220000000001</v>
      </c>
    </row>
    <row r="152" spans="2:18" ht="68" x14ac:dyDescent="0.2">
      <c r="B152" s="11" t="s">
        <v>7</v>
      </c>
      <c r="C152" s="12" t="str">
        <f>VLOOKUP(LOWER(E145),experiments_specs!$A:$J,8,FALSE)</f>
        <v>False</v>
      </c>
      <c r="D152" s="15" t="s">
        <v>1241</v>
      </c>
      <c r="E152" s="6" t="s">
        <v>16</v>
      </c>
      <c r="F152" s="18" t="s">
        <v>1332</v>
      </c>
      <c r="G152" s="18" t="s">
        <v>1313</v>
      </c>
      <c r="H152" s="19">
        <v>1.91366E-2</v>
      </c>
      <c r="I152" s="51" t="s">
        <v>1431</v>
      </c>
      <c r="K152" s="11" t="s">
        <v>7</v>
      </c>
      <c r="L152" s="12" t="str">
        <f>VLOOKUP(LOWER(N145),experiments_specs!$A:$J,8,FALSE)</f>
        <v>False</v>
      </c>
      <c r="M152" s="15" t="s">
        <v>1242</v>
      </c>
      <c r="N152" s="6" t="s">
        <v>16</v>
      </c>
      <c r="O152" s="18" t="s">
        <v>1332</v>
      </c>
      <c r="P152" s="18" t="s">
        <v>1313</v>
      </c>
      <c r="Q152" s="19">
        <v>1.91366E-2</v>
      </c>
      <c r="R152" s="51" t="s">
        <v>1431</v>
      </c>
    </row>
    <row r="153" spans="2:18" x14ac:dyDescent="0.2">
      <c r="B153" s="11" t="s">
        <v>8</v>
      </c>
      <c r="C153" s="12" t="str">
        <f>VLOOKUP(LOWER(E145),experiments_specs!$A:$J,9,FALSE)</f>
        <v>wup_similarity</v>
      </c>
      <c r="D153" s="15" t="s">
        <v>1241</v>
      </c>
      <c r="E153" s="6" t="s">
        <v>17</v>
      </c>
      <c r="F153" s="19" t="s">
        <v>1341</v>
      </c>
      <c r="G153" s="19">
        <v>3</v>
      </c>
      <c r="H153" s="19">
        <v>2.4315900000000001E-2</v>
      </c>
      <c r="I153" s="31">
        <v>0.2</v>
      </c>
      <c r="K153" s="11" t="s">
        <v>8</v>
      </c>
      <c r="L153" s="12" t="str">
        <f>VLOOKUP(LOWER(N145),experiments_specs!$A:$J,9,FALSE)</f>
        <v>wup_similarity</v>
      </c>
      <c r="M153" s="15" t="s">
        <v>1242</v>
      </c>
      <c r="N153" s="6" t="s">
        <v>17</v>
      </c>
      <c r="O153" s="19" t="s">
        <v>1341</v>
      </c>
      <c r="P153" s="19">
        <v>3</v>
      </c>
      <c r="Q153" s="19">
        <v>2.4315900000000001E-2</v>
      </c>
      <c r="R153" s="31">
        <v>0.2</v>
      </c>
    </row>
    <row r="154" spans="2:18" x14ac:dyDescent="0.2">
      <c r="B154" s="11" t="s">
        <v>9</v>
      </c>
      <c r="C154" s="12" t="str">
        <f>VLOOKUP(LOWER(E145),experiments_specs!$A:$J,10,FALSE)</f>
        <v>False</v>
      </c>
      <c r="D154" s="15" t="s">
        <v>1241</v>
      </c>
      <c r="E154" s="7" t="s">
        <v>18</v>
      </c>
      <c r="F154" s="20" t="s">
        <v>45</v>
      </c>
      <c r="G154" s="20">
        <v>2</v>
      </c>
      <c r="H154" s="20">
        <v>1.00217E-2</v>
      </c>
      <c r="I154" s="32">
        <v>0.2105263</v>
      </c>
      <c r="K154" s="11" t="s">
        <v>9</v>
      </c>
      <c r="L154" s="12" t="str">
        <f>VLOOKUP(LOWER(N145),experiments_specs!$A:$J,10,FALSE)</f>
        <v>False</v>
      </c>
      <c r="M154" s="15" t="s">
        <v>1242</v>
      </c>
      <c r="N154" s="7" t="s">
        <v>18</v>
      </c>
      <c r="O154" s="20" t="s">
        <v>45</v>
      </c>
      <c r="P154" s="20">
        <v>2</v>
      </c>
      <c r="Q154" s="20">
        <v>1.00217E-2</v>
      </c>
      <c r="R154" s="32">
        <v>0.2105263</v>
      </c>
    </row>
    <row r="155" spans="2:18" ht="17" thickBot="1" x14ac:dyDescent="0.25"/>
    <row r="156" spans="2:18" ht="20" thickBot="1" x14ac:dyDescent="0.3">
      <c r="B156" s="13" t="s">
        <v>126</v>
      </c>
      <c r="C156" s="14"/>
      <c r="D156" s="9"/>
      <c r="E156" s="10" t="str">
        <f>"TEST_"&amp;TEXT(RIGHT(N145,3)+1, "00")</f>
        <v>TEST_119</v>
      </c>
      <c r="F156" s="41" t="s">
        <v>1306</v>
      </c>
      <c r="G156" s="41"/>
      <c r="H156" s="41"/>
      <c r="I156" s="41"/>
      <c r="K156" s="13" t="s">
        <v>126</v>
      </c>
      <c r="L156" s="14"/>
      <c r="M156" s="9"/>
      <c r="N156" s="10" t="str">
        <f>"TEST_"&amp;TEXT(RIGHT(E156,3)+1, "00")</f>
        <v>TEST_120</v>
      </c>
      <c r="O156" s="41" t="s">
        <v>1306</v>
      </c>
      <c r="P156" s="41"/>
      <c r="Q156" s="41"/>
      <c r="R156" s="41"/>
    </row>
    <row r="157" spans="2:18" x14ac:dyDescent="0.2">
      <c r="B157" s="11" t="s">
        <v>1</v>
      </c>
      <c r="C157" s="12" t="str">
        <f>VLOOKUP(LOWER(E156),experiments_specs!$A:$J,2,FALSE)</f>
        <v>NN,JJ,VB,VBD,VBG,VBN,VBP,VBZ</v>
      </c>
      <c r="D157" s="15" t="str">
        <f>"{"&amp;LOWER(E156)&amp;".csv}"</f>
        <v>{test_119.csv}</v>
      </c>
      <c r="E157" s="8" t="s">
        <v>118</v>
      </c>
      <c r="F157" s="3" t="s">
        <v>1307</v>
      </c>
      <c r="G157" s="3"/>
      <c r="H157" s="3" t="s">
        <v>178</v>
      </c>
      <c r="I157" s="29" t="s">
        <v>121</v>
      </c>
      <c r="K157" s="11" t="s">
        <v>1</v>
      </c>
      <c r="L157" s="12" t="str">
        <f>VLOOKUP(LOWER(N156),experiments_specs!$A:$J,2,FALSE)</f>
        <v>NN,JJ,VB,VBD,VBG,VBN,VBP,VBZ</v>
      </c>
      <c r="M157" s="15" t="str">
        <f>"{"&amp;LOWER(N156)&amp;".csv}"</f>
        <v>{test_120.csv}</v>
      </c>
      <c r="N157" s="8" t="s">
        <v>118</v>
      </c>
      <c r="O157" s="3" t="s">
        <v>1307</v>
      </c>
      <c r="P157" s="3"/>
      <c r="Q157" s="3" t="s">
        <v>178</v>
      </c>
      <c r="R157" s="29" t="s">
        <v>121</v>
      </c>
    </row>
    <row r="158" spans="2:18" ht="68" x14ac:dyDescent="0.2">
      <c r="B158" s="11" t="s">
        <v>2</v>
      </c>
      <c r="C158" s="12">
        <f>VLOOKUP(LOWER(E156),experiments_specs!$A:$J,3,FALSE)</f>
        <v>0</v>
      </c>
      <c r="D158" s="15" t="s">
        <v>1243</v>
      </c>
      <c r="E158" s="5" t="s">
        <v>19</v>
      </c>
      <c r="F158" s="17" t="s">
        <v>1311</v>
      </c>
      <c r="G158" s="17" t="s">
        <v>1313</v>
      </c>
      <c r="H158" s="17">
        <v>1.97927E-2</v>
      </c>
      <c r="I158" s="50" t="s">
        <v>1433</v>
      </c>
      <c r="K158" s="11" t="s">
        <v>2</v>
      </c>
      <c r="L158" s="12">
        <f>VLOOKUP(LOWER(N156),experiments_specs!$A:$J,3,FALSE)</f>
        <v>0</v>
      </c>
      <c r="M158" s="15" t="s">
        <v>1244</v>
      </c>
      <c r="N158" s="5" t="s">
        <v>19</v>
      </c>
      <c r="O158" s="17" t="s">
        <v>1311</v>
      </c>
      <c r="P158" s="17" t="s">
        <v>1313</v>
      </c>
      <c r="Q158" s="17">
        <v>1.97927E-2</v>
      </c>
      <c r="R158" s="50" t="s">
        <v>1433</v>
      </c>
    </row>
    <row r="159" spans="2:18" x14ac:dyDescent="0.2">
      <c r="B159" s="11" t="s">
        <v>3</v>
      </c>
      <c r="C159" s="12">
        <f>VLOOKUP(LOWER(E156),experiments_specs!$A:$J,4,FALSE)</f>
        <v>2</v>
      </c>
      <c r="D159" s="15" t="s">
        <v>1243</v>
      </c>
      <c r="E159" s="6" t="s">
        <v>12</v>
      </c>
      <c r="F159" s="19" t="s">
        <v>23</v>
      </c>
      <c r="G159" s="19">
        <v>2</v>
      </c>
      <c r="H159" s="19">
        <v>1.44145E-2</v>
      </c>
      <c r="I159" s="31">
        <v>0.42857139999999999</v>
      </c>
      <c r="K159" s="11" t="s">
        <v>3</v>
      </c>
      <c r="L159" s="12">
        <f>VLOOKUP(LOWER(N156),experiments_specs!$A:$J,4,FALSE)</f>
        <v>3</v>
      </c>
      <c r="M159" s="15" t="s">
        <v>1244</v>
      </c>
      <c r="N159" s="6" t="s">
        <v>12</v>
      </c>
      <c r="O159" s="19" t="s">
        <v>23</v>
      </c>
      <c r="P159" s="19">
        <v>2</v>
      </c>
      <c r="Q159" s="19">
        <v>1.44145E-2</v>
      </c>
      <c r="R159" s="31">
        <v>0.42857139999999999</v>
      </c>
    </row>
    <row r="160" spans="2:18" x14ac:dyDescent="0.2">
      <c r="B160" s="11" t="s">
        <v>4</v>
      </c>
      <c r="C160" s="12" t="str">
        <f>VLOOKUP(LOWER(E156),experiments_specs!$A:$J,5,FALSE)</f>
        <v>True</v>
      </c>
      <c r="D160" s="15" t="s">
        <v>1243</v>
      </c>
      <c r="E160" s="6" t="s">
        <v>13</v>
      </c>
      <c r="F160" s="19" t="s">
        <v>398</v>
      </c>
      <c r="G160" s="19">
        <v>2</v>
      </c>
      <c r="H160" s="19">
        <v>1.7025100000000001E-2</v>
      </c>
      <c r="I160" s="31">
        <v>0.4</v>
      </c>
      <c r="K160" s="11" t="s">
        <v>4</v>
      </c>
      <c r="L160" s="12" t="str">
        <f>VLOOKUP(LOWER(N156),experiments_specs!$A:$J,5,FALSE)</f>
        <v>True</v>
      </c>
      <c r="M160" s="15" t="s">
        <v>1244</v>
      </c>
      <c r="N160" s="6" t="s">
        <v>13</v>
      </c>
      <c r="O160" s="19" t="s">
        <v>398</v>
      </c>
      <c r="P160" s="19">
        <v>2</v>
      </c>
      <c r="Q160" s="19">
        <v>1.7025100000000001E-2</v>
      </c>
      <c r="R160" s="31">
        <v>0.4</v>
      </c>
    </row>
    <row r="161" spans="2:18" ht="102" x14ac:dyDescent="0.2">
      <c r="B161" s="11" t="s">
        <v>5</v>
      </c>
      <c r="C161" s="12" t="str">
        <f>VLOOKUP(LOWER(E156),experiments_specs!$A:$J,6,FALSE)</f>
        <v>True</v>
      </c>
      <c r="D161" s="15" t="s">
        <v>1243</v>
      </c>
      <c r="E161" s="6" t="s">
        <v>14</v>
      </c>
      <c r="F161" s="18" t="s">
        <v>1337</v>
      </c>
      <c r="G161" s="18" t="s">
        <v>1339</v>
      </c>
      <c r="H161" s="19">
        <v>8.5724000000000009E-3</v>
      </c>
      <c r="I161" s="51" t="s">
        <v>1441</v>
      </c>
      <c r="K161" s="11" t="s">
        <v>5</v>
      </c>
      <c r="L161" s="12" t="str">
        <f>VLOOKUP(LOWER(N156),experiments_specs!$A:$J,6,FALSE)</f>
        <v>True</v>
      </c>
      <c r="M161" s="15" t="s">
        <v>1244</v>
      </c>
      <c r="N161" s="6" t="s">
        <v>14</v>
      </c>
      <c r="O161" s="18" t="s">
        <v>1337</v>
      </c>
      <c r="P161" s="18" t="s">
        <v>1339</v>
      </c>
      <c r="Q161" s="19">
        <v>8.5724000000000009E-3</v>
      </c>
      <c r="R161" s="51" t="s">
        <v>1441</v>
      </c>
    </row>
    <row r="162" spans="2:18" x14ac:dyDescent="0.2">
      <c r="B162" s="11" t="s">
        <v>6</v>
      </c>
      <c r="C162" s="12" t="str">
        <f>VLOOKUP(LOWER(E156),experiments_specs!$A:$J,7,FALSE)</f>
        <v>True</v>
      </c>
      <c r="D162" s="15" t="s">
        <v>1243</v>
      </c>
      <c r="E162" s="6" t="s">
        <v>15</v>
      </c>
      <c r="F162" s="19" t="s">
        <v>293</v>
      </c>
      <c r="G162" s="19">
        <v>1</v>
      </c>
      <c r="H162" s="19">
        <v>2.20863E-2</v>
      </c>
      <c r="I162" s="31">
        <v>0.90909090000000004</v>
      </c>
      <c r="K162" s="11" t="s">
        <v>6</v>
      </c>
      <c r="L162" s="12" t="str">
        <f>VLOOKUP(LOWER(N156),experiments_specs!$A:$J,7,FALSE)</f>
        <v>True</v>
      </c>
      <c r="M162" s="15" t="s">
        <v>1244</v>
      </c>
      <c r="N162" s="6" t="s">
        <v>15</v>
      </c>
      <c r="O162" s="19" t="s">
        <v>293</v>
      </c>
      <c r="P162" s="19">
        <v>1</v>
      </c>
      <c r="Q162" s="19">
        <v>2.20863E-2</v>
      </c>
      <c r="R162" s="31">
        <v>0.90909090000000004</v>
      </c>
    </row>
    <row r="163" spans="2:18" ht="68" x14ac:dyDescent="0.2">
      <c r="B163" s="11" t="s">
        <v>7</v>
      </c>
      <c r="C163" s="12" t="str">
        <f>VLOOKUP(LOWER(E156),experiments_specs!$A:$J,8,FALSE)</f>
        <v>False</v>
      </c>
      <c r="D163" s="15" t="s">
        <v>1243</v>
      </c>
      <c r="E163" s="6" t="s">
        <v>16</v>
      </c>
      <c r="F163" s="18" t="s">
        <v>1332</v>
      </c>
      <c r="G163" s="18" t="s">
        <v>1313</v>
      </c>
      <c r="H163" s="19">
        <v>1.76645E-2</v>
      </c>
      <c r="I163" s="51" t="s">
        <v>1431</v>
      </c>
      <c r="K163" s="11" t="s">
        <v>7</v>
      </c>
      <c r="L163" s="12" t="str">
        <f>VLOOKUP(LOWER(N156),experiments_specs!$A:$J,8,FALSE)</f>
        <v>False</v>
      </c>
      <c r="M163" s="15" t="s">
        <v>1244</v>
      </c>
      <c r="N163" s="6" t="s">
        <v>16</v>
      </c>
      <c r="O163" s="18" t="s">
        <v>1332</v>
      </c>
      <c r="P163" s="18" t="s">
        <v>1313</v>
      </c>
      <c r="Q163" s="19">
        <v>1.76645E-2</v>
      </c>
      <c r="R163" s="51" t="s">
        <v>1431</v>
      </c>
    </row>
    <row r="164" spans="2:18" x14ac:dyDescent="0.2">
      <c r="B164" s="11" t="s">
        <v>8</v>
      </c>
      <c r="C164" s="12" t="str">
        <f>VLOOKUP(LOWER(E156),experiments_specs!$A:$J,9,FALSE)</f>
        <v>wup_similarity</v>
      </c>
      <c r="D164" s="15" t="s">
        <v>1243</v>
      </c>
      <c r="E164" s="6" t="s">
        <v>17</v>
      </c>
      <c r="F164" s="19" t="s">
        <v>1341</v>
      </c>
      <c r="G164" s="19">
        <v>3</v>
      </c>
      <c r="H164" s="19">
        <v>2.1834699999999999E-2</v>
      </c>
      <c r="I164" s="31">
        <v>0.2</v>
      </c>
      <c r="K164" s="11" t="s">
        <v>8</v>
      </c>
      <c r="L164" s="12" t="str">
        <f>VLOOKUP(LOWER(N156),experiments_specs!$A:$J,9,FALSE)</f>
        <v>wup_similarity</v>
      </c>
      <c r="M164" s="15" t="s">
        <v>1244</v>
      </c>
      <c r="N164" s="6" t="s">
        <v>17</v>
      </c>
      <c r="O164" s="19" t="s">
        <v>1341</v>
      </c>
      <c r="P164" s="19">
        <v>3</v>
      </c>
      <c r="Q164" s="19">
        <v>2.1834699999999999E-2</v>
      </c>
      <c r="R164" s="31">
        <v>0.2</v>
      </c>
    </row>
    <row r="165" spans="2:18" x14ac:dyDescent="0.2">
      <c r="B165" s="11" t="s">
        <v>9</v>
      </c>
      <c r="C165" s="12" t="str">
        <f>VLOOKUP(LOWER(E156),experiments_specs!$A:$J,10,FALSE)</f>
        <v>False</v>
      </c>
      <c r="D165" s="15" t="s">
        <v>1243</v>
      </c>
      <c r="E165" s="7" t="s">
        <v>18</v>
      </c>
      <c r="F165" s="20" t="s">
        <v>45</v>
      </c>
      <c r="G165" s="20">
        <v>2</v>
      </c>
      <c r="H165" s="20">
        <v>8.1188000000000007E-3</v>
      </c>
      <c r="I165" s="32">
        <v>0.2105263</v>
      </c>
      <c r="K165" s="11" t="s">
        <v>9</v>
      </c>
      <c r="L165" s="12" t="str">
        <f>VLOOKUP(LOWER(N156),experiments_specs!$A:$J,10,FALSE)</f>
        <v>False</v>
      </c>
      <c r="M165" s="15" t="s">
        <v>1244</v>
      </c>
      <c r="N165" s="7" t="s">
        <v>18</v>
      </c>
      <c r="O165" s="20" t="s">
        <v>45</v>
      </c>
      <c r="P165" s="20">
        <v>2</v>
      </c>
      <c r="Q165" s="20">
        <v>8.1188000000000007E-3</v>
      </c>
      <c r="R165" s="32">
        <v>0.2105263</v>
      </c>
    </row>
    <row r="166" spans="2:18" ht="17" thickBot="1" x14ac:dyDescent="0.25"/>
    <row r="167" spans="2:18" ht="20" thickBot="1" x14ac:dyDescent="0.3">
      <c r="B167" s="13" t="s">
        <v>126</v>
      </c>
      <c r="C167" s="14"/>
      <c r="D167" s="9"/>
      <c r="E167" s="10" t="str">
        <f>"TEST_"&amp;TEXT(RIGHT(N156,3)+1, "00")</f>
        <v>TEST_121</v>
      </c>
      <c r="F167" s="41" t="s">
        <v>1306</v>
      </c>
      <c r="G167" s="41"/>
      <c r="H167" s="41"/>
      <c r="I167" s="41"/>
      <c r="K167" s="13" t="s">
        <v>126</v>
      </c>
      <c r="L167" s="14"/>
      <c r="M167" s="9"/>
      <c r="N167" s="10" t="str">
        <f>"TEST_"&amp;TEXT(RIGHT(E167,3)+1, "00")</f>
        <v>TEST_122</v>
      </c>
      <c r="O167" s="41" t="s">
        <v>1306</v>
      </c>
      <c r="P167" s="41"/>
      <c r="Q167" s="41"/>
      <c r="R167" s="41"/>
    </row>
    <row r="168" spans="2:18" x14ac:dyDescent="0.2">
      <c r="B168" s="11" t="s">
        <v>1</v>
      </c>
      <c r="C168" s="12" t="str">
        <f>VLOOKUP(LOWER(E167),experiments_specs!$A:$J,2,FALSE)</f>
        <v>NN,JJ</v>
      </c>
      <c r="D168" s="15" t="str">
        <f>"{"&amp;LOWER(E167)&amp;".csv}"</f>
        <v>{test_121.csv}</v>
      </c>
      <c r="E168" s="8" t="s">
        <v>118</v>
      </c>
      <c r="F168" s="3" t="s">
        <v>1307</v>
      </c>
      <c r="G168" s="3"/>
      <c r="H168" s="3" t="s">
        <v>178</v>
      </c>
      <c r="I168" s="29" t="s">
        <v>121</v>
      </c>
      <c r="K168" s="11" t="s">
        <v>1</v>
      </c>
      <c r="L168" s="12" t="str">
        <f>VLOOKUP(LOWER(N167),experiments_specs!$A:$J,2,FALSE)</f>
        <v>NN,JJ</v>
      </c>
      <c r="M168" s="15" t="str">
        <f>"{"&amp;LOWER(N167)&amp;".csv}"</f>
        <v>{test_122.csv}</v>
      </c>
      <c r="N168" s="8" t="s">
        <v>118</v>
      </c>
      <c r="O168" s="3" t="s">
        <v>1307</v>
      </c>
      <c r="P168" s="3"/>
      <c r="Q168" s="3" t="s">
        <v>178</v>
      </c>
      <c r="R168" s="29" t="s">
        <v>121</v>
      </c>
    </row>
    <row r="169" spans="2:18" ht="68" x14ac:dyDescent="0.2">
      <c r="B169" s="11" t="s">
        <v>2</v>
      </c>
      <c r="C169" s="12">
        <f>VLOOKUP(LOWER(E167),experiments_specs!$A:$J,3,FALSE)</f>
        <v>0</v>
      </c>
      <c r="D169" s="15" t="s">
        <v>1245</v>
      </c>
      <c r="E169" s="5" t="s">
        <v>19</v>
      </c>
      <c r="F169" s="17" t="s">
        <v>1311</v>
      </c>
      <c r="G169" s="17" t="s">
        <v>1313</v>
      </c>
      <c r="H169" s="17">
        <v>2.8078999999999999E-3</v>
      </c>
      <c r="I169" s="50" t="s">
        <v>1433</v>
      </c>
      <c r="K169" s="11" t="s">
        <v>2</v>
      </c>
      <c r="L169" s="12">
        <f>VLOOKUP(LOWER(N167),experiments_specs!$A:$J,3,FALSE)</f>
        <v>0</v>
      </c>
      <c r="M169" s="15" t="s">
        <v>1246</v>
      </c>
      <c r="N169" s="5" t="s">
        <v>19</v>
      </c>
      <c r="O169" s="17" t="s">
        <v>1311</v>
      </c>
      <c r="P169" s="17" t="s">
        <v>1313</v>
      </c>
      <c r="Q169" s="17">
        <v>2.7982799999999999E-2</v>
      </c>
      <c r="R169" s="50" t="s">
        <v>1433</v>
      </c>
    </row>
    <row r="170" spans="2:18" x14ac:dyDescent="0.2">
      <c r="B170" s="11" t="s">
        <v>3</v>
      </c>
      <c r="C170" s="12">
        <f>VLOOKUP(LOWER(E167),experiments_specs!$A:$J,4,FALSE)</f>
        <v>2</v>
      </c>
      <c r="D170" s="15" t="s">
        <v>1245</v>
      </c>
      <c r="E170" s="6" t="s">
        <v>12</v>
      </c>
      <c r="F170" s="19" t="s">
        <v>1336</v>
      </c>
      <c r="G170" s="19">
        <v>4</v>
      </c>
      <c r="H170" s="19">
        <v>4.0683000000000004E-3</v>
      </c>
      <c r="I170" s="31">
        <v>0.25</v>
      </c>
      <c r="K170" s="11" t="s">
        <v>3</v>
      </c>
      <c r="L170" s="12">
        <f>VLOOKUP(LOWER(N167),experiments_specs!$A:$J,4,FALSE)</f>
        <v>3</v>
      </c>
      <c r="M170" s="15" t="s">
        <v>1246</v>
      </c>
      <c r="N170" s="6" t="s">
        <v>12</v>
      </c>
      <c r="O170" s="19" t="s">
        <v>23</v>
      </c>
      <c r="P170" s="19">
        <v>2</v>
      </c>
      <c r="Q170" s="19">
        <v>3.1449900000000003E-2</v>
      </c>
      <c r="R170" s="31">
        <v>0.42857139999999999</v>
      </c>
    </row>
    <row r="171" spans="2:18" x14ac:dyDescent="0.2">
      <c r="B171" s="11" t="s">
        <v>4</v>
      </c>
      <c r="C171" s="12" t="str">
        <f>VLOOKUP(LOWER(E167),experiments_specs!$A:$J,5,FALSE)</f>
        <v>False</v>
      </c>
      <c r="D171" s="15" t="s">
        <v>1245</v>
      </c>
      <c r="E171" s="6" t="s">
        <v>13</v>
      </c>
      <c r="F171" s="19" t="s">
        <v>1317</v>
      </c>
      <c r="G171" s="19">
        <v>3</v>
      </c>
      <c r="H171" s="19">
        <v>6.9794999999999996E-3</v>
      </c>
      <c r="I171" s="31" t="s">
        <v>25</v>
      </c>
      <c r="K171" s="11" t="s">
        <v>4</v>
      </c>
      <c r="L171" s="12" t="str">
        <f>VLOOKUP(LOWER(N167),experiments_specs!$A:$J,5,FALSE)</f>
        <v>True</v>
      </c>
      <c r="M171" s="15" t="s">
        <v>1246</v>
      </c>
      <c r="N171" s="6" t="s">
        <v>13</v>
      </c>
      <c r="O171" s="19" t="s">
        <v>327</v>
      </c>
      <c r="P171" s="19">
        <v>2</v>
      </c>
      <c r="Q171" s="19">
        <v>2.4573600000000001E-2</v>
      </c>
      <c r="R171" s="31" t="s">
        <v>25</v>
      </c>
    </row>
    <row r="172" spans="2:18" ht="102" x14ac:dyDescent="0.2">
      <c r="B172" s="11" t="s">
        <v>5</v>
      </c>
      <c r="C172" s="12" t="str">
        <f>VLOOKUP(LOWER(E167),experiments_specs!$A:$J,6,FALSE)</f>
        <v>True</v>
      </c>
      <c r="D172" s="15" t="s">
        <v>1245</v>
      </c>
      <c r="E172" s="6" t="s">
        <v>14</v>
      </c>
      <c r="F172" s="18" t="s">
        <v>1318</v>
      </c>
      <c r="G172" s="18" t="s">
        <v>1313</v>
      </c>
      <c r="H172" s="19">
        <v>3.2247E-3</v>
      </c>
      <c r="I172" s="51" t="s">
        <v>1435</v>
      </c>
      <c r="K172" s="11" t="s">
        <v>5</v>
      </c>
      <c r="L172" s="12" t="str">
        <f>VLOOKUP(LOWER(N167),experiments_specs!$A:$J,6,FALSE)</f>
        <v>True</v>
      </c>
      <c r="M172" s="15" t="s">
        <v>1246</v>
      </c>
      <c r="N172" s="6" t="s">
        <v>14</v>
      </c>
      <c r="O172" s="18" t="s">
        <v>1337</v>
      </c>
      <c r="P172" s="18" t="s">
        <v>1339</v>
      </c>
      <c r="Q172" s="19">
        <v>1.24689E-2</v>
      </c>
      <c r="R172" s="51" t="s">
        <v>1441</v>
      </c>
    </row>
    <row r="173" spans="2:18" x14ac:dyDescent="0.2">
      <c r="B173" s="11" t="s">
        <v>6</v>
      </c>
      <c r="C173" s="12" t="str">
        <f>VLOOKUP(LOWER(E167),experiments_specs!$A:$J,7,FALSE)</f>
        <v>True</v>
      </c>
      <c r="D173" s="15" t="s">
        <v>1245</v>
      </c>
      <c r="E173" s="6" t="s">
        <v>15</v>
      </c>
      <c r="F173" s="19" t="s">
        <v>293</v>
      </c>
      <c r="G173" s="19">
        <v>1</v>
      </c>
      <c r="H173" s="19">
        <v>4.5773999999999997E-3</v>
      </c>
      <c r="I173" s="31">
        <v>0.90909090000000004</v>
      </c>
      <c r="K173" s="11" t="s">
        <v>6</v>
      </c>
      <c r="L173" s="12" t="str">
        <f>VLOOKUP(LOWER(N167),experiments_specs!$A:$J,7,FALSE)</f>
        <v>True</v>
      </c>
      <c r="M173" s="15" t="s">
        <v>1246</v>
      </c>
      <c r="N173" s="6" t="s">
        <v>15</v>
      </c>
      <c r="O173" s="19" t="s">
        <v>293</v>
      </c>
      <c r="P173" s="19">
        <v>1</v>
      </c>
      <c r="Q173" s="19">
        <v>4.4172599999999999E-2</v>
      </c>
      <c r="R173" s="31">
        <v>0.90909090000000004</v>
      </c>
    </row>
    <row r="174" spans="2:18" ht="68" x14ac:dyDescent="0.2">
      <c r="B174" s="11" t="s">
        <v>7</v>
      </c>
      <c r="C174" s="12" t="str">
        <f>VLOOKUP(LOWER(E167),experiments_specs!$A:$J,8,FALSE)</f>
        <v>False</v>
      </c>
      <c r="D174" s="15" t="s">
        <v>1245</v>
      </c>
      <c r="E174" s="6" t="s">
        <v>16</v>
      </c>
      <c r="F174" s="19" t="s">
        <v>209</v>
      </c>
      <c r="G174" s="19">
        <v>2</v>
      </c>
      <c r="H174" s="19">
        <v>2.9521999999999999E-3</v>
      </c>
      <c r="I174" s="31">
        <v>0.55555549999999998</v>
      </c>
      <c r="K174" s="11" t="s">
        <v>7</v>
      </c>
      <c r="L174" s="12" t="str">
        <f>VLOOKUP(LOWER(N167),experiments_specs!$A:$J,8,FALSE)</f>
        <v>False</v>
      </c>
      <c r="M174" s="15" t="s">
        <v>1246</v>
      </c>
      <c r="N174" s="6" t="s">
        <v>16</v>
      </c>
      <c r="O174" s="18" t="s">
        <v>1332</v>
      </c>
      <c r="P174" s="18" t="s">
        <v>1313</v>
      </c>
      <c r="Q174" s="19">
        <v>1.91366E-2</v>
      </c>
      <c r="R174" s="51" t="s">
        <v>1431</v>
      </c>
    </row>
    <row r="175" spans="2:18" ht="68" x14ac:dyDescent="0.2">
      <c r="B175" s="11" t="s">
        <v>8</v>
      </c>
      <c r="C175" s="12" t="str">
        <f>VLOOKUP(LOWER(E167),experiments_specs!$A:$J,9,FALSE)</f>
        <v>wup_similarity</v>
      </c>
      <c r="D175" s="15" t="s">
        <v>1245</v>
      </c>
      <c r="E175" s="6" t="s">
        <v>17</v>
      </c>
      <c r="F175" s="19" t="s">
        <v>219</v>
      </c>
      <c r="G175" s="19">
        <v>2</v>
      </c>
      <c r="H175" s="19">
        <v>2.7277E-3</v>
      </c>
      <c r="I175" s="31">
        <v>0.13333329999999999</v>
      </c>
      <c r="K175" s="11" t="s">
        <v>8</v>
      </c>
      <c r="L175" s="12" t="str">
        <f>VLOOKUP(LOWER(N167),experiments_specs!$A:$J,9,FALSE)</f>
        <v>wup_similarity</v>
      </c>
      <c r="M175" s="15" t="s">
        <v>1246</v>
      </c>
      <c r="N175" s="6" t="s">
        <v>17</v>
      </c>
      <c r="O175" s="18" t="s">
        <v>1334</v>
      </c>
      <c r="P175" s="18" t="s">
        <v>1313</v>
      </c>
      <c r="Q175" s="19">
        <v>2.0997999999999999E-2</v>
      </c>
      <c r="R175" s="51" t="s">
        <v>1439</v>
      </c>
    </row>
    <row r="176" spans="2:18" ht="34" x14ac:dyDescent="0.2">
      <c r="B176" s="11" t="s">
        <v>9</v>
      </c>
      <c r="C176" s="12" t="str">
        <f>VLOOKUP(LOWER(E167),experiments_specs!$A:$J,10,FALSE)</f>
        <v>True</v>
      </c>
      <c r="D176" s="15" t="s">
        <v>1245</v>
      </c>
      <c r="E176" s="7" t="s">
        <v>18</v>
      </c>
      <c r="F176" s="49" t="s">
        <v>1322</v>
      </c>
      <c r="G176" s="49" t="s">
        <v>1313</v>
      </c>
      <c r="H176" s="20">
        <v>2.2725000000000002E-3</v>
      </c>
      <c r="I176" s="52" t="s">
        <v>1437</v>
      </c>
      <c r="K176" s="11" t="s">
        <v>9</v>
      </c>
      <c r="L176" s="12" t="str">
        <f>VLOOKUP(LOWER(N167),experiments_specs!$A:$J,10,FALSE)</f>
        <v>True</v>
      </c>
      <c r="M176" s="15" t="s">
        <v>1246</v>
      </c>
      <c r="N176" s="7" t="s">
        <v>18</v>
      </c>
      <c r="O176" s="20" t="s">
        <v>45</v>
      </c>
      <c r="P176" s="20">
        <v>2</v>
      </c>
      <c r="Q176" s="20">
        <v>1.7334800000000001E-2</v>
      </c>
      <c r="R176" s="32">
        <v>0.2105263</v>
      </c>
    </row>
    <row r="177" spans="2:18" ht="17" thickBot="1" x14ac:dyDescent="0.25"/>
    <row r="178" spans="2:18" ht="20" thickBot="1" x14ac:dyDescent="0.3">
      <c r="B178" s="13" t="s">
        <v>126</v>
      </c>
      <c r="C178" s="14"/>
      <c r="D178" s="9"/>
      <c r="E178" s="10" t="str">
        <f>"TEST_"&amp;TEXT(RIGHT(N167,3)+1, "00")</f>
        <v>TEST_123</v>
      </c>
      <c r="F178" s="41" t="s">
        <v>1306</v>
      </c>
      <c r="G178" s="41"/>
      <c r="H178" s="41"/>
      <c r="I178" s="41"/>
      <c r="K178" s="13" t="s">
        <v>126</v>
      </c>
      <c r="L178" s="14"/>
      <c r="M178" s="9"/>
      <c r="N178" s="10" t="str">
        <f>"TEST_"&amp;TEXT(RIGHT(E178,3)+1, "00")</f>
        <v>TEST_124</v>
      </c>
      <c r="O178" s="41" t="s">
        <v>1306</v>
      </c>
      <c r="P178" s="41"/>
      <c r="Q178" s="41"/>
      <c r="R178" s="41"/>
    </row>
    <row r="179" spans="2:18" x14ac:dyDescent="0.2">
      <c r="B179" s="11" t="s">
        <v>1</v>
      </c>
      <c r="C179" s="12" t="str">
        <f>VLOOKUP(LOWER(E178),experiments_specs!$A:$J,2,FALSE)</f>
        <v>NN,VB,VBD,VBG,VBN,VBP,VBZ</v>
      </c>
      <c r="D179" s="15" t="str">
        <f>"{"&amp;LOWER(E178)&amp;".csv}"</f>
        <v>{test_123.csv}</v>
      </c>
      <c r="E179" s="8" t="s">
        <v>118</v>
      </c>
      <c r="F179" s="3" t="s">
        <v>1307</v>
      </c>
      <c r="G179" s="3"/>
      <c r="H179" s="3" t="s">
        <v>178</v>
      </c>
      <c r="I179" s="29" t="s">
        <v>121</v>
      </c>
      <c r="K179" s="11" t="s">
        <v>1</v>
      </c>
      <c r="L179" s="12" t="str">
        <f>VLOOKUP(LOWER(N178),experiments_specs!$A:$J,2,FALSE)</f>
        <v>NN,VB,VBD,VBG,VBN,VBP,VBZ</v>
      </c>
      <c r="M179" s="15" t="str">
        <f>"{"&amp;LOWER(N178)&amp;".csv}"</f>
        <v>{test_124.csv}</v>
      </c>
      <c r="N179" s="8" t="s">
        <v>118</v>
      </c>
      <c r="O179" s="3" t="s">
        <v>1307</v>
      </c>
      <c r="P179" s="3"/>
      <c r="Q179" s="3" t="s">
        <v>178</v>
      </c>
      <c r="R179" s="29" t="s">
        <v>121</v>
      </c>
    </row>
    <row r="180" spans="2:18" ht="17" x14ac:dyDescent="0.2">
      <c r="B180" s="11" t="s">
        <v>2</v>
      </c>
      <c r="C180" s="12">
        <f>VLOOKUP(LOWER(E178),experiments_specs!$A:$J,3,FALSE)</f>
        <v>0</v>
      </c>
      <c r="D180" s="15" t="s">
        <v>1247</v>
      </c>
      <c r="E180" s="5" t="s">
        <v>19</v>
      </c>
      <c r="F180" s="17" t="s">
        <v>226</v>
      </c>
      <c r="G180" s="17">
        <v>4</v>
      </c>
      <c r="H180" s="17">
        <v>3.52827E-2</v>
      </c>
      <c r="I180" s="30">
        <v>0.17391300000000001</v>
      </c>
      <c r="K180" s="11" t="s">
        <v>2</v>
      </c>
      <c r="L180" s="12">
        <f>VLOOKUP(LOWER(N178),experiments_specs!$A:$J,3,FALSE)</f>
        <v>0</v>
      </c>
      <c r="M180" s="15" t="s">
        <v>1248</v>
      </c>
      <c r="N180" s="5" t="s">
        <v>19</v>
      </c>
      <c r="O180" s="17" t="s">
        <v>226</v>
      </c>
      <c r="P180" s="17">
        <v>4</v>
      </c>
      <c r="Q180" s="17">
        <v>3.52827E-2</v>
      </c>
      <c r="R180" s="30">
        <v>0.17391300000000001</v>
      </c>
    </row>
    <row r="181" spans="2:18" x14ac:dyDescent="0.2">
      <c r="B181" s="11" t="s">
        <v>3</v>
      </c>
      <c r="C181" s="12">
        <f>VLOOKUP(LOWER(E178),experiments_specs!$A:$J,4,FALSE)</f>
        <v>2</v>
      </c>
      <c r="D181" s="15" t="s">
        <v>1247</v>
      </c>
      <c r="E181" s="6" t="s">
        <v>12</v>
      </c>
      <c r="F181" s="19" t="s">
        <v>23</v>
      </c>
      <c r="G181" s="19">
        <v>2</v>
      </c>
      <c r="H181" s="19">
        <v>2.76759E-2</v>
      </c>
      <c r="I181" s="31">
        <v>0.42857139999999999</v>
      </c>
      <c r="K181" s="11" t="s">
        <v>3</v>
      </c>
      <c r="L181" s="12">
        <f>VLOOKUP(LOWER(N178),experiments_specs!$A:$J,4,FALSE)</f>
        <v>3</v>
      </c>
      <c r="M181" s="15" t="s">
        <v>1248</v>
      </c>
      <c r="N181" s="6" t="s">
        <v>12</v>
      </c>
      <c r="O181" s="19" t="s">
        <v>23</v>
      </c>
      <c r="P181" s="19">
        <v>2</v>
      </c>
      <c r="Q181" s="19">
        <v>2.76759E-2</v>
      </c>
      <c r="R181" s="31">
        <v>0.42857139999999999</v>
      </c>
    </row>
    <row r="182" spans="2:18" x14ac:dyDescent="0.2">
      <c r="B182" s="11" t="s">
        <v>4</v>
      </c>
      <c r="C182" s="12" t="str">
        <f>VLOOKUP(LOWER(E178),experiments_specs!$A:$J,5,FALSE)</f>
        <v>True</v>
      </c>
      <c r="D182" s="15" t="s">
        <v>1247</v>
      </c>
      <c r="E182" s="6" t="s">
        <v>13</v>
      </c>
      <c r="F182" s="19" t="s">
        <v>327</v>
      </c>
      <c r="G182" s="19">
        <v>2</v>
      </c>
      <c r="H182" s="19">
        <v>2.4573600000000001E-2</v>
      </c>
      <c r="I182" s="31" t="s">
        <v>25</v>
      </c>
      <c r="K182" s="11" t="s">
        <v>4</v>
      </c>
      <c r="L182" s="12" t="str">
        <f>VLOOKUP(LOWER(N178),experiments_specs!$A:$J,5,FALSE)</f>
        <v>True</v>
      </c>
      <c r="M182" s="15" t="s">
        <v>1248</v>
      </c>
      <c r="N182" s="6" t="s">
        <v>13</v>
      </c>
      <c r="O182" s="19" t="s">
        <v>327</v>
      </c>
      <c r="P182" s="19">
        <v>2</v>
      </c>
      <c r="Q182" s="19">
        <v>2.4573600000000001E-2</v>
      </c>
      <c r="R182" s="31" t="s">
        <v>25</v>
      </c>
    </row>
    <row r="183" spans="2:18" ht="102" x14ac:dyDescent="0.2">
      <c r="B183" s="11" t="s">
        <v>5</v>
      </c>
      <c r="C183" s="12" t="str">
        <f>VLOOKUP(LOWER(E178),experiments_specs!$A:$J,6,FALSE)</f>
        <v>True</v>
      </c>
      <c r="D183" s="15" t="s">
        <v>1247</v>
      </c>
      <c r="E183" s="6" t="s">
        <v>14</v>
      </c>
      <c r="F183" s="18" t="s">
        <v>1337</v>
      </c>
      <c r="G183" s="18" t="s">
        <v>1339</v>
      </c>
      <c r="H183" s="19">
        <v>1.21022E-2</v>
      </c>
      <c r="I183" s="51" t="s">
        <v>1441</v>
      </c>
      <c r="K183" s="11" t="s">
        <v>5</v>
      </c>
      <c r="L183" s="12" t="str">
        <f>VLOOKUP(LOWER(N178),experiments_specs!$A:$J,6,FALSE)</f>
        <v>True</v>
      </c>
      <c r="M183" s="15" t="s">
        <v>1248</v>
      </c>
      <c r="N183" s="6" t="s">
        <v>14</v>
      </c>
      <c r="O183" s="18" t="s">
        <v>1337</v>
      </c>
      <c r="P183" s="18" t="s">
        <v>1339</v>
      </c>
      <c r="Q183" s="19">
        <v>1.21022E-2</v>
      </c>
      <c r="R183" s="51" t="s">
        <v>1441</v>
      </c>
    </row>
    <row r="184" spans="2:18" x14ac:dyDescent="0.2">
      <c r="B184" s="11" t="s">
        <v>6</v>
      </c>
      <c r="C184" s="12" t="str">
        <f>VLOOKUP(LOWER(E178),experiments_specs!$A:$J,7,FALSE)</f>
        <v>True</v>
      </c>
      <c r="D184" s="15" t="s">
        <v>1247</v>
      </c>
      <c r="E184" s="6" t="s">
        <v>15</v>
      </c>
      <c r="F184" s="19" t="s">
        <v>27</v>
      </c>
      <c r="G184" s="19">
        <v>2</v>
      </c>
      <c r="H184" s="19">
        <v>1.7352599999999999E-2</v>
      </c>
      <c r="I184" s="31">
        <v>0.1666666</v>
      </c>
      <c r="K184" s="11" t="s">
        <v>6</v>
      </c>
      <c r="L184" s="12" t="str">
        <f>VLOOKUP(LOWER(N178),experiments_specs!$A:$J,7,FALSE)</f>
        <v>True</v>
      </c>
      <c r="M184" s="15" t="s">
        <v>1248</v>
      </c>
      <c r="N184" s="6" t="s">
        <v>15</v>
      </c>
      <c r="O184" s="19" t="s">
        <v>27</v>
      </c>
      <c r="P184" s="19">
        <v>2</v>
      </c>
      <c r="Q184" s="19">
        <v>1.7352599999999999E-2</v>
      </c>
      <c r="R184" s="31">
        <v>0.1666666</v>
      </c>
    </row>
    <row r="185" spans="2:18" ht="68" x14ac:dyDescent="0.2">
      <c r="B185" s="11" t="s">
        <v>7</v>
      </c>
      <c r="C185" s="12" t="str">
        <f>VLOOKUP(LOWER(E178),experiments_specs!$A:$J,8,FALSE)</f>
        <v>False</v>
      </c>
      <c r="D185" s="15" t="s">
        <v>1247</v>
      </c>
      <c r="E185" s="6" t="s">
        <v>16</v>
      </c>
      <c r="F185" s="18" t="s">
        <v>1332</v>
      </c>
      <c r="G185" s="18" t="s">
        <v>1313</v>
      </c>
      <c r="H185" s="19">
        <v>2.55155E-2</v>
      </c>
      <c r="I185" s="51" t="s">
        <v>1431</v>
      </c>
      <c r="K185" s="11" t="s">
        <v>7</v>
      </c>
      <c r="L185" s="12" t="str">
        <f>VLOOKUP(LOWER(N178),experiments_specs!$A:$J,8,FALSE)</f>
        <v>False</v>
      </c>
      <c r="M185" s="15" t="s">
        <v>1248</v>
      </c>
      <c r="N185" s="6" t="s">
        <v>16</v>
      </c>
      <c r="O185" s="18" t="s">
        <v>1332</v>
      </c>
      <c r="P185" s="18" t="s">
        <v>1313</v>
      </c>
      <c r="Q185" s="19">
        <v>2.55155E-2</v>
      </c>
      <c r="R185" s="51" t="s">
        <v>1431</v>
      </c>
    </row>
    <row r="186" spans="2:18" ht="68" x14ac:dyDescent="0.2">
      <c r="B186" s="11" t="s">
        <v>8</v>
      </c>
      <c r="C186" s="12" t="str">
        <f>VLOOKUP(LOWER(E178),experiments_specs!$A:$J,9,FALSE)</f>
        <v>wup_similarity</v>
      </c>
      <c r="D186" s="15" t="s">
        <v>1247</v>
      </c>
      <c r="E186" s="6" t="s">
        <v>17</v>
      </c>
      <c r="F186" s="18" t="s">
        <v>1334</v>
      </c>
      <c r="G186" s="18" t="s">
        <v>1313</v>
      </c>
      <c r="H186" s="19">
        <v>1.88982E-2</v>
      </c>
      <c r="I186" s="51" t="s">
        <v>1439</v>
      </c>
      <c r="K186" s="11" t="s">
        <v>8</v>
      </c>
      <c r="L186" s="12" t="str">
        <f>VLOOKUP(LOWER(N178),experiments_specs!$A:$J,9,FALSE)</f>
        <v>wup_similarity</v>
      </c>
      <c r="M186" s="15" t="s">
        <v>1248</v>
      </c>
      <c r="N186" s="6" t="s">
        <v>17</v>
      </c>
      <c r="O186" s="18" t="s">
        <v>1334</v>
      </c>
      <c r="P186" s="18" t="s">
        <v>1313</v>
      </c>
      <c r="Q186" s="19">
        <v>1.88982E-2</v>
      </c>
      <c r="R186" s="51" t="s">
        <v>1439</v>
      </c>
    </row>
    <row r="187" spans="2:18" x14ac:dyDescent="0.2">
      <c r="B187" s="11" t="s">
        <v>9</v>
      </c>
      <c r="C187" s="12" t="str">
        <f>VLOOKUP(LOWER(E178),experiments_specs!$A:$J,10,FALSE)</f>
        <v>True</v>
      </c>
      <c r="D187" s="15" t="s">
        <v>1247</v>
      </c>
      <c r="E187" s="7" t="s">
        <v>18</v>
      </c>
      <c r="F187" s="20" t="s">
        <v>45</v>
      </c>
      <c r="G187" s="20">
        <v>2</v>
      </c>
      <c r="H187" s="20">
        <v>1.3362199999999999E-2</v>
      </c>
      <c r="I187" s="32">
        <v>0.2105263</v>
      </c>
      <c r="K187" s="11" t="s">
        <v>9</v>
      </c>
      <c r="L187" s="12" t="str">
        <f>VLOOKUP(LOWER(N178),experiments_specs!$A:$J,10,FALSE)</f>
        <v>True</v>
      </c>
      <c r="M187" s="15" t="s">
        <v>1248</v>
      </c>
      <c r="N187" s="7" t="s">
        <v>18</v>
      </c>
      <c r="O187" s="20" t="s">
        <v>45</v>
      </c>
      <c r="P187" s="20">
        <v>2</v>
      </c>
      <c r="Q187" s="20">
        <v>1.3362199999999999E-2</v>
      </c>
      <c r="R187" s="32">
        <v>0.2105263</v>
      </c>
    </row>
    <row r="188" spans="2:18" ht="17" thickBot="1" x14ac:dyDescent="0.25"/>
    <row r="189" spans="2:18" ht="20" thickBot="1" x14ac:dyDescent="0.3">
      <c r="B189" s="13" t="s">
        <v>126</v>
      </c>
      <c r="C189" s="14"/>
      <c r="D189" s="9"/>
      <c r="E189" s="10" t="str">
        <f>"TEST_"&amp;TEXT(RIGHT(N178,3)+1, "00")</f>
        <v>TEST_125</v>
      </c>
      <c r="F189" s="41" t="s">
        <v>1306</v>
      </c>
      <c r="G189" s="41"/>
      <c r="H189" s="41"/>
      <c r="I189" s="41"/>
      <c r="K189" s="13" t="s">
        <v>126</v>
      </c>
      <c r="L189" s="14"/>
      <c r="M189" s="9"/>
      <c r="N189" s="10" t="str">
        <f>"TEST_"&amp;TEXT(RIGHT(E189,3)+1, "00")</f>
        <v>TEST_126</v>
      </c>
      <c r="O189" s="41" t="s">
        <v>1306</v>
      </c>
      <c r="P189" s="41"/>
      <c r="Q189" s="41"/>
      <c r="R189" s="41"/>
    </row>
    <row r="190" spans="2:18" x14ac:dyDescent="0.2">
      <c r="B190" s="11" t="s">
        <v>1</v>
      </c>
      <c r="C190" s="12" t="str">
        <f>VLOOKUP(LOWER(E189),experiments_specs!$A:$J,2,FALSE)</f>
        <v>NN,JJ,VB,VBD,VBG,VBN,VBP,VBZ</v>
      </c>
      <c r="D190" s="15" t="str">
        <f>"{"&amp;LOWER(E189)&amp;".csv}"</f>
        <v>{test_125.csv}</v>
      </c>
      <c r="E190" s="8" t="s">
        <v>118</v>
      </c>
      <c r="F190" s="3" t="s">
        <v>1307</v>
      </c>
      <c r="G190" s="3"/>
      <c r="H190" s="3" t="s">
        <v>178</v>
      </c>
      <c r="I190" s="29" t="s">
        <v>121</v>
      </c>
      <c r="K190" s="11" t="s">
        <v>1</v>
      </c>
      <c r="L190" s="12" t="str">
        <f>VLOOKUP(LOWER(N189),experiments_specs!$A:$J,2,FALSE)</f>
        <v>NN,JJ,VB,VBD,VBG,VBN,VBP,VBZ</v>
      </c>
      <c r="M190" s="15" t="str">
        <f>"{"&amp;LOWER(N189)&amp;".csv}"</f>
        <v>{test_126.csv}</v>
      </c>
      <c r="N190" s="8" t="s">
        <v>118</v>
      </c>
      <c r="O190" s="3" t="s">
        <v>1307</v>
      </c>
      <c r="P190" s="3"/>
      <c r="Q190" s="3" t="s">
        <v>178</v>
      </c>
      <c r="R190" s="29" t="s">
        <v>121</v>
      </c>
    </row>
    <row r="191" spans="2:18" ht="68" x14ac:dyDescent="0.2">
      <c r="B191" s="11" t="s">
        <v>2</v>
      </c>
      <c r="C191" s="12">
        <f>VLOOKUP(LOWER(E189),experiments_specs!$A:$J,3,FALSE)</f>
        <v>0</v>
      </c>
      <c r="D191" s="15" t="s">
        <v>1249</v>
      </c>
      <c r="E191" s="5" t="s">
        <v>19</v>
      </c>
      <c r="F191" s="17" t="s">
        <v>1311</v>
      </c>
      <c r="G191" s="17" t="s">
        <v>1313</v>
      </c>
      <c r="H191" s="17">
        <v>2.7050000000000001E-2</v>
      </c>
      <c r="I191" s="50" t="s">
        <v>1433</v>
      </c>
      <c r="K191" s="11" t="s">
        <v>2</v>
      </c>
      <c r="L191" s="12">
        <f>VLOOKUP(LOWER(N189),experiments_specs!$A:$J,3,FALSE)</f>
        <v>0</v>
      </c>
      <c r="M191" s="15" t="s">
        <v>1250</v>
      </c>
      <c r="N191" s="5" t="s">
        <v>19</v>
      </c>
      <c r="O191" s="17" t="s">
        <v>1311</v>
      </c>
      <c r="P191" s="17" t="s">
        <v>1313</v>
      </c>
      <c r="Q191" s="17">
        <v>2.7050000000000001E-2</v>
      </c>
      <c r="R191" s="50" t="s">
        <v>1433</v>
      </c>
    </row>
    <row r="192" spans="2:18" x14ac:dyDescent="0.2">
      <c r="B192" s="11" t="s">
        <v>3</v>
      </c>
      <c r="C192" s="12">
        <f>VLOOKUP(LOWER(E189),experiments_specs!$A:$J,4,FALSE)</f>
        <v>2</v>
      </c>
      <c r="D192" s="15" t="s">
        <v>1249</v>
      </c>
      <c r="E192" s="6" t="s">
        <v>12</v>
      </c>
      <c r="F192" s="19" t="s">
        <v>23</v>
      </c>
      <c r="G192" s="19">
        <v>2</v>
      </c>
      <c r="H192" s="19">
        <v>2.3858500000000001E-2</v>
      </c>
      <c r="I192" s="31">
        <v>0.42857139999999999</v>
      </c>
      <c r="K192" s="11" t="s">
        <v>3</v>
      </c>
      <c r="L192" s="12">
        <f>VLOOKUP(LOWER(N189),experiments_specs!$A:$J,4,FALSE)</f>
        <v>3</v>
      </c>
      <c r="M192" s="15" t="s">
        <v>1250</v>
      </c>
      <c r="N192" s="6" t="s">
        <v>12</v>
      </c>
      <c r="O192" s="19" t="s">
        <v>23</v>
      </c>
      <c r="P192" s="19">
        <v>2</v>
      </c>
      <c r="Q192" s="19">
        <v>2.3858500000000001E-2</v>
      </c>
      <c r="R192" s="31">
        <v>0.42857139999999999</v>
      </c>
    </row>
    <row r="193" spans="2:18" x14ac:dyDescent="0.2">
      <c r="B193" s="11" t="s">
        <v>4</v>
      </c>
      <c r="C193" s="12" t="str">
        <f>VLOOKUP(LOWER(E189),experiments_specs!$A:$J,5,FALSE)</f>
        <v>True</v>
      </c>
      <c r="D193" s="15" t="s">
        <v>1249</v>
      </c>
      <c r="E193" s="6" t="s">
        <v>13</v>
      </c>
      <c r="F193" s="19" t="s">
        <v>327</v>
      </c>
      <c r="G193" s="19">
        <v>2</v>
      </c>
      <c r="H193" s="19">
        <v>2.4573600000000001E-2</v>
      </c>
      <c r="I193" s="31" t="s">
        <v>25</v>
      </c>
      <c r="K193" s="11" t="s">
        <v>4</v>
      </c>
      <c r="L193" s="12" t="str">
        <f>VLOOKUP(LOWER(N189),experiments_specs!$A:$J,5,FALSE)</f>
        <v>True</v>
      </c>
      <c r="M193" s="15" t="s">
        <v>1250</v>
      </c>
      <c r="N193" s="6" t="s">
        <v>13</v>
      </c>
      <c r="O193" s="19" t="s">
        <v>327</v>
      </c>
      <c r="P193" s="19">
        <v>2</v>
      </c>
      <c r="Q193" s="19">
        <v>2.4573600000000001E-2</v>
      </c>
      <c r="R193" s="31" t="s">
        <v>25</v>
      </c>
    </row>
    <row r="194" spans="2:18" ht="102" x14ac:dyDescent="0.2">
      <c r="B194" s="11" t="s">
        <v>5</v>
      </c>
      <c r="C194" s="12" t="str">
        <f>VLOOKUP(LOWER(E189),experiments_specs!$A:$J,6,FALSE)</f>
        <v>True</v>
      </c>
      <c r="D194" s="15" t="s">
        <v>1249</v>
      </c>
      <c r="E194" s="6" t="s">
        <v>14</v>
      </c>
      <c r="F194" s="18" t="s">
        <v>1337</v>
      </c>
      <c r="G194" s="18" t="s">
        <v>1339</v>
      </c>
      <c r="H194" s="19">
        <v>1.05506E-2</v>
      </c>
      <c r="I194" s="51" t="s">
        <v>1441</v>
      </c>
      <c r="K194" s="11" t="s">
        <v>5</v>
      </c>
      <c r="L194" s="12" t="str">
        <f>VLOOKUP(LOWER(N189),experiments_specs!$A:$J,6,FALSE)</f>
        <v>True</v>
      </c>
      <c r="M194" s="15" t="s">
        <v>1250</v>
      </c>
      <c r="N194" s="6" t="s">
        <v>14</v>
      </c>
      <c r="O194" s="18" t="s">
        <v>1337</v>
      </c>
      <c r="P194" s="18" t="s">
        <v>1339</v>
      </c>
      <c r="Q194" s="19">
        <v>1.05506E-2</v>
      </c>
      <c r="R194" s="51" t="s">
        <v>1441</v>
      </c>
    </row>
    <row r="195" spans="2:18" x14ac:dyDescent="0.2">
      <c r="B195" s="11" t="s">
        <v>6</v>
      </c>
      <c r="C195" s="12" t="str">
        <f>VLOOKUP(LOWER(E189),experiments_specs!$A:$J,7,FALSE)</f>
        <v>True</v>
      </c>
      <c r="D195" s="15" t="s">
        <v>1249</v>
      </c>
      <c r="E195" s="6" t="s">
        <v>15</v>
      </c>
      <c r="F195" s="19" t="s">
        <v>293</v>
      </c>
      <c r="G195" s="19">
        <v>1</v>
      </c>
      <c r="H195" s="19">
        <v>3.6810500000000003E-2</v>
      </c>
      <c r="I195" s="31">
        <v>0.90909090000000004</v>
      </c>
      <c r="K195" s="11" t="s">
        <v>6</v>
      </c>
      <c r="L195" s="12" t="str">
        <f>VLOOKUP(LOWER(N189),experiments_specs!$A:$J,7,FALSE)</f>
        <v>True</v>
      </c>
      <c r="M195" s="15" t="s">
        <v>1250</v>
      </c>
      <c r="N195" s="6" t="s">
        <v>15</v>
      </c>
      <c r="O195" s="19" t="s">
        <v>293</v>
      </c>
      <c r="P195" s="19">
        <v>1</v>
      </c>
      <c r="Q195" s="19">
        <v>3.6810500000000003E-2</v>
      </c>
      <c r="R195" s="31">
        <v>0.90909090000000004</v>
      </c>
    </row>
    <row r="196" spans="2:18" ht="68" x14ac:dyDescent="0.2">
      <c r="B196" s="11" t="s">
        <v>7</v>
      </c>
      <c r="C196" s="12" t="str">
        <f>VLOOKUP(LOWER(E189),experiments_specs!$A:$J,8,FALSE)</f>
        <v>False</v>
      </c>
      <c r="D196" s="15" t="s">
        <v>1249</v>
      </c>
      <c r="E196" s="6" t="s">
        <v>16</v>
      </c>
      <c r="F196" s="18" t="s">
        <v>1332</v>
      </c>
      <c r="G196" s="18" t="s">
        <v>1313</v>
      </c>
      <c r="H196" s="19">
        <v>2.4825900000000001E-2</v>
      </c>
      <c r="I196" s="51" t="s">
        <v>1431</v>
      </c>
      <c r="K196" s="11" t="s">
        <v>7</v>
      </c>
      <c r="L196" s="12" t="str">
        <f>VLOOKUP(LOWER(N189),experiments_specs!$A:$J,8,FALSE)</f>
        <v>False</v>
      </c>
      <c r="M196" s="15" t="s">
        <v>1250</v>
      </c>
      <c r="N196" s="6" t="s">
        <v>16</v>
      </c>
      <c r="O196" s="18" t="s">
        <v>1332</v>
      </c>
      <c r="P196" s="18" t="s">
        <v>1313</v>
      </c>
      <c r="Q196" s="19">
        <v>2.4825900000000001E-2</v>
      </c>
      <c r="R196" s="51" t="s">
        <v>1431</v>
      </c>
    </row>
    <row r="197" spans="2:18" ht="68" x14ac:dyDescent="0.2">
      <c r="B197" s="11" t="s">
        <v>8</v>
      </c>
      <c r="C197" s="12" t="str">
        <f>VLOOKUP(LOWER(E189),experiments_specs!$A:$J,9,FALSE)</f>
        <v>wup_similarity</v>
      </c>
      <c r="D197" s="15" t="s">
        <v>1249</v>
      </c>
      <c r="E197" s="6" t="s">
        <v>17</v>
      </c>
      <c r="F197" s="18" t="s">
        <v>1334</v>
      </c>
      <c r="G197" s="18" t="s">
        <v>1313</v>
      </c>
      <c r="H197" s="19">
        <v>1.71802E-2</v>
      </c>
      <c r="I197" s="51" t="s">
        <v>1439</v>
      </c>
      <c r="K197" s="11" t="s">
        <v>8</v>
      </c>
      <c r="L197" s="12" t="str">
        <f>VLOOKUP(LOWER(N189),experiments_specs!$A:$J,9,FALSE)</f>
        <v>wup_similarity</v>
      </c>
      <c r="M197" s="15" t="s">
        <v>1250</v>
      </c>
      <c r="N197" s="6" t="s">
        <v>17</v>
      </c>
      <c r="O197" s="18" t="s">
        <v>1334</v>
      </c>
      <c r="P197" s="18" t="s">
        <v>1313</v>
      </c>
      <c r="Q197" s="19">
        <v>1.71802E-2</v>
      </c>
      <c r="R197" s="51" t="s">
        <v>1439</v>
      </c>
    </row>
    <row r="198" spans="2:18" x14ac:dyDescent="0.2">
      <c r="B198" s="11" t="s">
        <v>9</v>
      </c>
      <c r="C198" s="12" t="str">
        <f>VLOOKUP(LOWER(E189),experiments_specs!$A:$J,10,FALSE)</f>
        <v>True</v>
      </c>
      <c r="D198" s="15" t="s">
        <v>1249</v>
      </c>
      <c r="E198" s="7" t="s">
        <v>18</v>
      </c>
      <c r="F198" s="20" t="s">
        <v>45</v>
      </c>
      <c r="G198" s="20">
        <v>2</v>
      </c>
      <c r="H198" s="20">
        <v>1.2576199999999999E-2</v>
      </c>
      <c r="I198" s="32">
        <v>0.2105263</v>
      </c>
      <c r="K198" s="11" t="s">
        <v>9</v>
      </c>
      <c r="L198" s="12" t="str">
        <f>VLOOKUP(LOWER(N189),experiments_specs!$A:$J,10,FALSE)</f>
        <v>True</v>
      </c>
      <c r="M198" s="15" t="s">
        <v>1250</v>
      </c>
      <c r="N198" s="7" t="s">
        <v>18</v>
      </c>
      <c r="O198" s="20" t="s">
        <v>45</v>
      </c>
      <c r="P198" s="20">
        <v>2</v>
      </c>
      <c r="Q198" s="20">
        <v>1.2576199999999999E-2</v>
      </c>
      <c r="R198" s="32">
        <v>0.2105263</v>
      </c>
    </row>
    <row r="199" spans="2:18" ht="17" thickBot="1" x14ac:dyDescent="0.25"/>
    <row r="200" spans="2:18" ht="20" thickBot="1" x14ac:dyDescent="0.3">
      <c r="B200" s="13" t="s">
        <v>126</v>
      </c>
      <c r="C200" s="14"/>
      <c r="D200" s="9"/>
      <c r="E200" s="10" t="str">
        <f>"TEST_"&amp;TEXT(RIGHT(N189,3)+1, "00")</f>
        <v>TEST_127</v>
      </c>
      <c r="F200" s="41" t="s">
        <v>1306</v>
      </c>
      <c r="G200" s="41"/>
      <c r="H200" s="41"/>
      <c r="I200" s="41"/>
      <c r="K200" s="13" t="s">
        <v>126</v>
      </c>
      <c r="L200" s="14"/>
      <c r="M200" s="9"/>
      <c r="N200" s="10" t="str">
        <f>"TEST_"&amp;TEXT(RIGHT(E200,3)+1, "00")</f>
        <v>TEST_128</v>
      </c>
      <c r="O200" s="41" t="s">
        <v>1306</v>
      </c>
      <c r="P200" s="41"/>
      <c r="Q200" s="41"/>
      <c r="R200" s="41"/>
    </row>
    <row r="201" spans="2:18" x14ac:dyDescent="0.2">
      <c r="B201" s="11" t="s">
        <v>1</v>
      </c>
      <c r="C201" s="12" t="str">
        <f>VLOOKUP(LOWER(E200),experiments_specs!$A:$J,2,FALSE)</f>
        <v>NN,JJ</v>
      </c>
      <c r="D201" s="15" t="str">
        <f>"{"&amp;LOWER(E200)&amp;".csv}"</f>
        <v>{test_127.csv}</v>
      </c>
      <c r="E201" s="8" t="s">
        <v>118</v>
      </c>
      <c r="F201" s="3" t="s">
        <v>1307</v>
      </c>
      <c r="G201" s="3"/>
      <c r="H201" s="3" t="s">
        <v>178</v>
      </c>
      <c r="I201" s="29" t="s">
        <v>121</v>
      </c>
      <c r="K201" s="11" t="s">
        <v>1</v>
      </c>
      <c r="L201" s="12" t="str">
        <f>VLOOKUP(LOWER(N200),experiments_specs!$A:$J,2,FALSE)</f>
        <v>NN,JJ</v>
      </c>
      <c r="M201" s="15" t="str">
        <f>"{"&amp;LOWER(N200)&amp;".csv}"</f>
        <v>{test_128.csv}</v>
      </c>
      <c r="N201" s="8" t="s">
        <v>118</v>
      </c>
      <c r="O201" s="3" t="s">
        <v>1307</v>
      </c>
      <c r="P201" s="3"/>
      <c r="Q201" s="3" t="s">
        <v>178</v>
      </c>
      <c r="R201" s="29" t="s">
        <v>121</v>
      </c>
    </row>
    <row r="202" spans="2:18" ht="68" x14ac:dyDescent="0.2">
      <c r="B202" s="11" t="s">
        <v>2</v>
      </c>
      <c r="C202" s="12">
        <f>VLOOKUP(LOWER(E200),experiments_specs!$A:$J,3,FALSE)</f>
        <v>0</v>
      </c>
      <c r="D202" s="15" t="s">
        <v>1251</v>
      </c>
      <c r="E202" s="5" t="s">
        <v>19</v>
      </c>
      <c r="F202" s="17" t="s">
        <v>1311</v>
      </c>
      <c r="G202" s="17" t="s">
        <v>1313</v>
      </c>
      <c r="H202" s="17">
        <v>2.6365999999999998E-3</v>
      </c>
      <c r="I202" s="50" t="s">
        <v>1433</v>
      </c>
      <c r="K202" s="11" t="s">
        <v>2</v>
      </c>
      <c r="L202" s="12">
        <f>VLOOKUP(LOWER(N200),experiments_specs!$A:$J,3,FALSE)</f>
        <v>0</v>
      </c>
      <c r="M202" s="15" t="s">
        <v>1252</v>
      </c>
      <c r="N202" s="5" t="s">
        <v>19</v>
      </c>
      <c r="O202" s="17" t="s">
        <v>1311</v>
      </c>
      <c r="P202" s="17" t="s">
        <v>1313</v>
      </c>
      <c r="Q202" s="17">
        <v>2.6365999999999998E-3</v>
      </c>
      <c r="R202" s="50" t="s">
        <v>1433</v>
      </c>
    </row>
    <row r="203" spans="2:18" ht="68" x14ac:dyDescent="0.2">
      <c r="B203" s="11" t="s">
        <v>3</v>
      </c>
      <c r="C203" s="12">
        <f>VLOOKUP(LOWER(E200),experiments_specs!$A:$J,4,FALSE)</f>
        <v>2</v>
      </c>
      <c r="D203" s="15" t="s">
        <v>1251</v>
      </c>
      <c r="E203" s="6" t="s">
        <v>12</v>
      </c>
      <c r="F203" s="18" t="s">
        <v>1342</v>
      </c>
      <c r="G203" s="18" t="s">
        <v>1313</v>
      </c>
      <c r="H203" s="19">
        <v>3.7929000000000001E-3</v>
      </c>
      <c r="I203" s="51" t="s">
        <v>1443</v>
      </c>
      <c r="K203" s="11" t="s">
        <v>3</v>
      </c>
      <c r="L203" s="12">
        <f>VLOOKUP(LOWER(N200),experiments_specs!$A:$J,4,FALSE)</f>
        <v>3</v>
      </c>
      <c r="M203" s="15" t="s">
        <v>1252</v>
      </c>
      <c r="N203" s="6" t="s">
        <v>12</v>
      </c>
      <c r="O203" s="18" t="s">
        <v>1342</v>
      </c>
      <c r="P203" s="18" t="s">
        <v>1313</v>
      </c>
      <c r="Q203" s="19">
        <v>3.7929000000000001E-3</v>
      </c>
      <c r="R203" s="51" t="s">
        <v>1443</v>
      </c>
    </row>
    <row r="204" spans="2:18" x14ac:dyDescent="0.2">
      <c r="B204" s="11" t="s">
        <v>4</v>
      </c>
      <c r="C204" s="12" t="str">
        <f>VLOOKUP(LOWER(E200),experiments_specs!$A:$J,5,FALSE)</f>
        <v>False</v>
      </c>
      <c r="D204" s="15" t="s">
        <v>1251</v>
      </c>
      <c r="E204" s="6" t="s">
        <v>13</v>
      </c>
      <c r="F204" s="19" t="s">
        <v>426</v>
      </c>
      <c r="G204" s="19">
        <v>2</v>
      </c>
      <c r="H204" s="19">
        <v>1.0024699999999999E-2</v>
      </c>
      <c r="I204" s="31" t="s">
        <v>25</v>
      </c>
      <c r="K204" s="11" t="s">
        <v>4</v>
      </c>
      <c r="L204" s="12" t="str">
        <f>VLOOKUP(LOWER(N200),experiments_specs!$A:$J,5,FALSE)</f>
        <v>False</v>
      </c>
      <c r="M204" s="15" t="s">
        <v>1252</v>
      </c>
      <c r="N204" s="6" t="s">
        <v>13</v>
      </c>
      <c r="O204" s="19" t="s">
        <v>426</v>
      </c>
      <c r="P204" s="19">
        <v>2</v>
      </c>
      <c r="Q204" s="19">
        <v>1.0024699999999999E-2</v>
      </c>
      <c r="R204" s="31" t="s">
        <v>25</v>
      </c>
    </row>
    <row r="205" spans="2:18" ht="34" x14ac:dyDescent="0.2">
      <c r="B205" s="11" t="s">
        <v>5</v>
      </c>
      <c r="C205" s="12" t="str">
        <f>VLOOKUP(LOWER(E200),experiments_specs!$A:$J,6,FALSE)</f>
        <v>True</v>
      </c>
      <c r="D205" s="15" t="s">
        <v>1251</v>
      </c>
      <c r="E205" s="6" t="s">
        <v>14</v>
      </c>
      <c r="F205" s="18" t="s">
        <v>1344</v>
      </c>
      <c r="G205" s="18" t="s">
        <v>1313</v>
      </c>
      <c r="H205" s="19">
        <v>4.8367999999999996E-3</v>
      </c>
      <c r="I205" s="51" t="s">
        <v>1346</v>
      </c>
      <c r="K205" s="11" t="s">
        <v>5</v>
      </c>
      <c r="L205" s="12" t="str">
        <f>VLOOKUP(LOWER(N200),experiments_specs!$A:$J,6,FALSE)</f>
        <v>True</v>
      </c>
      <c r="M205" s="15" t="s">
        <v>1252</v>
      </c>
      <c r="N205" s="6" t="s">
        <v>14</v>
      </c>
      <c r="O205" s="18" t="s">
        <v>1344</v>
      </c>
      <c r="P205" s="18" t="s">
        <v>1313</v>
      </c>
      <c r="Q205" s="19">
        <v>4.8367999999999996E-3</v>
      </c>
      <c r="R205" s="51" t="s">
        <v>1346</v>
      </c>
    </row>
    <row r="206" spans="2:18" x14ac:dyDescent="0.2">
      <c r="B206" s="11" t="s">
        <v>6</v>
      </c>
      <c r="C206" s="12" t="str">
        <f>VLOOKUP(LOWER(E200),experiments_specs!$A:$J,7,FALSE)</f>
        <v>True</v>
      </c>
      <c r="D206" s="15" t="s">
        <v>1251</v>
      </c>
      <c r="E206" s="6" t="s">
        <v>15</v>
      </c>
      <c r="F206" s="19" t="s">
        <v>1348</v>
      </c>
      <c r="G206" s="19">
        <v>2</v>
      </c>
      <c r="H206" s="19">
        <v>5.4532000000000001E-3</v>
      </c>
      <c r="I206" s="31">
        <v>0.83333330000000005</v>
      </c>
      <c r="K206" s="11" t="s">
        <v>6</v>
      </c>
      <c r="L206" s="12" t="str">
        <f>VLOOKUP(LOWER(N200),experiments_specs!$A:$J,7,FALSE)</f>
        <v>True</v>
      </c>
      <c r="M206" s="15" t="s">
        <v>1252</v>
      </c>
      <c r="N206" s="6" t="s">
        <v>15</v>
      </c>
      <c r="O206" s="19" t="s">
        <v>1348</v>
      </c>
      <c r="P206" s="19">
        <v>2</v>
      </c>
      <c r="Q206" s="19">
        <v>5.4532000000000001E-3</v>
      </c>
      <c r="R206" s="31">
        <v>0.83333330000000005</v>
      </c>
    </row>
    <row r="207" spans="2:18" ht="68" x14ac:dyDescent="0.2">
      <c r="B207" s="11" t="s">
        <v>7</v>
      </c>
      <c r="C207" s="12" t="str">
        <f>VLOOKUP(LOWER(E200),experiments_specs!$A:$J,8,FALSE)</f>
        <v>True</v>
      </c>
      <c r="D207" s="15" t="s">
        <v>1251</v>
      </c>
      <c r="E207" s="6" t="s">
        <v>16</v>
      </c>
      <c r="F207" s="18" t="s">
        <v>210</v>
      </c>
      <c r="G207" s="18" t="s">
        <v>1330</v>
      </c>
      <c r="H207" s="19">
        <v>2.9128000000000001E-3</v>
      </c>
      <c r="I207" s="51" t="s">
        <v>1435</v>
      </c>
      <c r="K207" s="11" t="s">
        <v>7</v>
      </c>
      <c r="L207" s="12" t="str">
        <f>VLOOKUP(LOWER(N200),experiments_specs!$A:$J,8,FALSE)</f>
        <v>True</v>
      </c>
      <c r="M207" s="15" t="s">
        <v>1252</v>
      </c>
      <c r="N207" s="6" t="s">
        <v>16</v>
      </c>
      <c r="O207" s="18" t="s">
        <v>210</v>
      </c>
      <c r="P207" s="18" t="s">
        <v>1330</v>
      </c>
      <c r="Q207" s="19">
        <v>2.9128000000000001E-3</v>
      </c>
      <c r="R207" s="51" t="s">
        <v>1435</v>
      </c>
    </row>
    <row r="208" spans="2:18" x14ac:dyDescent="0.2">
      <c r="B208" s="11" t="s">
        <v>8</v>
      </c>
      <c r="C208" s="12" t="str">
        <f>VLOOKUP(LOWER(E200),experiments_specs!$A:$J,9,FALSE)</f>
        <v>wup_similarity</v>
      </c>
      <c r="D208" s="15" t="s">
        <v>1251</v>
      </c>
      <c r="E208" s="6" t="s">
        <v>17</v>
      </c>
      <c r="F208" s="19" t="s">
        <v>219</v>
      </c>
      <c r="G208" s="19">
        <v>2</v>
      </c>
      <c r="H208" s="19">
        <v>2.6843000000000001E-3</v>
      </c>
      <c r="I208" s="31">
        <v>0.13333329999999999</v>
      </c>
      <c r="K208" s="11" t="s">
        <v>8</v>
      </c>
      <c r="L208" s="12" t="str">
        <f>VLOOKUP(LOWER(N200),experiments_specs!$A:$J,9,FALSE)</f>
        <v>wup_similarity</v>
      </c>
      <c r="M208" s="15" t="s">
        <v>1252</v>
      </c>
      <c r="N208" s="6" t="s">
        <v>17</v>
      </c>
      <c r="O208" s="19" t="s">
        <v>219</v>
      </c>
      <c r="P208" s="19">
        <v>2</v>
      </c>
      <c r="Q208" s="19">
        <v>2.6843000000000001E-3</v>
      </c>
      <c r="R208" s="31">
        <v>0.13333329999999999</v>
      </c>
    </row>
    <row r="209" spans="2:18" ht="68" x14ac:dyDescent="0.2">
      <c r="B209" s="11" t="s">
        <v>9</v>
      </c>
      <c r="C209" s="12" t="str">
        <f>VLOOKUP(LOWER(E200),experiments_specs!$A:$J,10,FALSE)</f>
        <v>False</v>
      </c>
      <c r="D209" s="15" t="s">
        <v>1251</v>
      </c>
      <c r="E209" s="7" t="s">
        <v>18</v>
      </c>
      <c r="F209" s="49" t="s">
        <v>1322</v>
      </c>
      <c r="G209" s="49" t="s">
        <v>1313</v>
      </c>
      <c r="H209" s="20">
        <v>2.1499000000000002E-3</v>
      </c>
      <c r="I209" s="52" t="s">
        <v>1437</v>
      </c>
      <c r="K209" s="11" t="s">
        <v>9</v>
      </c>
      <c r="L209" s="12" t="str">
        <f>VLOOKUP(LOWER(N200),experiments_specs!$A:$J,10,FALSE)</f>
        <v>False</v>
      </c>
      <c r="M209" s="15" t="s">
        <v>1252</v>
      </c>
      <c r="N209" s="7" t="s">
        <v>18</v>
      </c>
      <c r="O209" s="49" t="s">
        <v>1322</v>
      </c>
      <c r="P209" s="49" t="s">
        <v>1313</v>
      </c>
      <c r="Q209" s="20">
        <v>2.1499000000000002E-3</v>
      </c>
      <c r="R209" s="52" t="s">
        <v>1437</v>
      </c>
    </row>
    <row r="210" spans="2:18" ht="17" thickBot="1" x14ac:dyDescent="0.25"/>
    <row r="211" spans="2:18" ht="20" thickBot="1" x14ac:dyDescent="0.3">
      <c r="B211" s="13" t="s">
        <v>126</v>
      </c>
      <c r="C211" s="14"/>
      <c r="D211" s="9"/>
      <c r="E211" s="10" t="str">
        <f>"TEST_"&amp;TEXT(RIGHT(N200,3)+1, "00")</f>
        <v>TEST_129</v>
      </c>
      <c r="F211" s="41" t="s">
        <v>1306</v>
      </c>
      <c r="G211" s="41"/>
      <c r="H211" s="41"/>
      <c r="I211" s="41"/>
      <c r="K211" s="13" t="s">
        <v>126</v>
      </c>
      <c r="L211" s="14"/>
      <c r="M211" s="9"/>
      <c r="N211" s="10" t="str">
        <f>"TEST_"&amp;TEXT(RIGHT(E211,3)+1, "00")</f>
        <v>TEST_130</v>
      </c>
      <c r="O211" s="41" t="s">
        <v>1306</v>
      </c>
      <c r="P211" s="41"/>
      <c r="Q211" s="41"/>
      <c r="R211" s="41"/>
    </row>
    <row r="212" spans="2:18" x14ac:dyDescent="0.2">
      <c r="B212" s="11" t="s">
        <v>1</v>
      </c>
      <c r="C212" s="12" t="str">
        <f>VLOOKUP(LOWER(E211),experiments_specs!$A:$J,2,FALSE)</f>
        <v>NN,VB,VBD,VBG,VBN,VBP,VBZ</v>
      </c>
      <c r="D212" s="15" t="str">
        <f>"{"&amp;LOWER(E211)&amp;".csv}"</f>
        <v>{test_129.csv}</v>
      </c>
      <c r="E212" s="8" t="s">
        <v>118</v>
      </c>
      <c r="F212" s="3" t="s">
        <v>1307</v>
      </c>
      <c r="G212" s="3"/>
      <c r="H212" s="3" t="s">
        <v>178</v>
      </c>
      <c r="I212" s="29" t="s">
        <v>121</v>
      </c>
      <c r="K212" s="11" t="s">
        <v>1</v>
      </c>
      <c r="L212" s="12" t="str">
        <f>VLOOKUP(LOWER(N211),experiments_specs!$A:$J,2,FALSE)</f>
        <v>NN,VB,VBD,VBG,VBN,VBP,VBZ</v>
      </c>
      <c r="M212" s="15" t="str">
        <f>"{"&amp;LOWER(N211)&amp;".csv}"</f>
        <v>{test_130.csv}</v>
      </c>
      <c r="N212" s="8" t="s">
        <v>118</v>
      </c>
      <c r="O212" s="3" t="s">
        <v>1307</v>
      </c>
      <c r="P212" s="3"/>
      <c r="Q212" s="3" t="s">
        <v>178</v>
      </c>
      <c r="R212" s="29" t="s">
        <v>121</v>
      </c>
    </row>
    <row r="213" spans="2:18" ht="17" x14ac:dyDescent="0.2">
      <c r="B213" s="11" t="s">
        <v>2</v>
      </c>
      <c r="C213" s="12">
        <f>VLOOKUP(LOWER(E211),experiments_specs!$A:$J,3,FALSE)</f>
        <v>0</v>
      </c>
      <c r="D213" s="15" t="s">
        <v>1253</v>
      </c>
      <c r="E213" s="5" t="s">
        <v>19</v>
      </c>
      <c r="F213" s="17" t="s">
        <v>226</v>
      </c>
      <c r="G213" s="17">
        <v>3</v>
      </c>
      <c r="H213" s="17">
        <v>2.3695999999999999E-3</v>
      </c>
      <c r="I213" s="30">
        <v>0.17391300000000001</v>
      </c>
      <c r="K213" s="11" t="s">
        <v>2</v>
      </c>
      <c r="L213" s="12">
        <f>VLOOKUP(LOWER(N211),experiments_specs!$A:$J,3,FALSE)</f>
        <v>0</v>
      </c>
      <c r="M213" s="15" t="s">
        <v>1254</v>
      </c>
      <c r="N213" s="5" t="s">
        <v>19</v>
      </c>
      <c r="O213" s="17" t="s">
        <v>226</v>
      </c>
      <c r="P213" s="17">
        <v>3</v>
      </c>
      <c r="Q213" s="17">
        <v>2.3695999999999999E-3</v>
      </c>
      <c r="R213" s="30">
        <v>0.17391300000000001</v>
      </c>
    </row>
    <row r="214" spans="2:18" x14ac:dyDescent="0.2">
      <c r="B214" s="11" t="s">
        <v>3</v>
      </c>
      <c r="C214" s="12">
        <f>VLOOKUP(LOWER(E211),experiments_specs!$A:$J,4,FALSE)</f>
        <v>2</v>
      </c>
      <c r="D214" s="15" t="s">
        <v>1253</v>
      </c>
      <c r="E214" s="6" t="s">
        <v>12</v>
      </c>
      <c r="F214" s="19" t="s">
        <v>236</v>
      </c>
      <c r="G214" s="19">
        <v>2</v>
      </c>
      <c r="H214" s="19">
        <v>3.9234999999999999E-3</v>
      </c>
      <c r="I214" s="31">
        <v>0.125</v>
      </c>
      <c r="K214" s="11" t="s">
        <v>3</v>
      </c>
      <c r="L214" s="12">
        <f>VLOOKUP(LOWER(N211),experiments_specs!$A:$J,4,FALSE)</f>
        <v>3</v>
      </c>
      <c r="M214" s="15" t="s">
        <v>1254</v>
      </c>
      <c r="N214" s="6" t="s">
        <v>12</v>
      </c>
      <c r="O214" s="19" t="s">
        <v>236</v>
      </c>
      <c r="P214" s="19">
        <v>2</v>
      </c>
      <c r="Q214" s="19">
        <v>3.9234999999999999E-3</v>
      </c>
      <c r="R214" s="31">
        <v>0.125</v>
      </c>
    </row>
    <row r="215" spans="2:18" x14ac:dyDescent="0.2">
      <c r="B215" s="11" t="s">
        <v>4</v>
      </c>
      <c r="C215" s="12" t="str">
        <f>VLOOKUP(LOWER(E211),experiments_specs!$A:$J,5,FALSE)</f>
        <v>False</v>
      </c>
      <c r="D215" s="15" t="s">
        <v>1253</v>
      </c>
      <c r="E215" s="6" t="s">
        <v>13</v>
      </c>
      <c r="F215" s="19" t="s">
        <v>426</v>
      </c>
      <c r="G215" s="19">
        <v>2</v>
      </c>
      <c r="H215" s="19">
        <v>7.3340999999999996E-3</v>
      </c>
      <c r="I215" s="31" t="s">
        <v>25</v>
      </c>
      <c r="K215" s="11" t="s">
        <v>4</v>
      </c>
      <c r="L215" s="12" t="str">
        <f>VLOOKUP(LOWER(N211),experiments_specs!$A:$J,5,FALSE)</f>
        <v>False</v>
      </c>
      <c r="M215" s="15" t="s">
        <v>1254</v>
      </c>
      <c r="N215" s="6" t="s">
        <v>13</v>
      </c>
      <c r="O215" s="19" t="s">
        <v>426</v>
      </c>
      <c r="P215" s="19">
        <v>2</v>
      </c>
      <c r="Q215" s="19">
        <v>7.3340999999999996E-3</v>
      </c>
      <c r="R215" s="31" t="s">
        <v>25</v>
      </c>
    </row>
    <row r="216" spans="2:18" ht="34" x14ac:dyDescent="0.2">
      <c r="B216" s="11" t="s">
        <v>5</v>
      </c>
      <c r="C216" s="12" t="str">
        <f>VLOOKUP(LOWER(E211),experiments_specs!$A:$J,6,FALSE)</f>
        <v>True</v>
      </c>
      <c r="D216" s="15" t="s">
        <v>1253</v>
      </c>
      <c r="E216" s="6" t="s">
        <v>14</v>
      </c>
      <c r="F216" s="18" t="s">
        <v>1344</v>
      </c>
      <c r="G216" s="18" t="s">
        <v>1313</v>
      </c>
      <c r="H216" s="19">
        <v>4.1922000000000001E-3</v>
      </c>
      <c r="I216" s="51" t="s">
        <v>1346</v>
      </c>
      <c r="K216" s="11" t="s">
        <v>5</v>
      </c>
      <c r="L216" s="12" t="str">
        <f>VLOOKUP(LOWER(N211),experiments_specs!$A:$J,6,FALSE)</f>
        <v>True</v>
      </c>
      <c r="M216" s="15" t="s">
        <v>1254</v>
      </c>
      <c r="N216" s="6" t="s">
        <v>14</v>
      </c>
      <c r="O216" s="18" t="s">
        <v>1344</v>
      </c>
      <c r="P216" s="18" t="s">
        <v>1313</v>
      </c>
      <c r="Q216" s="19">
        <v>4.1922000000000001E-3</v>
      </c>
      <c r="R216" s="51" t="s">
        <v>1346</v>
      </c>
    </row>
    <row r="217" spans="2:18" x14ac:dyDescent="0.2">
      <c r="B217" s="11" t="s">
        <v>6</v>
      </c>
      <c r="C217" s="12" t="str">
        <f>VLOOKUP(LOWER(E211),experiments_specs!$A:$J,7,FALSE)</f>
        <v>True</v>
      </c>
      <c r="D217" s="15" t="s">
        <v>1253</v>
      </c>
      <c r="E217" s="6" t="s">
        <v>15</v>
      </c>
      <c r="F217" s="19" t="s">
        <v>443</v>
      </c>
      <c r="G217" s="19">
        <v>2</v>
      </c>
      <c r="H217" s="19">
        <v>3.8376999999999999E-3</v>
      </c>
      <c r="I217" s="31">
        <v>0.2</v>
      </c>
      <c r="K217" s="11" t="s">
        <v>6</v>
      </c>
      <c r="L217" s="12" t="str">
        <f>VLOOKUP(LOWER(N211),experiments_specs!$A:$J,7,FALSE)</f>
        <v>True</v>
      </c>
      <c r="M217" s="15" t="s">
        <v>1254</v>
      </c>
      <c r="N217" s="6" t="s">
        <v>15</v>
      </c>
      <c r="O217" s="19" t="s">
        <v>443</v>
      </c>
      <c r="P217" s="19">
        <v>2</v>
      </c>
      <c r="Q217" s="19">
        <v>3.8376999999999999E-3</v>
      </c>
      <c r="R217" s="31">
        <v>0.2</v>
      </c>
    </row>
    <row r="218" spans="2:18" x14ac:dyDescent="0.2">
      <c r="B218" s="11" t="s">
        <v>7</v>
      </c>
      <c r="C218" s="12" t="str">
        <f>VLOOKUP(LOWER(E211),experiments_specs!$A:$J,8,FALSE)</f>
        <v>True</v>
      </c>
      <c r="D218" s="15" t="s">
        <v>1253</v>
      </c>
      <c r="E218" s="6" t="s">
        <v>16</v>
      </c>
      <c r="F218" s="19" t="s">
        <v>431</v>
      </c>
      <c r="G218" s="19">
        <v>2</v>
      </c>
      <c r="H218" s="19">
        <v>3.1697000000000001E-3</v>
      </c>
      <c r="I218" s="31">
        <v>0.55555549999999998</v>
      </c>
      <c r="K218" s="11" t="s">
        <v>7</v>
      </c>
      <c r="L218" s="12" t="str">
        <f>VLOOKUP(LOWER(N211),experiments_specs!$A:$J,8,FALSE)</f>
        <v>True</v>
      </c>
      <c r="M218" s="15" t="s">
        <v>1254</v>
      </c>
      <c r="N218" s="6" t="s">
        <v>16</v>
      </c>
      <c r="O218" s="19" t="s">
        <v>431</v>
      </c>
      <c r="P218" s="19">
        <v>2</v>
      </c>
      <c r="Q218" s="19">
        <v>3.1697000000000001E-3</v>
      </c>
      <c r="R218" s="31">
        <v>0.55555549999999998</v>
      </c>
    </row>
    <row r="219" spans="2:18" x14ac:dyDescent="0.2">
      <c r="B219" s="11" t="s">
        <v>8</v>
      </c>
      <c r="C219" s="12" t="str">
        <f>VLOOKUP(LOWER(E211),experiments_specs!$A:$J,9,FALSE)</f>
        <v>wup_similarity</v>
      </c>
      <c r="D219" s="15" t="s">
        <v>1253</v>
      </c>
      <c r="E219" s="6" t="s">
        <v>17</v>
      </c>
      <c r="F219" s="19" t="s">
        <v>219</v>
      </c>
      <c r="G219" s="19">
        <v>2</v>
      </c>
      <c r="H219" s="19">
        <v>2.5861E-3</v>
      </c>
      <c r="I219" s="31">
        <v>0.13333329999999999</v>
      </c>
      <c r="K219" s="11" t="s">
        <v>8</v>
      </c>
      <c r="L219" s="12" t="str">
        <f>VLOOKUP(LOWER(N211),experiments_specs!$A:$J,9,FALSE)</f>
        <v>wup_similarity</v>
      </c>
      <c r="M219" s="15" t="s">
        <v>1254</v>
      </c>
      <c r="N219" s="6" t="s">
        <v>17</v>
      </c>
      <c r="O219" s="19" t="s">
        <v>219</v>
      </c>
      <c r="P219" s="19">
        <v>2</v>
      </c>
      <c r="Q219" s="19">
        <v>2.5861E-3</v>
      </c>
      <c r="R219" s="31">
        <v>0.13333329999999999</v>
      </c>
    </row>
    <row r="220" spans="2:18" ht="68" x14ac:dyDescent="0.2">
      <c r="B220" s="11" t="s">
        <v>9</v>
      </c>
      <c r="C220" s="12" t="str">
        <f>VLOOKUP(LOWER(E211),experiments_specs!$A:$J,10,FALSE)</f>
        <v>False</v>
      </c>
      <c r="D220" s="15" t="s">
        <v>1253</v>
      </c>
      <c r="E220" s="7" t="s">
        <v>18</v>
      </c>
      <c r="F220" s="49" t="s">
        <v>1322</v>
      </c>
      <c r="G220" s="49" t="s">
        <v>1313</v>
      </c>
      <c r="H220" s="20">
        <v>1.4316000000000001E-3</v>
      </c>
      <c r="I220" s="52" t="s">
        <v>1437</v>
      </c>
      <c r="K220" s="11" t="s">
        <v>9</v>
      </c>
      <c r="L220" s="12" t="str">
        <f>VLOOKUP(LOWER(N211),experiments_specs!$A:$J,10,FALSE)</f>
        <v>False</v>
      </c>
      <c r="M220" s="15" t="s">
        <v>1254</v>
      </c>
      <c r="N220" s="7" t="s">
        <v>18</v>
      </c>
      <c r="O220" s="49" t="s">
        <v>1322</v>
      </c>
      <c r="P220" s="49" t="s">
        <v>1313</v>
      </c>
      <c r="Q220" s="20">
        <v>1.4316000000000001E-3</v>
      </c>
      <c r="R220" s="52" t="s">
        <v>1437</v>
      </c>
    </row>
    <row r="221" spans="2:18" ht="17" thickBot="1" x14ac:dyDescent="0.25"/>
    <row r="222" spans="2:18" ht="20" thickBot="1" x14ac:dyDescent="0.3">
      <c r="B222" s="13" t="s">
        <v>126</v>
      </c>
      <c r="C222" s="14"/>
      <c r="D222" s="9"/>
      <c r="E222" s="10" t="str">
        <f>"TEST_"&amp;TEXT(RIGHT(N211,3)+1, "00")</f>
        <v>TEST_131</v>
      </c>
      <c r="F222" s="41" t="s">
        <v>1306</v>
      </c>
      <c r="G222" s="41"/>
      <c r="H222" s="41"/>
      <c r="I222" s="41"/>
      <c r="K222" s="13" t="s">
        <v>126</v>
      </c>
      <c r="L222" s="14"/>
      <c r="M222" s="9"/>
      <c r="N222" s="10" t="str">
        <f>"TEST_"&amp;TEXT(RIGHT(E222,3)+1, "00")</f>
        <v>TEST_132</v>
      </c>
      <c r="O222" s="41" t="s">
        <v>1306</v>
      </c>
      <c r="P222" s="41"/>
      <c r="Q222" s="41"/>
      <c r="R222" s="41"/>
    </row>
    <row r="223" spans="2:18" x14ac:dyDescent="0.2">
      <c r="B223" s="11" t="s">
        <v>1</v>
      </c>
      <c r="C223" s="12" t="str">
        <f>VLOOKUP(LOWER(E222),experiments_specs!$A:$J,2,FALSE)</f>
        <v>NN,JJ,VB,VBD,VBG,VBN,VBP,VBZ</v>
      </c>
      <c r="D223" s="15" t="str">
        <f>"{"&amp;LOWER(E222)&amp;".csv}"</f>
        <v>{test_131.csv}</v>
      </c>
      <c r="E223" s="8" t="s">
        <v>118</v>
      </c>
      <c r="F223" s="3" t="s">
        <v>1307</v>
      </c>
      <c r="G223" s="3"/>
      <c r="H223" s="3" t="s">
        <v>178</v>
      </c>
      <c r="I223" s="29" t="s">
        <v>121</v>
      </c>
      <c r="K223" s="11" t="s">
        <v>1</v>
      </c>
      <c r="L223" s="12" t="str">
        <f>VLOOKUP(LOWER(N222),experiments_specs!$A:$J,2,FALSE)</f>
        <v>NN,JJ,VB,VBD,VBG,VBN,VBP,VBZ</v>
      </c>
      <c r="M223" s="15" t="str">
        <f>"{"&amp;LOWER(N222)&amp;".csv}"</f>
        <v>{test_132.csv}</v>
      </c>
      <c r="N223" s="8" t="s">
        <v>118</v>
      </c>
      <c r="O223" s="3" t="s">
        <v>1307</v>
      </c>
      <c r="P223" s="3"/>
      <c r="Q223" s="3" t="s">
        <v>178</v>
      </c>
      <c r="R223" s="29" t="s">
        <v>121</v>
      </c>
    </row>
    <row r="224" spans="2:18" ht="68" x14ac:dyDescent="0.2">
      <c r="B224" s="11" t="s">
        <v>2</v>
      </c>
      <c r="C224" s="12">
        <f>VLOOKUP(LOWER(E222),experiments_specs!$A:$J,3,FALSE)</f>
        <v>0</v>
      </c>
      <c r="D224" s="15" t="s">
        <v>1255</v>
      </c>
      <c r="E224" s="5" t="s">
        <v>19</v>
      </c>
      <c r="F224" s="17" t="s">
        <v>1311</v>
      </c>
      <c r="G224" s="17" t="s">
        <v>1313</v>
      </c>
      <c r="H224" s="17">
        <v>2.0379999999999999E-3</v>
      </c>
      <c r="I224" s="50" t="s">
        <v>1433</v>
      </c>
      <c r="K224" s="11" t="s">
        <v>2</v>
      </c>
      <c r="L224" s="12">
        <f>VLOOKUP(LOWER(N222),experiments_specs!$A:$J,3,FALSE)</f>
        <v>0</v>
      </c>
      <c r="M224" s="15" t="s">
        <v>1256</v>
      </c>
      <c r="N224" s="5" t="s">
        <v>19</v>
      </c>
      <c r="O224" s="17" t="s">
        <v>1311</v>
      </c>
      <c r="P224" s="17" t="s">
        <v>1313</v>
      </c>
      <c r="Q224" s="17">
        <v>2.0379999999999999E-3</v>
      </c>
      <c r="R224" s="50" t="s">
        <v>1433</v>
      </c>
    </row>
    <row r="225" spans="2:18" x14ac:dyDescent="0.2">
      <c r="B225" s="11" t="s">
        <v>3</v>
      </c>
      <c r="C225" s="12">
        <f>VLOOKUP(LOWER(E222),experiments_specs!$A:$J,4,FALSE)</f>
        <v>2</v>
      </c>
      <c r="D225" s="15" t="s">
        <v>1255</v>
      </c>
      <c r="E225" s="6" t="s">
        <v>12</v>
      </c>
      <c r="F225" s="19" t="s">
        <v>236</v>
      </c>
      <c r="G225" s="19">
        <v>2</v>
      </c>
      <c r="H225" s="19">
        <v>2.8253000000000002E-3</v>
      </c>
      <c r="I225" s="31">
        <v>0.125</v>
      </c>
      <c r="K225" s="11" t="s">
        <v>3</v>
      </c>
      <c r="L225" s="12">
        <f>VLOOKUP(LOWER(N222),experiments_specs!$A:$J,4,FALSE)</f>
        <v>3</v>
      </c>
      <c r="M225" s="15" t="s">
        <v>1256</v>
      </c>
      <c r="N225" s="6" t="s">
        <v>12</v>
      </c>
      <c r="O225" s="19" t="s">
        <v>236</v>
      </c>
      <c r="P225" s="19">
        <v>2</v>
      </c>
      <c r="Q225" s="19">
        <v>2.8253000000000002E-3</v>
      </c>
      <c r="R225" s="31">
        <v>0.125</v>
      </c>
    </row>
    <row r="226" spans="2:18" x14ac:dyDescent="0.2">
      <c r="B226" s="11" t="s">
        <v>4</v>
      </c>
      <c r="C226" s="12" t="str">
        <f>VLOOKUP(LOWER(E222),experiments_specs!$A:$J,5,FALSE)</f>
        <v>False</v>
      </c>
      <c r="D226" s="15" t="s">
        <v>1255</v>
      </c>
      <c r="E226" s="6" t="s">
        <v>13</v>
      </c>
      <c r="F226" s="19" t="s">
        <v>426</v>
      </c>
      <c r="G226" s="19">
        <v>2</v>
      </c>
      <c r="H226" s="19">
        <v>6.2285999999999999E-3</v>
      </c>
      <c r="I226" s="31" t="s">
        <v>25</v>
      </c>
      <c r="K226" s="11" t="s">
        <v>4</v>
      </c>
      <c r="L226" s="12" t="str">
        <f>VLOOKUP(LOWER(N222),experiments_specs!$A:$J,5,FALSE)</f>
        <v>False</v>
      </c>
      <c r="M226" s="15" t="s">
        <v>1256</v>
      </c>
      <c r="N226" s="6" t="s">
        <v>13</v>
      </c>
      <c r="O226" s="19" t="s">
        <v>426</v>
      </c>
      <c r="P226" s="19">
        <v>2</v>
      </c>
      <c r="Q226" s="19">
        <v>6.2285999999999999E-3</v>
      </c>
      <c r="R226" s="31" t="s">
        <v>25</v>
      </c>
    </row>
    <row r="227" spans="2:18" ht="34" x14ac:dyDescent="0.2">
      <c r="B227" s="11" t="s">
        <v>5</v>
      </c>
      <c r="C227" s="12" t="str">
        <f>VLOOKUP(LOWER(E222),experiments_specs!$A:$J,6,FALSE)</f>
        <v>True</v>
      </c>
      <c r="D227" s="15" t="s">
        <v>1255</v>
      </c>
      <c r="E227" s="6" t="s">
        <v>14</v>
      </c>
      <c r="F227" s="18" t="s">
        <v>1344</v>
      </c>
      <c r="G227" s="18" t="s">
        <v>1313</v>
      </c>
      <c r="H227" s="19">
        <v>3.4951000000000001E-3</v>
      </c>
      <c r="I227" s="51" t="s">
        <v>1346</v>
      </c>
      <c r="K227" s="11" t="s">
        <v>5</v>
      </c>
      <c r="L227" s="12" t="str">
        <f>VLOOKUP(LOWER(N222),experiments_specs!$A:$J,6,FALSE)</f>
        <v>True</v>
      </c>
      <c r="M227" s="15" t="s">
        <v>1256</v>
      </c>
      <c r="N227" s="6" t="s">
        <v>14</v>
      </c>
      <c r="O227" s="18" t="s">
        <v>1344</v>
      </c>
      <c r="P227" s="18" t="s">
        <v>1313</v>
      </c>
      <c r="Q227" s="19">
        <v>3.4951000000000001E-3</v>
      </c>
      <c r="R227" s="51" t="s">
        <v>1346</v>
      </c>
    </row>
    <row r="228" spans="2:18" x14ac:dyDescent="0.2">
      <c r="B228" s="11" t="s">
        <v>6</v>
      </c>
      <c r="C228" s="12" t="str">
        <f>VLOOKUP(LOWER(E222),experiments_specs!$A:$J,7,FALSE)</f>
        <v>True</v>
      </c>
      <c r="D228" s="15" t="s">
        <v>1255</v>
      </c>
      <c r="E228" s="6" t="s">
        <v>15</v>
      </c>
      <c r="F228" s="19" t="s">
        <v>443</v>
      </c>
      <c r="G228" s="19">
        <v>2</v>
      </c>
      <c r="H228" s="19">
        <v>3.3790000000000001E-3</v>
      </c>
      <c r="I228" s="31">
        <v>0.2</v>
      </c>
      <c r="K228" s="11" t="s">
        <v>6</v>
      </c>
      <c r="L228" s="12" t="str">
        <f>VLOOKUP(LOWER(N222),experiments_specs!$A:$J,7,FALSE)</f>
        <v>True</v>
      </c>
      <c r="M228" s="15" t="s">
        <v>1256</v>
      </c>
      <c r="N228" s="6" t="s">
        <v>15</v>
      </c>
      <c r="O228" s="19" t="s">
        <v>443</v>
      </c>
      <c r="P228" s="19">
        <v>2</v>
      </c>
      <c r="Q228" s="19">
        <v>3.3790000000000001E-3</v>
      </c>
      <c r="R228" s="31">
        <v>0.2</v>
      </c>
    </row>
    <row r="229" spans="2:18" x14ac:dyDescent="0.2">
      <c r="B229" s="11" t="s">
        <v>7</v>
      </c>
      <c r="C229" s="12" t="str">
        <f>VLOOKUP(LOWER(E222),experiments_specs!$A:$J,8,FALSE)</f>
        <v>True</v>
      </c>
      <c r="D229" s="15" t="s">
        <v>1255</v>
      </c>
      <c r="E229" s="6" t="s">
        <v>16</v>
      </c>
      <c r="F229" s="19" t="s">
        <v>431</v>
      </c>
      <c r="G229" s="19">
        <v>2</v>
      </c>
      <c r="H229" s="19">
        <v>2.7215E-3</v>
      </c>
      <c r="I229" s="31">
        <v>0.55555549999999998</v>
      </c>
      <c r="K229" s="11" t="s">
        <v>7</v>
      </c>
      <c r="L229" s="12" t="str">
        <f>VLOOKUP(LOWER(N222),experiments_specs!$A:$J,8,FALSE)</f>
        <v>True</v>
      </c>
      <c r="M229" s="15" t="s">
        <v>1256</v>
      </c>
      <c r="N229" s="6" t="s">
        <v>16</v>
      </c>
      <c r="O229" s="19" t="s">
        <v>431</v>
      </c>
      <c r="P229" s="19">
        <v>2</v>
      </c>
      <c r="Q229" s="19">
        <v>2.7215E-3</v>
      </c>
      <c r="R229" s="31">
        <v>0.55555549999999998</v>
      </c>
    </row>
    <row r="230" spans="2:18" x14ac:dyDescent="0.2">
      <c r="B230" s="11" t="s">
        <v>8</v>
      </c>
      <c r="C230" s="12" t="str">
        <f>VLOOKUP(LOWER(E222),experiments_specs!$A:$J,9,FALSE)</f>
        <v>wup_similarity</v>
      </c>
      <c r="D230" s="15" t="s">
        <v>1255</v>
      </c>
      <c r="E230" s="6" t="s">
        <v>17</v>
      </c>
      <c r="F230" s="19" t="s">
        <v>219</v>
      </c>
      <c r="G230" s="19">
        <v>2</v>
      </c>
      <c r="H230" s="19">
        <v>2.4718000000000001E-3</v>
      </c>
      <c r="I230" s="31">
        <v>0.13333329999999999</v>
      </c>
      <c r="K230" s="11" t="s">
        <v>8</v>
      </c>
      <c r="L230" s="12" t="str">
        <f>VLOOKUP(LOWER(N222),experiments_specs!$A:$J,9,FALSE)</f>
        <v>wup_similarity</v>
      </c>
      <c r="M230" s="15" t="s">
        <v>1256</v>
      </c>
      <c r="N230" s="6" t="s">
        <v>17</v>
      </c>
      <c r="O230" s="19" t="s">
        <v>219</v>
      </c>
      <c r="P230" s="19">
        <v>2</v>
      </c>
      <c r="Q230" s="19">
        <v>2.4718000000000001E-3</v>
      </c>
      <c r="R230" s="31">
        <v>0.13333329999999999</v>
      </c>
    </row>
    <row r="231" spans="2:18" ht="68" x14ac:dyDescent="0.2">
      <c r="B231" s="11" t="s">
        <v>9</v>
      </c>
      <c r="C231" s="12" t="str">
        <f>VLOOKUP(LOWER(E222),experiments_specs!$A:$J,10,FALSE)</f>
        <v>False</v>
      </c>
      <c r="D231" s="15" t="s">
        <v>1255</v>
      </c>
      <c r="E231" s="7" t="s">
        <v>18</v>
      </c>
      <c r="F231" s="49" t="s">
        <v>1322</v>
      </c>
      <c r="G231" s="49" t="s">
        <v>1313</v>
      </c>
      <c r="H231" s="20">
        <v>1.2037E-3</v>
      </c>
      <c r="I231" s="52" t="s">
        <v>1437</v>
      </c>
      <c r="K231" s="11" t="s">
        <v>9</v>
      </c>
      <c r="L231" s="12" t="str">
        <f>VLOOKUP(LOWER(N222),experiments_specs!$A:$J,10,FALSE)</f>
        <v>False</v>
      </c>
      <c r="M231" s="15" t="s">
        <v>1256</v>
      </c>
      <c r="N231" s="7" t="s">
        <v>18</v>
      </c>
      <c r="O231" s="49" t="s">
        <v>1322</v>
      </c>
      <c r="P231" s="49" t="s">
        <v>1313</v>
      </c>
      <c r="Q231" s="20">
        <v>1.2037E-3</v>
      </c>
      <c r="R231" s="52" t="s">
        <v>1437</v>
      </c>
    </row>
    <row r="232" spans="2:18" ht="17" thickBot="1" x14ac:dyDescent="0.25"/>
    <row r="233" spans="2:18" ht="20" thickBot="1" x14ac:dyDescent="0.3">
      <c r="B233" s="13" t="s">
        <v>126</v>
      </c>
      <c r="C233" s="14"/>
      <c r="D233" s="9"/>
      <c r="E233" s="10" t="str">
        <f>"TEST_"&amp;TEXT(RIGHT(N222,3)+1, "00")</f>
        <v>TEST_133</v>
      </c>
      <c r="F233" s="41" t="s">
        <v>1306</v>
      </c>
      <c r="G233" s="41"/>
      <c r="H233" s="41"/>
      <c r="I233" s="41"/>
      <c r="K233" s="13" t="s">
        <v>126</v>
      </c>
      <c r="L233" s="14"/>
      <c r="M233" s="9"/>
      <c r="N233" s="10" t="str">
        <f>"TEST_"&amp;TEXT(RIGHT(E233,3)+1, "00")</f>
        <v>TEST_134</v>
      </c>
      <c r="O233" s="41" t="s">
        <v>1306</v>
      </c>
      <c r="P233" s="41"/>
      <c r="Q233" s="41"/>
      <c r="R233" s="41"/>
    </row>
    <row r="234" spans="2:18" x14ac:dyDescent="0.2">
      <c r="B234" s="11" t="s">
        <v>1</v>
      </c>
      <c r="C234" s="12" t="str">
        <f>VLOOKUP(LOWER(E233),experiments_specs!$A:$J,2,FALSE)</f>
        <v>NN,JJ</v>
      </c>
      <c r="D234" s="15" t="str">
        <f>"{"&amp;LOWER(E233)&amp;".csv}"</f>
        <v>{test_133.csv}</v>
      </c>
      <c r="E234" s="8" t="s">
        <v>118</v>
      </c>
      <c r="F234" s="3" t="s">
        <v>1307</v>
      </c>
      <c r="G234" s="3"/>
      <c r="H234" s="3" t="s">
        <v>178</v>
      </c>
      <c r="I234" s="29" t="s">
        <v>121</v>
      </c>
      <c r="K234" s="11" t="s">
        <v>1</v>
      </c>
      <c r="L234" s="12" t="str">
        <f>VLOOKUP(LOWER(N233),experiments_specs!$A:$J,2,FALSE)</f>
        <v>NN,JJ</v>
      </c>
      <c r="M234" s="15" t="str">
        <f>"{"&amp;LOWER(N233)&amp;".csv}"</f>
        <v>{test_134.csv}</v>
      </c>
      <c r="N234" s="8" t="s">
        <v>118</v>
      </c>
      <c r="O234" s="3" t="s">
        <v>1307</v>
      </c>
      <c r="P234" s="3"/>
      <c r="Q234" s="3" t="s">
        <v>178</v>
      </c>
      <c r="R234" s="29" t="s">
        <v>121</v>
      </c>
    </row>
    <row r="235" spans="2:18" ht="68" x14ac:dyDescent="0.2">
      <c r="B235" s="11" t="s">
        <v>2</v>
      </c>
      <c r="C235" s="12">
        <f>VLOOKUP(LOWER(E233),experiments_specs!$A:$J,3,FALSE)</f>
        <v>0</v>
      </c>
      <c r="D235" s="15" t="s">
        <v>1257</v>
      </c>
      <c r="E235" s="5" t="s">
        <v>19</v>
      </c>
      <c r="F235" s="17" t="s">
        <v>1311</v>
      </c>
      <c r="G235" s="17" t="s">
        <v>1313</v>
      </c>
      <c r="H235" s="17">
        <v>2.5636099999999998E-2</v>
      </c>
      <c r="I235" s="50" t="s">
        <v>1433</v>
      </c>
      <c r="K235" s="11" t="s">
        <v>2</v>
      </c>
      <c r="L235" s="12">
        <f>VLOOKUP(LOWER(N233),experiments_specs!$A:$J,3,FALSE)</f>
        <v>0</v>
      </c>
      <c r="M235" s="15" t="s">
        <v>1258</v>
      </c>
      <c r="N235" s="5" t="s">
        <v>19</v>
      </c>
      <c r="O235" s="17" t="s">
        <v>1311</v>
      </c>
      <c r="P235" s="17" t="s">
        <v>1313</v>
      </c>
      <c r="Q235" s="17">
        <v>2.5636099999999998E-2</v>
      </c>
      <c r="R235" s="50" t="s">
        <v>1433</v>
      </c>
    </row>
    <row r="236" spans="2:18" x14ac:dyDescent="0.2">
      <c r="B236" s="11" t="s">
        <v>3</v>
      </c>
      <c r="C236" s="12">
        <f>VLOOKUP(LOWER(E233),experiments_specs!$A:$J,4,FALSE)</f>
        <v>2</v>
      </c>
      <c r="D236" s="15" t="s">
        <v>1257</v>
      </c>
      <c r="E236" s="6" t="s">
        <v>12</v>
      </c>
      <c r="F236" s="19" t="s">
        <v>23</v>
      </c>
      <c r="G236" s="19">
        <v>2</v>
      </c>
      <c r="H236" s="19">
        <v>2.53245E-2</v>
      </c>
      <c r="I236" s="31">
        <v>0.42857139999999999</v>
      </c>
      <c r="K236" s="11" t="s">
        <v>3</v>
      </c>
      <c r="L236" s="12">
        <f>VLOOKUP(LOWER(N233),experiments_specs!$A:$J,4,FALSE)</f>
        <v>3</v>
      </c>
      <c r="M236" s="15" t="s">
        <v>1258</v>
      </c>
      <c r="N236" s="6" t="s">
        <v>12</v>
      </c>
      <c r="O236" s="19" t="s">
        <v>23</v>
      </c>
      <c r="P236" s="19">
        <v>2</v>
      </c>
      <c r="Q236" s="19">
        <v>2.53245E-2</v>
      </c>
      <c r="R236" s="31">
        <v>0.42857139999999999</v>
      </c>
    </row>
    <row r="237" spans="2:18" x14ac:dyDescent="0.2">
      <c r="B237" s="11" t="s">
        <v>4</v>
      </c>
      <c r="C237" s="12" t="str">
        <f>VLOOKUP(LOWER(E233),experiments_specs!$A:$J,5,FALSE)</f>
        <v>True</v>
      </c>
      <c r="D237" s="15" t="s">
        <v>1257</v>
      </c>
      <c r="E237" s="6" t="s">
        <v>13</v>
      </c>
      <c r="F237" s="19" t="s">
        <v>473</v>
      </c>
      <c r="G237" s="19">
        <v>2</v>
      </c>
      <c r="H237" s="19">
        <v>2.3148100000000001E-2</v>
      </c>
      <c r="I237" s="31">
        <v>0.4</v>
      </c>
      <c r="K237" s="11" t="s">
        <v>4</v>
      </c>
      <c r="L237" s="12" t="str">
        <f>VLOOKUP(LOWER(N233),experiments_specs!$A:$J,5,FALSE)</f>
        <v>True</v>
      </c>
      <c r="M237" s="15" t="s">
        <v>1258</v>
      </c>
      <c r="N237" s="6" t="s">
        <v>13</v>
      </c>
      <c r="O237" s="19" t="s">
        <v>473</v>
      </c>
      <c r="P237" s="19">
        <v>2</v>
      </c>
      <c r="Q237" s="19">
        <v>2.3148100000000001E-2</v>
      </c>
      <c r="R237" s="31">
        <v>0.4</v>
      </c>
    </row>
    <row r="238" spans="2:18" ht="68" x14ac:dyDescent="0.2">
      <c r="B238" s="11" t="s">
        <v>5</v>
      </c>
      <c r="C238" s="12" t="str">
        <f>VLOOKUP(LOWER(E233),experiments_specs!$A:$J,6,FALSE)</f>
        <v>True</v>
      </c>
      <c r="D238" s="15" t="s">
        <v>1257</v>
      </c>
      <c r="E238" s="6" t="s">
        <v>14</v>
      </c>
      <c r="F238" s="18" t="s">
        <v>1349</v>
      </c>
      <c r="G238" s="18" t="s">
        <v>1313</v>
      </c>
      <c r="H238" s="19">
        <v>1.5379200000000001E-2</v>
      </c>
      <c r="I238" s="51" t="s">
        <v>1443</v>
      </c>
      <c r="K238" s="11" t="s">
        <v>5</v>
      </c>
      <c r="L238" s="12" t="str">
        <f>VLOOKUP(LOWER(N233),experiments_specs!$A:$J,6,FALSE)</f>
        <v>True</v>
      </c>
      <c r="M238" s="15" t="s">
        <v>1258</v>
      </c>
      <c r="N238" s="6" t="s">
        <v>14</v>
      </c>
      <c r="O238" s="18" t="s">
        <v>1349</v>
      </c>
      <c r="P238" s="18" t="s">
        <v>1313</v>
      </c>
      <c r="Q238" s="19">
        <v>1.5379200000000001E-2</v>
      </c>
      <c r="R238" s="51" t="s">
        <v>1443</v>
      </c>
    </row>
    <row r="239" spans="2:18" ht="68" x14ac:dyDescent="0.2">
      <c r="B239" s="11" t="s">
        <v>6</v>
      </c>
      <c r="C239" s="12" t="str">
        <f>VLOOKUP(LOWER(E233),experiments_specs!$A:$J,7,FALSE)</f>
        <v>True</v>
      </c>
      <c r="D239" s="15" t="s">
        <v>1257</v>
      </c>
      <c r="E239" s="6" t="s">
        <v>15</v>
      </c>
      <c r="F239" s="18" t="s">
        <v>1351</v>
      </c>
      <c r="G239" s="18" t="s">
        <v>1353</v>
      </c>
      <c r="H239" s="19">
        <v>3.9690000000000003E-2</v>
      </c>
      <c r="I239" s="51" t="s">
        <v>1445</v>
      </c>
      <c r="K239" s="11" t="s">
        <v>6</v>
      </c>
      <c r="L239" s="12" t="str">
        <f>VLOOKUP(LOWER(N233),experiments_specs!$A:$J,7,FALSE)</f>
        <v>True</v>
      </c>
      <c r="M239" s="15" t="s">
        <v>1258</v>
      </c>
      <c r="N239" s="6" t="s">
        <v>15</v>
      </c>
      <c r="O239" s="18" t="s">
        <v>1351</v>
      </c>
      <c r="P239" s="18" t="s">
        <v>1353</v>
      </c>
      <c r="Q239" s="19">
        <v>3.9690000000000003E-2</v>
      </c>
      <c r="R239" s="51" t="s">
        <v>1445</v>
      </c>
    </row>
    <row r="240" spans="2:18" ht="68" x14ac:dyDescent="0.2">
      <c r="B240" s="11" t="s">
        <v>7</v>
      </c>
      <c r="C240" s="12" t="str">
        <f>VLOOKUP(LOWER(E233),experiments_specs!$A:$J,8,FALSE)</f>
        <v>True</v>
      </c>
      <c r="D240" s="15" t="s">
        <v>1257</v>
      </c>
      <c r="E240" s="6" t="s">
        <v>16</v>
      </c>
      <c r="F240" s="18" t="s">
        <v>1332</v>
      </c>
      <c r="G240" s="18" t="s">
        <v>1313</v>
      </c>
      <c r="H240" s="19">
        <v>1.74325E-2</v>
      </c>
      <c r="I240" s="51" t="s">
        <v>1431</v>
      </c>
      <c r="K240" s="11" t="s">
        <v>7</v>
      </c>
      <c r="L240" s="12" t="str">
        <f>VLOOKUP(LOWER(N233),experiments_specs!$A:$J,8,FALSE)</f>
        <v>True</v>
      </c>
      <c r="M240" s="15" t="s">
        <v>1258</v>
      </c>
      <c r="N240" s="6" t="s">
        <v>16</v>
      </c>
      <c r="O240" s="18" t="s">
        <v>1332</v>
      </c>
      <c r="P240" s="18" t="s">
        <v>1313</v>
      </c>
      <c r="Q240" s="19">
        <v>1.74325E-2</v>
      </c>
      <c r="R240" s="51" t="s">
        <v>1431</v>
      </c>
    </row>
    <row r="241" spans="2:18" ht="68" x14ac:dyDescent="0.2">
      <c r="B241" s="11" t="s">
        <v>8</v>
      </c>
      <c r="C241" s="12" t="str">
        <f>VLOOKUP(LOWER(E233),experiments_specs!$A:$J,9,FALSE)</f>
        <v>wup_similarity</v>
      </c>
      <c r="D241" s="15" t="s">
        <v>1257</v>
      </c>
      <c r="E241" s="6" t="s">
        <v>17</v>
      </c>
      <c r="F241" s="18" t="s">
        <v>1334</v>
      </c>
      <c r="G241" s="18" t="s">
        <v>1313</v>
      </c>
      <c r="H241" s="19">
        <v>2.0385799999999999E-2</v>
      </c>
      <c r="I241" s="51" t="s">
        <v>1439</v>
      </c>
      <c r="K241" s="11" t="s">
        <v>8</v>
      </c>
      <c r="L241" s="12" t="str">
        <f>VLOOKUP(LOWER(N233),experiments_specs!$A:$J,9,FALSE)</f>
        <v>wup_similarity</v>
      </c>
      <c r="M241" s="15" t="s">
        <v>1258</v>
      </c>
      <c r="N241" s="6" t="s">
        <v>17</v>
      </c>
      <c r="O241" s="18" t="s">
        <v>1334</v>
      </c>
      <c r="P241" s="18" t="s">
        <v>1313</v>
      </c>
      <c r="Q241" s="19">
        <v>2.0385799999999999E-2</v>
      </c>
      <c r="R241" s="51" t="s">
        <v>1439</v>
      </c>
    </row>
    <row r="242" spans="2:18" x14ac:dyDescent="0.2">
      <c r="B242" s="11" t="s">
        <v>9</v>
      </c>
      <c r="C242" s="12" t="str">
        <f>VLOOKUP(LOWER(E233),experiments_specs!$A:$J,10,FALSE)</f>
        <v>False</v>
      </c>
      <c r="D242" s="15" t="s">
        <v>1257</v>
      </c>
      <c r="E242" s="7" t="s">
        <v>18</v>
      </c>
      <c r="F242" s="20" t="s">
        <v>472</v>
      </c>
      <c r="G242" s="20">
        <v>2</v>
      </c>
      <c r="H242" s="20">
        <v>2.0169400000000001E-2</v>
      </c>
      <c r="I242" s="32">
        <v>0.2105263</v>
      </c>
      <c r="K242" s="11" t="s">
        <v>9</v>
      </c>
      <c r="L242" s="12" t="str">
        <f>VLOOKUP(LOWER(N233),experiments_specs!$A:$J,10,FALSE)</f>
        <v>False</v>
      </c>
      <c r="M242" s="15" t="s">
        <v>1258</v>
      </c>
      <c r="N242" s="7" t="s">
        <v>18</v>
      </c>
      <c r="O242" s="20" t="s">
        <v>472</v>
      </c>
      <c r="P242" s="20">
        <v>2</v>
      </c>
      <c r="Q242" s="20">
        <v>2.0169400000000001E-2</v>
      </c>
      <c r="R242" s="32">
        <v>0.2105263</v>
      </c>
    </row>
    <row r="243" spans="2:18" ht="17" thickBot="1" x14ac:dyDescent="0.25"/>
    <row r="244" spans="2:18" ht="20" thickBot="1" x14ac:dyDescent="0.3">
      <c r="B244" s="13" t="s">
        <v>126</v>
      </c>
      <c r="C244" s="14"/>
      <c r="D244" s="9"/>
      <c r="E244" s="10" t="str">
        <f>"TEST_"&amp;TEXT(RIGHT(N233,3)+1, "00")</f>
        <v>TEST_135</v>
      </c>
      <c r="F244" s="41" t="s">
        <v>1306</v>
      </c>
      <c r="G244" s="41"/>
      <c r="H244" s="41"/>
      <c r="I244" s="41"/>
      <c r="K244" s="13" t="s">
        <v>126</v>
      </c>
      <c r="L244" s="14"/>
      <c r="M244" s="9"/>
      <c r="N244" s="10" t="str">
        <f>"TEST_"&amp;TEXT(RIGHT(E244,3)+1, "00")</f>
        <v>TEST_136</v>
      </c>
      <c r="O244" s="41" t="s">
        <v>1306</v>
      </c>
      <c r="P244" s="41"/>
      <c r="Q244" s="41"/>
      <c r="R244" s="41"/>
    </row>
    <row r="245" spans="2:18" x14ac:dyDescent="0.2">
      <c r="B245" s="11" t="s">
        <v>1</v>
      </c>
      <c r="C245" s="12" t="str">
        <f>VLOOKUP(LOWER(E244),experiments_specs!$A:$J,2,FALSE)</f>
        <v>NN,VB,VBD,VBG,VBN,VBP,VBZ</v>
      </c>
      <c r="D245" s="15" t="str">
        <f>"{"&amp;LOWER(E244)&amp;".csv}"</f>
        <v>{test_135.csv}</v>
      </c>
      <c r="E245" s="8" t="s">
        <v>118</v>
      </c>
      <c r="F245" s="3" t="s">
        <v>1307</v>
      </c>
      <c r="G245" s="3"/>
      <c r="H245" s="3" t="s">
        <v>178</v>
      </c>
      <c r="I245" s="29" t="s">
        <v>121</v>
      </c>
      <c r="K245" s="11" t="s">
        <v>1</v>
      </c>
      <c r="L245" s="12" t="str">
        <f>VLOOKUP(LOWER(N244),experiments_specs!$A:$J,2,FALSE)</f>
        <v>NN,VB,VBD,VBG,VBN,VBP,VBZ</v>
      </c>
      <c r="M245" s="15" t="str">
        <f>"{"&amp;LOWER(N244)&amp;".csv}"</f>
        <v>{test_136.csv}</v>
      </c>
      <c r="N245" s="8" t="s">
        <v>118</v>
      </c>
      <c r="O245" s="3" t="s">
        <v>1307</v>
      </c>
      <c r="P245" s="3"/>
      <c r="Q245" s="3" t="s">
        <v>178</v>
      </c>
      <c r="R245" s="29" t="s">
        <v>121</v>
      </c>
    </row>
    <row r="246" spans="2:18" ht="17" x14ac:dyDescent="0.2">
      <c r="B246" s="11" t="s">
        <v>2</v>
      </c>
      <c r="C246" s="12">
        <f>VLOOKUP(LOWER(E244),experiments_specs!$A:$J,3,FALSE)</f>
        <v>0</v>
      </c>
      <c r="D246" s="15" t="s">
        <v>1259</v>
      </c>
      <c r="E246" s="5" t="s">
        <v>19</v>
      </c>
      <c r="F246" s="17" t="s">
        <v>226</v>
      </c>
      <c r="G246" s="17">
        <v>4</v>
      </c>
      <c r="H246" s="17">
        <v>2.46199E-2</v>
      </c>
      <c r="I246" s="30">
        <v>0.17391300000000001</v>
      </c>
      <c r="K246" s="11" t="s">
        <v>2</v>
      </c>
      <c r="L246" s="12">
        <f>VLOOKUP(LOWER(N244),experiments_specs!$A:$J,3,FALSE)</f>
        <v>0</v>
      </c>
      <c r="M246" s="15" t="s">
        <v>1260</v>
      </c>
      <c r="N246" s="5" t="s">
        <v>19</v>
      </c>
      <c r="O246" s="17" t="s">
        <v>226</v>
      </c>
      <c r="P246" s="17">
        <v>4</v>
      </c>
      <c r="Q246" s="17">
        <v>2.46199E-2</v>
      </c>
      <c r="R246" s="30">
        <v>0.17391300000000001</v>
      </c>
    </row>
    <row r="247" spans="2:18" x14ac:dyDescent="0.2">
      <c r="B247" s="11" t="s">
        <v>3</v>
      </c>
      <c r="C247" s="12">
        <f>VLOOKUP(LOWER(E244),experiments_specs!$A:$J,4,FALSE)</f>
        <v>2</v>
      </c>
      <c r="D247" s="15" t="s">
        <v>1259</v>
      </c>
      <c r="E247" s="6" t="s">
        <v>12</v>
      </c>
      <c r="F247" s="19" t="s">
        <v>23</v>
      </c>
      <c r="G247" s="19">
        <v>2</v>
      </c>
      <c r="H247" s="19">
        <v>2.07765E-2</v>
      </c>
      <c r="I247" s="31">
        <v>0.42857139999999999</v>
      </c>
      <c r="K247" s="11" t="s">
        <v>3</v>
      </c>
      <c r="L247" s="12">
        <f>VLOOKUP(LOWER(N244),experiments_specs!$A:$J,4,FALSE)</f>
        <v>3</v>
      </c>
      <c r="M247" s="15" t="s">
        <v>1260</v>
      </c>
      <c r="N247" s="6" t="s">
        <v>12</v>
      </c>
      <c r="O247" s="19" t="s">
        <v>23</v>
      </c>
      <c r="P247" s="19">
        <v>2</v>
      </c>
      <c r="Q247" s="19">
        <v>2.07765E-2</v>
      </c>
      <c r="R247" s="31">
        <v>0.42857139999999999</v>
      </c>
    </row>
    <row r="248" spans="2:18" x14ac:dyDescent="0.2">
      <c r="B248" s="11" t="s">
        <v>4</v>
      </c>
      <c r="C248" s="12" t="str">
        <f>VLOOKUP(LOWER(E244),experiments_specs!$A:$J,5,FALSE)</f>
        <v>True</v>
      </c>
      <c r="D248" s="15" t="s">
        <v>1259</v>
      </c>
      <c r="E248" s="6" t="s">
        <v>13</v>
      </c>
      <c r="F248" s="19" t="s">
        <v>473</v>
      </c>
      <c r="G248" s="19">
        <v>2</v>
      </c>
      <c r="H248" s="19">
        <v>3.2392400000000002E-2</v>
      </c>
      <c r="I248" s="31">
        <v>0.4</v>
      </c>
      <c r="K248" s="11" t="s">
        <v>4</v>
      </c>
      <c r="L248" s="12" t="str">
        <f>VLOOKUP(LOWER(N244),experiments_specs!$A:$J,5,FALSE)</f>
        <v>True</v>
      </c>
      <c r="M248" s="15" t="s">
        <v>1260</v>
      </c>
      <c r="N248" s="6" t="s">
        <v>13</v>
      </c>
      <c r="O248" s="19" t="s">
        <v>473</v>
      </c>
      <c r="P248" s="19">
        <v>2</v>
      </c>
      <c r="Q248" s="19">
        <v>3.2392400000000002E-2</v>
      </c>
      <c r="R248" s="31">
        <v>0.4</v>
      </c>
    </row>
    <row r="249" spans="2:18" ht="68" x14ac:dyDescent="0.2">
      <c r="B249" s="11" t="s">
        <v>5</v>
      </c>
      <c r="C249" s="12" t="str">
        <f>VLOOKUP(LOWER(E244),experiments_specs!$A:$J,6,FALSE)</f>
        <v>True</v>
      </c>
      <c r="D249" s="15" t="s">
        <v>1259</v>
      </c>
      <c r="E249" s="6" t="s">
        <v>14</v>
      </c>
      <c r="F249" s="18" t="s">
        <v>1349</v>
      </c>
      <c r="G249" s="18" t="s">
        <v>1313</v>
      </c>
      <c r="H249" s="19">
        <v>1.3037099999999999E-2</v>
      </c>
      <c r="I249" s="51" t="s">
        <v>1443</v>
      </c>
      <c r="K249" s="11" t="s">
        <v>5</v>
      </c>
      <c r="L249" s="12" t="str">
        <f>VLOOKUP(LOWER(N244),experiments_specs!$A:$J,6,FALSE)</f>
        <v>True</v>
      </c>
      <c r="M249" s="15" t="s">
        <v>1260</v>
      </c>
      <c r="N249" s="6" t="s">
        <v>14</v>
      </c>
      <c r="O249" s="18" t="s">
        <v>1349</v>
      </c>
      <c r="P249" s="18" t="s">
        <v>1313</v>
      </c>
      <c r="Q249" s="19">
        <v>1.3037099999999999E-2</v>
      </c>
      <c r="R249" s="51" t="s">
        <v>1443</v>
      </c>
    </row>
    <row r="250" spans="2:18" x14ac:dyDescent="0.2">
      <c r="B250" s="11" t="s">
        <v>6</v>
      </c>
      <c r="C250" s="12" t="str">
        <f>VLOOKUP(LOWER(E244),experiments_specs!$A:$J,7,FALSE)</f>
        <v>True</v>
      </c>
      <c r="D250" s="15" t="s">
        <v>1259</v>
      </c>
      <c r="E250" s="6" t="s">
        <v>15</v>
      </c>
      <c r="F250" s="19" t="s">
        <v>1114</v>
      </c>
      <c r="G250" s="19">
        <v>1</v>
      </c>
      <c r="H250" s="19">
        <v>2.0728199999999999E-2</v>
      </c>
      <c r="I250" s="31">
        <v>0.2</v>
      </c>
      <c r="K250" s="11" t="s">
        <v>6</v>
      </c>
      <c r="L250" s="12" t="str">
        <f>VLOOKUP(LOWER(N244),experiments_specs!$A:$J,7,FALSE)</f>
        <v>True</v>
      </c>
      <c r="M250" s="15" t="s">
        <v>1260</v>
      </c>
      <c r="N250" s="6" t="s">
        <v>15</v>
      </c>
      <c r="O250" s="19" t="s">
        <v>1114</v>
      </c>
      <c r="P250" s="19">
        <v>1</v>
      </c>
      <c r="Q250" s="19">
        <v>2.0728199999999999E-2</v>
      </c>
      <c r="R250" s="31">
        <v>0.2</v>
      </c>
    </row>
    <row r="251" spans="2:18" ht="68" x14ac:dyDescent="0.2">
      <c r="B251" s="11" t="s">
        <v>7</v>
      </c>
      <c r="C251" s="12" t="str">
        <f>VLOOKUP(LOWER(E244),experiments_specs!$A:$J,8,FALSE)</f>
        <v>True</v>
      </c>
      <c r="D251" s="15" t="s">
        <v>1259</v>
      </c>
      <c r="E251" s="6" t="s">
        <v>16</v>
      </c>
      <c r="F251" s="18" t="s">
        <v>1332</v>
      </c>
      <c r="G251" s="18" t="s">
        <v>1313</v>
      </c>
      <c r="H251" s="19">
        <v>1.9462400000000001E-2</v>
      </c>
      <c r="I251" s="51" t="s">
        <v>1431</v>
      </c>
      <c r="K251" s="11" t="s">
        <v>7</v>
      </c>
      <c r="L251" s="12" t="str">
        <f>VLOOKUP(LOWER(N244),experiments_specs!$A:$J,8,FALSE)</f>
        <v>True</v>
      </c>
      <c r="M251" s="15" t="s">
        <v>1260</v>
      </c>
      <c r="N251" s="6" t="s">
        <v>16</v>
      </c>
      <c r="O251" s="18" t="s">
        <v>1332</v>
      </c>
      <c r="P251" s="18" t="s">
        <v>1313</v>
      </c>
      <c r="Q251" s="19">
        <v>1.9462400000000001E-2</v>
      </c>
      <c r="R251" s="51" t="s">
        <v>1431</v>
      </c>
    </row>
    <row r="252" spans="2:18" ht="68" x14ac:dyDescent="0.2">
      <c r="B252" s="11" t="s">
        <v>8</v>
      </c>
      <c r="C252" s="12" t="str">
        <f>VLOOKUP(LOWER(E244),experiments_specs!$A:$J,9,FALSE)</f>
        <v>wup_similarity</v>
      </c>
      <c r="D252" s="15" t="s">
        <v>1259</v>
      </c>
      <c r="E252" s="6" t="s">
        <v>17</v>
      </c>
      <c r="F252" s="18" t="s">
        <v>1355</v>
      </c>
      <c r="G252" s="18" t="s">
        <v>1313</v>
      </c>
      <c r="H252" s="19">
        <v>2.4868600000000001E-2</v>
      </c>
      <c r="I252" s="51" t="s">
        <v>1431</v>
      </c>
      <c r="K252" s="11" t="s">
        <v>8</v>
      </c>
      <c r="L252" s="12" t="str">
        <f>VLOOKUP(LOWER(N244),experiments_specs!$A:$J,9,FALSE)</f>
        <v>wup_similarity</v>
      </c>
      <c r="M252" s="15" t="s">
        <v>1260</v>
      </c>
      <c r="N252" s="6" t="s">
        <v>17</v>
      </c>
      <c r="O252" s="18" t="s">
        <v>1355</v>
      </c>
      <c r="P252" s="18" t="s">
        <v>1313</v>
      </c>
      <c r="Q252" s="19">
        <v>2.4868600000000001E-2</v>
      </c>
      <c r="R252" s="51" t="s">
        <v>1431</v>
      </c>
    </row>
    <row r="253" spans="2:18" x14ac:dyDescent="0.2">
      <c r="B253" s="11" t="s">
        <v>9</v>
      </c>
      <c r="C253" s="12" t="str">
        <f>VLOOKUP(LOWER(E244),experiments_specs!$A:$J,10,FALSE)</f>
        <v>False</v>
      </c>
      <c r="D253" s="15" t="s">
        <v>1259</v>
      </c>
      <c r="E253" s="7" t="s">
        <v>18</v>
      </c>
      <c r="F253" s="20" t="s">
        <v>472</v>
      </c>
      <c r="G253" s="20">
        <v>2</v>
      </c>
      <c r="H253" s="20">
        <v>1.52657E-2</v>
      </c>
      <c r="I253" s="32">
        <v>0.2105263</v>
      </c>
      <c r="K253" s="11" t="s">
        <v>9</v>
      </c>
      <c r="L253" s="12" t="str">
        <f>VLOOKUP(LOWER(N244),experiments_specs!$A:$J,10,FALSE)</f>
        <v>False</v>
      </c>
      <c r="M253" s="15" t="s">
        <v>1260</v>
      </c>
      <c r="N253" s="7" t="s">
        <v>18</v>
      </c>
      <c r="O253" s="20" t="s">
        <v>472</v>
      </c>
      <c r="P253" s="20">
        <v>2</v>
      </c>
      <c r="Q253" s="20">
        <v>1.52657E-2</v>
      </c>
      <c r="R253" s="32">
        <v>0.2105263</v>
      </c>
    </row>
    <row r="254" spans="2:18" ht="17" thickBot="1" x14ac:dyDescent="0.25"/>
    <row r="255" spans="2:18" ht="20" thickBot="1" x14ac:dyDescent="0.3">
      <c r="B255" s="13" t="s">
        <v>126</v>
      </c>
      <c r="C255" s="14"/>
      <c r="D255" s="9"/>
      <c r="E255" s="10" t="str">
        <f>"TEST_"&amp;TEXT(RIGHT(N244,3)+1, "00")</f>
        <v>TEST_137</v>
      </c>
      <c r="F255" s="41" t="s">
        <v>1306</v>
      </c>
      <c r="G255" s="41"/>
      <c r="H255" s="41"/>
      <c r="I255" s="41"/>
      <c r="K255" s="13" t="s">
        <v>126</v>
      </c>
      <c r="L255" s="14"/>
      <c r="M255" s="9"/>
      <c r="N255" s="10" t="str">
        <f>"TEST_"&amp;TEXT(RIGHT(E255,3)+1, "00")</f>
        <v>TEST_138</v>
      </c>
      <c r="O255" s="41" t="s">
        <v>1306</v>
      </c>
      <c r="P255" s="41"/>
      <c r="Q255" s="41"/>
      <c r="R255" s="41"/>
    </row>
    <row r="256" spans="2:18" x14ac:dyDescent="0.2">
      <c r="B256" s="11" t="s">
        <v>1</v>
      </c>
      <c r="C256" s="12" t="str">
        <f>VLOOKUP(LOWER(E255),experiments_specs!$A:$J,2,FALSE)</f>
        <v>NN,JJ,VB,VBD,VBG,VBN,VBP,VBZ</v>
      </c>
      <c r="D256" s="15" t="str">
        <f>"{"&amp;LOWER(E255)&amp;".csv}"</f>
        <v>{test_137.csv}</v>
      </c>
      <c r="E256" s="8" t="s">
        <v>118</v>
      </c>
      <c r="F256" s="3" t="s">
        <v>1307</v>
      </c>
      <c r="G256" s="3"/>
      <c r="H256" s="3" t="s">
        <v>178</v>
      </c>
      <c r="I256" s="29" t="s">
        <v>121</v>
      </c>
      <c r="K256" s="11" t="s">
        <v>1</v>
      </c>
      <c r="L256" s="12" t="str">
        <f>VLOOKUP(LOWER(N255),experiments_specs!$A:$J,2,FALSE)</f>
        <v>NN,JJ,VB,VBD,VBG,VBN,VBP,VBZ</v>
      </c>
      <c r="M256" s="15" t="str">
        <f>"{"&amp;LOWER(N255)&amp;".csv}"</f>
        <v>{test_138.csv}</v>
      </c>
      <c r="N256" s="8" t="s">
        <v>118</v>
      </c>
      <c r="O256" s="3" t="s">
        <v>1307</v>
      </c>
      <c r="P256" s="3"/>
      <c r="Q256" s="3" t="s">
        <v>178</v>
      </c>
      <c r="R256" s="29" t="s">
        <v>121</v>
      </c>
    </row>
    <row r="257" spans="2:18" ht="68" x14ac:dyDescent="0.2">
      <c r="B257" s="11" t="s">
        <v>2</v>
      </c>
      <c r="C257" s="12">
        <f>VLOOKUP(LOWER(E255),experiments_specs!$A:$J,3,FALSE)</f>
        <v>0</v>
      </c>
      <c r="D257" s="15" t="s">
        <v>1261</v>
      </c>
      <c r="E257" s="5" t="s">
        <v>19</v>
      </c>
      <c r="F257" s="17" t="s">
        <v>1311</v>
      </c>
      <c r="G257" s="17" t="s">
        <v>1313</v>
      </c>
      <c r="H257" s="17">
        <v>1.92155E-2</v>
      </c>
      <c r="I257" s="50" t="s">
        <v>1433</v>
      </c>
      <c r="K257" s="11" t="s">
        <v>2</v>
      </c>
      <c r="L257" s="12">
        <f>VLOOKUP(LOWER(N255),experiments_specs!$A:$J,3,FALSE)</f>
        <v>0</v>
      </c>
      <c r="M257" s="15" t="s">
        <v>1262</v>
      </c>
      <c r="N257" s="5" t="s">
        <v>19</v>
      </c>
      <c r="O257" s="17" t="s">
        <v>1311</v>
      </c>
      <c r="P257" s="17" t="s">
        <v>1313</v>
      </c>
      <c r="Q257" s="17">
        <v>1.92155E-2</v>
      </c>
      <c r="R257" s="50" t="s">
        <v>1433</v>
      </c>
    </row>
    <row r="258" spans="2:18" x14ac:dyDescent="0.2">
      <c r="B258" s="11" t="s">
        <v>3</v>
      </c>
      <c r="C258" s="12">
        <f>VLOOKUP(LOWER(E255),experiments_specs!$A:$J,4,FALSE)</f>
        <v>2</v>
      </c>
      <c r="D258" s="15" t="s">
        <v>1261</v>
      </c>
      <c r="E258" s="6" t="s">
        <v>12</v>
      </c>
      <c r="F258" s="19" t="s">
        <v>23</v>
      </c>
      <c r="G258" s="19">
        <v>2</v>
      </c>
      <c r="H258" s="19">
        <v>1.5463899999999999E-2</v>
      </c>
      <c r="I258" s="31">
        <v>0.42857139999999999</v>
      </c>
      <c r="K258" s="11" t="s">
        <v>3</v>
      </c>
      <c r="L258" s="12">
        <f>VLOOKUP(LOWER(N255),experiments_specs!$A:$J,4,FALSE)</f>
        <v>3</v>
      </c>
      <c r="M258" s="15" t="s">
        <v>1262</v>
      </c>
      <c r="N258" s="6" t="s">
        <v>12</v>
      </c>
      <c r="O258" s="19" t="s">
        <v>23</v>
      </c>
      <c r="P258" s="19">
        <v>2</v>
      </c>
      <c r="Q258" s="19">
        <v>1.5463899999999999E-2</v>
      </c>
      <c r="R258" s="31">
        <v>0.42857139999999999</v>
      </c>
    </row>
    <row r="259" spans="2:18" x14ac:dyDescent="0.2">
      <c r="B259" s="11" t="s">
        <v>4</v>
      </c>
      <c r="C259" s="12" t="str">
        <f>VLOOKUP(LOWER(E255),experiments_specs!$A:$J,5,FALSE)</f>
        <v>True</v>
      </c>
      <c r="D259" s="15" t="s">
        <v>1261</v>
      </c>
      <c r="E259" s="6" t="s">
        <v>13</v>
      </c>
      <c r="F259" s="19" t="s">
        <v>473</v>
      </c>
      <c r="G259" s="19">
        <v>2</v>
      </c>
      <c r="H259" s="19">
        <v>2.46182E-2</v>
      </c>
      <c r="I259" s="31">
        <v>0.4</v>
      </c>
      <c r="K259" s="11" t="s">
        <v>4</v>
      </c>
      <c r="L259" s="12" t="str">
        <f>VLOOKUP(LOWER(N255),experiments_specs!$A:$J,5,FALSE)</f>
        <v>True</v>
      </c>
      <c r="M259" s="15" t="s">
        <v>1262</v>
      </c>
      <c r="N259" s="6" t="s">
        <v>13</v>
      </c>
      <c r="O259" s="19" t="s">
        <v>473</v>
      </c>
      <c r="P259" s="19">
        <v>2</v>
      </c>
      <c r="Q259" s="19">
        <v>2.46182E-2</v>
      </c>
      <c r="R259" s="31">
        <v>0.4</v>
      </c>
    </row>
    <row r="260" spans="2:18" ht="68" x14ac:dyDescent="0.2">
      <c r="B260" s="11" t="s">
        <v>5</v>
      </c>
      <c r="C260" s="12" t="str">
        <f>VLOOKUP(LOWER(E255),experiments_specs!$A:$J,6,FALSE)</f>
        <v>True</v>
      </c>
      <c r="D260" s="15" t="s">
        <v>1261</v>
      </c>
      <c r="E260" s="6" t="s">
        <v>14</v>
      </c>
      <c r="F260" s="18" t="s">
        <v>1349</v>
      </c>
      <c r="G260" s="18" t="s">
        <v>1313</v>
      </c>
      <c r="H260" s="19">
        <v>1.0984300000000001E-2</v>
      </c>
      <c r="I260" s="51" t="s">
        <v>1443</v>
      </c>
      <c r="K260" s="11" t="s">
        <v>5</v>
      </c>
      <c r="L260" s="12" t="str">
        <f>VLOOKUP(LOWER(N255),experiments_specs!$A:$J,6,FALSE)</f>
        <v>True</v>
      </c>
      <c r="M260" s="15" t="s">
        <v>1262</v>
      </c>
      <c r="N260" s="6" t="s">
        <v>14</v>
      </c>
      <c r="O260" s="18" t="s">
        <v>1349</v>
      </c>
      <c r="P260" s="18" t="s">
        <v>1313</v>
      </c>
      <c r="Q260" s="19">
        <v>1.0984300000000001E-2</v>
      </c>
      <c r="R260" s="51" t="s">
        <v>1443</v>
      </c>
    </row>
    <row r="261" spans="2:18" x14ac:dyDescent="0.2">
      <c r="B261" s="11" t="s">
        <v>6</v>
      </c>
      <c r="C261" s="12" t="str">
        <f>VLOOKUP(LOWER(E255),experiments_specs!$A:$J,7,FALSE)</f>
        <v>True</v>
      </c>
      <c r="D261" s="15" t="s">
        <v>1261</v>
      </c>
      <c r="E261" s="6" t="s">
        <v>15</v>
      </c>
      <c r="F261" s="19" t="s">
        <v>1348</v>
      </c>
      <c r="G261" s="19">
        <v>2</v>
      </c>
      <c r="H261" s="19">
        <v>2.6726099999999999E-2</v>
      </c>
      <c r="I261" s="31">
        <v>0.83333330000000005</v>
      </c>
      <c r="K261" s="11" t="s">
        <v>6</v>
      </c>
      <c r="L261" s="12" t="str">
        <f>VLOOKUP(LOWER(N255),experiments_specs!$A:$J,7,FALSE)</f>
        <v>True</v>
      </c>
      <c r="M261" s="15" t="s">
        <v>1262</v>
      </c>
      <c r="N261" s="6" t="s">
        <v>15</v>
      </c>
      <c r="O261" s="19" t="s">
        <v>1348</v>
      </c>
      <c r="P261" s="19">
        <v>2</v>
      </c>
      <c r="Q261" s="19">
        <v>2.6726099999999999E-2</v>
      </c>
      <c r="R261" s="31">
        <v>0.83333330000000005</v>
      </c>
    </row>
    <row r="262" spans="2:18" ht="68" x14ac:dyDescent="0.2">
      <c r="B262" s="11" t="s">
        <v>7</v>
      </c>
      <c r="C262" s="12" t="str">
        <f>VLOOKUP(LOWER(E255),experiments_specs!$A:$J,8,FALSE)</f>
        <v>True</v>
      </c>
      <c r="D262" s="15" t="s">
        <v>1261</v>
      </c>
      <c r="E262" s="6" t="s">
        <v>16</v>
      </c>
      <c r="F262" s="18" t="s">
        <v>1332</v>
      </c>
      <c r="G262" s="18" t="s">
        <v>1313</v>
      </c>
      <c r="H262" s="19">
        <v>1.79653E-2</v>
      </c>
      <c r="I262" s="51" t="s">
        <v>1431</v>
      </c>
      <c r="K262" s="11" t="s">
        <v>7</v>
      </c>
      <c r="L262" s="12" t="str">
        <f>VLOOKUP(LOWER(N255),experiments_specs!$A:$J,8,FALSE)</f>
        <v>True</v>
      </c>
      <c r="M262" s="15" t="s">
        <v>1262</v>
      </c>
      <c r="N262" s="6" t="s">
        <v>16</v>
      </c>
      <c r="O262" s="18" t="s">
        <v>1332</v>
      </c>
      <c r="P262" s="18" t="s">
        <v>1313</v>
      </c>
      <c r="Q262" s="19">
        <v>1.79653E-2</v>
      </c>
      <c r="R262" s="51" t="s">
        <v>1431</v>
      </c>
    </row>
    <row r="263" spans="2:18" ht="68" x14ac:dyDescent="0.2">
      <c r="B263" s="11" t="s">
        <v>8</v>
      </c>
      <c r="C263" s="12" t="str">
        <f>VLOOKUP(LOWER(E255),experiments_specs!$A:$J,9,FALSE)</f>
        <v>wup_similarity</v>
      </c>
      <c r="D263" s="15" t="s">
        <v>1261</v>
      </c>
      <c r="E263" s="6" t="s">
        <v>17</v>
      </c>
      <c r="F263" s="18" t="s">
        <v>1355</v>
      </c>
      <c r="G263" s="18" t="s">
        <v>1313</v>
      </c>
      <c r="H263" s="19">
        <v>2.2331E-2</v>
      </c>
      <c r="I263" s="51" t="s">
        <v>1431</v>
      </c>
      <c r="K263" s="11" t="s">
        <v>8</v>
      </c>
      <c r="L263" s="12" t="str">
        <f>VLOOKUP(LOWER(N255),experiments_specs!$A:$J,9,FALSE)</f>
        <v>wup_similarity</v>
      </c>
      <c r="M263" s="15" t="s">
        <v>1262</v>
      </c>
      <c r="N263" s="6" t="s">
        <v>17</v>
      </c>
      <c r="O263" s="18" t="s">
        <v>1355</v>
      </c>
      <c r="P263" s="18" t="s">
        <v>1313</v>
      </c>
      <c r="Q263" s="19">
        <v>2.2331E-2</v>
      </c>
      <c r="R263" s="51" t="s">
        <v>1431</v>
      </c>
    </row>
    <row r="264" spans="2:18" x14ac:dyDescent="0.2">
      <c r="B264" s="11" t="s">
        <v>9</v>
      </c>
      <c r="C264" s="12" t="str">
        <f>VLOOKUP(LOWER(E255),experiments_specs!$A:$J,10,FALSE)</f>
        <v>False</v>
      </c>
      <c r="D264" s="15" t="s">
        <v>1261</v>
      </c>
      <c r="E264" s="7" t="s">
        <v>18</v>
      </c>
      <c r="F264" s="20" t="s">
        <v>472</v>
      </c>
      <c r="G264" s="20">
        <v>2</v>
      </c>
      <c r="H264" s="20">
        <v>1.2297499999999999E-2</v>
      </c>
      <c r="I264" s="32">
        <v>0.2105263</v>
      </c>
      <c r="K264" s="11" t="s">
        <v>9</v>
      </c>
      <c r="L264" s="12" t="str">
        <f>VLOOKUP(LOWER(N255),experiments_specs!$A:$J,10,FALSE)</f>
        <v>False</v>
      </c>
      <c r="M264" s="15" t="s">
        <v>1262</v>
      </c>
      <c r="N264" s="7" t="s">
        <v>18</v>
      </c>
      <c r="O264" s="20" t="s">
        <v>472</v>
      </c>
      <c r="P264" s="20">
        <v>2</v>
      </c>
      <c r="Q264" s="20">
        <v>1.2297499999999999E-2</v>
      </c>
      <c r="R264" s="32">
        <v>0.2105263</v>
      </c>
    </row>
    <row r="265" spans="2:18" ht="17" thickBot="1" x14ac:dyDescent="0.25"/>
    <row r="266" spans="2:18" ht="20" thickBot="1" x14ac:dyDescent="0.3">
      <c r="B266" s="13" t="s">
        <v>126</v>
      </c>
      <c r="C266" s="14"/>
      <c r="D266" s="9"/>
      <c r="E266" s="10" t="str">
        <f>"TEST_"&amp;TEXT(RIGHT(N255,3)+1, "00")</f>
        <v>TEST_139</v>
      </c>
      <c r="F266" s="41" t="s">
        <v>1306</v>
      </c>
      <c r="G266" s="41"/>
      <c r="H266" s="41"/>
      <c r="I266" s="41"/>
      <c r="K266" s="13" t="s">
        <v>126</v>
      </c>
      <c r="L266" s="14"/>
      <c r="M266" s="9"/>
      <c r="N266" s="10" t="str">
        <f>"TEST_"&amp;TEXT(RIGHT(E266,3)+1, "00")</f>
        <v>TEST_140</v>
      </c>
      <c r="O266" s="41" t="s">
        <v>1306</v>
      </c>
      <c r="P266" s="41"/>
      <c r="Q266" s="41"/>
      <c r="R266" s="41"/>
    </row>
    <row r="267" spans="2:18" x14ac:dyDescent="0.2">
      <c r="B267" s="11" t="s">
        <v>1</v>
      </c>
      <c r="C267" s="12" t="str">
        <f>VLOOKUP(LOWER(E266),experiments_specs!$A:$J,2,FALSE)</f>
        <v>NN,JJ</v>
      </c>
      <c r="D267" s="15" t="str">
        <f>"{"&amp;LOWER(E266)&amp;".csv}"</f>
        <v>{test_139.csv}</v>
      </c>
      <c r="E267" s="8" t="s">
        <v>118</v>
      </c>
      <c r="F267" s="3" t="s">
        <v>1307</v>
      </c>
      <c r="G267" s="3"/>
      <c r="H267" s="3" t="s">
        <v>178</v>
      </c>
      <c r="I267" s="29" t="s">
        <v>121</v>
      </c>
      <c r="K267" s="11" t="s">
        <v>1</v>
      </c>
      <c r="L267" s="12" t="str">
        <f>VLOOKUP(LOWER(N266),experiments_specs!$A:$J,2,FALSE)</f>
        <v>NN,JJ</v>
      </c>
      <c r="M267" s="15" t="str">
        <f>"{"&amp;LOWER(N266)&amp;".csv}"</f>
        <v>{test_140.csv}</v>
      </c>
      <c r="N267" s="8" t="s">
        <v>118</v>
      </c>
      <c r="O267" s="3" t="s">
        <v>1307</v>
      </c>
      <c r="P267" s="3"/>
      <c r="Q267" s="3" t="s">
        <v>178</v>
      </c>
      <c r="R267" s="29" t="s">
        <v>121</v>
      </c>
    </row>
    <row r="268" spans="2:18" ht="68" x14ac:dyDescent="0.2">
      <c r="B268" s="11" t="s">
        <v>2</v>
      </c>
      <c r="C268" s="12">
        <f>VLOOKUP(LOWER(E266),experiments_specs!$A:$J,3,FALSE)</f>
        <v>0</v>
      </c>
      <c r="D268" s="15" t="s">
        <v>1263</v>
      </c>
      <c r="E268" s="5" t="s">
        <v>19</v>
      </c>
      <c r="F268" s="17" t="s">
        <v>1311</v>
      </c>
      <c r="G268" s="17" t="s">
        <v>1313</v>
      </c>
      <c r="H268" s="17">
        <v>2.6365999999999998E-3</v>
      </c>
      <c r="I268" s="50" t="s">
        <v>1433</v>
      </c>
      <c r="K268" s="11" t="s">
        <v>2</v>
      </c>
      <c r="L268" s="12">
        <f>VLOOKUP(LOWER(N266),experiments_specs!$A:$J,3,FALSE)</f>
        <v>0</v>
      </c>
      <c r="M268" s="15" t="s">
        <v>1264</v>
      </c>
      <c r="N268" s="5" t="s">
        <v>19</v>
      </c>
      <c r="O268" s="17" t="s">
        <v>1311</v>
      </c>
      <c r="P268" s="17" t="s">
        <v>1313</v>
      </c>
      <c r="Q268" s="17">
        <v>2.7404100000000001E-2</v>
      </c>
      <c r="R268" s="50" t="s">
        <v>1433</v>
      </c>
    </row>
    <row r="269" spans="2:18" ht="34" x14ac:dyDescent="0.2">
      <c r="B269" s="11" t="s">
        <v>3</v>
      </c>
      <c r="C269" s="12">
        <f>VLOOKUP(LOWER(E266),experiments_specs!$A:$J,4,FALSE)</f>
        <v>2</v>
      </c>
      <c r="D269" s="15" t="s">
        <v>1263</v>
      </c>
      <c r="E269" s="6" t="s">
        <v>12</v>
      </c>
      <c r="F269" s="18" t="s">
        <v>1342</v>
      </c>
      <c r="G269" s="18" t="s">
        <v>1313</v>
      </c>
      <c r="H269" s="19">
        <v>3.7929000000000001E-3</v>
      </c>
      <c r="I269" s="51" t="s">
        <v>1443</v>
      </c>
      <c r="K269" s="11" t="s">
        <v>3</v>
      </c>
      <c r="L269" s="12">
        <f>VLOOKUP(LOWER(N266),experiments_specs!$A:$J,4,FALSE)</f>
        <v>3</v>
      </c>
      <c r="M269" s="15" t="s">
        <v>1264</v>
      </c>
      <c r="N269" s="6" t="s">
        <v>12</v>
      </c>
      <c r="O269" s="19" t="s">
        <v>23</v>
      </c>
      <c r="P269" s="19">
        <v>2</v>
      </c>
      <c r="Q269" s="19">
        <v>3.5095000000000001E-2</v>
      </c>
      <c r="R269" s="31">
        <v>0.42857139999999999</v>
      </c>
    </row>
    <row r="270" spans="2:18" x14ac:dyDescent="0.2">
      <c r="B270" s="11" t="s">
        <v>4</v>
      </c>
      <c r="C270" s="12" t="str">
        <f>VLOOKUP(LOWER(E266),experiments_specs!$A:$J,5,FALSE)</f>
        <v>False</v>
      </c>
      <c r="D270" s="15" t="s">
        <v>1263</v>
      </c>
      <c r="E270" s="6" t="s">
        <v>13</v>
      </c>
      <c r="F270" s="19" t="s">
        <v>426</v>
      </c>
      <c r="G270" s="19">
        <v>2</v>
      </c>
      <c r="H270" s="19">
        <v>1.0024699999999999E-2</v>
      </c>
      <c r="I270" s="31" t="s">
        <v>25</v>
      </c>
      <c r="K270" s="11" t="s">
        <v>4</v>
      </c>
      <c r="L270" s="12" t="str">
        <f>VLOOKUP(LOWER(N266),experiments_specs!$A:$J,5,FALSE)</f>
        <v>True</v>
      </c>
      <c r="M270" s="15" t="s">
        <v>1264</v>
      </c>
      <c r="N270" s="6" t="s">
        <v>13</v>
      </c>
      <c r="O270" s="19" t="s">
        <v>327</v>
      </c>
      <c r="P270" s="19">
        <v>2</v>
      </c>
      <c r="Q270" s="19">
        <v>3.2170400000000002E-2</v>
      </c>
      <c r="R270" s="31" t="s">
        <v>25</v>
      </c>
    </row>
    <row r="271" spans="2:18" ht="68" x14ac:dyDescent="0.2">
      <c r="B271" s="11" t="s">
        <v>5</v>
      </c>
      <c r="C271" s="12" t="str">
        <f>VLOOKUP(LOWER(E266),experiments_specs!$A:$J,6,FALSE)</f>
        <v>True</v>
      </c>
      <c r="D271" s="15" t="s">
        <v>1263</v>
      </c>
      <c r="E271" s="6" t="s">
        <v>14</v>
      </c>
      <c r="F271" s="18" t="s">
        <v>1344</v>
      </c>
      <c r="G271" s="18" t="s">
        <v>1313</v>
      </c>
      <c r="H271" s="19">
        <v>4.8367999999999996E-3</v>
      </c>
      <c r="I271" s="51" t="s">
        <v>1346</v>
      </c>
      <c r="K271" s="11" t="s">
        <v>5</v>
      </c>
      <c r="L271" s="12" t="str">
        <f>VLOOKUP(LOWER(N266),experiments_specs!$A:$J,6,FALSE)</f>
        <v>True</v>
      </c>
      <c r="M271" s="15" t="s">
        <v>1264</v>
      </c>
      <c r="N271" s="6" t="s">
        <v>14</v>
      </c>
      <c r="O271" s="18" t="s">
        <v>1349</v>
      </c>
      <c r="P271" s="18" t="s">
        <v>1313</v>
      </c>
      <c r="Q271" s="19">
        <v>1.6427400000000002E-2</v>
      </c>
      <c r="R271" s="51" t="s">
        <v>1443</v>
      </c>
    </row>
    <row r="272" spans="2:18" x14ac:dyDescent="0.2">
      <c r="B272" s="11" t="s">
        <v>6</v>
      </c>
      <c r="C272" s="12" t="str">
        <f>VLOOKUP(LOWER(E266),experiments_specs!$A:$J,7,FALSE)</f>
        <v>True</v>
      </c>
      <c r="D272" s="15" t="s">
        <v>1263</v>
      </c>
      <c r="E272" s="6" t="s">
        <v>15</v>
      </c>
      <c r="F272" s="19" t="s">
        <v>1348</v>
      </c>
      <c r="G272" s="19">
        <v>2</v>
      </c>
      <c r="H272" s="19">
        <v>5.4532000000000001E-3</v>
      </c>
      <c r="I272" s="31">
        <v>0.83333330000000005</v>
      </c>
      <c r="K272" s="11" t="s">
        <v>6</v>
      </c>
      <c r="L272" s="12" t="str">
        <f>VLOOKUP(LOWER(N266),experiments_specs!$A:$J,7,FALSE)</f>
        <v>True</v>
      </c>
      <c r="M272" s="15" t="s">
        <v>1264</v>
      </c>
      <c r="N272" s="6" t="s">
        <v>15</v>
      </c>
      <c r="O272" s="19" t="s">
        <v>1348</v>
      </c>
      <c r="P272" s="19">
        <v>2</v>
      </c>
      <c r="Q272" s="19">
        <v>4.6028699999999999E-2</v>
      </c>
      <c r="R272" s="31">
        <v>0.83333330000000005</v>
      </c>
    </row>
    <row r="273" spans="2:18" ht="68" x14ac:dyDescent="0.2">
      <c r="B273" s="11" t="s">
        <v>7</v>
      </c>
      <c r="C273" s="12" t="str">
        <f>VLOOKUP(LOWER(E266),experiments_specs!$A:$J,8,FALSE)</f>
        <v>True</v>
      </c>
      <c r="D273" s="15" t="s">
        <v>1263</v>
      </c>
      <c r="E273" s="6" t="s">
        <v>16</v>
      </c>
      <c r="F273" s="18" t="s">
        <v>210</v>
      </c>
      <c r="G273" s="18" t="s">
        <v>1330</v>
      </c>
      <c r="H273" s="19">
        <v>2.9128000000000001E-3</v>
      </c>
      <c r="I273" s="51" t="s">
        <v>1435</v>
      </c>
      <c r="K273" s="11" t="s">
        <v>7</v>
      </c>
      <c r="L273" s="12" t="str">
        <f>VLOOKUP(LOWER(N266),experiments_specs!$A:$J,8,FALSE)</f>
        <v>True</v>
      </c>
      <c r="M273" s="15" t="s">
        <v>1264</v>
      </c>
      <c r="N273" s="6" t="s">
        <v>16</v>
      </c>
      <c r="O273" s="18" t="s">
        <v>1332</v>
      </c>
      <c r="P273" s="18" t="s">
        <v>1313</v>
      </c>
      <c r="Q273" s="19">
        <v>1.96116E-2</v>
      </c>
      <c r="R273" s="51" t="s">
        <v>1431</v>
      </c>
    </row>
    <row r="274" spans="2:18" ht="68" x14ac:dyDescent="0.2">
      <c r="B274" s="11" t="s">
        <v>8</v>
      </c>
      <c r="C274" s="12" t="str">
        <f>VLOOKUP(LOWER(E266),experiments_specs!$A:$J,9,FALSE)</f>
        <v>wup_similarity</v>
      </c>
      <c r="D274" s="15" t="s">
        <v>1263</v>
      </c>
      <c r="E274" s="6" t="s">
        <v>17</v>
      </c>
      <c r="F274" s="19" t="s">
        <v>219</v>
      </c>
      <c r="G274" s="19">
        <v>2</v>
      </c>
      <c r="H274" s="19">
        <v>2.6843000000000001E-3</v>
      </c>
      <c r="I274" s="31">
        <v>0.13333329999999999</v>
      </c>
      <c r="K274" s="11" t="s">
        <v>8</v>
      </c>
      <c r="L274" s="12" t="str">
        <f>VLOOKUP(LOWER(N266),experiments_specs!$A:$J,9,FALSE)</f>
        <v>wup_similarity</v>
      </c>
      <c r="M274" s="15" t="s">
        <v>1264</v>
      </c>
      <c r="N274" s="6" t="s">
        <v>17</v>
      </c>
      <c r="O274" s="18" t="s">
        <v>1334</v>
      </c>
      <c r="P274" s="18" t="s">
        <v>1313</v>
      </c>
      <c r="Q274" s="19">
        <v>2.2650900000000002E-2</v>
      </c>
      <c r="R274" s="51" t="s">
        <v>1439</v>
      </c>
    </row>
    <row r="275" spans="2:18" ht="34" x14ac:dyDescent="0.2">
      <c r="B275" s="11" t="s">
        <v>9</v>
      </c>
      <c r="C275" s="12" t="str">
        <f>VLOOKUP(LOWER(E266),experiments_specs!$A:$J,10,FALSE)</f>
        <v>True</v>
      </c>
      <c r="D275" s="15" t="s">
        <v>1263</v>
      </c>
      <c r="E275" s="7" t="s">
        <v>18</v>
      </c>
      <c r="F275" s="49" t="s">
        <v>1322</v>
      </c>
      <c r="G275" s="49" t="s">
        <v>1313</v>
      </c>
      <c r="H275" s="20">
        <v>2.1499000000000002E-3</v>
      </c>
      <c r="I275" s="52" t="s">
        <v>1437</v>
      </c>
      <c r="K275" s="11" t="s">
        <v>9</v>
      </c>
      <c r="L275" s="12" t="str">
        <f>VLOOKUP(LOWER(N266),experiments_specs!$A:$J,10,FALSE)</f>
        <v>True</v>
      </c>
      <c r="M275" s="15" t="s">
        <v>1264</v>
      </c>
      <c r="N275" s="7" t="s">
        <v>18</v>
      </c>
      <c r="O275" s="20" t="s">
        <v>472</v>
      </c>
      <c r="P275" s="20">
        <v>2</v>
      </c>
      <c r="Q275" s="20">
        <v>2.2657699999999999E-2</v>
      </c>
      <c r="R275" s="32">
        <v>0.2105263</v>
      </c>
    </row>
    <row r="276" spans="2:18" ht="17" thickBot="1" x14ac:dyDescent="0.25"/>
    <row r="277" spans="2:18" ht="20" thickBot="1" x14ac:dyDescent="0.3">
      <c r="B277" s="13" t="s">
        <v>126</v>
      </c>
      <c r="C277" s="14"/>
      <c r="D277" s="9"/>
      <c r="E277" s="10" t="str">
        <f>"TEST_"&amp;TEXT(RIGHT(N266,3)+1, "00")</f>
        <v>TEST_141</v>
      </c>
      <c r="F277" s="41" t="s">
        <v>1306</v>
      </c>
      <c r="G277" s="41"/>
      <c r="H277" s="41"/>
      <c r="I277" s="41"/>
      <c r="K277" s="13" t="s">
        <v>126</v>
      </c>
      <c r="L277" s="14"/>
      <c r="M277" s="9"/>
      <c r="N277" s="10" t="str">
        <f>"TEST_"&amp;TEXT(RIGHT(E277,3)+1, "00")</f>
        <v>TEST_142</v>
      </c>
      <c r="O277" s="41" t="s">
        <v>1306</v>
      </c>
      <c r="P277" s="41"/>
      <c r="Q277" s="41"/>
      <c r="R277" s="41"/>
    </row>
    <row r="278" spans="2:18" x14ac:dyDescent="0.2">
      <c r="B278" s="11" t="s">
        <v>1</v>
      </c>
      <c r="C278" s="12" t="str">
        <f>VLOOKUP(LOWER(E277),experiments_specs!$A:$J,2,FALSE)</f>
        <v>NN,VB,VBD,VBG,VBN,VBP,VBZ</v>
      </c>
      <c r="D278" s="15" t="str">
        <f>"{"&amp;LOWER(E277)&amp;".csv}"</f>
        <v>{test_141.csv}</v>
      </c>
      <c r="E278" s="8" t="s">
        <v>118</v>
      </c>
      <c r="F278" s="3" t="s">
        <v>1307</v>
      </c>
      <c r="G278" s="3"/>
      <c r="H278" s="3" t="s">
        <v>178</v>
      </c>
      <c r="I278" s="29" t="s">
        <v>121</v>
      </c>
      <c r="K278" s="11" t="s">
        <v>1</v>
      </c>
      <c r="L278" s="12" t="str">
        <f>VLOOKUP(LOWER(N277),experiments_specs!$A:$J,2,FALSE)</f>
        <v>NN,VB,VBD,VBG,VBN,VBP,VBZ</v>
      </c>
      <c r="M278" s="15" t="str">
        <f>"{"&amp;LOWER(N277)&amp;".csv}"</f>
        <v>{test_142.csv}</v>
      </c>
      <c r="N278" s="8" t="s">
        <v>118</v>
      </c>
      <c r="O278" s="3" t="s">
        <v>1307</v>
      </c>
      <c r="P278" s="3"/>
      <c r="Q278" s="3" t="s">
        <v>178</v>
      </c>
      <c r="R278" s="29" t="s">
        <v>121</v>
      </c>
    </row>
    <row r="279" spans="2:18" ht="17" x14ac:dyDescent="0.2">
      <c r="B279" s="11" t="s">
        <v>2</v>
      </c>
      <c r="C279" s="12">
        <f>VLOOKUP(LOWER(E277),experiments_specs!$A:$J,3,FALSE)</f>
        <v>0</v>
      </c>
      <c r="D279" s="15" t="s">
        <v>1265</v>
      </c>
      <c r="E279" s="5" t="s">
        <v>19</v>
      </c>
      <c r="F279" s="17" t="s">
        <v>226</v>
      </c>
      <c r="G279" s="17">
        <v>4</v>
      </c>
      <c r="H279" s="17">
        <v>3.4553E-2</v>
      </c>
      <c r="I279" s="30">
        <v>0.17391300000000001</v>
      </c>
      <c r="K279" s="11" t="s">
        <v>2</v>
      </c>
      <c r="L279" s="12">
        <f>VLOOKUP(LOWER(N277),experiments_specs!$A:$J,3,FALSE)</f>
        <v>0</v>
      </c>
      <c r="M279" s="15" t="s">
        <v>1266</v>
      </c>
      <c r="N279" s="5" t="s">
        <v>19</v>
      </c>
      <c r="O279" s="17" t="s">
        <v>226</v>
      </c>
      <c r="P279" s="17">
        <v>4</v>
      </c>
      <c r="Q279" s="17">
        <v>3.4553E-2</v>
      </c>
      <c r="R279" s="30">
        <v>0.17391300000000001</v>
      </c>
    </row>
    <row r="280" spans="2:18" x14ac:dyDescent="0.2">
      <c r="B280" s="11" t="s">
        <v>3</v>
      </c>
      <c r="C280" s="12">
        <f>VLOOKUP(LOWER(E277),experiments_specs!$A:$J,4,FALSE)</f>
        <v>2</v>
      </c>
      <c r="D280" s="15" t="s">
        <v>1265</v>
      </c>
      <c r="E280" s="6" t="s">
        <v>12</v>
      </c>
      <c r="F280" s="19" t="s">
        <v>23</v>
      </c>
      <c r="G280" s="19">
        <v>2</v>
      </c>
      <c r="H280" s="19">
        <v>3.03894E-2</v>
      </c>
      <c r="I280" s="31">
        <v>0.42857139999999999</v>
      </c>
      <c r="K280" s="11" t="s">
        <v>3</v>
      </c>
      <c r="L280" s="12">
        <f>VLOOKUP(LOWER(N277),experiments_specs!$A:$J,4,FALSE)</f>
        <v>3</v>
      </c>
      <c r="M280" s="15" t="s">
        <v>1266</v>
      </c>
      <c r="N280" s="6" t="s">
        <v>12</v>
      </c>
      <c r="O280" s="19" t="s">
        <v>23</v>
      </c>
      <c r="P280" s="19">
        <v>2</v>
      </c>
      <c r="Q280" s="19">
        <v>3.03894E-2</v>
      </c>
      <c r="R280" s="31">
        <v>0.42857139999999999</v>
      </c>
    </row>
    <row r="281" spans="2:18" x14ac:dyDescent="0.2">
      <c r="B281" s="11" t="s">
        <v>4</v>
      </c>
      <c r="C281" s="12" t="str">
        <f>VLOOKUP(LOWER(E277),experiments_specs!$A:$J,5,FALSE)</f>
        <v>True</v>
      </c>
      <c r="D281" s="15" t="s">
        <v>1265</v>
      </c>
      <c r="E281" s="6" t="s">
        <v>13</v>
      </c>
      <c r="F281" s="19" t="s">
        <v>327</v>
      </c>
      <c r="G281" s="19">
        <v>2</v>
      </c>
      <c r="H281" s="19">
        <v>3.2170400000000002E-2</v>
      </c>
      <c r="I281" s="31" t="s">
        <v>25</v>
      </c>
      <c r="K281" s="11" t="s">
        <v>4</v>
      </c>
      <c r="L281" s="12" t="str">
        <f>VLOOKUP(LOWER(N277),experiments_specs!$A:$J,5,FALSE)</f>
        <v>True</v>
      </c>
      <c r="M281" s="15" t="s">
        <v>1266</v>
      </c>
      <c r="N281" s="6" t="s">
        <v>13</v>
      </c>
      <c r="O281" s="19" t="s">
        <v>327</v>
      </c>
      <c r="P281" s="19">
        <v>2</v>
      </c>
      <c r="Q281" s="19">
        <v>3.2170400000000002E-2</v>
      </c>
      <c r="R281" s="31" t="s">
        <v>25</v>
      </c>
    </row>
    <row r="282" spans="2:18" ht="68" x14ac:dyDescent="0.2">
      <c r="B282" s="11" t="s">
        <v>5</v>
      </c>
      <c r="C282" s="12" t="str">
        <f>VLOOKUP(LOWER(E277),experiments_specs!$A:$J,6,FALSE)</f>
        <v>True</v>
      </c>
      <c r="D282" s="15" t="s">
        <v>1265</v>
      </c>
      <c r="E282" s="6" t="s">
        <v>14</v>
      </c>
      <c r="F282" s="18" t="s">
        <v>1349</v>
      </c>
      <c r="G282" s="18" t="s">
        <v>1313</v>
      </c>
      <c r="H282" s="19">
        <v>1.5944199999999999E-2</v>
      </c>
      <c r="I282" s="51" t="s">
        <v>1443</v>
      </c>
      <c r="K282" s="11" t="s">
        <v>5</v>
      </c>
      <c r="L282" s="12" t="str">
        <f>VLOOKUP(LOWER(N277),experiments_specs!$A:$J,6,FALSE)</f>
        <v>True</v>
      </c>
      <c r="M282" s="15" t="s">
        <v>1266</v>
      </c>
      <c r="N282" s="6" t="s">
        <v>14</v>
      </c>
      <c r="O282" s="18" t="s">
        <v>1349</v>
      </c>
      <c r="P282" s="18" t="s">
        <v>1313</v>
      </c>
      <c r="Q282" s="19">
        <v>1.5944199999999999E-2</v>
      </c>
      <c r="R282" s="51" t="s">
        <v>1443</v>
      </c>
    </row>
    <row r="283" spans="2:18" x14ac:dyDescent="0.2">
      <c r="B283" s="11" t="s">
        <v>6</v>
      </c>
      <c r="C283" s="12" t="str">
        <f>VLOOKUP(LOWER(E277),experiments_specs!$A:$J,7,FALSE)</f>
        <v>True</v>
      </c>
      <c r="D283" s="15" t="s">
        <v>1265</v>
      </c>
      <c r="E283" s="6" t="s">
        <v>15</v>
      </c>
      <c r="F283" s="19" t="s">
        <v>27</v>
      </c>
      <c r="G283" s="19">
        <v>2</v>
      </c>
      <c r="H283" s="19">
        <v>1.8024600000000002E-2</v>
      </c>
      <c r="I283" s="31">
        <v>0.1666666</v>
      </c>
      <c r="K283" s="11" t="s">
        <v>6</v>
      </c>
      <c r="L283" s="12" t="str">
        <f>VLOOKUP(LOWER(N277),experiments_specs!$A:$J,7,FALSE)</f>
        <v>True</v>
      </c>
      <c r="M283" s="15" t="s">
        <v>1266</v>
      </c>
      <c r="N283" s="6" t="s">
        <v>15</v>
      </c>
      <c r="O283" s="19" t="s">
        <v>27</v>
      </c>
      <c r="P283" s="19">
        <v>2</v>
      </c>
      <c r="Q283" s="19">
        <v>1.8024600000000002E-2</v>
      </c>
      <c r="R283" s="31">
        <v>0.1666666</v>
      </c>
    </row>
    <row r="284" spans="2:18" ht="68" x14ac:dyDescent="0.2">
      <c r="B284" s="11" t="s">
        <v>7</v>
      </c>
      <c r="C284" s="12" t="str">
        <f>VLOOKUP(LOWER(E277),experiments_specs!$A:$J,8,FALSE)</f>
        <v>True</v>
      </c>
      <c r="D284" s="15" t="s">
        <v>1265</v>
      </c>
      <c r="E284" s="6" t="s">
        <v>16</v>
      </c>
      <c r="F284" s="18" t="s">
        <v>1332</v>
      </c>
      <c r="G284" s="18" t="s">
        <v>1313</v>
      </c>
      <c r="H284" s="19">
        <v>2.61488E-2</v>
      </c>
      <c r="I284" s="51" t="s">
        <v>1431</v>
      </c>
      <c r="K284" s="11" t="s">
        <v>7</v>
      </c>
      <c r="L284" s="12" t="str">
        <f>VLOOKUP(LOWER(N277),experiments_specs!$A:$J,8,FALSE)</f>
        <v>True</v>
      </c>
      <c r="M284" s="15" t="s">
        <v>1266</v>
      </c>
      <c r="N284" s="6" t="s">
        <v>16</v>
      </c>
      <c r="O284" s="18" t="s">
        <v>1332</v>
      </c>
      <c r="P284" s="18" t="s">
        <v>1313</v>
      </c>
      <c r="Q284" s="19">
        <v>2.61488E-2</v>
      </c>
      <c r="R284" s="51" t="s">
        <v>1431</v>
      </c>
    </row>
    <row r="285" spans="2:18" ht="68" x14ac:dyDescent="0.2">
      <c r="B285" s="11" t="s">
        <v>8</v>
      </c>
      <c r="C285" s="12" t="str">
        <f>VLOOKUP(LOWER(E277),experiments_specs!$A:$J,9,FALSE)</f>
        <v>wup_similarity</v>
      </c>
      <c r="D285" s="15" t="s">
        <v>1265</v>
      </c>
      <c r="E285" s="6" t="s">
        <v>17</v>
      </c>
      <c r="F285" s="18" t="s">
        <v>1334</v>
      </c>
      <c r="G285" s="18" t="s">
        <v>1313</v>
      </c>
      <c r="H285" s="19">
        <v>2.0385799999999999E-2</v>
      </c>
      <c r="I285" s="51" t="s">
        <v>1439</v>
      </c>
      <c r="K285" s="11" t="s">
        <v>8</v>
      </c>
      <c r="L285" s="12" t="str">
        <f>VLOOKUP(LOWER(N277),experiments_specs!$A:$J,9,FALSE)</f>
        <v>wup_similarity</v>
      </c>
      <c r="M285" s="15" t="s">
        <v>1266</v>
      </c>
      <c r="N285" s="6" t="s">
        <v>17</v>
      </c>
      <c r="O285" s="18" t="s">
        <v>1334</v>
      </c>
      <c r="P285" s="18" t="s">
        <v>1313</v>
      </c>
      <c r="Q285" s="19">
        <v>2.0385799999999999E-2</v>
      </c>
      <c r="R285" s="51" t="s">
        <v>1439</v>
      </c>
    </row>
    <row r="286" spans="2:18" x14ac:dyDescent="0.2">
      <c r="B286" s="11" t="s">
        <v>9</v>
      </c>
      <c r="C286" s="12" t="str">
        <f>VLOOKUP(LOWER(E277),experiments_specs!$A:$J,10,FALSE)</f>
        <v>True</v>
      </c>
      <c r="D286" s="15" t="s">
        <v>1265</v>
      </c>
      <c r="E286" s="7" t="s">
        <v>18</v>
      </c>
      <c r="F286" s="20" t="s">
        <v>472</v>
      </c>
      <c r="G286" s="20">
        <v>2</v>
      </c>
      <c r="H286" s="20">
        <v>2.02396E-2</v>
      </c>
      <c r="I286" s="32">
        <v>0.2105263</v>
      </c>
      <c r="K286" s="11" t="s">
        <v>9</v>
      </c>
      <c r="L286" s="12" t="str">
        <f>VLOOKUP(LOWER(N277),experiments_specs!$A:$J,10,FALSE)</f>
        <v>True</v>
      </c>
      <c r="M286" s="15" t="s">
        <v>1266</v>
      </c>
      <c r="N286" s="7" t="s">
        <v>18</v>
      </c>
      <c r="O286" s="20" t="s">
        <v>472</v>
      </c>
      <c r="P286" s="20">
        <v>2</v>
      </c>
      <c r="Q286" s="20">
        <v>2.02396E-2</v>
      </c>
      <c r="R286" s="32">
        <v>0.2105263</v>
      </c>
    </row>
    <row r="287" spans="2:18" ht="17" thickBot="1" x14ac:dyDescent="0.25"/>
    <row r="288" spans="2:18" ht="20" thickBot="1" x14ac:dyDescent="0.3">
      <c r="B288" s="13" t="s">
        <v>126</v>
      </c>
      <c r="C288" s="14"/>
      <c r="D288" s="9"/>
      <c r="E288" s="10" t="str">
        <f>"TEST_"&amp;TEXT(RIGHT(N277,3)+1, "00")</f>
        <v>TEST_143</v>
      </c>
      <c r="F288" s="41" t="s">
        <v>1306</v>
      </c>
      <c r="G288" s="41"/>
      <c r="H288" s="41"/>
      <c r="I288" s="41"/>
      <c r="K288" s="13" t="s">
        <v>126</v>
      </c>
      <c r="L288" s="14"/>
      <c r="M288" s="9"/>
      <c r="N288" s="10" t="str">
        <f>"TEST_"&amp;TEXT(RIGHT(E288,3)+1, "00")</f>
        <v>TEST_144</v>
      </c>
      <c r="O288" s="41" t="s">
        <v>1306</v>
      </c>
      <c r="P288" s="41"/>
      <c r="Q288" s="41"/>
      <c r="R288" s="41"/>
    </row>
    <row r="289" spans="2:18" x14ac:dyDescent="0.2">
      <c r="B289" s="11" t="s">
        <v>1</v>
      </c>
      <c r="C289" s="12" t="str">
        <f>VLOOKUP(LOWER(E288),experiments_specs!$A:$J,2,FALSE)</f>
        <v>NN,JJ,VB,VBD,VBG,VBN,VBP,VBZ</v>
      </c>
      <c r="D289" s="15" t="str">
        <f>"{"&amp;LOWER(E288)&amp;".csv}"</f>
        <v>{test_143.csv}</v>
      </c>
      <c r="E289" s="8" t="s">
        <v>118</v>
      </c>
      <c r="F289" s="3" t="s">
        <v>1307</v>
      </c>
      <c r="G289" s="3"/>
      <c r="H289" s="3" t="s">
        <v>178</v>
      </c>
      <c r="I289" s="29" t="s">
        <v>121</v>
      </c>
      <c r="K289" s="11" t="s">
        <v>1</v>
      </c>
      <c r="L289" s="12" t="str">
        <f>VLOOKUP(LOWER(N288),experiments_specs!$A:$J,2,FALSE)</f>
        <v>NN,JJ,VB,VBD,VBG,VBN,VBP,VBZ</v>
      </c>
      <c r="M289" s="15" t="str">
        <f>"{"&amp;LOWER(N288)&amp;".csv}"</f>
        <v>{test_144.csv}</v>
      </c>
      <c r="N289" s="8" t="s">
        <v>118</v>
      </c>
      <c r="O289" s="3" t="s">
        <v>1307</v>
      </c>
      <c r="P289" s="3"/>
      <c r="Q289" s="3" t="s">
        <v>178</v>
      </c>
      <c r="R289" s="29" t="s">
        <v>121</v>
      </c>
    </row>
    <row r="290" spans="2:18" ht="68" x14ac:dyDescent="0.2">
      <c r="B290" s="11" t="s">
        <v>2</v>
      </c>
      <c r="C290" s="12">
        <f>VLOOKUP(LOWER(E288),experiments_specs!$A:$J,3,FALSE)</f>
        <v>0</v>
      </c>
      <c r="D290" s="15" t="s">
        <v>1267</v>
      </c>
      <c r="E290" s="5" t="s">
        <v>19</v>
      </c>
      <c r="F290" s="17" t="s">
        <v>1311</v>
      </c>
      <c r="G290" s="17" t="s">
        <v>1313</v>
      </c>
      <c r="H290" s="17">
        <v>2.64906E-2</v>
      </c>
      <c r="I290" s="50" t="s">
        <v>1433</v>
      </c>
      <c r="K290" s="11" t="s">
        <v>2</v>
      </c>
      <c r="L290" s="12">
        <f>VLOOKUP(LOWER(N288),experiments_specs!$A:$J,3,FALSE)</f>
        <v>0</v>
      </c>
      <c r="M290" s="15" t="s">
        <v>1268</v>
      </c>
      <c r="N290" s="5" t="s">
        <v>19</v>
      </c>
      <c r="O290" s="17" t="s">
        <v>1311</v>
      </c>
      <c r="P290" s="17" t="s">
        <v>1313</v>
      </c>
      <c r="Q290" s="17">
        <v>2.64906E-2</v>
      </c>
      <c r="R290" s="50" t="s">
        <v>1433</v>
      </c>
    </row>
    <row r="291" spans="2:18" x14ac:dyDescent="0.2">
      <c r="B291" s="11" t="s">
        <v>3</v>
      </c>
      <c r="C291" s="12">
        <f>VLOOKUP(LOWER(E288),experiments_specs!$A:$J,4,FALSE)</f>
        <v>2</v>
      </c>
      <c r="D291" s="15" t="s">
        <v>1267</v>
      </c>
      <c r="E291" s="6" t="s">
        <v>12</v>
      </c>
      <c r="F291" s="19" t="s">
        <v>23</v>
      </c>
      <c r="G291" s="19">
        <v>2</v>
      </c>
      <c r="H291" s="19">
        <v>2.61978E-2</v>
      </c>
      <c r="I291" s="31">
        <v>0.42857139999999999</v>
      </c>
      <c r="K291" s="11" t="s">
        <v>3</v>
      </c>
      <c r="L291" s="12">
        <f>VLOOKUP(LOWER(N288),experiments_specs!$A:$J,4,FALSE)</f>
        <v>3</v>
      </c>
      <c r="M291" s="15" t="s">
        <v>1268</v>
      </c>
      <c r="N291" s="6" t="s">
        <v>12</v>
      </c>
      <c r="O291" s="19" t="s">
        <v>23</v>
      </c>
      <c r="P291" s="19">
        <v>2</v>
      </c>
      <c r="Q291" s="19">
        <v>2.61978E-2</v>
      </c>
      <c r="R291" s="31">
        <v>0.42857139999999999</v>
      </c>
    </row>
    <row r="292" spans="2:18" x14ac:dyDescent="0.2">
      <c r="B292" s="11" t="s">
        <v>4</v>
      </c>
      <c r="C292" s="12" t="str">
        <f>VLOOKUP(LOWER(E288),experiments_specs!$A:$J,5,FALSE)</f>
        <v>True</v>
      </c>
      <c r="D292" s="15" t="s">
        <v>1267</v>
      </c>
      <c r="E292" s="6" t="s">
        <v>13</v>
      </c>
      <c r="F292" s="19" t="s">
        <v>327</v>
      </c>
      <c r="G292" s="19">
        <v>2</v>
      </c>
      <c r="H292" s="19">
        <v>3.2170400000000002E-2</v>
      </c>
      <c r="I292" s="31" t="s">
        <v>25</v>
      </c>
      <c r="K292" s="11" t="s">
        <v>4</v>
      </c>
      <c r="L292" s="12" t="str">
        <f>VLOOKUP(LOWER(N288),experiments_specs!$A:$J,5,FALSE)</f>
        <v>True</v>
      </c>
      <c r="M292" s="15" t="s">
        <v>1268</v>
      </c>
      <c r="N292" s="6" t="s">
        <v>13</v>
      </c>
      <c r="O292" s="19" t="s">
        <v>327</v>
      </c>
      <c r="P292" s="19">
        <v>2</v>
      </c>
      <c r="Q292" s="19">
        <v>3.2170400000000002E-2</v>
      </c>
      <c r="R292" s="31" t="s">
        <v>25</v>
      </c>
    </row>
    <row r="293" spans="2:18" ht="68" x14ac:dyDescent="0.2">
      <c r="B293" s="11" t="s">
        <v>5</v>
      </c>
      <c r="C293" s="12" t="str">
        <f>VLOOKUP(LOWER(E288),experiments_specs!$A:$J,6,FALSE)</f>
        <v>True</v>
      </c>
      <c r="D293" s="15" t="s">
        <v>1267</v>
      </c>
      <c r="E293" s="6" t="s">
        <v>14</v>
      </c>
      <c r="F293" s="18" t="s">
        <v>1349</v>
      </c>
      <c r="G293" s="18" t="s">
        <v>1313</v>
      </c>
      <c r="H293" s="19">
        <v>1.39001E-2</v>
      </c>
      <c r="I293" s="51" t="s">
        <v>1443</v>
      </c>
      <c r="K293" s="11" t="s">
        <v>5</v>
      </c>
      <c r="L293" s="12" t="str">
        <f>VLOOKUP(LOWER(N288),experiments_specs!$A:$J,6,FALSE)</f>
        <v>True</v>
      </c>
      <c r="M293" s="15" t="s">
        <v>1268</v>
      </c>
      <c r="N293" s="6" t="s">
        <v>14</v>
      </c>
      <c r="O293" s="18" t="s">
        <v>1349</v>
      </c>
      <c r="P293" s="18" t="s">
        <v>1313</v>
      </c>
      <c r="Q293" s="19">
        <v>1.39001E-2</v>
      </c>
      <c r="R293" s="51" t="s">
        <v>1443</v>
      </c>
    </row>
    <row r="294" spans="2:18" x14ac:dyDescent="0.2">
      <c r="B294" s="11" t="s">
        <v>6</v>
      </c>
      <c r="C294" s="12" t="str">
        <f>VLOOKUP(LOWER(E288),experiments_specs!$A:$J,7,FALSE)</f>
        <v>True</v>
      </c>
      <c r="D294" s="15" t="s">
        <v>1267</v>
      </c>
      <c r="E294" s="6" t="s">
        <v>15</v>
      </c>
      <c r="F294" s="19" t="s">
        <v>1348</v>
      </c>
      <c r="G294" s="19">
        <v>2</v>
      </c>
      <c r="H294" s="19">
        <v>4.5643499999999997E-2</v>
      </c>
      <c r="I294" s="31">
        <v>0.83333330000000005</v>
      </c>
      <c r="K294" s="11" t="s">
        <v>6</v>
      </c>
      <c r="L294" s="12" t="str">
        <f>VLOOKUP(LOWER(N288),experiments_specs!$A:$J,7,FALSE)</f>
        <v>True</v>
      </c>
      <c r="M294" s="15" t="s">
        <v>1268</v>
      </c>
      <c r="N294" s="6" t="s">
        <v>15</v>
      </c>
      <c r="O294" s="19" t="s">
        <v>1348</v>
      </c>
      <c r="P294" s="19">
        <v>2</v>
      </c>
      <c r="Q294" s="19">
        <v>4.5643499999999997E-2</v>
      </c>
      <c r="R294" s="31">
        <v>0.83333330000000005</v>
      </c>
    </row>
    <row r="295" spans="2:18" ht="68" x14ac:dyDescent="0.2">
      <c r="B295" s="11" t="s">
        <v>7</v>
      </c>
      <c r="C295" s="12" t="str">
        <f>VLOOKUP(LOWER(E288),experiments_specs!$A:$J,8,FALSE)</f>
        <v>True</v>
      </c>
      <c r="D295" s="15" t="s">
        <v>1267</v>
      </c>
      <c r="E295" s="6" t="s">
        <v>16</v>
      </c>
      <c r="F295" s="18" t="s">
        <v>1332</v>
      </c>
      <c r="G295" s="18" t="s">
        <v>1313</v>
      </c>
      <c r="H295" s="19">
        <v>2.5441999999999999E-2</v>
      </c>
      <c r="I295" s="51" t="s">
        <v>1431</v>
      </c>
      <c r="K295" s="11" t="s">
        <v>7</v>
      </c>
      <c r="L295" s="12" t="str">
        <f>VLOOKUP(LOWER(N288),experiments_specs!$A:$J,8,FALSE)</f>
        <v>True</v>
      </c>
      <c r="M295" s="15" t="s">
        <v>1268</v>
      </c>
      <c r="N295" s="6" t="s">
        <v>16</v>
      </c>
      <c r="O295" s="18" t="s">
        <v>1332</v>
      </c>
      <c r="P295" s="18" t="s">
        <v>1313</v>
      </c>
      <c r="Q295" s="19">
        <v>2.5441999999999999E-2</v>
      </c>
      <c r="R295" s="51" t="s">
        <v>1431</v>
      </c>
    </row>
    <row r="296" spans="2:18" ht="68" x14ac:dyDescent="0.2">
      <c r="B296" s="11" t="s">
        <v>8</v>
      </c>
      <c r="C296" s="12" t="str">
        <f>VLOOKUP(LOWER(E288),experiments_specs!$A:$J,9,FALSE)</f>
        <v>wup_similarity</v>
      </c>
      <c r="D296" s="15" t="s">
        <v>1267</v>
      </c>
      <c r="E296" s="6" t="s">
        <v>17</v>
      </c>
      <c r="F296" s="18" t="s">
        <v>1334</v>
      </c>
      <c r="G296" s="18" t="s">
        <v>1313</v>
      </c>
      <c r="H296" s="19">
        <v>1.85326E-2</v>
      </c>
      <c r="I296" s="51" t="s">
        <v>1439</v>
      </c>
      <c r="K296" s="11" t="s">
        <v>8</v>
      </c>
      <c r="L296" s="12" t="str">
        <f>VLOOKUP(LOWER(N288),experiments_specs!$A:$J,9,FALSE)</f>
        <v>wup_similarity</v>
      </c>
      <c r="M296" s="15" t="s">
        <v>1268</v>
      </c>
      <c r="N296" s="6" t="s">
        <v>17</v>
      </c>
      <c r="O296" s="18" t="s">
        <v>1334</v>
      </c>
      <c r="P296" s="18" t="s">
        <v>1313</v>
      </c>
      <c r="Q296" s="19">
        <v>1.85326E-2</v>
      </c>
      <c r="R296" s="51" t="s">
        <v>1439</v>
      </c>
    </row>
    <row r="297" spans="2:18" x14ac:dyDescent="0.2">
      <c r="B297" s="11" t="s">
        <v>9</v>
      </c>
      <c r="C297" s="12" t="str">
        <f>VLOOKUP(LOWER(E288),experiments_specs!$A:$J,10,FALSE)</f>
        <v>True</v>
      </c>
      <c r="D297" s="15" t="s">
        <v>1267</v>
      </c>
      <c r="E297" s="7" t="s">
        <v>18</v>
      </c>
      <c r="F297" s="20" t="s">
        <v>472</v>
      </c>
      <c r="G297" s="20">
        <v>2</v>
      </c>
      <c r="H297" s="20">
        <v>1.9049099999999999E-2</v>
      </c>
      <c r="I297" s="32">
        <v>0.2105263</v>
      </c>
      <c r="K297" s="11" t="s">
        <v>9</v>
      </c>
      <c r="L297" s="12" t="str">
        <f>VLOOKUP(LOWER(N288),experiments_specs!$A:$J,10,FALSE)</f>
        <v>True</v>
      </c>
      <c r="M297" s="15" t="s">
        <v>1268</v>
      </c>
      <c r="N297" s="7" t="s">
        <v>18</v>
      </c>
      <c r="O297" s="20" t="s">
        <v>472</v>
      </c>
      <c r="P297" s="20">
        <v>2</v>
      </c>
      <c r="Q297" s="20">
        <v>1.9049099999999999E-2</v>
      </c>
      <c r="R297" s="32">
        <v>0.2105263</v>
      </c>
    </row>
    <row r="298" spans="2:18" ht="17" thickBot="1" x14ac:dyDescent="0.25"/>
    <row r="299" spans="2:18" ht="20" thickBot="1" x14ac:dyDescent="0.3">
      <c r="B299" s="13" t="s">
        <v>126</v>
      </c>
      <c r="C299" s="14"/>
      <c r="D299" s="9"/>
      <c r="E299" s="10" t="str">
        <f>"TEST_"&amp;TEXT(RIGHT(N288,3)+1, "00")</f>
        <v>TEST_145</v>
      </c>
      <c r="F299" s="41" t="s">
        <v>1306</v>
      </c>
      <c r="G299" s="41"/>
      <c r="H299" s="41"/>
      <c r="I299" s="41"/>
      <c r="K299" s="13" t="s">
        <v>126</v>
      </c>
      <c r="L299" s="14"/>
      <c r="M299" s="9"/>
      <c r="N299" s="10" t="str">
        <f>"TEST_"&amp;TEXT(RIGHT(E299,3)+1, "00")</f>
        <v>TEST_146</v>
      </c>
      <c r="O299" s="41" t="s">
        <v>1306</v>
      </c>
      <c r="P299" s="41"/>
      <c r="Q299" s="41"/>
      <c r="R299" s="41"/>
    </row>
    <row r="300" spans="2:18" x14ac:dyDescent="0.2">
      <c r="B300" s="11" t="s">
        <v>1</v>
      </c>
      <c r="C300" s="12" t="str">
        <f>VLOOKUP(LOWER(E299),experiments_specs!$A:$J,2,FALSE)</f>
        <v>NN,JJ</v>
      </c>
      <c r="D300" s="15" t="str">
        <f>"{"&amp;LOWER(E299)&amp;".csv}"</f>
        <v>{test_145.csv}</v>
      </c>
      <c r="E300" s="8" t="s">
        <v>118</v>
      </c>
      <c r="F300" s="3" t="s">
        <v>1307</v>
      </c>
      <c r="G300" s="3"/>
      <c r="H300" s="3" t="s">
        <v>178</v>
      </c>
      <c r="I300" s="29" t="s">
        <v>121</v>
      </c>
      <c r="K300" s="11" t="s">
        <v>1</v>
      </c>
      <c r="L300" s="12" t="str">
        <f>VLOOKUP(LOWER(N299),experiments_specs!$A:$J,2,FALSE)</f>
        <v>NN,JJ</v>
      </c>
      <c r="M300" s="15" t="str">
        <f>"{"&amp;LOWER(N299)&amp;".csv}"</f>
        <v>{test_146.csv}</v>
      </c>
      <c r="N300" s="8" t="s">
        <v>118</v>
      </c>
      <c r="O300" s="3" t="s">
        <v>1307</v>
      </c>
      <c r="P300" s="3"/>
      <c r="Q300" s="3" t="s">
        <v>178</v>
      </c>
      <c r="R300" s="29" t="s">
        <v>121</v>
      </c>
    </row>
    <row r="301" spans="2:18" ht="17" x14ac:dyDescent="0.2">
      <c r="B301" s="11" t="s">
        <v>2</v>
      </c>
      <c r="C301" s="12">
        <f>VLOOKUP(LOWER(E299),experiments_specs!$A:$J,3,FALSE)</f>
        <v>0</v>
      </c>
      <c r="D301" s="15" t="s">
        <v>1269</v>
      </c>
      <c r="E301" s="5" t="s">
        <v>19</v>
      </c>
      <c r="F301" s="17" t="s">
        <v>1357</v>
      </c>
      <c r="G301" s="17">
        <v>3</v>
      </c>
      <c r="H301" s="17">
        <v>1.3236000000000001E-3</v>
      </c>
      <c r="I301" s="30">
        <v>0.18181810000000001</v>
      </c>
      <c r="K301" s="11" t="s">
        <v>2</v>
      </c>
      <c r="L301" s="12">
        <f>VLOOKUP(LOWER(N299),experiments_specs!$A:$J,3,FALSE)</f>
        <v>0</v>
      </c>
      <c r="M301" s="15" t="s">
        <v>1270</v>
      </c>
      <c r="N301" s="5" t="s">
        <v>19</v>
      </c>
      <c r="O301" s="17" t="s">
        <v>1357</v>
      </c>
      <c r="P301" s="17">
        <v>3</v>
      </c>
      <c r="Q301" s="17">
        <v>1.3236000000000001E-3</v>
      </c>
      <c r="R301" s="30">
        <v>0.18181810000000001</v>
      </c>
    </row>
    <row r="302" spans="2:18" ht="68" x14ac:dyDescent="0.2">
      <c r="B302" s="11" t="s">
        <v>3</v>
      </c>
      <c r="C302" s="12">
        <f>VLOOKUP(LOWER(E299),experiments_specs!$A:$J,4,FALSE)</f>
        <v>2</v>
      </c>
      <c r="D302" s="15" t="s">
        <v>1269</v>
      </c>
      <c r="E302" s="6" t="s">
        <v>12</v>
      </c>
      <c r="F302" s="18" t="s">
        <v>1358</v>
      </c>
      <c r="G302" s="18" t="s">
        <v>1313</v>
      </c>
      <c r="H302" s="19">
        <v>9.9649999999999999E-4</v>
      </c>
      <c r="I302" s="51" t="s">
        <v>1443</v>
      </c>
      <c r="K302" s="11" t="s">
        <v>3</v>
      </c>
      <c r="L302" s="12">
        <f>VLOOKUP(LOWER(N299),experiments_specs!$A:$J,4,FALSE)</f>
        <v>3</v>
      </c>
      <c r="M302" s="15" t="s">
        <v>1270</v>
      </c>
      <c r="N302" s="6" t="s">
        <v>12</v>
      </c>
      <c r="O302" s="18" t="s">
        <v>1358</v>
      </c>
      <c r="P302" s="18" t="s">
        <v>1313</v>
      </c>
      <c r="Q302" s="19">
        <v>9.9649999999999999E-4</v>
      </c>
      <c r="R302" s="51" t="s">
        <v>1443</v>
      </c>
    </row>
    <row r="303" spans="2:18" x14ac:dyDescent="0.2">
      <c r="B303" s="11" t="s">
        <v>4</v>
      </c>
      <c r="C303" s="12" t="str">
        <f>VLOOKUP(LOWER(E299),experiments_specs!$A:$J,5,FALSE)</f>
        <v>False</v>
      </c>
      <c r="D303" s="15" t="s">
        <v>1269</v>
      </c>
      <c r="E303" s="6" t="s">
        <v>13</v>
      </c>
      <c r="F303" s="19" t="s">
        <v>1360</v>
      </c>
      <c r="G303" s="19">
        <v>1</v>
      </c>
      <c r="H303" s="19">
        <v>2.0148000000000002E-3</v>
      </c>
      <c r="I303" s="31">
        <v>0.22222220000000001</v>
      </c>
      <c r="K303" s="11" t="s">
        <v>4</v>
      </c>
      <c r="L303" s="12" t="str">
        <f>VLOOKUP(LOWER(N299),experiments_specs!$A:$J,5,FALSE)</f>
        <v>False</v>
      </c>
      <c r="M303" s="15" t="s">
        <v>1270</v>
      </c>
      <c r="N303" s="6" t="s">
        <v>13</v>
      </c>
      <c r="O303" s="19" t="s">
        <v>1360</v>
      </c>
      <c r="P303" s="19">
        <v>1</v>
      </c>
      <c r="Q303" s="19">
        <v>2.0148000000000002E-3</v>
      </c>
      <c r="R303" s="31">
        <v>0.22222220000000001</v>
      </c>
    </row>
    <row r="304" spans="2:18" x14ac:dyDescent="0.2">
      <c r="B304" s="11" t="s">
        <v>5</v>
      </c>
      <c r="C304" s="12" t="str">
        <f>VLOOKUP(LOWER(E299),experiments_specs!$A:$J,6,FALSE)</f>
        <v>False</v>
      </c>
      <c r="D304" s="15" t="s">
        <v>1269</v>
      </c>
      <c r="E304" s="6" t="s">
        <v>14</v>
      </c>
      <c r="F304" s="19" t="s">
        <v>1361</v>
      </c>
      <c r="G304" s="19">
        <v>3</v>
      </c>
      <c r="H304" s="19">
        <v>1.2898E-3</v>
      </c>
      <c r="I304" s="31">
        <v>0.30769229999999997</v>
      </c>
      <c r="K304" s="11" t="s">
        <v>5</v>
      </c>
      <c r="L304" s="12" t="str">
        <f>VLOOKUP(LOWER(N299),experiments_specs!$A:$J,6,FALSE)</f>
        <v>False</v>
      </c>
      <c r="M304" s="15" t="s">
        <v>1270</v>
      </c>
      <c r="N304" s="6" t="s">
        <v>14</v>
      </c>
      <c r="O304" s="19" t="s">
        <v>1361</v>
      </c>
      <c r="P304" s="19">
        <v>3</v>
      </c>
      <c r="Q304" s="19">
        <v>1.2898E-3</v>
      </c>
      <c r="R304" s="31">
        <v>0.30769229999999997</v>
      </c>
    </row>
    <row r="305" spans="2:18" x14ac:dyDescent="0.2">
      <c r="B305" s="11" t="s">
        <v>6</v>
      </c>
      <c r="C305" s="12" t="str">
        <f>VLOOKUP(LOWER(E299),experiments_specs!$A:$J,7,FALSE)</f>
        <v>True</v>
      </c>
      <c r="D305" s="15" t="s">
        <v>1269</v>
      </c>
      <c r="E305" s="6" t="s">
        <v>15</v>
      </c>
      <c r="F305" s="19" t="s">
        <v>1362</v>
      </c>
      <c r="G305" s="19">
        <v>1</v>
      </c>
      <c r="H305" s="19">
        <v>1.8205999999999999E-3</v>
      </c>
      <c r="I305" s="31">
        <v>0.2</v>
      </c>
      <c r="K305" s="11" t="s">
        <v>6</v>
      </c>
      <c r="L305" s="12" t="str">
        <f>VLOOKUP(LOWER(N299),experiments_specs!$A:$J,7,FALSE)</f>
        <v>True</v>
      </c>
      <c r="M305" s="15" t="s">
        <v>1270</v>
      </c>
      <c r="N305" s="6" t="s">
        <v>15</v>
      </c>
      <c r="O305" s="19" t="s">
        <v>1362</v>
      </c>
      <c r="P305" s="19">
        <v>1</v>
      </c>
      <c r="Q305" s="19">
        <v>1.8205999999999999E-3</v>
      </c>
      <c r="R305" s="31">
        <v>0.2</v>
      </c>
    </row>
    <row r="306" spans="2:18" x14ac:dyDescent="0.2">
      <c r="B306" s="11" t="s">
        <v>7</v>
      </c>
      <c r="C306" s="12" t="str">
        <f>VLOOKUP(LOWER(E299),experiments_specs!$A:$J,8,FALSE)</f>
        <v>False</v>
      </c>
      <c r="D306" s="15" t="s">
        <v>1269</v>
      </c>
      <c r="E306" s="6" t="s">
        <v>16</v>
      </c>
      <c r="F306" s="19" t="s">
        <v>554</v>
      </c>
      <c r="G306" s="19">
        <v>2</v>
      </c>
      <c r="H306" s="19">
        <v>1.2290999999999999E-3</v>
      </c>
      <c r="I306" s="31">
        <v>0.14285709999999999</v>
      </c>
      <c r="K306" s="11" t="s">
        <v>7</v>
      </c>
      <c r="L306" s="12" t="str">
        <f>VLOOKUP(LOWER(N299),experiments_specs!$A:$J,8,FALSE)</f>
        <v>False</v>
      </c>
      <c r="M306" s="15" t="s">
        <v>1270</v>
      </c>
      <c r="N306" s="6" t="s">
        <v>16</v>
      </c>
      <c r="O306" s="19" t="s">
        <v>554</v>
      </c>
      <c r="P306" s="19">
        <v>2</v>
      </c>
      <c r="Q306" s="19">
        <v>1.2290999999999999E-3</v>
      </c>
      <c r="R306" s="31">
        <v>0.14285709999999999</v>
      </c>
    </row>
    <row r="307" spans="2:18" ht="136" x14ac:dyDescent="0.2">
      <c r="B307" s="11" t="s">
        <v>8</v>
      </c>
      <c r="C307" s="12" t="str">
        <f>VLOOKUP(LOWER(E299),experiments_specs!$A:$J,9,FALSE)</f>
        <v>wup_similarity</v>
      </c>
      <c r="D307" s="15" t="s">
        <v>1269</v>
      </c>
      <c r="E307" s="6" t="s">
        <v>17</v>
      </c>
      <c r="F307" s="18" t="s">
        <v>1363</v>
      </c>
      <c r="G307" s="18" t="s">
        <v>1365</v>
      </c>
      <c r="H307" s="19">
        <v>1.1877999999999999E-3</v>
      </c>
      <c r="I307" s="51" t="s">
        <v>1447</v>
      </c>
      <c r="K307" s="11" t="s">
        <v>8</v>
      </c>
      <c r="L307" s="12" t="str">
        <f>VLOOKUP(LOWER(N299),experiments_specs!$A:$J,9,FALSE)</f>
        <v>wup_similarity</v>
      </c>
      <c r="M307" s="15" t="s">
        <v>1270</v>
      </c>
      <c r="N307" s="6" t="s">
        <v>17</v>
      </c>
      <c r="O307" s="18" t="s">
        <v>1363</v>
      </c>
      <c r="P307" s="18" t="s">
        <v>1365</v>
      </c>
      <c r="Q307" s="19">
        <v>1.1877999999999999E-3</v>
      </c>
      <c r="R307" s="51" t="s">
        <v>1447</v>
      </c>
    </row>
    <row r="308" spans="2:18" x14ac:dyDescent="0.2">
      <c r="B308" s="11" t="s">
        <v>9</v>
      </c>
      <c r="C308" s="12" t="str">
        <f>VLOOKUP(LOWER(E299),experiments_specs!$A:$J,10,FALSE)</f>
        <v>False</v>
      </c>
      <c r="D308" s="15" t="s">
        <v>1269</v>
      </c>
      <c r="E308" s="7" t="s">
        <v>18</v>
      </c>
      <c r="F308" s="20" t="s">
        <v>560</v>
      </c>
      <c r="G308" s="20">
        <v>2</v>
      </c>
      <c r="H308" s="20">
        <v>1.1735000000000001E-3</v>
      </c>
      <c r="I308" s="32">
        <v>0.1111111</v>
      </c>
      <c r="K308" s="11" t="s">
        <v>9</v>
      </c>
      <c r="L308" s="12" t="str">
        <f>VLOOKUP(LOWER(N299),experiments_specs!$A:$J,10,FALSE)</f>
        <v>False</v>
      </c>
      <c r="M308" s="15" t="s">
        <v>1270</v>
      </c>
      <c r="N308" s="7" t="s">
        <v>18</v>
      </c>
      <c r="O308" s="20" t="s">
        <v>560</v>
      </c>
      <c r="P308" s="20">
        <v>2</v>
      </c>
      <c r="Q308" s="20">
        <v>1.1735000000000001E-3</v>
      </c>
      <c r="R308" s="32">
        <v>0.1111111</v>
      </c>
    </row>
    <row r="309" spans="2:18" ht="17" thickBot="1" x14ac:dyDescent="0.25"/>
    <row r="310" spans="2:18" ht="20" thickBot="1" x14ac:dyDescent="0.3">
      <c r="B310" s="13" t="s">
        <v>126</v>
      </c>
      <c r="C310" s="14"/>
      <c r="D310" s="9"/>
      <c r="E310" s="10" t="str">
        <f>"TEST_"&amp;TEXT(RIGHT(N299,3)+1, "00")</f>
        <v>TEST_147</v>
      </c>
      <c r="F310" s="41" t="s">
        <v>1306</v>
      </c>
      <c r="G310" s="41"/>
      <c r="H310" s="41"/>
      <c r="I310" s="41"/>
      <c r="K310" s="13" t="s">
        <v>126</v>
      </c>
      <c r="L310" s="14"/>
      <c r="M310" s="9"/>
      <c r="N310" s="10" t="str">
        <f>"TEST_"&amp;TEXT(RIGHT(E310,3)+1, "00")</f>
        <v>TEST_148</v>
      </c>
      <c r="O310" s="41" t="s">
        <v>1306</v>
      </c>
      <c r="P310" s="41"/>
      <c r="Q310" s="41"/>
      <c r="R310" s="41"/>
    </row>
    <row r="311" spans="2:18" x14ac:dyDescent="0.2">
      <c r="B311" s="11" t="s">
        <v>1</v>
      </c>
      <c r="C311" s="12" t="str">
        <f>VLOOKUP(LOWER(E310),experiments_specs!$A:$J,2,FALSE)</f>
        <v>NN,VB,VBD,VBG,VBN,VBP,VBZ</v>
      </c>
      <c r="D311" s="15" t="str">
        <f>"{"&amp;LOWER(E310)&amp;".csv}"</f>
        <v>{test_147.csv}</v>
      </c>
      <c r="E311" s="8" t="s">
        <v>118</v>
      </c>
      <c r="F311" s="3" t="s">
        <v>1307</v>
      </c>
      <c r="G311" s="3"/>
      <c r="H311" s="3" t="s">
        <v>178</v>
      </c>
      <c r="I311" s="29" t="s">
        <v>121</v>
      </c>
      <c r="K311" s="11" t="s">
        <v>1</v>
      </c>
      <c r="L311" s="12" t="str">
        <f>VLOOKUP(LOWER(N310),experiments_specs!$A:$J,2,FALSE)</f>
        <v>NN,VB,VBD,VBG,VBN,VBP,VBZ</v>
      </c>
      <c r="M311" s="15" t="str">
        <f>"{"&amp;LOWER(N310)&amp;".csv}"</f>
        <v>{test_148.csv}</v>
      </c>
      <c r="N311" s="8" t="s">
        <v>118</v>
      </c>
      <c r="O311" s="3" t="s">
        <v>1307</v>
      </c>
      <c r="P311" s="3"/>
      <c r="Q311" s="3" t="s">
        <v>178</v>
      </c>
      <c r="R311" s="29" t="s">
        <v>121</v>
      </c>
    </row>
    <row r="312" spans="2:18" ht="17" x14ac:dyDescent="0.2">
      <c r="B312" s="11" t="s">
        <v>2</v>
      </c>
      <c r="C312" s="12">
        <f>VLOOKUP(LOWER(E310),experiments_specs!$A:$J,3,FALSE)</f>
        <v>0</v>
      </c>
      <c r="D312" s="15" t="s">
        <v>1271</v>
      </c>
      <c r="E312" s="5" t="s">
        <v>19</v>
      </c>
      <c r="F312" s="17" t="s">
        <v>1357</v>
      </c>
      <c r="G312" s="17">
        <v>3</v>
      </c>
      <c r="H312" s="17">
        <v>1.8129999999999999E-3</v>
      </c>
      <c r="I312" s="30">
        <v>0.18181810000000001</v>
      </c>
      <c r="K312" s="11" t="s">
        <v>2</v>
      </c>
      <c r="L312" s="12">
        <f>VLOOKUP(LOWER(N310),experiments_specs!$A:$J,3,FALSE)</f>
        <v>0</v>
      </c>
      <c r="M312" s="15" t="s">
        <v>1272</v>
      </c>
      <c r="N312" s="5" t="s">
        <v>19</v>
      </c>
      <c r="O312" s="17" t="s">
        <v>1357</v>
      </c>
      <c r="P312" s="17">
        <v>3</v>
      </c>
      <c r="Q312" s="17">
        <v>1.8129999999999999E-3</v>
      </c>
      <c r="R312" s="30">
        <v>0.18181810000000001</v>
      </c>
    </row>
    <row r="313" spans="2:18" x14ac:dyDescent="0.2">
      <c r="B313" s="11" t="s">
        <v>3</v>
      </c>
      <c r="C313" s="12">
        <f>VLOOKUP(LOWER(E310),experiments_specs!$A:$J,4,FALSE)</f>
        <v>2</v>
      </c>
      <c r="D313" s="15" t="s">
        <v>1271</v>
      </c>
      <c r="E313" s="6" t="s">
        <v>12</v>
      </c>
      <c r="F313" s="19" t="s">
        <v>236</v>
      </c>
      <c r="G313" s="19">
        <v>2</v>
      </c>
      <c r="H313" s="19">
        <v>1.2363000000000001E-3</v>
      </c>
      <c r="I313" s="31">
        <v>0.125</v>
      </c>
      <c r="K313" s="11" t="s">
        <v>3</v>
      </c>
      <c r="L313" s="12">
        <f>VLOOKUP(LOWER(N310),experiments_specs!$A:$J,4,FALSE)</f>
        <v>3</v>
      </c>
      <c r="M313" s="15" t="s">
        <v>1272</v>
      </c>
      <c r="N313" s="6" t="s">
        <v>12</v>
      </c>
      <c r="O313" s="19" t="s">
        <v>236</v>
      </c>
      <c r="P313" s="19">
        <v>2</v>
      </c>
      <c r="Q313" s="19">
        <v>1.2363000000000001E-3</v>
      </c>
      <c r="R313" s="31">
        <v>0.125</v>
      </c>
    </row>
    <row r="314" spans="2:18" x14ac:dyDescent="0.2">
      <c r="B314" s="11" t="s">
        <v>4</v>
      </c>
      <c r="C314" s="12" t="str">
        <f>VLOOKUP(LOWER(E310),experiments_specs!$A:$J,5,FALSE)</f>
        <v>False</v>
      </c>
      <c r="D314" s="15" t="s">
        <v>1271</v>
      </c>
      <c r="E314" s="6" t="s">
        <v>13</v>
      </c>
      <c r="F314" s="19" t="s">
        <v>1360</v>
      </c>
      <c r="G314" s="19">
        <v>1</v>
      </c>
      <c r="H314" s="19">
        <v>1.8425E-3</v>
      </c>
      <c r="I314" s="31">
        <v>0.22222220000000001</v>
      </c>
      <c r="K314" s="11" t="s">
        <v>4</v>
      </c>
      <c r="L314" s="12" t="str">
        <f>VLOOKUP(LOWER(N310),experiments_specs!$A:$J,5,FALSE)</f>
        <v>False</v>
      </c>
      <c r="M314" s="15" t="s">
        <v>1272</v>
      </c>
      <c r="N314" s="6" t="s">
        <v>13</v>
      </c>
      <c r="O314" s="19" t="s">
        <v>1360</v>
      </c>
      <c r="P314" s="19">
        <v>1</v>
      </c>
      <c r="Q314" s="19">
        <v>1.8425E-3</v>
      </c>
      <c r="R314" s="31">
        <v>0.22222220000000001</v>
      </c>
    </row>
    <row r="315" spans="2:18" x14ac:dyDescent="0.2">
      <c r="B315" s="11" t="s">
        <v>5</v>
      </c>
      <c r="C315" s="12" t="str">
        <f>VLOOKUP(LOWER(E310),experiments_specs!$A:$J,6,FALSE)</f>
        <v>False</v>
      </c>
      <c r="D315" s="15" t="s">
        <v>1271</v>
      </c>
      <c r="E315" s="6" t="s">
        <v>14</v>
      </c>
      <c r="F315" s="19" t="s">
        <v>1361</v>
      </c>
      <c r="G315" s="19">
        <v>3</v>
      </c>
      <c r="H315" s="19">
        <v>1.1107999999999999E-3</v>
      </c>
      <c r="I315" s="31">
        <v>0.30769229999999997</v>
      </c>
      <c r="K315" s="11" t="s">
        <v>5</v>
      </c>
      <c r="L315" s="12" t="str">
        <f>VLOOKUP(LOWER(N310),experiments_specs!$A:$J,6,FALSE)</f>
        <v>False</v>
      </c>
      <c r="M315" s="15" t="s">
        <v>1272</v>
      </c>
      <c r="N315" s="6" t="s">
        <v>14</v>
      </c>
      <c r="O315" s="19" t="s">
        <v>1361</v>
      </c>
      <c r="P315" s="19">
        <v>3</v>
      </c>
      <c r="Q315" s="19">
        <v>1.1107999999999999E-3</v>
      </c>
      <c r="R315" s="31">
        <v>0.30769229999999997</v>
      </c>
    </row>
    <row r="316" spans="2:18" x14ac:dyDescent="0.2">
      <c r="B316" s="11" t="s">
        <v>6</v>
      </c>
      <c r="C316" s="12" t="str">
        <f>VLOOKUP(LOWER(E310),experiments_specs!$A:$J,7,FALSE)</f>
        <v>True</v>
      </c>
      <c r="D316" s="15" t="s">
        <v>1271</v>
      </c>
      <c r="E316" s="6" t="s">
        <v>15</v>
      </c>
      <c r="F316" s="19" t="s">
        <v>597</v>
      </c>
      <c r="G316" s="19">
        <v>2</v>
      </c>
      <c r="H316" s="19">
        <v>1.5636000000000001E-3</v>
      </c>
      <c r="I316" s="31">
        <v>0.2</v>
      </c>
      <c r="K316" s="11" t="s">
        <v>6</v>
      </c>
      <c r="L316" s="12" t="str">
        <f>VLOOKUP(LOWER(N310),experiments_specs!$A:$J,7,FALSE)</f>
        <v>True</v>
      </c>
      <c r="M316" s="15" t="s">
        <v>1272</v>
      </c>
      <c r="N316" s="6" t="s">
        <v>15</v>
      </c>
      <c r="O316" s="19" t="s">
        <v>597</v>
      </c>
      <c r="P316" s="19">
        <v>2</v>
      </c>
      <c r="Q316" s="19">
        <v>1.5636000000000001E-3</v>
      </c>
      <c r="R316" s="31">
        <v>0.2</v>
      </c>
    </row>
    <row r="317" spans="2:18" x14ac:dyDescent="0.2">
      <c r="B317" s="11" t="s">
        <v>7</v>
      </c>
      <c r="C317" s="12" t="str">
        <f>VLOOKUP(LOWER(E310),experiments_specs!$A:$J,8,FALSE)</f>
        <v>False</v>
      </c>
      <c r="D317" s="15" t="s">
        <v>1271</v>
      </c>
      <c r="E317" s="6" t="s">
        <v>16</v>
      </c>
      <c r="F317" s="19" t="s">
        <v>554</v>
      </c>
      <c r="G317" s="19">
        <v>2</v>
      </c>
      <c r="H317" s="19">
        <v>1.3725E-3</v>
      </c>
      <c r="I317" s="31">
        <v>0.14285709999999999</v>
      </c>
      <c r="K317" s="11" t="s">
        <v>7</v>
      </c>
      <c r="L317" s="12" t="str">
        <f>VLOOKUP(LOWER(N310),experiments_specs!$A:$J,8,FALSE)</f>
        <v>False</v>
      </c>
      <c r="M317" s="15" t="s">
        <v>1272</v>
      </c>
      <c r="N317" s="6" t="s">
        <v>16</v>
      </c>
      <c r="O317" s="19" t="s">
        <v>554</v>
      </c>
      <c r="P317" s="19">
        <v>2</v>
      </c>
      <c r="Q317" s="19">
        <v>1.3725E-3</v>
      </c>
      <c r="R317" s="31">
        <v>0.14285709999999999</v>
      </c>
    </row>
    <row r="318" spans="2:18" x14ac:dyDescent="0.2">
      <c r="B318" s="11" t="s">
        <v>8</v>
      </c>
      <c r="C318" s="12" t="str">
        <f>VLOOKUP(LOWER(E310),experiments_specs!$A:$J,9,FALSE)</f>
        <v>wup_similarity</v>
      </c>
      <c r="D318" s="15" t="s">
        <v>1271</v>
      </c>
      <c r="E318" s="6" t="s">
        <v>17</v>
      </c>
      <c r="F318" s="19" t="s">
        <v>1367</v>
      </c>
      <c r="G318" s="19">
        <v>1</v>
      </c>
      <c r="H318" s="19">
        <v>1.4421E-3</v>
      </c>
      <c r="I318" s="31">
        <v>0.22222220000000001</v>
      </c>
      <c r="K318" s="11" t="s">
        <v>8</v>
      </c>
      <c r="L318" s="12" t="str">
        <f>VLOOKUP(LOWER(N310),experiments_specs!$A:$J,9,FALSE)</f>
        <v>wup_similarity</v>
      </c>
      <c r="M318" s="15" t="s">
        <v>1272</v>
      </c>
      <c r="N318" s="6" t="s">
        <v>17</v>
      </c>
      <c r="O318" s="19" t="s">
        <v>1367</v>
      </c>
      <c r="P318" s="19">
        <v>1</v>
      </c>
      <c r="Q318" s="19">
        <v>1.4421E-3</v>
      </c>
      <c r="R318" s="31">
        <v>0.22222220000000001</v>
      </c>
    </row>
    <row r="319" spans="2:18" ht="51" x14ac:dyDescent="0.2">
      <c r="B319" s="11" t="s">
        <v>9</v>
      </c>
      <c r="C319" s="12" t="str">
        <f>VLOOKUP(LOWER(E310),experiments_specs!$A:$J,10,FALSE)</f>
        <v>False</v>
      </c>
      <c r="D319" s="15" t="s">
        <v>1271</v>
      </c>
      <c r="E319" s="7" t="s">
        <v>18</v>
      </c>
      <c r="F319" s="49" t="s">
        <v>1368</v>
      </c>
      <c r="G319" s="49" t="s">
        <v>1353</v>
      </c>
      <c r="H319" s="20">
        <v>7.8540000000000001E-4</v>
      </c>
      <c r="I319" s="52" t="s">
        <v>1449</v>
      </c>
      <c r="K319" s="11" t="s">
        <v>9</v>
      </c>
      <c r="L319" s="12" t="str">
        <f>VLOOKUP(LOWER(N310),experiments_specs!$A:$J,10,FALSE)</f>
        <v>False</v>
      </c>
      <c r="M319" s="15" t="s">
        <v>1272</v>
      </c>
      <c r="N319" s="7" t="s">
        <v>18</v>
      </c>
      <c r="O319" s="49" t="s">
        <v>1368</v>
      </c>
      <c r="P319" s="49" t="s">
        <v>1353</v>
      </c>
      <c r="Q319" s="20">
        <v>7.8540000000000001E-4</v>
      </c>
      <c r="R319" s="52" t="s">
        <v>1449</v>
      </c>
    </row>
    <row r="320" spans="2:18" ht="17" thickBot="1" x14ac:dyDescent="0.25"/>
    <row r="321" spans="2:18" ht="20" thickBot="1" x14ac:dyDescent="0.3">
      <c r="B321" s="13" t="s">
        <v>126</v>
      </c>
      <c r="C321" s="14"/>
      <c r="D321" s="9"/>
      <c r="E321" s="10" t="str">
        <f>"TEST_"&amp;TEXT(RIGHT(N310,3)+1, "00")</f>
        <v>TEST_149</v>
      </c>
      <c r="F321" s="41" t="s">
        <v>1306</v>
      </c>
      <c r="G321" s="41"/>
      <c r="H321" s="41"/>
      <c r="I321" s="41"/>
      <c r="K321" s="13" t="s">
        <v>126</v>
      </c>
      <c r="L321" s="14"/>
      <c r="M321" s="9"/>
      <c r="N321" s="10" t="str">
        <f>"TEST_"&amp;TEXT(RIGHT(E321,3)+1, "00")</f>
        <v>TEST_150</v>
      </c>
      <c r="O321" s="41" t="s">
        <v>1306</v>
      </c>
      <c r="P321" s="41"/>
      <c r="Q321" s="41"/>
      <c r="R321" s="41"/>
    </row>
    <row r="322" spans="2:18" x14ac:dyDescent="0.2">
      <c r="B322" s="11" t="s">
        <v>1</v>
      </c>
      <c r="C322" s="12" t="str">
        <f>VLOOKUP(LOWER(E321),experiments_specs!$A:$J,2,FALSE)</f>
        <v>NN,JJ,VB,VBD,VBG,VBN,VBP,VBZ</v>
      </c>
      <c r="D322" s="15" t="str">
        <f>"{"&amp;LOWER(E321)&amp;".csv}"</f>
        <v>{test_149.csv}</v>
      </c>
      <c r="E322" s="8" t="s">
        <v>118</v>
      </c>
      <c r="F322" s="3" t="s">
        <v>1307</v>
      </c>
      <c r="G322" s="3"/>
      <c r="H322" s="3" t="s">
        <v>178</v>
      </c>
      <c r="I322" s="29" t="s">
        <v>121</v>
      </c>
      <c r="K322" s="11" t="s">
        <v>1</v>
      </c>
      <c r="L322" s="12" t="str">
        <f>VLOOKUP(LOWER(N321),experiments_specs!$A:$J,2,FALSE)</f>
        <v>NN,JJ,VB,VBD,VBG,VBN,VBP,VBZ</v>
      </c>
      <c r="M322" s="15" t="str">
        <f>"{"&amp;LOWER(N321)&amp;".csv}"</f>
        <v>{test_150.csv}</v>
      </c>
      <c r="N322" s="8" t="s">
        <v>118</v>
      </c>
      <c r="O322" s="3" t="s">
        <v>1307</v>
      </c>
      <c r="P322" s="3"/>
      <c r="Q322" s="3" t="s">
        <v>178</v>
      </c>
      <c r="R322" s="29" t="s">
        <v>121</v>
      </c>
    </row>
    <row r="323" spans="2:18" ht="17" x14ac:dyDescent="0.2">
      <c r="B323" s="11" t="s">
        <v>2</v>
      </c>
      <c r="C323" s="12">
        <f>VLOOKUP(LOWER(E321),experiments_specs!$A:$J,3,FALSE)</f>
        <v>0</v>
      </c>
      <c r="D323" s="15" t="s">
        <v>1273</v>
      </c>
      <c r="E323" s="5" t="s">
        <v>19</v>
      </c>
      <c r="F323" s="17" t="s">
        <v>1357</v>
      </c>
      <c r="G323" s="17">
        <v>3</v>
      </c>
      <c r="H323" s="17">
        <v>1.0395000000000001E-3</v>
      </c>
      <c r="I323" s="30">
        <v>0.18181810000000001</v>
      </c>
      <c r="K323" s="11" t="s">
        <v>2</v>
      </c>
      <c r="L323" s="12">
        <f>VLOOKUP(LOWER(N321),experiments_specs!$A:$J,3,FALSE)</f>
        <v>0</v>
      </c>
      <c r="M323" s="15" t="s">
        <v>1274</v>
      </c>
      <c r="N323" s="5" t="s">
        <v>19</v>
      </c>
      <c r="O323" s="17" t="s">
        <v>1357</v>
      </c>
      <c r="P323" s="17">
        <v>3</v>
      </c>
      <c r="Q323" s="17">
        <v>1.0395000000000001E-3</v>
      </c>
      <c r="R323" s="30">
        <v>0.18181810000000001</v>
      </c>
    </row>
    <row r="324" spans="2:18" x14ac:dyDescent="0.2">
      <c r="B324" s="11" t="s">
        <v>3</v>
      </c>
      <c r="C324" s="12">
        <f>VLOOKUP(LOWER(E321),experiments_specs!$A:$J,4,FALSE)</f>
        <v>2</v>
      </c>
      <c r="D324" s="15" t="s">
        <v>1273</v>
      </c>
      <c r="E324" s="6" t="s">
        <v>12</v>
      </c>
      <c r="F324" s="19" t="s">
        <v>236</v>
      </c>
      <c r="G324" s="19">
        <v>2</v>
      </c>
      <c r="H324" s="19">
        <v>9.0910000000000003E-4</v>
      </c>
      <c r="I324" s="31">
        <v>0.125</v>
      </c>
      <c r="K324" s="11" t="s">
        <v>3</v>
      </c>
      <c r="L324" s="12">
        <f>VLOOKUP(LOWER(N321),experiments_specs!$A:$J,4,FALSE)</f>
        <v>3</v>
      </c>
      <c r="M324" s="15" t="s">
        <v>1274</v>
      </c>
      <c r="N324" s="6" t="s">
        <v>12</v>
      </c>
      <c r="O324" s="19" t="s">
        <v>236</v>
      </c>
      <c r="P324" s="19">
        <v>2</v>
      </c>
      <c r="Q324" s="19">
        <v>9.0910000000000003E-4</v>
      </c>
      <c r="R324" s="31">
        <v>0.125</v>
      </c>
    </row>
    <row r="325" spans="2:18" x14ac:dyDescent="0.2">
      <c r="B325" s="11" t="s">
        <v>4</v>
      </c>
      <c r="C325" s="12" t="str">
        <f>VLOOKUP(LOWER(E321),experiments_specs!$A:$J,5,FALSE)</f>
        <v>False</v>
      </c>
      <c r="D325" s="15" t="s">
        <v>1273</v>
      </c>
      <c r="E325" s="6" t="s">
        <v>13</v>
      </c>
      <c r="F325" s="19" t="s">
        <v>1360</v>
      </c>
      <c r="G325" s="19">
        <v>1</v>
      </c>
      <c r="H325" s="19">
        <v>1.5648000000000001E-3</v>
      </c>
      <c r="I325" s="31">
        <v>0.22222220000000001</v>
      </c>
      <c r="K325" s="11" t="s">
        <v>4</v>
      </c>
      <c r="L325" s="12" t="str">
        <f>VLOOKUP(LOWER(N321),experiments_specs!$A:$J,5,FALSE)</f>
        <v>False</v>
      </c>
      <c r="M325" s="15" t="s">
        <v>1274</v>
      </c>
      <c r="N325" s="6" t="s">
        <v>13</v>
      </c>
      <c r="O325" s="19" t="s">
        <v>1360</v>
      </c>
      <c r="P325" s="19">
        <v>1</v>
      </c>
      <c r="Q325" s="19">
        <v>1.5648000000000001E-3</v>
      </c>
      <c r="R325" s="31">
        <v>0.22222220000000001</v>
      </c>
    </row>
    <row r="326" spans="2:18" x14ac:dyDescent="0.2">
      <c r="B326" s="11" t="s">
        <v>5</v>
      </c>
      <c r="C326" s="12" t="str">
        <f>VLOOKUP(LOWER(E321),experiments_specs!$A:$J,6,FALSE)</f>
        <v>False</v>
      </c>
      <c r="D326" s="15" t="s">
        <v>1273</v>
      </c>
      <c r="E326" s="6" t="s">
        <v>14</v>
      </c>
      <c r="F326" s="19" t="s">
        <v>1361</v>
      </c>
      <c r="G326" s="19">
        <v>3</v>
      </c>
      <c r="H326" s="19">
        <v>9.3199999999999999E-4</v>
      </c>
      <c r="I326" s="31">
        <v>0.30769229999999997</v>
      </c>
      <c r="K326" s="11" t="s">
        <v>5</v>
      </c>
      <c r="L326" s="12" t="str">
        <f>VLOOKUP(LOWER(N321),experiments_specs!$A:$J,6,FALSE)</f>
        <v>False</v>
      </c>
      <c r="M326" s="15" t="s">
        <v>1274</v>
      </c>
      <c r="N326" s="6" t="s">
        <v>14</v>
      </c>
      <c r="O326" s="19" t="s">
        <v>1361</v>
      </c>
      <c r="P326" s="19">
        <v>3</v>
      </c>
      <c r="Q326" s="19">
        <v>9.3199999999999999E-4</v>
      </c>
      <c r="R326" s="31">
        <v>0.30769229999999997</v>
      </c>
    </row>
    <row r="327" spans="2:18" x14ac:dyDescent="0.2">
      <c r="B327" s="11" t="s">
        <v>6</v>
      </c>
      <c r="C327" s="12" t="str">
        <f>VLOOKUP(LOWER(E321),experiments_specs!$A:$J,7,FALSE)</f>
        <v>True</v>
      </c>
      <c r="D327" s="15" t="s">
        <v>1273</v>
      </c>
      <c r="E327" s="6" t="s">
        <v>15</v>
      </c>
      <c r="F327" s="19" t="s">
        <v>597</v>
      </c>
      <c r="G327" s="19">
        <v>2</v>
      </c>
      <c r="H327" s="19">
        <v>1.3767E-3</v>
      </c>
      <c r="I327" s="31">
        <v>0.2</v>
      </c>
      <c r="K327" s="11" t="s">
        <v>6</v>
      </c>
      <c r="L327" s="12" t="str">
        <f>VLOOKUP(LOWER(N321),experiments_specs!$A:$J,7,FALSE)</f>
        <v>True</v>
      </c>
      <c r="M327" s="15" t="s">
        <v>1274</v>
      </c>
      <c r="N327" s="6" t="s">
        <v>15</v>
      </c>
      <c r="O327" s="19" t="s">
        <v>597</v>
      </c>
      <c r="P327" s="19">
        <v>2</v>
      </c>
      <c r="Q327" s="19">
        <v>1.3767E-3</v>
      </c>
      <c r="R327" s="31">
        <v>0.2</v>
      </c>
    </row>
    <row r="328" spans="2:18" x14ac:dyDescent="0.2">
      <c r="B328" s="11" t="s">
        <v>7</v>
      </c>
      <c r="C328" s="12" t="str">
        <f>VLOOKUP(LOWER(E321),experiments_specs!$A:$J,8,FALSE)</f>
        <v>False</v>
      </c>
      <c r="D328" s="15" t="s">
        <v>1273</v>
      </c>
      <c r="E328" s="6" t="s">
        <v>16</v>
      </c>
      <c r="F328" s="19" t="s">
        <v>554</v>
      </c>
      <c r="G328" s="19">
        <v>2</v>
      </c>
      <c r="H328" s="19">
        <v>1.1784E-3</v>
      </c>
      <c r="I328" s="31">
        <v>0.14285709999999999</v>
      </c>
      <c r="K328" s="11" t="s">
        <v>7</v>
      </c>
      <c r="L328" s="12" t="str">
        <f>VLOOKUP(LOWER(N321),experiments_specs!$A:$J,8,FALSE)</f>
        <v>False</v>
      </c>
      <c r="M328" s="15" t="s">
        <v>1274</v>
      </c>
      <c r="N328" s="6" t="s">
        <v>16</v>
      </c>
      <c r="O328" s="19" t="s">
        <v>554</v>
      </c>
      <c r="P328" s="19">
        <v>2</v>
      </c>
      <c r="Q328" s="19">
        <v>1.1784E-3</v>
      </c>
      <c r="R328" s="31">
        <v>0.14285709999999999</v>
      </c>
    </row>
    <row r="329" spans="2:18" x14ac:dyDescent="0.2">
      <c r="B329" s="11" t="s">
        <v>8</v>
      </c>
      <c r="C329" s="12" t="str">
        <f>VLOOKUP(LOWER(E321),experiments_specs!$A:$J,9,FALSE)</f>
        <v>wup_similarity</v>
      </c>
      <c r="D329" s="15" t="s">
        <v>1273</v>
      </c>
      <c r="E329" s="6" t="s">
        <v>17</v>
      </c>
      <c r="F329" s="19" t="s">
        <v>1367</v>
      </c>
      <c r="G329" s="19">
        <v>1</v>
      </c>
      <c r="H329" s="19">
        <v>1.3783999999999999E-3</v>
      </c>
      <c r="I329" s="31">
        <v>0.22222220000000001</v>
      </c>
      <c r="K329" s="11" t="s">
        <v>8</v>
      </c>
      <c r="L329" s="12" t="str">
        <f>VLOOKUP(LOWER(N321),experiments_specs!$A:$J,9,FALSE)</f>
        <v>wup_similarity</v>
      </c>
      <c r="M329" s="15" t="s">
        <v>1274</v>
      </c>
      <c r="N329" s="6" t="s">
        <v>17</v>
      </c>
      <c r="O329" s="19" t="s">
        <v>1367</v>
      </c>
      <c r="P329" s="19">
        <v>1</v>
      </c>
      <c r="Q329" s="19">
        <v>1.3783999999999999E-3</v>
      </c>
      <c r="R329" s="31">
        <v>0.22222220000000001</v>
      </c>
    </row>
    <row r="330" spans="2:18" ht="51" x14ac:dyDescent="0.2">
      <c r="B330" s="11" t="s">
        <v>9</v>
      </c>
      <c r="C330" s="12" t="str">
        <f>VLOOKUP(LOWER(E321),experiments_specs!$A:$J,10,FALSE)</f>
        <v>False</v>
      </c>
      <c r="D330" s="15" t="s">
        <v>1273</v>
      </c>
      <c r="E330" s="7" t="s">
        <v>18</v>
      </c>
      <c r="F330" s="49" t="s">
        <v>1368</v>
      </c>
      <c r="G330" s="49" t="s">
        <v>1353</v>
      </c>
      <c r="H330" s="20">
        <v>6.6370000000000003E-4</v>
      </c>
      <c r="I330" s="52" t="s">
        <v>1449</v>
      </c>
      <c r="K330" s="11" t="s">
        <v>9</v>
      </c>
      <c r="L330" s="12" t="str">
        <f>VLOOKUP(LOWER(N321),experiments_specs!$A:$J,10,FALSE)</f>
        <v>False</v>
      </c>
      <c r="M330" s="15" t="s">
        <v>1274</v>
      </c>
      <c r="N330" s="7" t="s">
        <v>18</v>
      </c>
      <c r="O330" s="49" t="s">
        <v>1368</v>
      </c>
      <c r="P330" s="49" t="s">
        <v>1353</v>
      </c>
      <c r="Q330" s="20">
        <v>6.6370000000000003E-4</v>
      </c>
      <c r="R330" s="52" t="s">
        <v>1449</v>
      </c>
    </row>
    <row r="331" spans="2:18" ht="17" thickBot="1" x14ac:dyDescent="0.25"/>
    <row r="332" spans="2:18" ht="20" thickBot="1" x14ac:dyDescent="0.3">
      <c r="B332" s="13" t="s">
        <v>126</v>
      </c>
      <c r="C332" s="14"/>
      <c r="D332" s="9"/>
      <c r="E332" s="10" t="str">
        <f>"TEST_"&amp;TEXT(RIGHT(N321,3)+1, "00")</f>
        <v>TEST_151</v>
      </c>
      <c r="F332" s="41" t="s">
        <v>1306</v>
      </c>
      <c r="G332" s="41"/>
      <c r="H332" s="41"/>
      <c r="I332" s="41"/>
      <c r="K332" s="13" t="s">
        <v>126</v>
      </c>
      <c r="L332" s="14"/>
      <c r="M332" s="9"/>
      <c r="N332" s="10" t="str">
        <f>"TEST_"&amp;TEXT(RIGHT(E332,3)+1, "00")</f>
        <v>TEST_152</v>
      </c>
      <c r="O332" s="41" t="s">
        <v>1306</v>
      </c>
      <c r="P332" s="41"/>
      <c r="Q332" s="41"/>
      <c r="R332" s="41"/>
    </row>
    <row r="333" spans="2:18" x14ac:dyDescent="0.2">
      <c r="B333" s="11" t="s">
        <v>1</v>
      </c>
      <c r="C333" s="12" t="str">
        <f>VLOOKUP(LOWER(E332),experiments_specs!$A:$J,2,FALSE)</f>
        <v>NN,JJ</v>
      </c>
      <c r="D333" s="15" t="str">
        <f>"{"&amp;LOWER(E332)&amp;".csv}"</f>
        <v>{test_151.csv}</v>
      </c>
      <c r="E333" s="8" t="s">
        <v>118</v>
      </c>
      <c r="F333" s="3" t="s">
        <v>1307</v>
      </c>
      <c r="G333" s="3"/>
      <c r="H333" s="3" t="s">
        <v>178</v>
      </c>
      <c r="I333" s="29" t="s">
        <v>121</v>
      </c>
      <c r="K333" s="11" t="s">
        <v>1</v>
      </c>
      <c r="L333" s="12" t="str">
        <f>VLOOKUP(LOWER(N332),experiments_specs!$A:$J,2,FALSE)</f>
        <v>NN,JJ</v>
      </c>
      <c r="M333" s="15" t="str">
        <f>"{"&amp;LOWER(N332)&amp;".csv}"</f>
        <v>{test_152.csv}</v>
      </c>
      <c r="N333" s="8" t="s">
        <v>118</v>
      </c>
      <c r="O333" s="3" t="s">
        <v>1307</v>
      </c>
      <c r="P333" s="3"/>
      <c r="Q333" s="3" t="s">
        <v>178</v>
      </c>
      <c r="R333" s="29" t="s">
        <v>121</v>
      </c>
    </row>
    <row r="334" spans="2:18" ht="17" x14ac:dyDescent="0.2">
      <c r="B334" s="11" t="s">
        <v>2</v>
      </c>
      <c r="C334" s="12">
        <f>VLOOKUP(LOWER(E332),experiments_specs!$A:$J,3,FALSE)</f>
        <v>0</v>
      </c>
      <c r="D334" s="15" t="s">
        <v>1275</v>
      </c>
      <c r="E334" s="5" t="s">
        <v>19</v>
      </c>
      <c r="F334" s="17" t="s">
        <v>1357</v>
      </c>
      <c r="G334" s="17">
        <v>3</v>
      </c>
      <c r="H334" s="17">
        <v>1.23401E-2</v>
      </c>
      <c r="I334" s="30">
        <v>0.18181810000000001</v>
      </c>
      <c r="K334" s="11" t="s">
        <v>2</v>
      </c>
      <c r="L334" s="12">
        <f>VLOOKUP(LOWER(N332),experiments_specs!$A:$J,3,FALSE)</f>
        <v>0</v>
      </c>
      <c r="M334" s="15" t="s">
        <v>1276</v>
      </c>
      <c r="N334" s="5" t="s">
        <v>19</v>
      </c>
      <c r="O334" s="17" t="s">
        <v>1357</v>
      </c>
      <c r="P334" s="17">
        <v>3</v>
      </c>
      <c r="Q334" s="17">
        <v>1.23401E-2</v>
      </c>
      <c r="R334" s="30">
        <v>0.18181810000000001</v>
      </c>
    </row>
    <row r="335" spans="2:18" ht="68" x14ac:dyDescent="0.2">
      <c r="B335" s="11" t="s">
        <v>3</v>
      </c>
      <c r="C335" s="12">
        <f>VLOOKUP(LOWER(E332),experiments_specs!$A:$J,4,FALSE)</f>
        <v>2</v>
      </c>
      <c r="D335" s="15" t="s">
        <v>1275</v>
      </c>
      <c r="E335" s="6" t="s">
        <v>12</v>
      </c>
      <c r="F335" s="18" t="s">
        <v>1370</v>
      </c>
      <c r="G335" s="18" t="s">
        <v>1372</v>
      </c>
      <c r="H335" s="19">
        <v>1.4035799999999999E-2</v>
      </c>
      <c r="I335" s="51" t="s">
        <v>1451</v>
      </c>
      <c r="K335" s="11" t="s">
        <v>3</v>
      </c>
      <c r="L335" s="12">
        <f>VLOOKUP(LOWER(N332),experiments_specs!$A:$J,4,FALSE)</f>
        <v>3</v>
      </c>
      <c r="M335" s="15" t="s">
        <v>1276</v>
      </c>
      <c r="N335" s="6" t="s">
        <v>12</v>
      </c>
      <c r="O335" s="18" t="s">
        <v>1370</v>
      </c>
      <c r="P335" s="18" t="s">
        <v>1372</v>
      </c>
      <c r="Q335" s="19">
        <v>1.4035799999999999E-2</v>
      </c>
      <c r="R335" s="51" t="s">
        <v>1451</v>
      </c>
    </row>
    <row r="336" spans="2:18" ht="34" x14ac:dyDescent="0.2">
      <c r="B336" s="11" t="s">
        <v>4</v>
      </c>
      <c r="C336" s="12" t="str">
        <f>VLOOKUP(LOWER(E332),experiments_specs!$A:$J,5,FALSE)</f>
        <v>True</v>
      </c>
      <c r="D336" s="15" t="s">
        <v>1275</v>
      </c>
      <c r="E336" s="6" t="s">
        <v>13</v>
      </c>
      <c r="F336" s="18" t="s">
        <v>1374</v>
      </c>
      <c r="G336" s="18" t="s">
        <v>1313</v>
      </c>
      <c r="H336" s="19">
        <v>7.3264000000000003E-3</v>
      </c>
      <c r="I336" s="51" t="s">
        <v>1376</v>
      </c>
      <c r="K336" s="11" t="s">
        <v>4</v>
      </c>
      <c r="L336" s="12" t="str">
        <f>VLOOKUP(LOWER(N332),experiments_specs!$A:$J,5,FALSE)</f>
        <v>True</v>
      </c>
      <c r="M336" s="15" t="s">
        <v>1276</v>
      </c>
      <c r="N336" s="6" t="s">
        <v>13</v>
      </c>
      <c r="O336" s="18" t="s">
        <v>1374</v>
      </c>
      <c r="P336" s="18" t="s">
        <v>1313</v>
      </c>
      <c r="Q336" s="19">
        <v>7.3264000000000003E-3</v>
      </c>
      <c r="R336" s="51" t="s">
        <v>1376</v>
      </c>
    </row>
    <row r="337" spans="2:18" x14ac:dyDescent="0.2">
      <c r="B337" s="11" t="s">
        <v>5</v>
      </c>
      <c r="C337" s="12" t="str">
        <f>VLOOKUP(LOWER(E332),experiments_specs!$A:$J,6,FALSE)</f>
        <v>False</v>
      </c>
      <c r="D337" s="15" t="s">
        <v>1275</v>
      </c>
      <c r="E337" s="6" t="s">
        <v>14</v>
      </c>
      <c r="F337" s="19" t="s">
        <v>1361</v>
      </c>
      <c r="G337" s="19">
        <v>3</v>
      </c>
      <c r="H337" s="19">
        <v>7.7761000000000002E-3</v>
      </c>
      <c r="I337" s="31">
        <v>0.30769229999999997</v>
      </c>
      <c r="K337" s="11" t="s">
        <v>5</v>
      </c>
      <c r="L337" s="12" t="str">
        <f>VLOOKUP(LOWER(N332),experiments_specs!$A:$J,6,FALSE)</f>
        <v>False</v>
      </c>
      <c r="M337" s="15" t="s">
        <v>1276</v>
      </c>
      <c r="N337" s="6" t="s">
        <v>14</v>
      </c>
      <c r="O337" s="19" t="s">
        <v>1361</v>
      </c>
      <c r="P337" s="19">
        <v>3</v>
      </c>
      <c r="Q337" s="19">
        <v>7.7761000000000002E-3</v>
      </c>
      <c r="R337" s="31">
        <v>0.30769229999999997</v>
      </c>
    </row>
    <row r="338" spans="2:18" ht="68" x14ac:dyDescent="0.2">
      <c r="B338" s="11" t="s">
        <v>6</v>
      </c>
      <c r="C338" s="12" t="str">
        <f>VLOOKUP(LOWER(E332),experiments_specs!$A:$J,7,FALSE)</f>
        <v>True</v>
      </c>
      <c r="D338" s="15" t="s">
        <v>1275</v>
      </c>
      <c r="E338" s="6" t="s">
        <v>15</v>
      </c>
      <c r="F338" s="18" t="s">
        <v>1378</v>
      </c>
      <c r="G338" s="18" t="s">
        <v>1380</v>
      </c>
      <c r="H338" s="19">
        <v>6.7901000000000003E-3</v>
      </c>
      <c r="I338" s="51" t="s">
        <v>1453</v>
      </c>
      <c r="K338" s="11" t="s">
        <v>6</v>
      </c>
      <c r="L338" s="12" t="str">
        <f>VLOOKUP(LOWER(N332),experiments_specs!$A:$J,7,FALSE)</f>
        <v>True</v>
      </c>
      <c r="M338" s="15" t="s">
        <v>1276</v>
      </c>
      <c r="N338" s="6" t="s">
        <v>15</v>
      </c>
      <c r="O338" s="18" t="s">
        <v>1378</v>
      </c>
      <c r="P338" s="18" t="s">
        <v>1380</v>
      </c>
      <c r="Q338" s="19">
        <v>6.7901000000000003E-3</v>
      </c>
      <c r="R338" s="51" t="s">
        <v>1453</v>
      </c>
    </row>
    <row r="339" spans="2:18" x14ac:dyDescent="0.2">
      <c r="B339" s="11" t="s">
        <v>7</v>
      </c>
      <c r="C339" s="12" t="str">
        <f>VLOOKUP(LOWER(E332),experiments_specs!$A:$J,8,FALSE)</f>
        <v>False</v>
      </c>
      <c r="D339" s="15" t="s">
        <v>1275</v>
      </c>
      <c r="E339" s="6" t="s">
        <v>16</v>
      </c>
      <c r="F339" s="19" t="s">
        <v>641</v>
      </c>
      <c r="G339" s="19">
        <v>2</v>
      </c>
      <c r="H339" s="19">
        <v>4.6296000000000002E-3</v>
      </c>
      <c r="I339" s="31">
        <v>0.13333329999999999</v>
      </c>
      <c r="K339" s="11" t="s">
        <v>7</v>
      </c>
      <c r="L339" s="12" t="str">
        <f>VLOOKUP(LOWER(N332),experiments_specs!$A:$J,8,FALSE)</f>
        <v>False</v>
      </c>
      <c r="M339" s="15" t="s">
        <v>1276</v>
      </c>
      <c r="N339" s="6" t="s">
        <v>16</v>
      </c>
      <c r="O339" s="19" t="s">
        <v>641</v>
      </c>
      <c r="P339" s="19">
        <v>2</v>
      </c>
      <c r="Q339" s="19">
        <v>4.6296000000000002E-3</v>
      </c>
      <c r="R339" s="31">
        <v>0.13333329999999999</v>
      </c>
    </row>
    <row r="340" spans="2:18" x14ac:dyDescent="0.2">
      <c r="B340" s="11" t="s">
        <v>8</v>
      </c>
      <c r="C340" s="12" t="str">
        <f>VLOOKUP(LOWER(E332),experiments_specs!$A:$J,9,FALSE)</f>
        <v>wup_similarity</v>
      </c>
      <c r="D340" s="15" t="s">
        <v>1275</v>
      </c>
      <c r="E340" s="6" t="s">
        <v>17</v>
      </c>
      <c r="F340" s="19" t="s">
        <v>1382</v>
      </c>
      <c r="G340" s="19">
        <v>1</v>
      </c>
      <c r="H340" s="19">
        <v>8.9087000000000003E-3</v>
      </c>
      <c r="I340" s="31">
        <v>0.18181810000000001</v>
      </c>
      <c r="K340" s="11" t="s">
        <v>8</v>
      </c>
      <c r="L340" s="12" t="str">
        <f>VLOOKUP(LOWER(N332),experiments_specs!$A:$J,9,FALSE)</f>
        <v>wup_similarity</v>
      </c>
      <c r="M340" s="15" t="s">
        <v>1276</v>
      </c>
      <c r="N340" s="6" t="s">
        <v>17</v>
      </c>
      <c r="O340" s="19" t="s">
        <v>1382</v>
      </c>
      <c r="P340" s="19">
        <v>1</v>
      </c>
      <c r="Q340" s="19">
        <v>8.9087000000000003E-3</v>
      </c>
      <c r="R340" s="31">
        <v>0.18181810000000001</v>
      </c>
    </row>
    <row r="341" spans="2:18" x14ac:dyDescent="0.2">
      <c r="B341" s="11" t="s">
        <v>9</v>
      </c>
      <c r="C341" s="12" t="str">
        <f>VLOOKUP(LOWER(E332),experiments_specs!$A:$J,10,FALSE)</f>
        <v>False</v>
      </c>
      <c r="D341" s="15" t="s">
        <v>1275</v>
      </c>
      <c r="E341" s="7" t="s">
        <v>18</v>
      </c>
      <c r="F341" s="20" t="s">
        <v>652</v>
      </c>
      <c r="G341" s="20">
        <v>2</v>
      </c>
      <c r="H341" s="20">
        <v>7.8050999999999997E-3</v>
      </c>
      <c r="I341" s="32">
        <v>0.2105263</v>
      </c>
      <c r="K341" s="11" t="s">
        <v>9</v>
      </c>
      <c r="L341" s="12" t="str">
        <f>VLOOKUP(LOWER(N332),experiments_specs!$A:$J,10,FALSE)</f>
        <v>False</v>
      </c>
      <c r="M341" s="15" t="s">
        <v>1276</v>
      </c>
      <c r="N341" s="7" t="s">
        <v>18</v>
      </c>
      <c r="O341" s="20" t="s">
        <v>652</v>
      </c>
      <c r="P341" s="20">
        <v>2</v>
      </c>
      <c r="Q341" s="20">
        <v>7.8050999999999997E-3</v>
      </c>
      <c r="R341" s="32">
        <v>0.2105263</v>
      </c>
    </row>
    <row r="342" spans="2:18" ht="17" thickBot="1" x14ac:dyDescent="0.25"/>
    <row r="343" spans="2:18" ht="20" thickBot="1" x14ac:dyDescent="0.3">
      <c r="B343" s="13" t="s">
        <v>126</v>
      </c>
      <c r="C343" s="14"/>
      <c r="D343" s="9"/>
      <c r="E343" s="10" t="str">
        <f>"TEST_"&amp;TEXT(RIGHT(N332,3)+1, "00")</f>
        <v>TEST_153</v>
      </c>
      <c r="F343" s="41" t="s">
        <v>1306</v>
      </c>
      <c r="G343" s="41"/>
      <c r="H343" s="41"/>
      <c r="I343" s="41"/>
      <c r="K343" s="13" t="s">
        <v>126</v>
      </c>
      <c r="L343" s="14"/>
      <c r="M343" s="9"/>
      <c r="N343" s="10" t="str">
        <f>"TEST_"&amp;TEXT(RIGHT(E343,3)+1, "00")</f>
        <v>TEST_154</v>
      </c>
      <c r="O343" s="41" t="s">
        <v>1306</v>
      </c>
      <c r="P343" s="41"/>
      <c r="Q343" s="41"/>
      <c r="R343" s="41"/>
    </row>
    <row r="344" spans="2:18" x14ac:dyDescent="0.2">
      <c r="B344" s="11" t="s">
        <v>1</v>
      </c>
      <c r="C344" s="12" t="str">
        <f>VLOOKUP(LOWER(E343),experiments_specs!$A:$J,2,FALSE)</f>
        <v>NN,VB,VBD,VBG,VBN,VBP,VBZ</v>
      </c>
      <c r="D344" s="15" t="str">
        <f>"{"&amp;LOWER(E343)&amp;".csv}"</f>
        <v>{test_153.csv}</v>
      </c>
      <c r="E344" s="8" t="s">
        <v>118</v>
      </c>
      <c r="F344" s="3" t="s">
        <v>1307</v>
      </c>
      <c r="G344" s="3"/>
      <c r="H344" s="3" t="s">
        <v>178</v>
      </c>
      <c r="I344" s="29" t="s">
        <v>121</v>
      </c>
      <c r="K344" s="11" t="s">
        <v>1</v>
      </c>
      <c r="L344" s="12" t="str">
        <f>VLOOKUP(LOWER(N343),experiments_specs!$A:$J,2,FALSE)</f>
        <v>NN,VB,VBD,VBG,VBN,VBP,VBZ</v>
      </c>
      <c r="M344" s="15" t="str">
        <f>"{"&amp;LOWER(N343)&amp;".csv}"</f>
        <v>{test_154.csv}</v>
      </c>
      <c r="N344" s="8" t="s">
        <v>118</v>
      </c>
      <c r="O344" s="3" t="s">
        <v>1307</v>
      </c>
      <c r="P344" s="3"/>
      <c r="Q344" s="3" t="s">
        <v>178</v>
      </c>
      <c r="R344" s="29" t="s">
        <v>121</v>
      </c>
    </row>
    <row r="345" spans="2:18" ht="17" x14ac:dyDescent="0.2">
      <c r="B345" s="11" t="s">
        <v>2</v>
      </c>
      <c r="C345" s="12">
        <f>VLOOKUP(LOWER(E343),experiments_specs!$A:$J,3,FALSE)</f>
        <v>0</v>
      </c>
      <c r="D345" s="15" t="s">
        <v>1277</v>
      </c>
      <c r="E345" s="5" t="s">
        <v>19</v>
      </c>
      <c r="F345" s="17" t="s">
        <v>1357</v>
      </c>
      <c r="G345" s="17">
        <v>3</v>
      </c>
      <c r="H345" s="17">
        <v>1.19545E-2</v>
      </c>
      <c r="I345" s="30">
        <v>0.18181810000000001</v>
      </c>
      <c r="K345" s="11" t="s">
        <v>2</v>
      </c>
      <c r="L345" s="12">
        <f>VLOOKUP(LOWER(N343),experiments_specs!$A:$J,3,FALSE)</f>
        <v>0</v>
      </c>
      <c r="M345" s="15" t="s">
        <v>1278</v>
      </c>
      <c r="N345" s="5" t="s">
        <v>19</v>
      </c>
      <c r="O345" s="17" t="s">
        <v>1357</v>
      </c>
      <c r="P345" s="17">
        <v>3</v>
      </c>
      <c r="Q345" s="17">
        <v>1.19545E-2</v>
      </c>
      <c r="R345" s="30">
        <v>0.18181810000000001</v>
      </c>
    </row>
    <row r="346" spans="2:18" ht="68" x14ac:dyDescent="0.2">
      <c r="B346" s="11" t="s">
        <v>3</v>
      </c>
      <c r="C346" s="12">
        <f>VLOOKUP(LOWER(E343),experiments_specs!$A:$J,4,FALSE)</f>
        <v>2</v>
      </c>
      <c r="D346" s="15" t="s">
        <v>1277</v>
      </c>
      <c r="E346" s="6" t="s">
        <v>12</v>
      </c>
      <c r="F346" s="18" t="s">
        <v>1370</v>
      </c>
      <c r="G346" s="18" t="s">
        <v>1372</v>
      </c>
      <c r="H346" s="19">
        <v>1.16965E-2</v>
      </c>
      <c r="I346" s="51" t="s">
        <v>1451</v>
      </c>
      <c r="K346" s="11" t="s">
        <v>3</v>
      </c>
      <c r="L346" s="12">
        <f>VLOOKUP(LOWER(N343),experiments_specs!$A:$J,4,FALSE)</f>
        <v>3</v>
      </c>
      <c r="M346" s="15" t="s">
        <v>1278</v>
      </c>
      <c r="N346" s="6" t="s">
        <v>12</v>
      </c>
      <c r="O346" s="18" t="s">
        <v>1370</v>
      </c>
      <c r="P346" s="18" t="s">
        <v>1372</v>
      </c>
      <c r="Q346" s="19">
        <v>1.16965E-2</v>
      </c>
      <c r="R346" s="51" t="s">
        <v>1451</v>
      </c>
    </row>
    <row r="347" spans="2:18" ht="34" x14ac:dyDescent="0.2">
      <c r="B347" s="11" t="s">
        <v>4</v>
      </c>
      <c r="C347" s="12" t="str">
        <f>VLOOKUP(LOWER(E343),experiments_specs!$A:$J,5,FALSE)</f>
        <v>True</v>
      </c>
      <c r="D347" s="15" t="s">
        <v>1277</v>
      </c>
      <c r="E347" s="6" t="s">
        <v>13</v>
      </c>
      <c r="F347" s="18" t="s">
        <v>1374</v>
      </c>
      <c r="G347" s="18" t="s">
        <v>1313</v>
      </c>
      <c r="H347" s="19">
        <v>8.6759999999999997E-3</v>
      </c>
      <c r="I347" s="51" t="s">
        <v>1376</v>
      </c>
      <c r="K347" s="11" t="s">
        <v>4</v>
      </c>
      <c r="L347" s="12" t="str">
        <f>VLOOKUP(LOWER(N343),experiments_specs!$A:$J,5,FALSE)</f>
        <v>True</v>
      </c>
      <c r="M347" s="15" t="s">
        <v>1278</v>
      </c>
      <c r="N347" s="6" t="s">
        <v>13</v>
      </c>
      <c r="O347" s="18" t="s">
        <v>1374</v>
      </c>
      <c r="P347" s="18" t="s">
        <v>1313</v>
      </c>
      <c r="Q347" s="19">
        <v>8.6759999999999997E-3</v>
      </c>
      <c r="R347" s="51" t="s">
        <v>1376</v>
      </c>
    </row>
    <row r="348" spans="2:18" x14ac:dyDescent="0.2">
      <c r="B348" s="11" t="s">
        <v>5</v>
      </c>
      <c r="C348" s="12" t="str">
        <f>VLOOKUP(LOWER(E343),experiments_specs!$A:$J,6,FALSE)</f>
        <v>False</v>
      </c>
      <c r="D348" s="15" t="s">
        <v>1277</v>
      </c>
      <c r="E348" s="6" t="s">
        <v>14</v>
      </c>
      <c r="F348" s="19" t="s">
        <v>1361</v>
      </c>
      <c r="G348" s="19">
        <v>3</v>
      </c>
      <c r="H348" s="19">
        <v>6.6381000000000001E-3</v>
      </c>
      <c r="I348" s="31">
        <v>0.30769229999999997</v>
      </c>
      <c r="K348" s="11" t="s">
        <v>5</v>
      </c>
      <c r="L348" s="12" t="str">
        <f>VLOOKUP(LOWER(N343),experiments_specs!$A:$J,6,FALSE)</f>
        <v>False</v>
      </c>
      <c r="M348" s="15" t="s">
        <v>1278</v>
      </c>
      <c r="N348" s="6" t="s">
        <v>14</v>
      </c>
      <c r="O348" s="19" t="s">
        <v>1361</v>
      </c>
      <c r="P348" s="19">
        <v>3</v>
      </c>
      <c r="Q348" s="19">
        <v>6.6381000000000001E-3</v>
      </c>
      <c r="R348" s="31">
        <v>0.30769229999999997</v>
      </c>
    </row>
    <row r="349" spans="2:18" x14ac:dyDescent="0.2">
      <c r="B349" s="11" t="s">
        <v>6</v>
      </c>
      <c r="C349" s="12" t="str">
        <f>VLOOKUP(LOWER(E343),experiments_specs!$A:$J,7,FALSE)</f>
        <v>True</v>
      </c>
      <c r="D349" s="15" t="s">
        <v>1277</v>
      </c>
      <c r="E349" s="6" t="s">
        <v>15</v>
      </c>
      <c r="F349" s="19" t="s">
        <v>410</v>
      </c>
      <c r="G349" s="19">
        <v>2</v>
      </c>
      <c r="H349" s="19">
        <v>9.0119999999999992E-3</v>
      </c>
      <c r="I349" s="31">
        <v>0.22222220000000001</v>
      </c>
      <c r="K349" s="11" t="s">
        <v>6</v>
      </c>
      <c r="L349" s="12" t="str">
        <f>VLOOKUP(LOWER(N343),experiments_specs!$A:$J,7,FALSE)</f>
        <v>True</v>
      </c>
      <c r="M349" s="15" t="s">
        <v>1278</v>
      </c>
      <c r="N349" s="6" t="s">
        <v>15</v>
      </c>
      <c r="O349" s="19" t="s">
        <v>410</v>
      </c>
      <c r="P349" s="19">
        <v>2</v>
      </c>
      <c r="Q349" s="19">
        <v>9.0119999999999992E-3</v>
      </c>
      <c r="R349" s="31">
        <v>0.22222220000000001</v>
      </c>
    </row>
    <row r="350" spans="2:18" x14ac:dyDescent="0.2">
      <c r="B350" s="11" t="s">
        <v>7</v>
      </c>
      <c r="C350" s="12" t="str">
        <f>VLOOKUP(LOWER(E343),experiments_specs!$A:$J,8,FALSE)</f>
        <v>False</v>
      </c>
      <c r="D350" s="15" t="s">
        <v>1277</v>
      </c>
      <c r="E350" s="6" t="s">
        <v>16</v>
      </c>
      <c r="F350" s="19" t="s">
        <v>641</v>
      </c>
      <c r="G350" s="19">
        <v>2</v>
      </c>
      <c r="H350" s="19">
        <v>3.4721999999999999E-3</v>
      </c>
      <c r="I350" s="31">
        <v>0.13333329999999999</v>
      </c>
      <c r="K350" s="11" t="s">
        <v>7</v>
      </c>
      <c r="L350" s="12" t="str">
        <f>VLOOKUP(LOWER(N343),experiments_specs!$A:$J,8,FALSE)</f>
        <v>False</v>
      </c>
      <c r="M350" s="15" t="s">
        <v>1278</v>
      </c>
      <c r="N350" s="6" t="s">
        <v>16</v>
      </c>
      <c r="O350" s="19" t="s">
        <v>641</v>
      </c>
      <c r="P350" s="19">
        <v>2</v>
      </c>
      <c r="Q350" s="19">
        <v>3.4721999999999999E-3</v>
      </c>
      <c r="R350" s="31">
        <v>0.13333329999999999</v>
      </c>
    </row>
    <row r="351" spans="2:18" ht="68" x14ac:dyDescent="0.2">
      <c r="B351" s="11" t="s">
        <v>8</v>
      </c>
      <c r="C351" s="12" t="str">
        <f>VLOOKUP(LOWER(E343),experiments_specs!$A:$J,9,FALSE)</f>
        <v>wup_similarity</v>
      </c>
      <c r="D351" s="15" t="s">
        <v>1277</v>
      </c>
      <c r="E351" s="6" t="s">
        <v>17</v>
      </c>
      <c r="F351" s="18" t="s">
        <v>1383</v>
      </c>
      <c r="G351" s="18" t="s">
        <v>1313</v>
      </c>
      <c r="H351" s="19">
        <v>1.5683300000000001E-2</v>
      </c>
      <c r="I351" s="51" t="s">
        <v>1431</v>
      </c>
      <c r="K351" s="11" t="s">
        <v>8</v>
      </c>
      <c r="L351" s="12" t="str">
        <f>VLOOKUP(LOWER(N343),experiments_specs!$A:$J,9,FALSE)</f>
        <v>wup_similarity</v>
      </c>
      <c r="M351" s="15" t="s">
        <v>1278</v>
      </c>
      <c r="N351" s="6" t="s">
        <v>17</v>
      </c>
      <c r="O351" s="18" t="s">
        <v>1383</v>
      </c>
      <c r="P351" s="18" t="s">
        <v>1313</v>
      </c>
      <c r="Q351" s="19">
        <v>1.5683300000000001E-2</v>
      </c>
      <c r="R351" s="51" t="s">
        <v>1431</v>
      </c>
    </row>
    <row r="352" spans="2:18" x14ac:dyDescent="0.2">
      <c r="B352" s="11" t="s">
        <v>9</v>
      </c>
      <c r="C352" s="12" t="str">
        <f>VLOOKUP(LOWER(E343),experiments_specs!$A:$J,10,FALSE)</f>
        <v>False</v>
      </c>
      <c r="D352" s="15" t="s">
        <v>1277</v>
      </c>
      <c r="E352" s="7" t="s">
        <v>18</v>
      </c>
      <c r="F352" s="20" t="s">
        <v>652</v>
      </c>
      <c r="G352" s="20">
        <v>2</v>
      </c>
      <c r="H352" s="20">
        <v>5.9756999999999996E-3</v>
      </c>
      <c r="I352" s="32">
        <v>0.2105263</v>
      </c>
      <c r="K352" s="11" t="s">
        <v>9</v>
      </c>
      <c r="L352" s="12" t="str">
        <f>VLOOKUP(LOWER(N343),experiments_specs!$A:$J,10,FALSE)</f>
        <v>False</v>
      </c>
      <c r="M352" s="15" t="s">
        <v>1278</v>
      </c>
      <c r="N352" s="7" t="s">
        <v>18</v>
      </c>
      <c r="O352" s="20" t="s">
        <v>652</v>
      </c>
      <c r="P352" s="20">
        <v>2</v>
      </c>
      <c r="Q352" s="20">
        <v>5.9756999999999996E-3</v>
      </c>
      <c r="R352" s="32">
        <v>0.2105263</v>
      </c>
    </row>
    <row r="353" spans="2:18" ht="17" thickBot="1" x14ac:dyDescent="0.25"/>
    <row r="354" spans="2:18" ht="20" thickBot="1" x14ac:dyDescent="0.3">
      <c r="B354" s="13" t="s">
        <v>126</v>
      </c>
      <c r="C354" s="14"/>
      <c r="D354" s="9"/>
      <c r="E354" s="10" t="str">
        <f>"TEST_"&amp;TEXT(RIGHT(N343,3)+1, "00")</f>
        <v>TEST_155</v>
      </c>
      <c r="F354" s="41" t="s">
        <v>1306</v>
      </c>
      <c r="G354" s="41"/>
      <c r="H354" s="41"/>
      <c r="I354" s="41"/>
      <c r="K354" s="13" t="s">
        <v>126</v>
      </c>
      <c r="L354" s="14"/>
      <c r="M354" s="9"/>
      <c r="N354" s="10" t="str">
        <f>"TEST_"&amp;TEXT(RIGHT(E354,3)+1, "00")</f>
        <v>TEST_156</v>
      </c>
      <c r="O354" s="41" t="s">
        <v>1306</v>
      </c>
      <c r="P354" s="41"/>
      <c r="Q354" s="41"/>
      <c r="R354" s="41"/>
    </row>
    <row r="355" spans="2:18" x14ac:dyDescent="0.2">
      <c r="B355" s="11" t="s">
        <v>1</v>
      </c>
      <c r="C355" s="12" t="str">
        <f>VLOOKUP(LOWER(E354),experiments_specs!$A:$J,2,FALSE)</f>
        <v>NN,JJ,VB,VBD,VBG,VBN,VBP,VBZ</v>
      </c>
      <c r="D355" s="15" t="str">
        <f>"{"&amp;LOWER(E354)&amp;".csv}"</f>
        <v>{test_155.csv}</v>
      </c>
      <c r="E355" s="8" t="s">
        <v>118</v>
      </c>
      <c r="F355" s="3" t="s">
        <v>1307</v>
      </c>
      <c r="G355" s="3"/>
      <c r="H355" s="3" t="s">
        <v>178</v>
      </c>
      <c r="I355" s="29" t="s">
        <v>121</v>
      </c>
      <c r="K355" s="11" t="s">
        <v>1</v>
      </c>
      <c r="L355" s="12" t="str">
        <f>VLOOKUP(LOWER(N354),experiments_specs!$A:$J,2,FALSE)</f>
        <v>NN,JJ,VB,VBD,VBG,VBN,VBP,VBZ</v>
      </c>
      <c r="M355" s="15" t="str">
        <f>"{"&amp;LOWER(N354)&amp;".csv}"</f>
        <v>{test_156.csv}</v>
      </c>
      <c r="N355" s="8" t="s">
        <v>118</v>
      </c>
      <c r="O355" s="3" t="s">
        <v>1307</v>
      </c>
      <c r="P355" s="3"/>
      <c r="Q355" s="3" t="s">
        <v>178</v>
      </c>
      <c r="R355" s="29" t="s">
        <v>121</v>
      </c>
    </row>
    <row r="356" spans="2:18" ht="17" x14ac:dyDescent="0.2">
      <c r="B356" s="11" t="s">
        <v>2</v>
      </c>
      <c r="C356" s="12">
        <f>VLOOKUP(LOWER(E354),experiments_specs!$A:$J,3,FALSE)</f>
        <v>0</v>
      </c>
      <c r="D356" s="15" t="s">
        <v>1279</v>
      </c>
      <c r="E356" s="5" t="s">
        <v>19</v>
      </c>
      <c r="F356" s="17" t="s">
        <v>1357</v>
      </c>
      <c r="G356" s="17">
        <v>3</v>
      </c>
      <c r="H356" s="17">
        <v>9.3302999999999997E-3</v>
      </c>
      <c r="I356" s="30">
        <v>0.18181810000000001</v>
      </c>
      <c r="K356" s="11" t="s">
        <v>2</v>
      </c>
      <c r="L356" s="12">
        <f>VLOOKUP(LOWER(N354),experiments_specs!$A:$J,3,FALSE)</f>
        <v>0</v>
      </c>
      <c r="M356" s="15" t="s">
        <v>1280</v>
      </c>
      <c r="N356" s="5" t="s">
        <v>19</v>
      </c>
      <c r="O356" s="17" t="s">
        <v>1357</v>
      </c>
      <c r="P356" s="17">
        <v>3</v>
      </c>
      <c r="Q356" s="17">
        <v>9.3302999999999997E-3</v>
      </c>
      <c r="R356" s="30">
        <v>0.18181810000000001</v>
      </c>
    </row>
    <row r="357" spans="2:18" ht="68" x14ac:dyDescent="0.2">
      <c r="B357" s="11" t="s">
        <v>3</v>
      </c>
      <c r="C357" s="12">
        <f>VLOOKUP(LOWER(E354),experiments_specs!$A:$J,4,FALSE)</f>
        <v>2</v>
      </c>
      <c r="D357" s="15" t="s">
        <v>1279</v>
      </c>
      <c r="E357" s="6" t="s">
        <v>12</v>
      </c>
      <c r="F357" s="18" t="s">
        <v>1370</v>
      </c>
      <c r="G357" s="18" t="s">
        <v>1372</v>
      </c>
      <c r="H357" s="19">
        <v>8.7723999999999996E-3</v>
      </c>
      <c r="I357" s="51" t="s">
        <v>1451</v>
      </c>
      <c r="K357" s="11" t="s">
        <v>3</v>
      </c>
      <c r="L357" s="12">
        <f>VLOOKUP(LOWER(N354),experiments_specs!$A:$J,4,FALSE)</f>
        <v>3</v>
      </c>
      <c r="M357" s="15" t="s">
        <v>1280</v>
      </c>
      <c r="N357" s="6" t="s">
        <v>12</v>
      </c>
      <c r="O357" s="18" t="s">
        <v>1370</v>
      </c>
      <c r="P357" s="18" t="s">
        <v>1372</v>
      </c>
      <c r="Q357" s="19">
        <v>8.7723999999999996E-3</v>
      </c>
      <c r="R357" s="51" t="s">
        <v>1451</v>
      </c>
    </row>
    <row r="358" spans="2:18" ht="34" x14ac:dyDescent="0.2">
      <c r="B358" s="11" t="s">
        <v>4</v>
      </c>
      <c r="C358" s="12" t="str">
        <f>VLOOKUP(LOWER(E354),experiments_specs!$A:$J,5,FALSE)</f>
        <v>True</v>
      </c>
      <c r="D358" s="15" t="s">
        <v>1279</v>
      </c>
      <c r="E358" s="6" t="s">
        <v>13</v>
      </c>
      <c r="F358" s="18" t="s">
        <v>1374</v>
      </c>
      <c r="G358" s="18" t="s">
        <v>1313</v>
      </c>
      <c r="H358" s="19">
        <v>6.5938000000000004E-3</v>
      </c>
      <c r="I358" s="51" t="s">
        <v>1376</v>
      </c>
      <c r="K358" s="11" t="s">
        <v>4</v>
      </c>
      <c r="L358" s="12" t="str">
        <f>VLOOKUP(LOWER(N354),experiments_specs!$A:$J,5,FALSE)</f>
        <v>True</v>
      </c>
      <c r="M358" s="15" t="s">
        <v>1280</v>
      </c>
      <c r="N358" s="6" t="s">
        <v>13</v>
      </c>
      <c r="O358" s="18" t="s">
        <v>1374</v>
      </c>
      <c r="P358" s="18" t="s">
        <v>1313</v>
      </c>
      <c r="Q358" s="19">
        <v>6.5938000000000004E-3</v>
      </c>
      <c r="R358" s="51" t="s">
        <v>1376</v>
      </c>
    </row>
    <row r="359" spans="2:18" x14ac:dyDescent="0.2">
      <c r="B359" s="11" t="s">
        <v>5</v>
      </c>
      <c r="C359" s="12" t="str">
        <f>VLOOKUP(LOWER(E354),experiments_specs!$A:$J,6,FALSE)</f>
        <v>False</v>
      </c>
      <c r="D359" s="15" t="s">
        <v>1279</v>
      </c>
      <c r="E359" s="6" t="s">
        <v>14</v>
      </c>
      <c r="F359" s="19" t="s">
        <v>1361</v>
      </c>
      <c r="G359" s="19">
        <v>3</v>
      </c>
      <c r="H359" s="19">
        <v>5.6701E-3</v>
      </c>
      <c r="I359" s="31">
        <v>0.30769229999999997</v>
      </c>
      <c r="K359" s="11" t="s">
        <v>5</v>
      </c>
      <c r="L359" s="12" t="str">
        <f>VLOOKUP(LOWER(N354),experiments_specs!$A:$J,6,FALSE)</f>
        <v>False</v>
      </c>
      <c r="M359" s="15" t="s">
        <v>1280</v>
      </c>
      <c r="N359" s="6" t="s">
        <v>14</v>
      </c>
      <c r="O359" s="19" t="s">
        <v>1361</v>
      </c>
      <c r="P359" s="19">
        <v>3</v>
      </c>
      <c r="Q359" s="19">
        <v>5.6701E-3</v>
      </c>
      <c r="R359" s="31">
        <v>0.30769229999999997</v>
      </c>
    </row>
    <row r="360" spans="2:18" x14ac:dyDescent="0.2">
      <c r="B360" s="11" t="s">
        <v>6</v>
      </c>
      <c r="C360" s="12" t="str">
        <f>VLOOKUP(LOWER(E354),experiments_specs!$A:$J,7,FALSE)</f>
        <v>True</v>
      </c>
      <c r="D360" s="15" t="s">
        <v>1279</v>
      </c>
      <c r="E360" s="6" t="s">
        <v>15</v>
      </c>
      <c r="F360" s="19" t="s">
        <v>410</v>
      </c>
      <c r="G360" s="19">
        <v>2</v>
      </c>
      <c r="H360" s="19">
        <v>6.9842999999999997E-3</v>
      </c>
      <c r="I360" s="31">
        <v>0.22222220000000001</v>
      </c>
      <c r="K360" s="11" t="s">
        <v>6</v>
      </c>
      <c r="L360" s="12" t="str">
        <f>VLOOKUP(LOWER(N354),experiments_specs!$A:$J,7,FALSE)</f>
        <v>True</v>
      </c>
      <c r="M360" s="15" t="s">
        <v>1280</v>
      </c>
      <c r="N360" s="6" t="s">
        <v>15</v>
      </c>
      <c r="O360" s="19" t="s">
        <v>410</v>
      </c>
      <c r="P360" s="19">
        <v>2</v>
      </c>
      <c r="Q360" s="19">
        <v>6.9842999999999997E-3</v>
      </c>
      <c r="R360" s="31">
        <v>0.22222220000000001</v>
      </c>
    </row>
    <row r="361" spans="2:18" x14ac:dyDescent="0.2">
      <c r="B361" s="11" t="s">
        <v>7</v>
      </c>
      <c r="C361" s="12" t="str">
        <f>VLOOKUP(LOWER(E354),experiments_specs!$A:$J,8,FALSE)</f>
        <v>False</v>
      </c>
      <c r="D361" s="15" t="s">
        <v>1279</v>
      </c>
      <c r="E361" s="6" t="s">
        <v>16</v>
      </c>
      <c r="F361" s="19" t="s">
        <v>641</v>
      </c>
      <c r="G361" s="19">
        <v>2</v>
      </c>
      <c r="H361" s="19">
        <v>3.2050999999999998E-3</v>
      </c>
      <c r="I361" s="31">
        <v>0.13333329999999999</v>
      </c>
      <c r="K361" s="11" t="s">
        <v>7</v>
      </c>
      <c r="L361" s="12" t="str">
        <f>VLOOKUP(LOWER(N354),experiments_specs!$A:$J,8,FALSE)</f>
        <v>False</v>
      </c>
      <c r="M361" s="15" t="s">
        <v>1280</v>
      </c>
      <c r="N361" s="6" t="s">
        <v>16</v>
      </c>
      <c r="O361" s="19" t="s">
        <v>641</v>
      </c>
      <c r="P361" s="19">
        <v>2</v>
      </c>
      <c r="Q361" s="19">
        <v>3.2050999999999998E-3</v>
      </c>
      <c r="R361" s="31">
        <v>0.13333329999999999</v>
      </c>
    </row>
    <row r="362" spans="2:18" ht="68" x14ac:dyDescent="0.2">
      <c r="B362" s="11" t="s">
        <v>8</v>
      </c>
      <c r="C362" s="12" t="str">
        <f>VLOOKUP(LOWER(E354),experiments_specs!$A:$J,9,FALSE)</f>
        <v>wup_similarity</v>
      </c>
      <c r="D362" s="15" t="s">
        <v>1279</v>
      </c>
      <c r="E362" s="6" t="s">
        <v>17</v>
      </c>
      <c r="F362" s="18" t="s">
        <v>1383</v>
      </c>
      <c r="G362" s="18" t="s">
        <v>1313</v>
      </c>
      <c r="H362" s="19">
        <v>1.4082900000000001E-2</v>
      </c>
      <c r="I362" s="51" t="s">
        <v>1431</v>
      </c>
      <c r="K362" s="11" t="s">
        <v>8</v>
      </c>
      <c r="L362" s="12" t="str">
        <f>VLOOKUP(LOWER(N354),experiments_specs!$A:$J,9,FALSE)</f>
        <v>wup_similarity</v>
      </c>
      <c r="M362" s="15" t="s">
        <v>1280</v>
      </c>
      <c r="N362" s="6" t="s">
        <v>17</v>
      </c>
      <c r="O362" s="18" t="s">
        <v>1383</v>
      </c>
      <c r="P362" s="18" t="s">
        <v>1313</v>
      </c>
      <c r="Q362" s="19">
        <v>1.4082900000000001E-2</v>
      </c>
      <c r="R362" s="51" t="s">
        <v>1431</v>
      </c>
    </row>
    <row r="363" spans="2:18" x14ac:dyDescent="0.2">
      <c r="B363" s="11" t="s">
        <v>9</v>
      </c>
      <c r="C363" s="12" t="str">
        <f>VLOOKUP(LOWER(E354),experiments_specs!$A:$J,10,FALSE)</f>
        <v>False</v>
      </c>
      <c r="D363" s="15" t="s">
        <v>1279</v>
      </c>
      <c r="E363" s="7" t="s">
        <v>18</v>
      </c>
      <c r="F363" s="20" t="s">
        <v>652</v>
      </c>
      <c r="G363" s="20">
        <v>2</v>
      </c>
      <c r="H363" s="20">
        <v>4.8411000000000001E-3</v>
      </c>
      <c r="I363" s="32">
        <v>0.2105263</v>
      </c>
      <c r="K363" s="11" t="s">
        <v>9</v>
      </c>
      <c r="L363" s="12" t="str">
        <f>VLOOKUP(LOWER(N354),experiments_specs!$A:$J,10,FALSE)</f>
        <v>False</v>
      </c>
      <c r="M363" s="15" t="s">
        <v>1280</v>
      </c>
      <c r="N363" s="7" t="s">
        <v>18</v>
      </c>
      <c r="O363" s="20" t="s">
        <v>652</v>
      </c>
      <c r="P363" s="20">
        <v>2</v>
      </c>
      <c r="Q363" s="20">
        <v>4.8411000000000001E-3</v>
      </c>
      <c r="R363" s="32">
        <v>0.2105263</v>
      </c>
    </row>
    <row r="364" spans="2:18" ht="17" thickBot="1" x14ac:dyDescent="0.25"/>
    <row r="365" spans="2:18" ht="20" thickBot="1" x14ac:dyDescent="0.3">
      <c r="B365" s="13" t="s">
        <v>126</v>
      </c>
      <c r="C365" s="14"/>
      <c r="D365" s="9"/>
      <c r="E365" s="10" t="str">
        <f>"TEST_"&amp;TEXT(RIGHT(N354,3)+1, "00")</f>
        <v>TEST_157</v>
      </c>
      <c r="F365" s="41" t="s">
        <v>1306</v>
      </c>
      <c r="G365" s="41"/>
      <c r="H365" s="41"/>
      <c r="I365" s="41"/>
      <c r="K365" s="13" t="s">
        <v>126</v>
      </c>
      <c r="L365" s="14"/>
      <c r="M365" s="9"/>
      <c r="N365" s="10" t="str">
        <f>"TEST_"&amp;TEXT(RIGHT(E365,3)+1, "00")</f>
        <v>TEST_158</v>
      </c>
      <c r="O365" s="41" t="s">
        <v>1306</v>
      </c>
      <c r="P365" s="41"/>
      <c r="Q365" s="41"/>
      <c r="R365" s="41"/>
    </row>
    <row r="366" spans="2:18" x14ac:dyDescent="0.2">
      <c r="B366" s="11" t="s">
        <v>1</v>
      </c>
      <c r="C366" s="12" t="str">
        <f>VLOOKUP(LOWER(E365),experiments_specs!$A:$J,2,FALSE)</f>
        <v>NN,JJ</v>
      </c>
      <c r="D366" s="15" t="str">
        <f>"{"&amp;LOWER(E365)&amp;".csv}"</f>
        <v>{test_157.csv}</v>
      </c>
      <c r="E366" s="8" t="s">
        <v>118</v>
      </c>
      <c r="F366" s="3" t="s">
        <v>1307</v>
      </c>
      <c r="G366" s="3"/>
      <c r="H366" s="3" t="s">
        <v>178</v>
      </c>
      <c r="I366" s="29" t="s">
        <v>121</v>
      </c>
      <c r="K366" s="11" t="s">
        <v>1</v>
      </c>
      <c r="L366" s="12" t="str">
        <f>VLOOKUP(LOWER(N365),experiments_specs!$A:$J,2,FALSE)</f>
        <v>NN,JJ</v>
      </c>
      <c r="M366" s="15" t="str">
        <f>"{"&amp;LOWER(N365)&amp;".csv}"</f>
        <v>{test_158.csv}</v>
      </c>
      <c r="N366" s="8" t="s">
        <v>118</v>
      </c>
      <c r="O366" s="3" t="s">
        <v>1307</v>
      </c>
      <c r="P366" s="3"/>
      <c r="Q366" s="3" t="s">
        <v>178</v>
      </c>
      <c r="R366" s="29" t="s">
        <v>121</v>
      </c>
    </row>
    <row r="367" spans="2:18" ht="17" x14ac:dyDescent="0.2">
      <c r="B367" s="11" t="s">
        <v>2</v>
      </c>
      <c r="C367" s="12">
        <f>VLOOKUP(LOWER(E365),experiments_specs!$A:$J,3,FALSE)</f>
        <v>0</v>
      </c>
      <c r="D367" s="15" t="s">
        <v>1281</v>
      </c>
      <c r="E367" s="5" t="s">
        <v>19</v>
      </c>
      <c r="F367" s="17" t="s">
        <v>1357</v>
      </c>
      <c r="G367" s="17">
        <v>3</v>
      </c>
      <c r="H367" s="17">
        <v>1.3236000000000001E-3</v>
      </c>
      <c r="I367" s="30">
        <v>0.18181810000000001</v>
      </c>
      <c r="K367" s="11" t="s">
        <v>2</v>
      </c>
      <c r="L367" s="12">
        <f>VLOOKUP(LOWER(N365),experiments_specs!$A:$J,3,FALSE)</f>
        <v>0</v>
      </c>
      <c r="M367" s="15" t="s">
        <v>1282</v>
      </c>
      <c r="N367" s="5" t="s">
        <v>19</v>
      </c>
      <c r="O367" s="17" t="s">
        <v>1357</v>
      </c>
      <c r="P367" s="17">
        <v>3</v>
      </c>
      <c r="Q367" s="17">
        <v>1.31912E-2</v>
      </c>
      <c r="R367" s="30">
        <v>0.18181810000000001</v>
      </c>
    </row>
    <row r="368" spans="2:18" ht="68" x14ac:dyDescent="0.2">
      <c r="B368" s="11" t="s">
        <v>3</v>
      </c>
      <c r="C368" s="12">
        <f>VLOOKUP(LOWER(E365),experiments_specs!$A:$J,4,FALSE)</f>
        <v>2</v>
      </c>
      <c r="D368" s="15" t="s">
        <v>1281</v>
      </c>
      <c r="E368" s="6" t="s">
        <v>12</v>
      </c>
      <c r="F368" s="18" t="s">
        <v>1358</v>
      </c>
      <c r="G368" s="18" t="s">
        <v>1313</v>
      </c>
      <c r="H368" s="19">
        <v>9.9649999999999999E-4</v>
      </c>
      <c r="I368" s="51" t="s">
        <v>1443</v>
      </c>
      <c r="K368" s="11" t="s">
        <v>3</v>
      </c>
      <c r="L368" s="12">
        <f>VLOOKUP(LOWER(N365),experiments_specs!$A:$J,4,FALSE)</f>
        <v>3</v>
      </c>
      <c r="M368" s="15" t="s">
        <v>1282</v>
      </c>
      <c r="N368" s="6" t="s">
        <v>12</v>
      </c>
      <c r="O368" s="18" t="s">
        <v>1370</v>
      </c>
      <c r="P368" s="18" t="s">
        <v>1372</v>
      </c>
      <c r="Q368" s="19">
        <v>1.9139799999999998E-2</v>
      </c>
      <c r="R368" s="51" t="s">
        <v>1451</v>
      </c>
    </row>
    <row r="369" spans="2:18" x14ac:dyDescent="0.2">
      <c r="B369" s="11" t="s">
        <v>4</v>
      </c>
      <c r="C369" s="12" t="str">
        <f>VLOOKUP(LOWER(E365),experiments_specs!$A:$J,5,FALSE)</f>
        <v>False</v>
      </c>
      <c r="D369" s="15" t="s">
        <v>1281</v>
      </c>
      <c r="E369" s="6" t="s">
        <v>13</v>
      </c>
      <c r="F369" s="19" t="s">
        <v>1360</v>
      </c>
      <c r="G369" s="19">
        <v>1</v>
      </c>
      <c r="H369" s="19">
        <v>2.0148000000000002E-3</v>
      </c>
      <c r="I369" s="31">
        <v>0.22222220000000001</v>
      </c>
      <c r="K369" s="11" t="s">
        <v>4</v>
      </c>
      <c r="L369" s="12" t="str">
        <f>VLOOKUP(LOWER(N365),experiments_specs!$A:$J,5,FALSE)</f>
        <v>True</v>
      </c>
      <c r="M369" s="15" t="s">
        <v>1282</v>
      </c>
      <c r="N369" s="6" t="s">
        <v>13</v>
      </c>
      <c r="O369" s="19" t="s">
        <v>1385</v>
      </c>
      <c r="P369" s="19">
        <v>1</v>
      </c>
      <c r="Q369" s="19">
        <v>4.6439000000000003E-3</v>
      </c>
      <c r="R369" s="31" t="s">
        <v>25</v>
      </c>
    </row>
    <row r="370" spans="2:18" x14ac:dyDescent="0.2">
      <c r="B370" s="11" t="s">
        <v>5</v>
      </c>
      <c r="C370" s="12" t="str">
        <f>VLOOKUP(LOWER(E365),experiments_specs!$A:$J,6,FALSE)</f>
        <v>False</v>
      </c>
      <c r="D370" s="15" t="s">
        <v>1281</v>
      </c>
      <c r="E370" s="6" t="s">
        <v>14</v>
      </c>
      <c r="F370" s="19" t="s">
        <v>1361</v>
      </c>
      <c r="G370" s="19">
        <v>3</v>
      </c>
      <c r="H370" s="19">
        <v>1.2898E-3</v>
      </c>
      <c r="I370" s="31">
        <v>0.30769229999999997</v>
      </c>
      <c r="K370" s="11" t="s">
        <v>5</v>
      </c>
      <c r="L370" s="12" t="str">
        <f>VLOOKUP(LOWER(N365),experiments_specs!$A:$J,6,FALSE)</f>
        <v>False</v>
      </c>
      <c r="M370" s="15" t="s">
        <v>1282</v>
      </c>
      <c r="N370" s="6" t="s">
        <v>14</v>
      </c>
      <c r="O370" s="19" t="s">
        <v>1361</v>
      </c>
      <c r="P370" s="19">
        <v>3</v>
      </c>
      <c r="Q370" s="19">
        <v>8.2474000000000002E-3</v>
      </c>
      <c r="R370" s="31">
        <v>0.30769229999999997</v>
      </c>
    </row>
    <row r="371" spans="2:18" ht="68" x14ac:dyDescent="0.2">
      <c r="B371" s="11" t="s">
        <v>6</v>
      </c>
      <c r="C371" s="12" t="str">
        <f>VLOOKUP(LOWER(E365),experiments_specs!$A:$J,7,FALSE)</f>
        <v>True</v>
      </c>
      <c r="D371" s="15" t="s">
        <v>1281</v>
      </c>
      <c r="E371" s="6" t="s">
        <v>15</v>
      </c>
      <c r="F371" s="19" t="s">
        <v>1362</v>
      </c>
      <c r="G371" s="19">
        <v>1</v>
      </c>
      <c r="H371" s="19">
        <v>1.8205999999999999E-3</v>
      </c>
      <c r="I371" s="31">
        <v>0.2</v>
      </c>
      <c r="K371" s="11" t="s">
        <v>6</v>
      </c>
      <c r="L371" s="12" t="str">
        <f>VLOOKUP(LOWER(N365),experiments_specs!$A:$J,7,FALSE)</f>
        <v>True</v>
      </c>
      <c r="M371" s="15" t="s">
        <v>1282</v>
      </c>
      <c r="N371" s="6" t="s">
        <v>15</v>
      </c>
      <c r="O371" s="18" t="s">
        <v>1378</v>
      </c>
      <c r="P371" s="18" t="s">
        <v>1380</v>
      </c>
      <c r="Q371" s="19">
        <v>7.8085999999999997E-3</v>
      </c>
      <c r="R371" s="51" t="s">
        <v>1453</v>
      </c>
    </row>
    <row r="372" spans="2:18" x14ac:dyDescent="0.2">
      <c r="B372" s="11" t="s">
        <v>7</v>
      </c>
      <c r="C372" s="12" t="str">
        <f>VLOOKUP(LOWER(E365),experiments_specs!$A:$J,8,FALSE)</f>
        <v>False</v>
      </c>
      <c r="D372" s="15" t="s">
        <v>1281</v>
      </c>
      <c r="E372" s="6" t="s">
        <v>16</v>
      </c>
      <c r="F372" s="19" t="s">
        <v>554</v>
      </c>
      <c r="G372" s="19">
        <v>2</v>
      </c>
      <c r="H372" s="19">
        <v>1.2290999999999999E-3</v>
      </c>
      <c r="I372" s="31">
        <v>0.14285709999999999</v>
      </c>
      <c r="K372" s="11" t="s">
        <v>7</v>
      </c>
      <c r="L372" s="12" t="str">
        <f>VLOOKUP(LOWER(N365),experiments_specs!$A:$J,8,FALSE)</f>
        <v>False</v>
      </c>
      <c r="M372" s="15" t="s">
        <v>1282</v>
      </c>
      <c r="N372" s="6" t="s">
        <v>16</v>
      </c>
      <c r="O372" s="19" t="s">
        <v>641</v>
      </c>
      <c r="P372" s="19">
        <v>2</v>
      </c>
      <c r="Q372" s="19">
        <v>5.2082999999999999E-3</v>
      </c>
      <c r="R372" s="31">
        <v>0.13333329999999999</v>
      </c>
    </row>
    <row r="373" spans="2:18" ht="68" x14ac:dyDescent="0.2">
      <c r="B373" s="11" t="s">
        <v>8</v>
      </c>
      <c r="C373" s="12" t="str">
        <f>VLOOKUP(LOWER(E365),experiments_specs!$A:$J,9,FALSE)</f>
        <v>wup_similarity</v>
      </c>
      <c r="D373" s="15" t="s">
        <v>1281</v>
      </c>
      <c r="E373" s="6" t="s">
        <v>17</v>
      </c>
      <c r="F373" s="18" t="s">
        <v>1363</v>
      </c>
      <c r="G373" s="18" t="s">
        <v>1365</v>
      </c>
      <c r="H373" s="19">
        <v>1.1877999999999999E-3</v>
      </c>
      <c r="I373" s="51" t="s">
        <v>1447</v>
      </c>
      <c r="K373" s="11" t="s">
        <v>8</v>
      </c>
      <c r="L373" s="12" t="str">
        <f>VLOOKUP(LOWER(N365),experiments_specs!$A:$J,9,FALSE)</f>
        <v>wup_similarity</v>
      </c>
      <c r="M373" s="15" t="s">
        <v>1282</v>
      </c>
      <c r="N373" s="6" t="s">
        <v>17</v>
      </c>
      <c r="O373" s="19" t="s">
        <v>1382</v>
      </c>
      <c r="P373" s="19">
        <v>1</v>
      </c>
      <c r="Q373" s="19">
        <v>9.8984999999999993E-3</v>
      </c>
      <c r="R373" s="31">
        <v>0.18181810000000001</v>
      </c>
    </row>
    <row r="374" spans="2:18" x14ac:dyDescent="0.2">
      <c r="B374" s="11" t="s">
        <v>9</v>
      </c>
      <c r="C374" s="12" t="str">
        <f>VLOOKUP(LOWER(E365),experiments_specs!$A:$J,10,FALSE)</f>
        <v>True</v>
      </c>
      <c r="D374" s="15" t="s">
        <v>1281</v>
      </c>
      <c r="E374" s="7" t="s">
        <v>18</v>
      </c>
      <c r="F374" s="20" t="s">
        <v>560</v>
      </c>
      <c r="G374" s="20">
        <v>2</v>
      </c>
      <c r="H374" s="20">
        <v>1.1735000000000001E-3</v>
      </c>
      <c r="I374" s="32">
        <v>0.1111111</v>
      </c>
      <c r="K374" s="11" t="s">
        <v>9</v>
      </c>
      <c r="L374" s="12" t="str">
        <f>VLOOKUP(LOWER(N365),experiments_specs!$A:$J,10,FALSE)</f>
        <v>True</v>
      </c>
      <c r="M374" s="15" t="s">
        <v>1282</v>
      </c>
      <c r="N374" s="7" t="s">
        <v>18</v>
      </c>
      <c r="O374" s="20" t="s">
        <v>652</v>
      </c>
      <c r="P374" s="20">
        <v>2</v>
      </c>
      <c r="Q374" s="20">
        <v>1.03365E-2</v>
      </c>
      <c r="R374" s="32">
        <v>0.2105263</v>
      </c>
    </row>
    <row r="375" spans="2:18" ht="17" thickBot="1" x14ac:dyDescent="0.25"/>
    <row r="376" spans="2:18" ht="20" thickBot="1" x14ac:dyDescent="0.3">
      <c r="B376" s="13" t="s">
        <v>126</v>
      </c>
      <c r="C376" s="14"/>
      <c r="D376" s="9"/>
      <c r="E376" s="10" t="str">
        <f>"TEST_"&amp;TEXT(RIGHT(N365,3)+1, "00")</f>
        <v>TEST_159</v>
      </c>
      <c r="F376" s="41" t="s">
        <v>1306</v>
      </c>
      <c r="G376" s="41"/>
      <c r="H376" s="41"/>
      <c r="I376" s="41"/>
      <c r="K376" s="13" t="s">
        <v>126</v>
      </c>
      <c r="L376" s="14"/>
      <c r="M376" s="9"/>
      <c r="N376" s="10" t="str">
        <f>"TEST_"&amp;TEXT(RIGHT(E376,3)+1, "00")</f>
        <v>TEST_160</v>
      </c>
      <c r="O376" s="41" t="s">
        <v>1306</v>
      </c>
      <c r="P376" s="41"/>
      <c r="Q376" s="41"/>
      <c r="R376" s="41"/>
    </row>
    <row r="377" spans="2:18" x14ac:dyDescent="0.2">
      <c r="B377" s="11" t="s">
        <v>1</v>
      </c>
      <c r="C377" s="12" t="str">
        <f>VLOOKUP(LOWER(E376),experiments_specs!$A:$J,2,FALSE)</f>
        <v>NN,VB,VBD,VBG,VBN,VBP,VBZ</v>
      </c>
      <c r="D377" s="15" t="str">
        <f>"{"&amp;LOWER(E376)&amp;".csv}"</f>
        <v>{test_159.csv}</v>
      </c>
      <c r="E377" s="8" t="s">
        <v>118</v>
      </c>
      <c r="F377" s="3" t="s">
        <v>1307</v>
      </c>
      <c r="G377" s="3"/>
      <c r="H377" s="3" t="s">
        <v>178</v>
      </c>
      <c r="I377" s="29" t="s">
        <v>121</v>
      </c>
      <c r="K377" s="11" t="s">
        <v>1</v>
      </c>
      <c r="L377" s="12" t="str">
        <f>VLOOKUP(LOWER(N376),experiments_specs!$A:$J,2,FALSE)</f>
        <v>NN,VB,VBD,VBG,VBN,VBP,VBZ</v>
      </c>
      <c r="M377" s="15" t="str">
        <f>"{"&amp;LOWER(N376)&amp;".csv}"</f>
        <v>{test_160.csv}</v>
      </c>
      <c r="N377" s="8" t="s">
        <v>118</v>
      </c>
      <c r="O377" s="3" t="s">
        <v>1307</v>
      </c>
      <c r="P377" s="3"/>
      <c r="Q377" s="3" t="s">
        <v>178</v>
      </c>
      <c r="R377" s="29" t="s">
        <v>121</v>
      </c>
    </row>
    <row r="378" spans="2:18" ht="17" x14ac:dyDescent="0.2">
      <c r="B378" s="11" t="s">
        <v>2</v>
      </c>
      <c r="C378" s="12">
        <f>VLOOKUP(LOWER(E376),experiments_specs!$A:$J,3,FALSE)</f>
        <v>0</v>
      </c>
      <c r="D378" s="15" t="s">
        <v>1283</v>
      </c>
      <c r="E378" s="5" t="s">
        <v>19</v>
      </c>
      <c r="F378" s="17" t="s">
        <v>1357</v>
      </c>
      <c r="G378" s="17">
        <v>3</v>
      </c>
      <c r="H378" s="17">
        <v>1.6632399999999999E-2</v>
      </c>
      <c r="I378" s="30">
        <v>0.18181810000000001</v>
      </c>
      <c r="K378" s="11" t="s">
        <v>2</v>
      </c>
      <c r="L378" s="12">
        <f>VLOOKUP(LOWER(N376),experiments_specs!$A:$J,3,FALSE)</f>
        <v>0</v>
      </c>
      <c r="M378" s="15" t="s">
        <v>1284</v>
      </c>
      <c r="N378" s="5" t="s">
        <v>19</v>
      </c>
      <c r="O378" s="17" t="s">
        <v>1357</v>
      </c>
      <c r="P378" s="17">
        <v>3</v>
      </c>
      <c r="Q378" s="17">
        <v>1.6632399999999999E-2</v>
      </c>
      <c r="R378" s="30">
        <v>0.18181810000000001</v>
      </c>
    </row>
    <row r="379" spans="2:18" ht="68" x14ac:dyDescent="0.2">
      <c r="B379" s="11" t="s">
        <v>3</v>
      </c>
      <c r="C379" s="12">
        <f>VLOOKUP(LOWER(E376),experiments_specs!$A:$J,4,FALSE)</f>
        <v>2</v>
      </c>
      <c r="D379" s="15" t="s">
        <v>1283</v>
      </c>
      <c r="E379" s="6" t="s">
        <v>12</v>
      </c>
      <c r="F379" s="18" t="s">
        <v>1370</v>
      </c>
      <c r="G379" s="18" t="s">
        <v>1372</v>
      </c>
      <c r="H379" s="19">
        <v>1.6843E-2</v>
      </c>
      <c r="I379" s="51" t="s">
        <v>1451</v>
      </c>
      <c r="K379" s="11" t="s">
        <v>3</v>
      </c>
      <c r="L379" s="12">
        <f>VLOOKUP(LOWER(N376),experiments_specs!$A:$J,4,FALSE)</f>
        <v>3</v>
      </c>
      <c r="M379" s="15" t="s">
        <v>1284</v>
      </c>
      <c r="N379" s="6" t="s">
        <v>12</v>
      </c>
      <c r="O379" s="18" t="s">
        <v>1370</v>
      </c>
      <c r="P379" s="18" t="s">
        <v>1372</v>
      </c>
      <c r="Q379" s="19">
        <v>1.6843E-2</v>
      </c>
      <c r="R379" s="51" t="s">
        <v>1451</v>
      </c>
    </row>
    <row r="380" spans="2:18" x14ac:dyDescent="0.2">
      <c r="B380" s="11" t="s">
        <v>4</v>
      </c>
      <c r="C380" s="12" t="str">
        <f>VLOOKUP(LOWER(E376),experiments_specs!$A:$J,5,FALSE)</f>
        <v>True</v>
      </c>
      <c r="D380" s="15" t="s">
        <v>1283</v>
      </c>
      <c r="E380" s="6" t="s">
        <v>13</v>
      </c>
      <c r="F380" s="19" t="s">
        <v>1385</v>
      </c>
      <c r="G380" s="19">
        <v>1</v>
      </c>
      <c r="H380" s="19">
        <v>3.7150999999999998E-3</v>
      </c>
      <c r="I380" s="31" t="s">
        <v>25</v>
      </c>
      <c r="K380" s="11" t="s">
        <v>4</v>
      </c>
      <c r="L380" s="12" t="str">
        <f>VLOOKUP(LOWER(N376),experiments_specs!$A:$J,5,FALSE)</f>
        <v>True</v>
      </c>
      <c r="M380" s="15" t="s">
        <v>1284</v>
      </c>
      <c r="N380" s="6" t="s">
        <v>13</v>
      </c>
      <c r="O380" s="19" t="s">
        <v>1385</v>
      </c>
      <c r="P380" s="19">
        <v>1</v>
      </c>
      <c r="Q380" s="19">
        <v>3.7150999999999998E-3</v>
      </c>
      <c r="R380" s="31" t="s">
        <v>25</v>
      </c>
    </row>
    <row r="381" spans="2:18" x14ac:dyDescent="0.2">
      <c r="B381" s="11" t="s">
        <v>5</v>
      </c>
      <c r="C381" s="12" t="str">
        <f>VLOOKUP(LOWER(E376),experiments_specs!$A:$J,6,FALSE)</f>
        <v>False</v>
      </c>
      <c r="D381" s="15" t="s">
        <v>1283</v>
      </c>
      <c r="E381" s="6" t="s">
        <v>14</v>
      </c>
      <c r="F381" s="19" t="s">
        <v>1361</v>
      </c>
      <c r="G381" s="19">
        <v>3</v>
      </c>
      <c r="H381" s="19">
        <v>8.0047999999999994E-3</v>
      </c>
      <c r="I381" s="31">
        <v>0.30769229999999997</v>
      </c>
      <c r="K381" s="11" t="s">
        <v>5</v>
      </c>
      <c r="L381" s="12" t="str">
        <f>VLOOKUP(LOWER(N376),experiments_specs!$A:$J,6,FALSE)</f>
        <v>False</v>
      </c>
      <c r="M381" s="15" t="s">
        <v>1284</v>
      </c>
      <c r="N381" s="6" t="s">
        <v>14</v>
      </c>
      <c r="O381" s="19" t="s">
        <v>1361</v>
      </c>
      <c r="P381" s="19">
        <v>3</v>
      </c>
      <c r="Q381" s="19">
        <v>8.0047999999999994E-3</v>
      </c>
      <c r="R381" s="31">
        <v>0.30769229999999997</v>
      </c>
    </row>
    <row r="382" spans="2:18" ht="68" x14ac:dyDescent="0.2">
      <c r="B382" s="11" t="s">
        <v>6</v>
      </c>
      <c r="C382" s="12" t="str">
        <f>VLOOKUP(LOWER(E376),experiments_specs!$A:$J,7,FALSE)</f>
        <v>True</v>
      </c>
      <c r="D382" s="15" t="s">
        <v>1283</v>
      </c>
      <c r="E382" s="6" t="s">
        <v>15</v>
      </c>
      <c r="F382" s="18" t="s">
        <v>1378</v>
      </c>
      <c r="G382" s="18" t="s">
        <v>1380</v>
      </c>
      <c r="H382" s="19">
        <v>8.6762999999999996E-3</v>
      </c>
      <c r="I382" s="51" t="s">
        <v>1453</v>
      </c>
      <c r="K382" s="11" t="s">
        <v>6</v>
      </c>
      <c r="L382" s="12" t="str">
        <f>VLOOKUP(LOWER(N376),experiments_specs!$A:$J,7,FALSE)</f>
        <v>True</v>
      </c>
      <c r="M382" s="15" t="s">
        <v>1284</v>
      </c>
      <c r="N382" s="6" t="s">
        <v>15</v>
      </c>
      <c r="O382" s="18" t="s">
        <v>1378</v>
      </c>
      <c r="P382" s="18" t="s">
        <v>1380</v>
      </c>
      <c r="Q382" s="19">
        <v>8.6762999999999996E-3</v>
      </c>
      <c r="R382" s="51" t="s">
        <v>1453</v>
      </c>
    </row>
    <row r="383" spans="2:18" x14ac:dyDescent="0.2">
      <c r="B383" s="11" t="s">
        <v>7</v>
      </c>
      <c r="C383" s="12" t="str">
        <f>VLOOKUP(LOWER(E376),experiments_specs!$A:$J,8,FALSE)</f>
        <v>False</v>
      </c>
      <c r="D383" s="15" t="s">
        <v>1283</v>
      </c>
      <c r="E383" s="6" t="s">
        <v>16</v>
      </c>
      <c r="F383" s="19" t="s">
        <v>641</v>
      </c>
      <c r="G383" s="19">
        <v>2</v>
      </c>
      <c r="H383" s="19">
        <v>4.6296000000000002E-3</v>
      </c>
      <c r="I383" s="31">
        <v>0.13333329999999999</v>
      </c>
      <c r="K383" s="11" t="s">
        <v>7</v>
      </c>
      <c r="L383" s="12" t="str">
        <f>VLOOKUP(LOWER(N376),experiments_specs!$A:$J,8,FALSE)</f>
        <v>False</v>
      </c>
      <c r="M383" s="15" t="s">
        <v>1284</v>
      </c>
      <c r="N383" s="6" t="s">
        <v>16</v>
      </c>
      <c r="O383" s="19" t="s">
        <v>641</v>
      </c>
      <c r="P383" s="19">
        <v>2</v>
      </c>
      <c r="Q383" s="19">
        <v>4.6296000000000002E-3</v>
      </c>
      <c r="R383" s="31">
        <v>0.13333329999999999</v>
      </c>
    </row>
    <row r="384" spans="2:18" x14ac:dyDescent="0.2">
      <c r="B384" s="11" t="s">
        <v>8</v>
      </c>
      <c r="C384" s="12" t="str">
        <f>VLOOKUP(LOWER(E376),experiments_specs!$A:$J,9,FALSE)</f>
        <v>wup_similarity</v>
      </c>
      <c r="D384" s="15" t="s">
        <v>1283</v>
      </c>
      <c r="E384" s="6" t="s">
        <v>17</v>
      </c>
      <c r="F384" s="19" t="s">
        <v>1382</v>
      </c>
      <c r="G384" s="19">
        <v>1</v>
      </c>
      <c r="H384" s="19">
        <v>8.9087000000000003E-3</v>
      </c>
      <c r="I384" s="31">
        <v>0.18181810000000001</v>
      </c>
      <c r="K384" s="11" t="s">
        <v>8</v>
      </c>
      <c r="L384" s="12" t="str">
        <f>VLOOKUP(LOWER(N376),experiments_specs!$A:$J,9,FALSE)</f>
        <v>wup_similarity</v>
      </c>
      <c r="M384" s="15" t="s">
        <v>1284</v>
      </c>
      <c r="N384" s="6" t="s">
        <v>17</v>
      </c>
      <c r="O384" s="19" t="s">
        <v>1382</v>
      </c>
      <c r="P384" s="19">
        <v>1</v>
      </c>
      <c r="Q384" s="19">
        <v>8.9087000000000003E-3</v>
      </c>
      <c r="R384" s="31">
        <v>0.18181810000000001</v>
      </c>
    </row>
    <row r="385" spans="2:18" x14ac:dyDescent="0.2">
      <c r="B385" s="11" t="s">
        <v>9</v>
      </c>
      <c r="C385" s="12" t="str">
        <f>VLOOKUP(LOWER(E376),experiments_specs!$A:$J,10,FALSE)</f>
        <v>True</v>
      </c>
      <c r="D385" s="15" t="s">
        <v>1283</v>
      </c>
      <c r="E385" s="7" t="s">
        <v>18</v>
      </c>
      <c r="F385" s="20" t="s">
        <v>652</v>
      </c>
      <c r="G385" s="20">
        <v>2</v>
      </c>
      <c r="H385" s="20">
        <v>7.9676999999999994E-3</v>
      </c>
      <c r="I385" s="32">
        <v>0.2105263</v>
      </c>
      <c r="K385" s="11" t="s">
        <v>9</v>
      </c>
      <c r="L385" s="12" t="str">
        <f>VLOOKUP(LOWER(N376),experiments_specs!$A:$J,10,FALSE)</f>
        <v>True</v>
      </c>
      <c r="M385" s="15" t="s">
        <v>1284</v>
      </c>
      <c r="N385" s="7" t="s">
        <v>18</v>
      </c>
      <c r="O385" s="20" t="s">
        <v>652</v>
      </c>
      <c r="P385" s="20">
        <v>2</v>
      </c>
      <c r="Q385" s="20">
        <v>7.9676999999999994E-3</v>
      </c>
      <c r="R385" s="32">
        <v>0.2105263</v>
      </c>
    </row>
    <row r="386" spans="2:18" ht="17" thickBot="1" x14ac:dyDescent="0.25"/>
    <row r="387" spans="2:18" ht="20" thickBot="1" x14ac:dyDescent="0.3">
      <c r="B387" s="13" t="s">
        <v>126</v>
      </c>
      <c r="C387" s="14"/>
      <c r="D387" s="9"/>
      <c r="E387" s="10" t="str">
        <f>"TEST_"&amp;TEXT(RIGHT(N376,3)+1, "00")</f>
        <v>TEST_161</v>
      </c>
      <c r="F387" s="41" t="s">
        <v>1306</v>
      </c>
      <c r="G387" s="41"/>
      <c r="H387" s="41"/>
      <c r="I387" s="41"/>
      <c r="K387" s="13" t="s">
        <v>126</v>
      </c>
      <c r="L387" s="14"/>
      <c r="M387" s="9"/>
      <c r="N387" s="10" t="str">
        <f>"TEST_"&amp;TEXT(RIGHT(E387,3)+1, "00")</f>
        <v>TEST_162</v>
      </c>
      <c r="O387" s="41" t="s">
        <v>1306</v>
      </c>
      <c r="P387" s="41"/>
      <c r="Q387" s="41"/>
      <c r="R387" s="41"/>
    </row>
    <row r="388" spans="2:18" x14ac:dyDescent="0.2">
      <c r="B388" s="11" t="s">
        <v>1</v>
      </c>
      <c r="C388" s="12" t="str">
        <f>VLOOKUP(LOWER(E387),experiments_specs!$A:$J,2,FALSE)</f>
        <v>NN,JJ,VB,VBD,VBG,VBN,VBP,VBZ</v>
      </c>
      <c r="D388" s="15" t="str">
        <f>"{"&amp;LOWER(E387)&amp;".csv}"</f>
        <v>{test_161.csv}</v>
      </c>
      <c r="E388" s="8" t="s">
        <v>118</v>
      </c>
      <c r="F388" s="3" t="s">
        <v>1307</v>
      </c>
      <c r="G388" s="3"/>
      <c r="H388" s="3" t="s">
        <v>178</v>
      </c>
      <c r="I388" s="29" t="s">
        <v>121</v>
      </c>
      <c r="K388" s="11" t="s">
        <v>1</v>
      </c>
      <c r="L388" s="12" t="str">
        <f>VLOOKUP(LOWER(N387),experiments_specs!$A:$J,2,FALSE)</f>
        <v>NN,JJ,VB,VBD,VBG,VBN,VBP,VBZ</v>
      </c>
      <c r="M388" s="15" t="str">
        <f>"{"&amp;LOWER(N387)&amp;".csv}"</f>
        <v>{test_162.csv}</v>
      </c>
      <c r="N388" s="8" t="s">
        <v>118</v>
      </c>
      <c r="O388" s="3" t="s">
        <v>1307</v>
      </c>
      <c r="P388" s="3"/>
      <c r="Q388" s="3" t="s">
        <v>178</v>
      </c>
      <c r="R388" s="29" t="s">
        <v>121</v>
      </c>
    </row>
    <row r="389" spans="2:18" ht="17" x14ac:dyDescent="0.2">
      <c r="B389" s="11" t="s">
        <v>2</v>
      </c>
      <c r="C389" s="12">
        <f>VLOOKUP(LOWER(E387),experiments_specs!$A:$J,3,FALSE)</f>
        <v>0</v>
      </c>
      <c r="D389" s="15" t="s">
        <v>1285</v>
      </c>
      <c r="E389" s="5" t="s">
        <v>19</v>
      </c>
      <c r="F389" s="17" t="s">
        <v>1357</v>
      </c>
      <c r="G389" s="17">
        <v>3</v>
      </c>
      <c r="H389" s="17">
        <v>1.2751500000000001E-2</v>
      </c>
      <c r="I389" s="30">
        <v>0.18181810000000001</v>
      </c>
      <c r="K389" s="11" t="s">
        <v>2</v>
      </c>
      <c r="L389" s="12">
        <f>VLOOKUP(LOWER(N387),experiments_specs!$A:$J,3,FALSE)</f>
        <v>0</v>
      </c>
      <c r="M389" s="15" t="s">
        <v>1286</v>
      </c>
      <c r="N389" s="5" t="s">
        <v>19</v>
      </c>
      <c r="O389" s="17" t="s">
        <v>1357</v>
      </c>
      <c r="P389" s="17">
        <v>3</v>
      </c>
      <c r="Q389" s="17">
        <v>1.2751500000000001E-2</v>
      </c>
      <c r="R389" s="30">
        <v>0.18181810000000001</v>
      </c>
    </row>
    <row r="390" spans="2:18" ht="68" x14ac:dyDescent="0.2">
      <c r="B390" s="11" t="s">
        <v>3</v>
      </c>
      <c r="C390" s="12">
        <f>VLOOKUP(LOWER(E387),experiments_specs!$A:$J,4,FALSE)</f>
        <v>2</v>
      </c>
      <c r="D390" s="15" t="s">
        <v>1285</v>
      </c>
      <c r="E390" s="6" t="s">
        <v>12</v>
      </c>
      <c r="F390" s="18" t="s">
        <v>1370</v>
      </c>
      <c r="G390" s="18" t="s">
        <v>1372</v>
      </c>
      <c r="H390" s="19">
        <v>1.4519799999999999E-2</v>
      </c>
      <c r="I390" s="51" t="s">
        <v>1451</v>
      </c>
      <c r="K390" s="11" t="s">
        <v>3</v>
      </c>
      <c r="L390" s="12">
        <f>VLOOKUP(LOWER(N387),experiments_specs!$A:$J,4,FALSE)</f>
        <v>3</v>
      </c>
      <c r="M390" s="15" t="s">
        <v>1286</v>
      </c>
      <c r="N390" s="6" t="s">
        <v>12</v>
      </c>
      <c r="O390" s="18" t="s">
        <v>1370</v>
      </c>
      <c r="P390" s="18" t="s">
        <v>1372</v>
      </c>
      <c r="Q390" s="19">
        <v>1.4519799999999999E-2</v>
      </c>
      <c r="R390" s="51" t="s">
        <v>1451</v>
      </c>
    </row>
    <row r="391" spans="2:18" x14ac:dyDescent="0.2">
      <c r="B391" s="11" t="s">
        <v>4</v>
      </c>
      <c r="C391" s="12" t="str">
        <f>VLOOKUP(LOWER(E387),experiments_specs!$A:$J,5,FALSE)</f>
        <v>True</v>
      </c>
      <c r="D391" s="15" t="s">
        <v>1285</v>
      </c>
      <c r="E391" s="6" t="s">
        <v>13</v>
      </c>
      <c r="F391" s="19" t="s">
        <v>1385</v>
      </c>
      <c r="G391" s="19">
        <v>1</v>
      </c>
      <c r="H391" s="19">
        <v>3.7150999999999998E-3</v>
      </c>
      <c r="I391" s="31" t="s">
        <v>25</v>
      </c>
      <c r="K391" s="11" t="s">
        <v>4</v>
      </c>
      <c r="L391" s="12" t="str">
        <f>VLOOKUP(LOWER(N387),experiments_specs!$A:$J,5,FALSE)</f>
        <v>True</v>
      </c>
      <c r="M391" s="15" t="s">
        <v>1286</v>
      </c>
      <c r="N391" s="6" t="s">
        <v>13</v>
      </c>
      <c r="O391" s="19" t="s">
        <v>1385</v>
      </c>
      <c r="P391" s="19">
        <v>1</v>
      </c>
      <c r="Q391" s="19">
        <v>3.7150999999999998E-3</v>
      </c>
      <c r="R391" s="31" t="s">
        <v>25</v>
      </c>
    </row>
    <row r="392" spans="2:18" x14ac:dyDescent="0.2">
      <c r="B392" s="11" t="s">
        <v>5</v>
      </c>
      <c r="C392" s="12" t="str">
        <f>VLOOKUP(LOWER(E387),experiments_specs!$A:$J,6,FALSE)</f>
        <v>False</v>
      </c>
      <c r="D392" s="15" t="s">
        <v>1285</v>
      </c>
      <c r="E392" s="6" t="s">
        <v>14</v>
      </c>
      <c r="F392" s="19" t="s">
        <v>1361</v>
      </c>
      <c r="G392" s="19">
        <v>3</v>
      </c>
      <c r="H392" s="19">
        <v>6.9785999999999997E-3</v>
      </c>
      <c r="I392" s="31">
        <v>0.30769229999999997</v>
      </c>
      <c r="K392" s="11" t="s">
        <v>5</v>
      </c>
      <c r="L392" s="12" t="str">
        <f>VLOOKUP(LOWER(N387),experiments_specs!$A:$J,6,FALSE)</f>
        <v>False</v>
      </c>
      <c r="M392" s="15" t="s">
        <v>1286</v>
      </c>
      <c r="N392" s="6" t="s">
        <v>14</v>
      </c>
      <c r="O392" s="19" t="s">
        <v>1361</v>
      </c>
      <c r="P392" s="19">
        <v>3</v>
      </c>
      <c r="Q392" s="19">
        <v>6.9785999999999997E-3</v>
      </c>
      <c r="R392" s="31">
        <v>0.30769229999999997</v>
      </c>
    </row>
    <row r="393" spans="2:18" ht="68" x14ac:dyDescent="0.2">
      <c r="B393" s="11" t="s">
        <v>6</v>
      </c>
      <c r="C393" s="12" t="str">
        <f>VLOOKUP(LOWER(E387),experiments_specs!$A:$J,7,FALSE)</f>
        <v>True</v>
      </c>
      <c r="D393" s="15" t="s">
        <v>1285</v>
      </c>
      <c r="E393" s="6" t="s">
        <v>15</v>
      </c>
      <c r="F393" s="18" t="s">
        <v>1378</v>
      </c>
      <c r="G393" s="18" t="s">
        <v>1380</v>
      </c>
      <c r="H393" s="19">
        <v>6.5072000000000003E-3</v>
      </c>
      <c r="I393" s="51" t="s">
        <v>1453</v>
      </c>
      <c r="K393" s="11" t="s">
        <v>6</v>
      </c>
      <c r="L393" s="12" t="str">
        <f>VLOOKUP(LOWER(N387),experiments_specs!$A:$J,7,FALSE)</f>
        <v>True</v>
      </c>
      <c r="M393" s="15" t="s">
        <v>1286</v>
      </c>
      <c r="N393" s="6" t="s">
        <v>15</v>
      </c>
      <c r="O393" s="18" t="s">
        <v>1378</v>
      </c>
      <c r="P393" s="18" t="s">
        <v>1380</v>
      </c>
      <c r="Q393" s="19">
        <v>6.5072000000000003E-3</v>
      </c>
      <c r="R393" s="51" t="s">
        <v>1453</v>
      </c>
    </row>
    <row r="394" spans="2:18" x14ac:dyDescent="0.2">
      <c r="B394" s="11" t="s">
        <v>7</v>
      </c>
      <c r="C394" s="12" t="str">
        <f>VLOOKUP(LOWER(E387),experiments_specs!$A:$J,8,FALSE)</f>
        <v>False</v>
      </c>
      <c r="D394" s="15" t="s">
        <v>1285</v>
      </c>
      <c r="E394" s="6" t="s">
        <v>16</v>
      </c>
      <c r="F394" s="19" t="s">
        <v>641</v>
      </c>
      <c r="G394" s="19">
        <v>2</v>
      </c>
      <c r="H394" s="19">
        <v>4.5044999999999998E-3</v>
      </c>
      <c r="I394" s="31">
        <v>0.13333329999999999</v>
      </c>
      <c r="K394" s="11" t="s">
        <v>7</v>
      </c>
      <c r="L394" s="12" t="str">
        <f>VLOOKUP(LOWER(N387),experiments_specs!$A:$J,8,FALSE)</f>
        <v>False</v>
      </c>
      <c r="M394" s="15" t="s">
        <v>1286</v>
      </c>
      <c r="N394" s="6" t="s">
        <v>16</v>
      </c>
      <c r="O394" s="19" t="s">
        <v>641</v>
      </c>
      <c r="P394" s="19">
        <v>2</v>
      </c>
      <c r="Q394" s="19">
        <v>4.5044999999999998E-3</v>
      </c>
      <c r="R394" s="31">
        <v>0.13333329999999999</v>
      </c>
    </row>
    <row r="395" spans="2:18" x14ac:dyDescent="0.2">
      <c r="B395" s="11" t="s">
        <v>8</v>
      </c>
      <c r="C395" s="12" t="str">
        <f>VLOOKUP(LOWER(E387),experiments_specs!$A:$J,9,FALSE)</f>
        <v>wup_similarity</v>
      </c>
      <c r="D395" s="15" t="s">
        <v>1285</v>
      </c>
      <c r="E395" s="6" t="s">
        <v>17</v>
      </c>
      <c r="F395" s="19" t="s">
        <v>1382</v>
      </c>
      <c r="G395" s="19">
        <v>1</v>
      </c>
      <c r="H395" s="19">
        <v>8.0987999999999997E-3</v>
      </c>
      <c r="I395" s="31">
        <v>0.18181810000000001</v>
      </c>
      <c r="K395" s="11" t="s">
        <v>8</v>
      </c>
      <c r="L395" s="12" t="str">
        <f>VLOOKUP(LOWER(N387),experiments_specs!$A:$J,9,FALSE)</f>
        <v>wup_similarity</v>
      </c>
      <c r="M395" s="15" t="s">
        <v>1286</v>
      </c>
      <c r="N395" s="6" t="s">
        <v>17</v>
      </c>
      <c r="O395" s="19" t="s">
        <v>1382</v>
      </c>
      <c r="P395" s="19">
        <v>1</v>
      </c>
      <c r="Q395" s="19">
        <v>8.0987999999999997E-3</v>
      </c>
      <c r="R395" s="31">
        <v>0.18181810000000001</v>
      </c>
    </row>
    <row r="396" spans="2:18" x14ac:dyDescent="0.2">
      <c r="B396" s="11" t="s">
        <v>9</v>
      </c>
      <c r="C396" s="12" t="str">
        <f>VLOOKUP(LOWER(E387),experiments_specs!$A:$J,10,FALSE)</f>
        <v>True</v>
      </c>
      <c r="D396" s="15" t="s">
        <v>1285</v>
      </c>
      <c r="E396" s="7" t="s">
        <v>18</v>
      </c>
      <c r="F396" s="20" t="s">
        <v>652</v>
      </c>
      <c r="G396" s="20">
        <v>2</v>
      </c>
      <c r="H396" s="20">
        <v>7.4989999999999996E-3</v>
      </c>
      <c r="I396" s="32">
        <v>0.2105263</v>
      </c>
      <c r="K396" s="11" t="s">
        <v>9</v>
      </c>
      <c r="L396" s="12" t="str">
        <f>VLOOKUP(LOWER(N387),experiments_specs!$A:$J,10,FALSE)</f>
        <v>True</v>
      </c>
      <c r="M396" s="15" t="s">
        <v>1286</v>
      </c>
      <c r="N396" s="7" t="s">
        <v>18</v>
      </c>
      <c r="O396" s="20" t="s">
        <v>652</v>
      </c>
      <c r="P396" s="20">
        <v>2</v>
      </c>
      <c r="Q396" s="20">
        <v>7.4989999999999996E-3</v>
      </c>
      <c r="R396" s="32">
        <v>0.2105263</v>
      </c>
    </row>
    <row r="397" spans="2:18" ht="17" thickBot="1" x14ac:dyDescent="0.25"/>
    <row r="398" spans="2:18" ht="20" thickBot="1" x14ac:dyDescent="0.3">
      <c r="B398" s="13" t="s">
        <v>126</v>
      </c>
      <c r="C398" s="14"/>
      <c r="D398" s="9"/>
      <c r="E398" s="10" t="str">
        <f>"TEST_"&amp;TEXT(RIGHT(N387,3)+1, "00")</f>
        <v>TEST_163</v>
      </c>
      <c r="F398" s="41" t="s">
        <v>1306</v>
      </c>
      <c r="G398" s="41"/>
      <c r="H398" s="41"/>
      <c r="I398" s="41"/>
      <c r="K398" s="13" t="s">
        <v>126</v>
      </c>
      <c r="L398" s="14"/>
      <c r="M398" s="9"/>
      <c r="N398" s="10" t="str">
        <f>"TEST_"&amp;TEXT(RIGHT(E398,3)+1, "00")</f>
        <v>TEST_164</v>
      </c>
      <c r="O398" s="41" t="s">
        <v>1306</v>
      </c>
      <c r="P398" s="41"/>
      <c r="Q398" s="41"/>
      <c r="R398" s="41"/>
    </row>
    <row r="399" spans="2:18" x14ac:dyDescent="0.2">
      <c r="B399" s="11" t="s">
        <v>1</v>
      </c>
      <c r="C399" s="12" t="str">
        <f>VLOOKUP(LOWER(E398),experiments_specs!$A:$J,2,FALSE)</f>
        <v>NN,JJ</v>
      </c>
      <c r="D399" s="15" t="str">
        <f>"{"&amp;LOWER(E398)&amp;".csv}"</f>
        <v>{test_163.csv}</v>
      </c>
      <c r="E399" s="8" t="s">
        <v>118</v>
      </c>
      <c r="F399" s="3" t="s">
        <v>1307</v>
      </c>
      <c r="G399" s="3"/>
      <c r="H399" s="3" t="s">
        <v>178</v>
      </c>
      <c r="I399" s="29" t="s">
        <v>121</v>
      </c>
      <c r="K399" s="11" t="s">
        <v>1</v>
      </c>
      <c r="L399" s="12" t="str">
        <f>VLOOKUP(LOWER(N398),experiments_specs!$A:$J,2,FALSE)</f>
        <v>NN,JJ</v>
      </c>
      <c r="M399" s="15" t="str">
        <f>"{"&amp;LOWER(N398)&amp;".csv}"</f>
        <v>{test_164.csv}</v>
      </c>
      <c r="N399" s="8" t="s">
        <v>118</v>
      </c>
      <c r="O399" s="3" t="s">
        <v>1307</v>
      </c>
      <c r="P399" s="3"/>
      <c r="Q399" s="3" t="s">
        <v>178</v>
      </c>
      <c r="R399" s="29" t="s">
        <v>121</v>
      </c>
    </row>
    <row r="400" spans="2:18" ht="68" x14ac:dyDescent="0.2">
      <c r="B400" s="11" t="s">
        <v>2</v>
      </c>
      <c r="C400" s="12">
        <f>VLOOKUP(LOWER(E398),experiments_specs!$A:$J,3,FALSE)</f>
        <v>0</v>
      </c>
      <c r="D400" s="15" t="s">
        <v>1287</v>
      </c>
      <c r="E400" s="5" t="s">
        <v>19</v>
      </c>
      <c r="F400" s="17" t="s">
        <v>1386</v>
      </c>
      <c r="G400" s="17" t="s">
        <v>1380</v>
      </c>
      <c r="H400" s="17">
        <v>3.2292000000000002E-3</v>
      </c>
      <c r="I400" s="50" t="s">
        <v>1455</v>
      </c>
      <c r="K400" s="11" t="s">
        <v>2</v>
      </c>
      <c r="L400" s="12">
        <f>VLOOKUP(LOWER(N398),experiments_specs!$A:$J,3,FALSE)</f>
        <v>0</v>
      </c>
      <c r="M400" s="15" t="s">
        <v>1288</v>
      </c>
      <c r="N400" s="5" t="s">
        <v>19</v>
      </c>
      <c r="O400" s="17" t="s">
        <v>1386</v>
      </c>
      <c r="P400" s="17" t="s">
        <v>1380</v>
      </c>
      <c r="Q400" s="17">
        <v>3.2292000000000002E-3</v>
      </c>
      <c r="R400" s="50" t="s">
        <v>1455</v>
      </c>
    </row>
    <row r="401" spans="2:18" x14ac:dyDescent="0.2">
      <c r="B401" s="11" t="s">
        <v>3</v>
      </c>
      <c r="C401" s="12">
        <f>VLOOKUP(LOWER(E398),experiments_specs!$A:$J,4,FALSE)</f>
        <v>2</v>
      </c>
      <c r="D401" s="15" t="s">
        <v>1287</v>
      </c>
      <c r="E401" s="6" t="s">
        <v>12</v>
      </c>
      <c r="F401" s="19" t="s">
        <v>1388</v>
      </c>
      <c r="G401" s="19">
        <v>1</v>
      </c>
      <c r="H401" s="19">
        <v>6.3214999999999999E-3</v>
      </c>
      <c r="I401" s="31">
        <v>0.30769229999999997</v>
      </c>
      <c r="K401" s="11" t="s">
        <v>3</v>
      </c>
      <c r="L401" s="12">
        <f>VLOOKUP(LOWER(N398),experiments_specs!$A:$J,4,FALSE)</f>
        <v>3</v>
      </c>
      <c r="M401" s="15" t="s">
        <v>1288</v>
      </c>
      <c r="N401" s="6" t="s">
        <v>12</v>
      </c>
      <c r="O401" s="19" t="s">
        <v>1388</v>
      </c>
      <c r="P401" s="19">
        <v>1</v>
      </c>
      <c r="Q401" s="19">
        <v>6.3214999999999999E-3</v>
      </c>
      <c r="R401" s="31">
        <v>0.30769229999999997</v>
      </c>
    </row>
    <row r="402" spans="2:18" x14ac:dyDescent="0.2">
      <c r="B402" s="11" t="s">
        <v>4</v>
      </c>
      <c r="C402" s="12" t="str">
        <f>VLOOKUP(LOWER(E398),experiments_specs!$A:$J,5,FALSE)</f>
        <v>False</v>
      </c>
      <c r="D402" s="15" t="s">
        <v>1287</v>
      </c>
      <c r="E402" s="6" t="s">
        <v>13</v>
      </c>
      <c r="F402" s="19" t="s">
        <v>426</v>
      </c>
      <c r="G402" s="19">
        <v>2</v>
      </c>
      <c r="H402" s="19">
        <v>1.02869E-2</v>
      </c>
      <c r="I402" s="31" t="s">
        <v>25</v>
      </c>
      <c r="K402" s="11" t="s">
        <v>4</v>
      </c>
      <c r="L402" s="12" t="str">
        <f>VLOOKUP(LOWER(N398),experiments_specs!$A:$J,5,FALSE)</f>
        <v>False</v>
      </c>
      <c r="M402" s="15" t="s">
        <v>1288</v>
      </c>
      <c r="N402" s="6" t="s">
        <v>13</v>
      </c>
      <c r="O402" s="19" t="s">
        <v>426</v>
      </c>
      <c r="P402" s="19">
        <v>2</v>
      </c>
      <c r="Q402" s="19">
        <v>1.02869E-2</v>
      </c>
      <c r="R402" s="31" t="s">
        <v>25</v>
      </c>
    </row>
    <row r="403" spans="2:18" ht="34" x14ac:dyDescent="0.2">
      <c r="B403" s="11" t="s">
        <v>5</v>
      </c>
      <c r="C403" s="12" t="str">
        <f>VLOOKUP(LOWER(E398),experiments_specs!$A:$J,6,FALSE)</f>
        <v>False</v>
      </c>
      <c r="D403" s="15" t="s">
        <v>1287</v>
      </c>
      <c r="E403" s="6" t="s">
        <v>14</v>
      </c>
      <c r="F403" s="18" t="s">
        <v>1344</v>
      </c>
      <c r="G403" s="18" t="s">
        <v>1313</v>
      </c>
      <c r="H403" s="19">
        <v>4.7692000000000003E-3</v>
      </c>
      <c r="I403" s="51" t="s">
        <v>1346</v>
      </c>
      <c r="K403" s="11" t="s">
        <v>5</v>
      </c>
      <c r="L403" s="12" t="str">
        <f>VLOOKUP(LOWER(N398),experiments_specs!$A:$J,6,FALSE)</f>
        <v>False</v>
      </c>
      <c r="M403" s="15" t="s">
        <v>1288</v>
      </c>
      <c r="N403" s="6" t="s">
        <v>14</v>
      </c>
      <c r="O403" s="18" t="s">
        <v>1344</v>
      </c>
      <c r="P403" s="18" t="s">
        <v>1313</v>
      </c>
      <c r="Q403" s="19">
        <v>4.7692000000000003E-3</v>
      </c>
      <c r="R403" s="51" t="s">
        <v>1346</v>
      </c>
    </row>
    <row r="404" spans="2:18" x14ac:dyDescent="0.2">
      <c r="B404" s="11" t="s">
        <v>6</v>
      </c>
      <c r="C404" s="12" t="str">
        <f>VLOOKUP(LOWER(E398),experiments_specs!$A:$J,7,FALSE)</f>
        <v>False</v>
      </c>
      <c r="D404" s="15" t="s">
        <v>1287</v>
      </c>
      <c r="E404" s="6" t="s">
        <v>15</v>
      </c>
      <c r="F404" s="19" t="s">
        <v>1389</v>
      </c>
      <c r="G404" s="19">
        <v>0</v>
      </c>
      <c r="H404" s="19">
        <v>6.4266000000000002E-3</v>
      </c>
      <c r="I404" s="31">
        <v>0.18181810000000001</v>
      </c>
      <c r="K404" s="11" t="s">
        <v>6</v>
      </c>
      <c r="L404" s="12" t="str">
        <f>VLOOKUP(LOWER(N398),experiments_specs!$A:$J,7,FALSE)</f>
        <v>False</v>
      </c>
      <c r="M404" s="15" t="s">
        <v>1288</v>
      </c>
      <c r="N404" s="6" t="s">
        <v>15</v>
      </c>
      <c r="O404" s="19" t="s">
        <v>1389</v>
      </c>
      <c r="P404" s="19">
        <v>0</v>
      </c>
      <c r="Q404" s="19">
        <v>6.4266000000000002E-3</v>
      </c>
      <c r="R404" s="31">
        <v>0.18181810000000001</v>
      </c>
    </row>
    <row r="405" spans="2:18" x14ac:dyDescent="0.2">
      <c r="B405" s="11" t="s">
        <v>7</v>
      </c>
      <c r="C405" s="12" t="str">
        <f>VLOOKUP(LOWER(E398),experiments_specs!$A:$J,8,FALSE)</f>
        <v>True</v>
      </c>
      <c r="D405" s="15" t="s">
        <v>1287</v>
      </c>
      <c r="E405" s="6" t="s">
        <v>16</v>
      </c>
      <c r="F405" s="19" t="s">
        <v>445</v>
      </c>
      <c r="G405" s="19">
        <v>1</v>
      </c>
      <c r="H405" s="19">
        <v>5.2512000000000001E-3</v>
      </c>
      <c r="I405" s="31">
        <v>0.14285709999999999</v>
      </c>
      <c r="K405" s="11" t="s">
        <v>7</v>
      </c>
      <c r="L405" s="12" t="str">
        <f>VLOOKUP(LOWER(N398),experiments_specs!$A:$J,8,FALSE)</f>
        <v>True</v>
      </c>
      <c r="M405" s="15" t="s">
        <v>1288</v>
      </c>
      <c r="N405" s="6" t="s">
        <v>16</v>
      </c>
      <c r="O405" s="19" t="s">
        <v>445</v>
      </c>
      <c r="P405" s="19">
        <v>1</v>
      </c>
      <c r="Q405" s="19">
        <v>5.2512000000000001E-3</v>
      </c>
      <c r="R405" s="31">
        <v>0.14285709999999999</v>
      </c>
    </row>
    <row r="406" spans="2:18" x14ac:dyDescent="0.2">
      <c r="B406" s="11" t="s">
        <v>8</v>
      </c>
      <c r="C406" s="12" t="str">
        <f>VLOOKUP(LOWER(E398),experiments_specs!$A:$J,9,FALSE)</f>
        <v>wup_similarity</v>
      </c>
      <c r="D406" s="15" t="s">
        <v>1287</v>
      </c>
      <c r="E406" s="6" t="s">
        <v>17</v>
      </c>
      <c r="F406" s="19" t="s">
        <v>440</v>
      </c>
      <c r="G406" s="19">
        <v>2</v>
      </c>
      <c r="H406" s="19">
        <v>5.1130000000000004E-3</v>
      </c>
      <c r="I406" s="31">
        <v>0.2</v>
      </c>
      <c r="K406" s="11" t="s">
        <v>8</v>
      </c>
      <c r="L406" s="12" t="str">
        <f>VLOOKUP(LOWER(N398),experiments_specs!$A:$J,9,FALSE)</f>
        <v>wup_similarity</v>
      </c>
      <c r="M406" s="15" t="s">
        <v>1288</v>
      </c>
      <c r="N406" s="6" t="s">
        <v>17</v>
      </c>
      <c r="O406" s="19" t="s">
        <v>440</v>
      </c>
      <c r="P406" s="19">
        <v>2</v>
      </c>
      <c r="Q406" s="19">
        <v>5.1130000000000004E-3</v>
      </c>
      <c r="R406" s="31">
        <v>0.2</v>
      </c>
    </row>
    <row r="407" spans="2:18" x14ac:dyDescent="0.2">
      <c r="B407" s="11" t="s">
        <v>9</v>
      </c>
      <c r="C407" s="12" t="str">
        <f>VLOOKUP(LOWER(E398),experiments_specs!$A:$J,10,FALSE)</f>
        <v>False</v>
      </c>
      <c r="D407" s="15" t="s">
        <v>1287</v>
      </c>
      <c r="E407" s="7" t="s">
        <v>18</v>
      </c>
      <c r="F407" s="20" t="s">
        <v>781</v>
      </c>
      <c r="G407" s="20">
        <v>2</v>
      </c>
      <c r="H407" s="20">
        <v>2.3768000000000001E-3</v>
      </c>
      <c r="I407" s="32">
        <v>0.2105263</v>
      </c>
      <c r="K407" s="11" t="s">
        <v>9</v>
      </c>
      <c r="L407" s="12" t="str">
        <f>VLOOKUP(LOWER(N398),experiments_specs!$A:$J,10,FALSE)</f>
        <v>False</v>
      </c>
      <c r="M407" s="15" t="s">
        <v>1288</v>
      </c>
      <c r="N407" s="7" t="s">
        <v>18</v>
      </c>
      <c r="O407" s="20" t="s">
        <v>781</v>
      </c>
      <c r="P407" s="20">
        <v>2</v>
      </c>
      <c r="Q407" s="20">
        <v>2.3768000000000001E-3</v>
      </c>
      <c r="R407" s="32">
        <v>0.2105263</v>
      </c>
    </row>
    <row r="408" spans="2:18" ht="17" thickBot="1" x14ac:dyDescent="0.25"/>
    <row r="409" spans="2:18" ht="20" thickBot="1" x14ac:dyDescent="0.3">
      <c r="B409" s="13" t="s">
        <v>126</v>
      </c>
      <c r="C409" s="14"/>
      <c r="D409" s="9"/>
      <c r="E409" s="10" t="str">
        <f>"TEST_"&amp;TEXT(RIGHT(N398,3)+1, "00")</f>
        <v>TEST_165</v>
      </c>
      <c r="F409" s="41" t="s">
        <v>1306</v>
      </c>
      <c r="G409" s="41"/>
      <c r="H409" s="41"/>
      <c r="I409" s="41"/>
      <c r="K409" s="13" t="s">
        <v>126</v>
      </c>
      <c r="L409" s="14"/>
      <c r="M409" s="9"/>
      <c r="N409" s="10" t="str">
        <f>"TEST_"&amp;TEXT(RIGHT(E409,3)+1, "00")</f>
        <v>TEST_166</v>
      </c>
      <c r="O409" s="41" t="s">
        <v>1306</v>
      </c>
      <c r="P409" s="41"/>
      <c r="Q409" s="41"/>
      <c r="R409" s="41"/>
    </row>
    <row r="410" spans="2:18" x14ac:dyDescent="0.2">
      <c r="B410" s="11" t="s">
        <v>1</v>
      </c>
      <c r="C410" s="12" t="str">
        <f>VLOOKUP(LOWER(E409),experiments_specs!$A:$J,2,FALSE)</f>
        <v>NN,VB,VBD,VBG,VBN,VBP,VBZ</v>
      </c>
      <c r="D410" s="15" t="str">
        <f>"{"&amp;LOWER(E409)&amp;".csv}"</f>
        <v>{test_165.csv}</v>
      </c>
      <c r="E410" s="8" t="s">
        <v>118</v>
      </c>
      <c r="F410" s="3" t="s">
        <v>1307</v>
      </c>
      <c r="G410" s="3"/>
      <c r="H410" s="3" t="s">
        <v>178</v>
      </c>
      <c r="I410" s="29" t="s">
        <v>121</v>
      </c>
      <c r="K410" s="11" t="s">
        <v>1</v>
      </c>
      <c r="L410" s="12" t="str">
        <f>VLOOKUP(LOWER(N409),experiments_specs!$A:$J,2,FALSE)</f>
        <v>NN,VB,VBD,VBG,VBN,VBP,VBZ</v>
      </c>
      <c r="M410" s="15" t="str">
        <f>"{"&amp;LOWER(N409)&amp;".csv}"</f>
        <v>{test_166.csv}</v>
      </c>
      <c r="N410" s="8" t="s">
        <v>118</v>
      </c>
      <c r="O410" s="3" t="s">
        <v>1307</v>
      </c>
      <c r="P410" s="3"/>
      <c r="Q410" s="3" t="s">
        <v>178</v>
      </c>
      <c r="R410" s="29" t="s">
        <v>121</v>
      </c>
    </row>
    <row r="411" spans="2:18" ht="102" x14ac:dyDescent="0.2">
      <c r="B411" s="11" t="s">
        <v>2</v>
      </c>
      <c r="C411" s="12">
        <f>VLOOKUP(LOWER(E409),experiments_specs!$A:$J,3,FALSE)</f>
        <v>0</v>
      </c>
      <c r="D411" s="15" t="s">
        <v>1289</v>
      </c>
      <c r="E411" s="5" t="s">
        <v>19</v>
      </c>
      <c r="F411" s="17" t="s">
        <v>1390</v>
      </c>
      <c r="G411" s="17" t="s">
        <v>1392</v>
      </c>
      <c r="H411" s="17">
        <v>3.0782000000000001E-3</v>
      </c>
      <c r="I411" s="50" t="s">
        <v>1457</v>
      </c>
      <c r="K411" s="11" t="s">
        <v>2</v>
      </c>
      <c r="L411" s="12">
        <f>VLOOKUP(LOWER(N409),experiments_specs!$A:$J,3,FALSE)</f>
        <v>0</v>
      </c>
      <c r="M411" s="15" t="s">
        <v>1290</v>
      </c>
      <c r="N411" s="5" t="s">
        <v>19</v>
      </c>
      <c r="O411" s="17" t="s">
        <v>1390</v>
      </c>
      <c r="P411" s="17" t="s">
        <v>1392</v>
      </c>
      <c r="Q411" s="17">
        <v>3.0782000000000001E-3</v>
      </c>
      <c r="R411" s="50" t="s">
        <v>1457</v>
      </c>
    </row>
    <row r="412" spans="2:18" ht="68" x14ac:dyDescent="0.2">
      <c r="B412" s="11" t="s">
        <v>3</v>
      </c>
      <c r="C412" s="12">
        <f>VLOOKUP(LOWER(E409),experiments_specs!$A:$J,4,FALSE)</f>
        <v>2</v>
      </c>
      <c r="D412" s="15" t="s">
        <v>1289</v>
      </c>
      <c r="E412" s="6" t="s">
        <v>12</v>
      </c>
      <c r="F412" s="18" t="s">
        <v>1394</v>
      </c>
      <c r="G412" s="18" t="s">
        <v>1330</v>
      </c>
      <c r="H412" s="19">
        <v>4.9627999999999999E-3</v>
      </c>
      <c r="I412" s="51" t="s">
        <v>1435</v>
      </c>
      <c r="K412" s="11" t="s">
        <v>3</v>
      </c>
      <c r="L412" s="12">
        <f>VLOOKUP(LOWER(N409),experiments_specs!$A:$J,4,FALSE)</f>
        <v>3</v>
      </c>
      <c r="M412" s="15" t="s">
        <v>1290</v>
      </c>
      <c r="N412" s="6" t="s">
        <v>12</v>
      </c>
      <c r="O412" s="18" t="s">
        <v>1394</v>
      </c>
      <c r="P412" s="18" t="s">
        <v>1330</v>
      </c>
      <c r="Q412" s="19">
        <v>4.9627999999999999E-3</v>
      </c>
      <c r="R412" s="51" t="s">
        <v>1435</v>
      </c>
    </row>
    <row r="413" spans="2:18" x14ac:dyDescent="0.2">
      <c r="B413" s="11" t="s">
        <v>4</v>
      </c>
      <c r="C413" s="12" t="str">
        <f>VLOOKUP(LOWER(E409),experiments_specs!$A:$J,5,FALSE)</f>
        <v>False</v>
      </c>
      <c r="D413" s="15" t="s">
        <v>1289</v>
      </c>
      <c r="E413" s="6" t="s">
        <v>13</v>
      </c>
      <c r="F413" s="19" t="s">
        <v>426</v>
      </c>
      <c r="G413" s="19">
        <v>2</v>
      </c>
      <c r="H413" s="19">
        <v>7.5259000000000003E-3</v>
      </c>
      <c r="I413" s="31" t="s">
        <v>25</v>
      </c>
      <c r="K413" s="11" t="s">
        <v>4</v>
      </c>
      <c r="L413" s="12" t="str">
        <f>VLOOKUP(LOWER(N409),experiments_specs!$A:$J,5,FALSE)</f>
        <v>False</v>
      </c>
      <c r="M413" s="15" t="s">
        <v>1290</v>
      </c>
      <c r="N413" s="6" t="s">
        <v>13</v>
      </c>
      <c r="O413" s="19" t="s">
        <v>426</v>
      </c>
      <c r="P413" s="19">
        <v>2</v>
      </c>
      <c r="Q413" s="19">
        <v>7.5259000000000003E-3</v>
      </c>
      <c r="R413" s="31" t="s">
        <v>25</v>
      </c>
    </row>
    <row r="414" spans="2:18" ht="34" x14ac:dyDescent="0.2">
      <c r="B414" s="11" t="s">
        <v>5</v>
      </c>
      <c r="C414" s="12" t="str">
        <f>VLOOKUP(LOWER(E409),experiments_specs!$A:$J,6,FALSE)</f>
        <v>False</v>
      </c>
      <c r="D414" s="15" t="s">
        <v>1289</v>
      </c>
      <c r="E414" s="6" t="s">
        <v>14</v>
      </c>
      <c r="F414" s="18" t="s">
        <v>1344</v>
      </c>
      <c r="G414" s="18" t="s">
        <v>1313</v>
      </c>
      <c r="H414" s="19">
        <v>4.1336000000000003E-3</v>
      </c>
      <c r="I414" s="51" t="s">
        <v>1346</v>
      </c>
      <c r="K414" s="11" t="s">
        <v>5</v>
      </c>
      <c r="L414" s="12" t="str">
        <f>VLOOKUP(LOWER(N409),experiments_specs!$A:$J,6,FALSE)</f>
        <v>False</v>
      </c>
      <c r="M414" s="15" t="s">
        <v>1290</v>
      </c>
      <c r="N414" s="6" t="s">
        <v>14</v>
      </c>
      <c r="O414" s="18" t="s">
        <v>1344</v>
      </c>
      <c r="P414" s="18" t="s">
        <v>1313</v>
      </c>
      <c r="Q414" s="19">
        <v>4.1336000000000003E-3</v>
      </c>
      <c r="R414" s="51" t="s">
        <v>1346</v>
      </c>
    </row>
    <row r="415" spans="2:18" x14ac:dyDescent="0.2">
      <c r="B415" s="11" t="s">
        <v>6</v>
      </c>
      <c r="C415" s="12" t="str">
        <f>VLOOKUP(LOWER(E409),experiments_specs!$A:$J,7,FALSE)</f>
        <v>False</v>
      </c>
      <c r="D415" s="15" t="s">
        <v>1289</v>
      </c>
      <c r="E415" s="6" t="s">
        <v>15</v>
      </c>
      <c r="F415" s="19" t="s">
        <v>443</v>
      </c>
      <c r="G415" s="19">
        <v>2</v>
      </c>
      <c r="H415" s="19">
        <v>4.5228000000000004E-3</v>
      </c>
      <c r="I415" s="31">
        <v>0.2</v>
      </c>
      <c r="K415" s="11" t="s">
        <v>6</v>
      </c>
      <c r="L415" s="12" t="str">
        <f>VLOOKUP(LOWER(N409),experiments_specs!$A:$J,7,FALSE)</f>
        <v>False</v>
      </c>
      <c r="M415" s="15" t="s">
        <v>1290</v>
      </c>
      <c r="N415" s="6" t="s">
        <v>15</v>
      </c>
      <c r="O415" s="19" t="s">
        <v>443</v>
      </c>
      <c r="P415" s="19">
        <v>2</v>
      </c>
      <c r="Q415" s="19">
        <v>4.5228000000000004E-3</v>
      </c>
      <c r="R415" s="31">
        <v>0.2</v>
      </c>
    </row>
    <row r="416" spans="2:18" x14ac:dyDescent="0.2">
      <c r="B416" s="11" t="s">
        <v>7</v>
      </c>
      <c r="C416" s="12" t="str">
        <f>VLOOKUP(LOWER(E409),experiments_specs!$A:$J,8,FALSE)</f>
        <v>True</v>
      </c>
      <c r="D416" s="15" t="s">
        <v>1289</v>
      </c>
      <c r="E416" s="6" t="s">
        <v>16</v>
      </c>
      <c r="F416" s="19" t="s">
        <v>445</v>
      </c>
      <c r="G416" s="19">
        <v>1</v>
      </c>
      <c r="H416" s="19">
        <v>5.8231999999999997E-3</v>
      </c>
      <c r="I416" s="31">
        <v>0.14285709999999999</v>
      </c>
      <c r="K416" s="11" t="s">
        <v>7</v>
      </c>
      <c r="L416" s="12" t="str">
        <f>VLOOKUP(LOWER(N409),experiments_specs!$A:$J,8,FALSE)</f>
        <v>True</v>
      </c>
      <c r="M416" s="15" t="s">
        <v>1290</v>
      </c>
      <c r="N416" s="6" t="s">
        <v>16</v>
      </c>
      <c r="O416" s="19" t="s">
        <v>445</v>
      </c>
      <c r="P416" s="19">
        <v>1</v>
      </c>
      <c r="Q416" s="19">
        <v>5.8231999999999997E-3</v>
      </c>
      <c r="R416" s="31">
        <v>0.14285709999999999</v>
      </c>
    </row>
    <row r="417" spans="2:18" ht="68" x14ac:dyDescent="0.2">
      <c r="B417" s="11" t="s">
        <v>8</v>
      </c>
      <c r="C417" s="12" t="str">
        <f>VLOOKUP(LOWER(E409),experiments_specs!$A:$J,9,FALSE)</f>
        <v>wup_similarity</v>
      </c>
      <c r="D417" s="15" t="s">
        <v>1289</v>
      </c>
      <c r="E417" s="6" t="s">
        <v>17</v>
      </c>
      <c r="F417" s="18" t="s">
        <v>1396</v>
      </c>
      <c r="G417" s="18" t="s">
        <v>1313</v>
      </c>
      <c r="H417" s="19">
        <v>3.0909000000000002E-3</v>
      </c>
      <c r="I417" s="51" t="s">
        <v>1431</v>
      </c>
      <c r="K417" s="11" t="s">
        <v>8</v>
      </c>
      <c r="L417" s="12" t="str">
        <f>VLOOKUP(LOWER(N409),experiments_specs!$A:$J,9,FALSE)</f>
        <v>wup_similarity</v>
      </c>
      <c r="M417" s="15" t="s">
        <v>1290</v>
      </c>
      <c r="N417" s="6" t="s">
        <v>17</v>
      </c>
      <c r="O417" s="18" t="s">
        <v>1396</v>
      </c>
      <c r="P417" s="18" t="s">
        <v>1313</v>
      </c>
      <c r="Q417" s="19">
        <v>3.0909000000000002E-3</v>
      </c>
      <c r="R417" s="51" t="s">
        <v>1431</v>
      </c>
    </row>
    <row r="418" spans="2:18" ht="119" x14ac:dyDescent="0.2">
      <c r="B418" s="11" t="s">
        <v>9</v>
      </c>
      <c r="C418" s="12" t="str">
        <f>VLOOKUP(LOWER(E409),experiments_specs!$A:$J,10,FALSE)</f>
        <v>False</v>
      </c>
      <c r="D418" s="15" t="s">
        <v>1289</v>
      </c>
      <c r="E418" s="7" t="s">
        <v>18</v>
      </c>
      <c r="F418" s="49" t="s">
        <v>1398</v>
      </c>
      <c r="G418" s="49" t="s">
        <v>1400</v>
      </c>
      <c r="H418" s="20">
        <v>1.5827E-3</v>
      </c>
      <c r="I418" s="52" t="s">
        <v>1459</v>
      </c>
      <c r="K418" s="11" t="s">
        <v>9</v>
      </c>
      <c r="L418" s="12" t="str">
        <f>VLOOKUP(LOWER(N409),experiments_specs!$A:$J,10,FALSE)</f>
        <v>False</v>
      </c>
      <c r="M418" s="15" t="s">
        <v>1290</v>
      </c>
      <c r="N418" s="7" t="s">
        <v>18</v>
      </c>
      <c r="O418" s="49" t="s">
        <v>1398</v>
      </c>
      <c r="P418" s="49" t="s">
        <v>1400</v>
      </c>
      <c r="Q418" s="20">
        <v>1.5827E-3</v>
      </c>
      <c r="R418" s="52" t="s">
        <v>1459</v>
      </c>
    </row>
    <row r="419" spans="2:18" ht="17" thickBot="1" x14ac:dyDescent="0.25"/>
    <row r="420" spans="2:18" ht="20" thickBot="1" x14ac:dyDescent="0.3">
      <c r="B420" s="13" t="s">
        <v>126</v>
      </c>
      <c r="C420" s="14"/>
      <c r="D420" s="9"/>
      <c r="E420" s="10" t="str">
        <f>"TEST_"&amp;TEXT(RIGHT(N409,3)+1, "00")</f>
        <v>TEST_167</v>
      </c>
      <c r="F420" s="41" t="s">
        <v>1306</v>
      </c>
      <c r="G420" s="41"/>
      <c r="H420" s="41"/>
      <c r="I420" s="41"/>
      <c r="K420" s="13" t="s">
        <v>126</v>
      </c>
      <c r="L420" s="14"/>
      <c r="M420" s="9"/>
      <c r="N420" s="10" t="str">
        <f>"TEST_"&amp;TEXT(RIGHT(E420,3)+1, "00")</f>
        <v>TEST_168</v>
      </c>
      <c r="O420" s="41" t="s">
        <v>1306</v>
      </c>
      <c r="P420" s="41"/>
      <c r="Q420" s="41"/>
      <c r="R420" s="41"/>
    </row>
    <row r="421" spans="2:18" x14ac:dyDescent="0.2">
      <c r="B421" s="11" t="s">
        <v>1</v>
      </c>
      <c r="C421" s="12" t="str">
        <f>VLOOKUP(LOWER(E420),experiments_specs!$A:$J,2,FALSE)</f>
        <v>NN,JJ,VB,VBD,VBG,VBN,VBP,VBZ</v>
      </c>
      <c r="D421" s="15" t="str">
        <f>"{"&amp;LOWER(E420)&amp;".csv}"</f>
        <v>{test_167.csv}</v>
      </c>
      <c r="E421" s="8" t="s">
        <v>118</v>
      </c>
      <c r="F421" s="3" t="s">
        <v>1307</v>
      </c>
      <c r="G421" s="3"/>
      <c r="H421" s="3" t="s">
        <v>178</v>
      </c>
      <c r="I421" s="29" t="s">
        <v>121</v>
      </c>
      <c r="K421" s="11" t="s">
        <v>1</v>
      </c>
      <c r="L421" s="12" t="str">
        <f>VLOOKUP(LOWER(N420),experiments_specs!$A:$J,2,FALSE)</f>
        <v>NN,JJ,VB,VBD,VBG,VBN,VBP,VBZ</v>
      </c>
      <c r="M421" s="15" t="str">
        <f>"{"&amp;LOWER(N420)&amp;".csv}"</f>
        <v>{test_168.csv}</v>
      </c>
      <c r="N421" s="8" t="s">
        <v>118</v>
      </c>
      <c r="O421" s="3" t="s">
        <v>1307</v>
      </c>
      <c r="P421" s="3"/>
      <c r="Q421" s="3" t="s">
        <v>178</v>
      </c>
      <c r="R421" s="29" t="s">
        <v>121</v>
      </c>
    </row>
    <row r="422" spans="2:18" ht="17" x14ac:dyDescent="0.2">
      <c r="B422" s="11" t="s">
        <v>2</v>
      </c>
      <c r="C422" s="12">
        <f>VLOOKUP(LOWER(E420),experiments_specs!$A:$J,3,FALSE)</f>
        <v>0</v>
      </c>
      <c r="D422" s="15" t="s">
        <v>1291</v>
      </c>
      <c r="E422" s="5" t="s">
        <v>19</v>
      </c>
      <c r="F422" s="17" t="s">
        <v>437</v>
      </c>
      <c r="G422" s="17">
        <v>1</v>
      </c>
      <c r="H422" s="17">
        <v>3.3281000000000001E-3</v>
      </c>
      <c r="I422" s="30">
        <v>0.117647</v>
      </c>
      <c r="K422" s="11" t="s">
        <v>2</v>
      </c>
      <c r="L422" s="12">
        <f>VLOOKUP(LOWER(N420),experiments_specs!$A:$J,3,FALSE)</f>
        <v>0</v>
      </c>
      <c r="M422" s="15" t="s">
        <v>1292</v>
      </c>
      <c r="N422" s="5" t="s">
        <v>19</v>
      </c>
      <c r="O422" s="17" t="s">
        <v>437</v>
      </c>
      <c r="P422" s="17">
        <v>1</v>
      </c>
      <c r="Q422" s="17">
        <v>3.3281000000000001E-3</v>
      </c>
      <c r="R422" s="30">
        <v>0.117647</v>
      </c>
    </row>
    <row r="423" spans="2:18" ht="68" x14ac:dyDescent="0.2">
      <c r="B423" s="11" t="s">
        <v>3</v>
      </c>
      <c r="C423" s="12">
        <f>VLOOKUP(LOWER(E420),experiments_specs!$A:$J,4,FALSE)</f>
        <v>2</v>
      </c>
      <c r="D423" s="15" t="s">
        <v>1291</v>
      </c>
      <c r="E423" s="6" t="s">
        <v>12</v>
      </c>
      <c r="F423" s="18" t="s">
        <v>1394</v>
      </c>
      <c r="G423" s="18" t="s">
        <v>1330</v>
      </c>
      <c r="H423" s="19">
        <v>3.5737E-3</v>
      </c>
      <c r="I423" s="51" t="s">
        <v>1435</v>
      </c>
      <c r="K423" s="11" t="s">
        <v>3</v>
      </c>
      <c r="L423" s="12">
        <f>VLOOKUP(LOWER(N420),experiments_specs!$A:$J,4,FALSE)</f>
        <v>3</v>
      </c>
      <c r="M423" s="15" t="s">
        <v>1292</v>
      </c>
      <c r="N423" s="6" t="s">
        <v>12</v>
      </c>
      <c r="O423" s="18" t="s">
        <v>1394</v>
      </c>
      <c r="P423" s="18" t="s">
        <v>1330</v>
      </c>
      <c r="Q423" s="19">
        <v>3.5737E-3</v>
      </c>
      <c r="R423" s="51" t="s">
        <v>1435</v>
      </c>
    </row>
    <row r="424" spans="2:18" x14ac:dyDescent="0.2">
      <c r="B424" s="11" t="s">
        <v>4</v>
      </c>
      <c r="C424" s="12" t="str">
        <f>VLOOKUP(LOWER(E420),experiments_specs!$A:$J,5,FALSE)</f>
        <v>False</v>
      </c>
      <c r="D424" s="15" t="s">
        <v>1291</v>
      </c>
      <c r="E424" s="6" t="s">
        <v>13</v>
      </c>
      <c r="F424" s="19" t="s">
        <v>426</v>
      </c>
      <c r="G424" s="19">
        <v>2</v>
      </c>
      <c r="H424" s="19">
        <v>6.3914999999999996E-3</v>
      </c>
      <c r="I424" s="31" t="s">
        <v>25</v>
      </c>
      <c r="K424" s="11" t="s">
        <v>4</v>
      </c>
      <c r="L424" s="12" t="str">
        <f>VLOOKUP(LOWER(N420),experiments_specs!$A:$J,5,FALSE)</f>
        <v>False</v>
      </c>
      <c r="M424" s="15" t="s">
        <v>1292</v>
      </c>
      <c r="N424" s="6" t="s">
        <v>13</v>
      </c>
      <c r="O424" s="19" t="s">
        <v>426</v>
      </c>
      <c r="P424" s="19">
        <v>2</v>
      </c>
      <c r="Q424" s="19">
        <v>6.3914999999999996E-3</v>
      </c>
      <c r="R424" s="31" t="s">
        <v>25</v>
      </c>
    </row>
    <row r="425" spans="2:18" ht="34" x14ac:dyDescent="0.2">
      <c r="B425" s="11" t="s">
        <v>5</v>
      </c>
      <c r="C425" s="12" t="str">
        <f>VLOOKUP(LOWER(E420),experiments_specs!$A:$J,6,FALSE)</f>
        <v>False</v>
      </c>
      <c r="D425" s="15" t="s">
        <v>1291</v>
      </c>
      <c r="E425" s="6" t="s">
        <v>14</v>
      </c>
      <c r="F425" s="18" t="s">
        <v>1344</v>
      </c>
      <c r="G425" s="18" t="s">
        <v>1313</v>
      </c>
      <c r="H425" s="19">
        <v>3.4462E-3</v>
      </c>
      <c r="I425" s="51" t="s">
        <v>1346</v>
      </c>
      <c r="K425" s="11" t="s">
        <v>5</v>
      </c>
      <c r="L425" s="12" t="str">
        <f>VLOOKUP(LOWER(N420),experiments_specs!$A:$J,6,FALSE)</f>
        <v>False</v>
      </c>
      <c r="M425" s="15" t="s">
        <v>1292</v>
      </c>
      <c r="N425" s="6" t="s">
        <v>14</v>
      </c>
      <c r="O425" s="18" t="s">
        <v>1344</v>
      </c>
      <c r="P425" s="18" t="s">
        <v>1313</v>
      </c>
      <c r="Q425" s="19">
        <v>3.4462E-3</v>
      </c>
      <c r="R425" s="51" t="s">
        <v>1346</v>
      </c>
    </row>
    <row r="426" spans="2:18" x14ac:dyDescent="0.2">
      <c r="B426" s="11" t="s">
        <v>6</v>
      </c>
      <c r="C426" s="12" t="str">
        <f>VLOOKUP(LOWER(E420),experiments_specs!$A:$J,7,FALSE)</f>
        <v>False</v>
      </c>
      <c r="D426" s="15" t="s">
        <v>1291</v>
      </c>
      <c r="E426" s="6" t="s">
        <v>15</v>
      </c>
      <c r="F426" s="19" t="s">
        <v>443</v>
      </c>
      <c r="G426" s="19">
        <v>2</v>
      </c>
      <c r="H426" s="19">
        <v>3.9822E-3</v>
      </c>
      <c r="I426" s="31">
        <v>0.2</v>
      </c>
      <c r="K426" s="11" t="s">
        <v>6</v>
      </c>
      <c r="L426" s="12" t="str">
        <f>VLOOKUP(LOWER(N420),experiments_specs!$A:$J,7,FALSE)</f>
        <v>False</v>
      </c>
      <c r="M426" s="15" t="s">
        <v>1292</v>
      </c>
      <c r="N426" s="6" t="s">
        <v>15</v>
      </c>
      <c r="O426" s="19" t="s">
        <v>443</v>
      </c>
      <c r="P426" s="19">
        <v>2</v>
      </c>
      <c r="Q426" s="19">
        <v>3.9822E-3</v>
      </c>
      <c r="R426" s="31">
        <v>0.2</v>
      </c>
    </row>
    <row r="427" spans="2:18" x14ac:dyDescent="0.2">
      <c r="B427" s="11" t="s">
        <v>7</v>
      </c>
      <c r="C427" s="12" t="str">
        <f>VLOOKUP(LOWER(E420),experiments_specs!$A:$J,8,FALSE)</f>
        <v>True</v>
      </c>
      <c r="D427" s="15" t="s">
        <v>1291</v>
      </c>
      <c r="E427" s="6" t="s">
        <v>16</v>
      </c>
      <c r="F427" s="19" t="s">
        <v>445</v>
      </c>
      <c r="G427" s="19">
        <v>1</v>
      </c>
      <c r="H427" s="19">
        <v>4.9997000000000002E-3</v>
      </c>
      <c r="I427" s="31">
        <v>0.14285709999999999</v>
      </c>
      <c r="K427" s="11" t="s">
        <v>7</v>
      </c>
      <c r="L427" s="12" t="str">
        <f>VLOOKUP(LOWER(N420),experiments_specs!$A:$J,8,FALSE)</f>
        <v>True</v>
      </c>
      <c r="M427" s="15" t="s">
        <v>1292</v>
      </c>
      <c r="N427" s="6" t="s">
        <v>16</v>
      </c>
      <c r="O427" s="19" t="s">
        <v>445</v>
      </c>
      <c r="P427" s="19">
        <v>1</v>
      </c>
      <c r="Q427" s="19">
        <v>4.9997000000000002E-3</v>
      </c>
      <c r="R427" s="31">
        <v>0.14285709999999999</v>
      </c>
    </row>
    <row r="428" spans="2:18" ht="68" x14ac:dyDescent="0.2">
      <c r="B428" s="11" t="s">
        <v>8</v>
      </c>
      <c r="C428" s="12" t="str">
        <f>VLOOKUP(LOWER(E420),experiments_specs!$A:$J,9,FALSE)</f>
        <v>wup_similarity</v>
      </c>
      <c r="D428" s="15" t="s">
        <v>1291</v>
      </c>
      <c r="E428" s="6" t="s">
        <v>17</v>
      </c>
      <c r="F428" s="18" t="s">
        <v>1396</v>
      </c>
      <c r="G428" s="18" t="s">
        <v>1313</v>
      </c>
      <c r="H428" s="19">
        <v>2.9543E-3</v>
      </c>
      <c r="I428" s="51" t="s">
        <v>1431</v>
      </c>
      <c r="K428" s="11" t="s">
        <v>8</v>
      </c>
      <c r="L428" s="12" t="str">
        <f>VLOOKUP(LOWER(N420),experiments_specs!$A:$J,9,FALSE)</f>
        <v>wup_similarity</v>
      </c>
      <c r="M428" s="15" t="s">
        <v>1292</v>
      </c>
      <c r="N428" s="6" t="s">
        <v>17</v>
      </c>
      <c r="O428" s="18" t="s">
        <v>1396</v>
      </c>
      <c r="P428" s="18" t="s">
        <v>1313</v>
      </c>
      <c r="Q428" s="19">
        <v>2.9543E-3</v>
      </c>
      <c r="R428" s="51" t="s">
        <v>1431</v>
      </c>
    </row>
    <row r="429" spans="2:18" ht="119" x14ac:dyDescent="0.2">
      <c r="B429" s="11" t="s">
        <v>9</v>
      </c>
      <c r="C429" s="12" t="str">
        <f>VLOOKUP(LOWER(E420),experiments_specs!$A:$J,10,FALSE)</f>
        <v>False</v>
      </c>
      <c r="D429" s="15" t="s">
        <v>1291</v>
      </c>
      <c r="E429" s="7" t="s">
        <v>18</v>
      </c>
      <c r="F429" s="49" t="s">
        <v>1398</v>
      </c>
      <c r="G429" s="49" t="s">
        <v>1400</v>
      </c>
      <c r="H429" s="20">
        <v>1.3307E-3</v>
      </c>
      <c r="I429" s="52" t="s">
        <v>1459</v>
      </c>
      <c r="K429" s="11" t="s">
        <v>9</v>
      </c>
      <c r="L429" s="12" t="str">
        <f>VLOOKUP(LOWER(N420),experiments_specs!$A:$J,10,FALSE)</f>
        <v>False</v>
      </c>
      <c r="M429" s="15" t="s">
        <v>1292</v>
      </c>
      <c r="N429" s="7" t="s">
        <v>18</v>
      </c>
      <c r="O429" s="49" t="s">
        <v>1398</v>
      </c>
      <c r="P429" s="49" t="s">
        <v>1400</v>
      </c>
      <c r="Q429" s="20">
        <v>1.3307E-3</v>
      </c>
      <c r="R429" s="52" t="s">
        <v>1459</v>
      </c>
    </row>
    <row r="430" spans="2:18" ht="17" thickBot="1" x14ac:dyDescent="0.25"/>
    <row r="431" spans="2:18" ht="20" thickBot="1" x14ac:dyDescent="0.3">
      <c r="B431" s="13" t="s">
        <v>126</v>
      </c>
      <c r="C431" s="14"/>
      <c r="D431" s="9"/>
      <c r="E431" s="10" t="str">
        <f>"TEST_"&amp;TEXT(RIGHT(N420,3)+1, "00")</f>
        <v>TEST_169</v>
      </c>
      <c r="F431" s="41" t="s">
        <v>1306</v>
      </c>
      <c r="G431" s="41"/>
      <c r="H431" s="41"/>
      <c r="I431" s="41"/>
      <c r="K431" s="13" t="s">
        <v>126</v>
      </c>
      <c r="L431" s="14"/>
      <c r="M431" s="9"/>
      <c r="N431" s="10" t="str">
        <f>"TEST_"&amp;TEXT(RIGHT(E431,3)+1, "00")</f>
        <v>TEST_170</v>
      </c>
      <c r="O431" s="41" t="s">
        <v>1306</v>
      </c>
      <c r="P431" s="41"/>
      <c r="Q431" s="41"/>
      <c r="R431" s="41"/>
    </row>
    <row r="432" spans="2:18" x14ac:dyDescent="0.2">
      <c r="B432" s="11" t="s">
        <v>1</v>
      </c>
      <c r="C432" s="12" t="str">
        <f>VLOOKUP(LOWER(E431),experiments_specs!$A:$J,2,FALSE)</f>
        <v>NN,JJ</v>
      </c>
      <c r="D432" s="15" t="str">
        <f>"{"&amp;LOWER(E431)&amp;".csv}"</f>
        <v>{test_169.csv}</v>
      </c>
      <c r="E432" s="8" t="s">
        <v>118</v>
      </c>
      <c r="F432" s="3" t="s">
        <v>1307</v>
      </c>
      <c r="G432" s="3"/>
      <c r="H432" s="3" t="s">
        <v>178</v>
      </c>
      <c r="I432" s="29" t="s">
        <v>121</v>
      </c>
      <c r="K432" s="11" t="s">
        <v>1</v>
      </c>
      <c r="L432" s="12" t="str">
        <f>VLOOKUP(LOWER(N431),experiments_specs!$A:$J,2,FALSE)</f>
        <v>NN,JJ</v>
      </c>
      <c r="M432" s="15" t="str">
        <f>"{"&amp;LOWER(N431)&amp;".csv}"</f>
        <v>{test_170.csv}</v>
      </c>
      <c r="N432" s="8" t="s">
        <v>118</v>
      </c>
      <c r="O432" s="3" t="s">
        <v>1307</v>
      </c>
      <c r="P432" s="3"/>
      <c r="Q432" s="3" t="s">
        <v>178</v>
      </c>
      <c r="R432" s="29" t="s">
        <v>121</v>
      </c>
    </row>
    <row r="433" spans="2:18" ht="17" x14ac:dyDescent="0.2">
      <c r="B433" s="11" t="s">
        <v>2</v>
      </c>
      <c r="C433" s="12">
        <f>VLOOKUP(LOWER(E431),experiments_specs!$A:$J,3,FALSE)</f>
        <v>0</v>
      </c>
      <c r="D433" s="15" t="s">
        <v>1293</v>
      </c>
      <c r="E433" s="5" t="s">
        <v>19</v>
      </c>
      <c r="F433" s="17" t="s">
        <v>1402</v>
      </c>
      <c r="G433" s="17">
        <v>3</v>
      </c>
      <c r="H433" s="17">
        <v>2.5636099999999998E-2</v>
      </c>
      <c r="I433" s="30">
        <v>0.18181810000000001</v>
      </c>
      <c r="K433" s="11" t="s">
        <v>2</v>
      </c>
      <c r="L433" s="12">
        <f>VLOOKUP(LOWER(N431),experiments_specs!$A:$J,3,FALSE)</f>
        <v>0</v>
      </c>
      <c r="M433" s="15" t="s">
        <v>1294</v>
      </c>
      <c r="N433" s="5" t="s">
        <v>19</v>
      </c>
      <c r="O433" s="17" t="s">
        <v>1402</v>
      </c>
      <c r="P433" s="17">
        <v>3</v>
      </c>
      <c r="Q433" s="17">
        <v>2.5636099999999998E-2</v>
      </c>
      <c r="R433" s="30">
        <v>0.18181810000000001</v>
      </c>
    </row>
    <row r="434" spans="2:18" x14ac:dyDescent="0.2">
      <c r="B434" s="11" t="s">
        <v>3</v>
      </c>
      <c r="C434" s="12">
        <f>VLOOKUP(LOWER(E431),experiments_specs!$A:$J,4,FALSE)</f>
        <v>2</v>
      </c>
      <c r="D434" s="15" t="s">
        <v>1293</v>
      </c>
      <c r="E434" s="6" t="s">
        <v>12</v>
      </c>
      <c r="F434" s="19" t="s">
        <v>1403</v>
      </c>
      <c r="G434" s="19">
        <v>3</v>
      </c>
      <c r="H434" s="19">
        <v>2.9695599999999999E-2</v>
      </c>
      <c r="I434" s="31">
        <v>0.4</v>
      </c>
      <c r="K434" s="11" t="s">
        <v>3</v>
      </c>
      <c r="L434" s="12">
        <f>VLOOKUP(LOWER(N431),experiments_specs!$A:$J,4,FALSE)</f>
        <v>3</v>
      </c>
      <c r="M434" s="15" t="s">
        <v>1294</v>
      </c>
      <c r="N434" s="6" t="s">
        <v>12</v>
      </c>
      <c r="O434" s="19" t="s">
        <v>1403</v>
      </c>
      <c r="P434" s="19">
        <v>3</v>
      </c>
      <c r="Q434" s="19">
        <v>2.9695599999999999E-2</v>
      </c>
      <c r="R434" s="31">
        <v>0.4</v>
      </c>
    </row>
    <row r="435" spans="2:18" x14ac:dyDescent="0.2">
      <c r="B435" s="11" t="s">
        <v>4</v>
      </c>
      <c r="C435" s="12" t="str">
        <f>VLOOKUP(LOWER(E431),experiments_specs!$A:$J,5,FALSE)</f>
        <v>True</v>
      </c>
      <c r="D435" s="15" t="s">
        <v>1293</v>
      </c>
      <c r="E435" s="6" t="s">
        <v>13</v>
      </c>
      <c r="F435" s="19" t="s">
        <v>908</v>
      </c>
      <c r="G435" s="19">
        <v>2</v>
      </c>
      <c r="H435" s="19">
        <v>3.0070300000000001E-2</v>
      </c>
      <c r="I435" s="31" t="s">
        <v>25</v>
      </c>
      <c r="K435" s="11" t="s">
        <v>4</v>
      </c>
      <c r="L435" s="12" t="str">
        <f>VLOOKUP(LOWER(N431),experiments_specs!$A:$J,5,FALSE)</f>
        <v>True</v>
      </c>
      <c r="M435" s="15" t="s">
        <v>1294</v>
      </c>
      <c r="N435" s="6" t="s">
        <v>13</v>
      </c>
      <c r="O435" s="19" t="s">
        <v>908</v>
      </c>
      <c r="P435" s="19">
        <v>2</v>
      </c>
      <c r="Q435" s="19">
        <v>3.0070300000000001E-2</v>
      </c>
      <c r="R435" s="31" t="s">
        <v>25</v>
      </c>
    </row>
    <row r="436" spans="2:18" x14ac:dyDescent="0.2">
      <c r="B436" s="11" t="s">
        <v>5</v>
      </c>
      <c r="C436" s="12" t="str">
        <f>VLOOKUP(LOWER(E431),experiments_specs!$A:$J,6,FALSE)</f>
        <v>False</v>
      </c>
      <c r="D436" s="15" t="s">
        <v>1293</v>
      </c>
      <c r="E436" s="6" t="s">
        <v>14</v>
      </c>
      <c r="F436" s="19" t="s">
        <v>1404</v>
      </c>
      <c r="G436" s="19">
        <v>3</v>
      </c>
      <c r="H436" s="19">
        <v>1.5379200000000001E-2</v>
      </c>
      <c r="I436" s="31">
        <v>0.30769229999999997</v>
      </c>
      <c r="K436" s="11" t="s">
        <v>5</v>
      </c>
      <c r="L436" s="12" t="str">
        <f>VLOOKUP(LOWER(N431),experiments_specs!$A:$J,6,FALSE)</f>
        <v>False</v>
      </c>
      <c r="M436" s="15" t="s">
        <v>1294</v>
      </c>
      <c r="N436" s="6" t="s">
        <v>14</v>
      </c>
      <c r="O436" s="19" t="s">
        <v>1404</v>
      </c>
      <c r="P436" s="19">
        <v>3</v>
      </c>
      <c r="Q436" s="19">
        <v>1.5379200000000001E-2</v>
      </c>
      <c r="R436" s="31">
        <v>0.30769229999999997</v>
      </c>
    </row>
    <row r="437" spans="2:18" x14ac:dyDescent="0.2">
      <c r="B437" s="11" t="s">
        <v>6</v>
      </c>
      <c r="C437" s="12" t="str">
        <f>VLOOKUP(LOWER(E431),experiments_specs!$A:$J,7,FALSE)</f>
        <v>False</v>
      </c>
      <c r="D437" s="15" t="s">
        <v>1293</v>
      </c>
      <c r="E437" s="6" t="s">
        <v>15</v>
      </c>
      <c r="F437" s="19" t="s">
        <v>1405</v>
      </c>
      <c r="G437" s="19">
        <v>1</v>
      </c>
      <c r="H437" s="19">
        <v>4.4904100000000002E-2</v>
      </c>
      <c r="I437" s="31">
        <v>0.90909090000000004</v>
      </c>
      <c r="K437" s="11" t="s">
        <v>6</v>
      </c>
      <c r="L437" s="12" t="str">
        <f>VLOOKUP(LOWER(N431),experiments_specs!$A:$J,7,FALSE)</f>
        <v>False</v>
      </c>
      <c r="M437" s="15" t="s">
        <v>1294</v>
      </c>
      <c r="N437" s="6" t="s">
        <v>15</v>
      </c>
      <c r="O437" s="19" t="s">
        <v>1405</v>
      </c>
      <c r="P437" s="19">
        <v>1</v>
      </c>
      <c r="Q437" s="19">
        <v>4.4904100000000002E-2</v>
      </c>
      <c r="R437" s="31">
        <v>0.90909090000000004</v>
      </c>
    </row>
    <row r="438" spans="2:18" x14ac:dyDescent="0.2">
      <c r="B438" s="11" t="s">
        <v>7</v>
      </c>
      <c r="C438" s="12" t="str">
        <f>VLOOKUP(LOWER(E431),experiments_specs!$A:$J,8,FALSE)</f>
        <v>True</v>
      </c>
      <c r="D438" s="15" t="s">
        <v>1293</v>
      </c>
      <c r="E438" s="6" t="s">
        <v>16</v>
      </c>
      <c r="F438" s="19" t="s">
        <v>1406</v>
      </c>
      <c r="G438" s="19">
        <v>-2</v>
      </c>
      <c r="H438" s="19">
        <v>2.75632E-2</v>
      </c>
      <c r="I438" s="31">
        <v>0.125</v>
      </c>
      <c r="K438" s="11" t="s">
        <v>7</v>
      </c>
      <c r="L438" s="12" t="str">
        <f>VLOOKUP(LOWER(N431),experiments_specs!$A:$J,8,FALSE)</f>
        <v>True</v>
      </c>
      <c r="M438" s="15" t="s">
        <v>1294</v>
      </c>
      <c r="N438" s="6" t="s">
        <v>16</v>
      </c>
      <c r="O438" s="19" t="s">
        <v>1406</v>
      </c>
      <c r="P438" s="19">
        <v>-2</v>
      </c>
      <c r="Q438" s="19">
        <v>2.75632E-2</v>
      </c>
      <c r="R438" s="31">
        <v>0.125</v>
      </c>
    </row>
    <row r="439" spans="2:18" x14ac:dyDescent="0.2">
      <c r="B439" s="11" t="s">
        <v>8</v>
      </c>
      <c r="C439" s="12" t="str">
        <f>VLOOKUP(LOWER(E431),experiments_specs!$A:$J,9,FALSE)</f>
        <v>wup_similarity</v>
      </c>
      <c r="D439" s="15" t="s">
        <v>1293</v>
      </c>
      <c r="E439" s="6" t="s">
        <v>17</v>
      </c>
      <c r="F439" s="19" t="s">
        <v>1407</v>
      </c>
      <c r="G439" s="19">
        <v>-1</v>
      </c>
      <c r="H439" s="19">
        <v>3.1139900000000002E-2</v>
      </c>
      <c r="I439" s="31">
        <v>0.15384610000000001</v>
      </c>
      <c r="K439" s="11" t="s">
        <v>8</v>
      </c>
      <c r="L439" s="12" t="str">
        <f>VLOOKUP(LOWER(N431),experiments_specs!$A:$J,9,FALSE)</f>
        <v>wup_similarity</v>
      </c>
      <c r="M439" s="15" t="s">
        <v>1294</v>
      </c>
      <c r="N439" s="6" t="s">
        <v>17</v>
      </c>
      <c r="O439" s="19" t="s">
        <v>1407</v>
      </c>
      <c r="P439" s="19">
        <v>-1</v>
      </c>
      <c r="Q439" s="19">
        <v>3.1139900000000002E-2</v>
      </c>
      <c r="R439" s="31">
        <v>0.15384610000000001</v>
      </c>
    </row>
    <row r="440" spans="2:18" x14ac:dyDescent="0.2">
      <c r="B440" s="11" t="s">
        <v>9</v>
      </c>
      <c r="C440" s="12" t="str">
        <f>VLOOKUP(LOWER(E431),experiments_specs!$A:$J,10,FALSE)</f>
        <v>False</v>
      </c>
      <c r="D440" s="15" t="s">
        <v>1293</v>
      </c>
      <c r="E440" s="7" t="s">
        <v>18</v>
      </c>
      <c r="F440" s="20" t="s">
        <v>1408</v>
      </c>
      <c r="G440" s="20">
        <v>2</v>
      </c>
      <c r="H440" s="20">
        <v>2.66816E-2</v>
      </c>
      <c r="I440" s="32">
        <v>0.2105263</v>
      </c>
      <c r="K440" s="11" t="s">
        <v>9</v>
      </c>
      <c r="L440" s="12" t="str">
        <f>VLOOKUP(LOWER(N431),experiments_specs!$A:$J,10,FALSE)</f>
        <v>False</v>
      </c>
      <c r="M440" s="15" t="s">
        <v>1294</v>
      </c>
      <c r="N440" s="7" t="s">
        <v>18</v>
      </c>
      <c r="O440" s="20" t="s">
        <v>1408</v>
      </c>
      <c r="P440" s="20">
        <v>2</v>
      </c>
      <c r="Q440" s="20">
        <v>2.66816E-2</v>
      </c>
      <c r="R440" s="32">
        <v>0.2105263</v>
      </c>
    </row>
    <row r="441" spans="2:18" ht="17" thickBot="1" x14ac:dyDescent="0.25"/>
    <row r="442" spans="2:18" ht="20" thickBot="1" x14ac:dyDescent="0.3">
      <c r="B442" s="13" t="s">
        <v>126</v>
      </c>
      <c r="C442" s="14"/>
      <c r="D442" s="9"/>
      <c r="E442" s="10" t="str">
        <f>"TEST_"&amp;TEXT(RIGHT(N431,3)+1, "00")</f>
        <v>TEST_171</v>
      </c>
      <c r="F442" s="41" t="s">
        <v>1306</v>
      </c>
      <c r="G442" s="41"/>
      <c r="H442" s="41"/>
      <c r="I442" s="41"/>
      <c r="K442" s="13" t="s">
        <v>126</v>
      </c>
      <c r="L442" s="14"/>
      <c r="M442" s="9"/>
      <c r="N442" s="10" t="str">
        <f>"TEST_"&amp;TEXT(RIGHT(E442,3)+1, "00")</f>
        <v>TEST_172</v>
      </c>
      <c r="O442" s="41" t="s">
        <v>1306</v>
      </c>
      <c r="P442" s="41"/>
      <c r="Q442" s="41"/>
      <c r="R442" s="41"/>
    </row>
    <row r="443" spans="2:18" x14ac:dyDescent="0.2">
      <c r="B443" s="11" t="s">
        <v>1</v>
      </c>
      <c r="C443" s="12" t="str">
        <f>VLOOKUP(LOWER(E442),experiments_specs!$A:$J,2,FALSE)</f>
        <v>NN,VB,VBD,VBG,VBN,VBP,VBZ</v>
      </c>
      <c r="D443" s="15" t="str">
        <f>"{"&amp;LOWER(E442)&amp;".csv}"</f>
        <v>{test_171.csv}</v>
      </c>
      <c r="E443" s="8" t="s">
        <v>118</v>
      </c>
      <c r="F443" s="3" t="s">
        <v>1307</v>
      </c>
      <c r="G443" s="3"/>
      <c r="H443" s="3" t="s">
        <v>178</v>
      </c>
      <c r="I443" s="29" t="s">
        <v>121</v>
      </c>
      <c r="K443" s="11" t="s">
        <v>1</v>
      </c>
      <c r="L443" s="12" t="str">
        <f>VLOOKUP(LOWER(N442),experiments_specs!$A:$J,2,FALSE)</f>
        <v>NN,VB,VBD,VBG,VBN,VBP,VBZ</v>
      </c>
      <c r="M443" s="15" t="str">
        <f>"{"&amp;LOWER(N442)&amp;".csv}"</f>
        <v>{test_172.csv}</v>
      </c>
      <c r="N443" s="8" t="s">
        <v>118</v>
      </c>
      <c r="O443" s="3" t="s">
        <v>1307</v>
      </c>
      <c r="P443" s="3"/>
      <c r="Q443" s="3" t="s">
        <v>178</v>
      </c>
      <c r="R443" s="29" t="s">
        <v>121</v>
      </c>
    </row>
    <row r="444" spans="2:18" ht="17" x14ac:dyDescent="0.2">
      <c r="B444" s="11" t="s">
        <v>2</v>
      </c>
      <c r="C444" s="12">
        <f>VLOOKUP(LOWER(E442),experiments_specs!$A:$J,3,FALSE)</f>
        <v>0</v>
      </c>
      <c r="D444" s="15" t="s">
        <v>1295</v>
      </c>
      <c r="E444" s="5" t="s">
        <v>19</v>
      </c>
      <c r="F444" s="17" t="s">
        <v>1402</v>
      </c>
      <c r="G444" s="17">
        <v>3</v>
      </c>
      <c r="H444" s="17">
        <v>2.46199E-2</v>
      </c>
      <c r="I444" s="30">
        <v>0.18181810000000001</v>
      </c>
      <c r="K444" s="11" t="s">
        <v>2</v>
      </c>
      <c r="L444" s="12">
        <f>VLOOKUP(LOWER(N442),experiments_specs!$A:$J,3,FALSE)</f>
        <v>0</v>
      </c>
      <c r="M444" s="15" t="s">
        <v>1296</v>
      </c>
      <c r="N444" s="5" t="s">
        <v>19</v>
      </c>
      <c r="O444" s="17" t="s">
        <v>1402</v>
      </c>
      <c r="P444" s="17">
        <v>3</v>
      </c>
      <c r="Q444" s="17">
        <v>2.46199E-2</v>
      </c>
      <c r="R444" s="30">
        <v>0.18181810000000001</v>
      </c>
    </row>
    <row r="445" spans="2:18" x14ac:dyDescent="0.2">
      <c r="B445" s="11" t="s">
        <v>3</v>
      </c>
      <c r="C445" s="12">
        <f>VLOOKUP(LOWER(E442),experiments_specs!$A:$J,4,FALSE)</f>
        <v>2</v>
      </c>
      <c r="D445" s="15" t="s">
        <v>1295</v>
      </c>
      <c r="E445" s="6" t="s">
        <v>12</v>
      </c>
      <c r="F445" s="19" t="s">
        <v>1403</v>
      </c>
      <c r="G445" s="19">
        <v>3</v>
      </c>
      <c r="H445" s="19">
        <v>2.4362700000000001E-2</v>
      </c>
      <c r="I445" s="31">
        <v>0.4</v>
      </c>
      <c r="K445" s="11" t="s">
        <v>3</v>
      </c>
      <c r="L445" s="12">
        <f>VLOOKUP(LOWER(N442),experiments_specs!$A:$J,4,FALSE)</f>
        <v>3</v>
      </c>
      <c r="M445" s="15" t="s">
        <v>1296</v>
      </c>
      <c r="N445" s="6" t="s">
        <v>12</v>
      </c>
      <c r="O445" s="19" t="s">
        <v>1403</v>
      </c>
      <c r="P445" s="19">
        <v>3</v>
      </c>
      <c r="Q445" s="19">
        <v>2.4362700000000001E-2</v>
      </c>
      <c r="R445" s="31">
        <v>0.4</v>
      </c>
    </row>
    <row r="446" spans="2:18" x14ac:dyDescent="0.2">
      <c r="B446" s="11" t="s">
        <v>4</v>
      </c>
      <c r="C446" s="12" t="str">
        <f>VLOOKUP(LOWER(E442),experiments_specs!$A:$J,5,FALSE)</f>
        <v>True</v>
      </c>
      <c r="D446" s="15" t="s">
        <v>1295</v>
      </c>
      <c r="E446" s="6" t="s">
        <v>13</v>
      </c>
      <c r="F446" s="19" t="s">
        <v>473</v>
      </c>
      <c r="G446" s="19">
        <v>2</v>
      </c>
      <c r="H446" s="19">
        <v>3.6215900000000002E-2</v>
      </c>
      <c r="I446" s="31">
        <v>0.4</v>
      </c>
      <c r="K446" s="11" t="s">
        <v>4</v>
      </c>
      <c r="L446" s="12" t="str">
        <f>VLOOKUP(LOWER(N442),experiments_specs!$A:$J,5,FALSE)</f>
        <v>True</v>
      </c>
      <c r="M446" s="15" t="s">
        <v>1296</v>
      </c>
      <c r="N446" s="6" t="s">
        <v>13</v>
      </c>
      <c r="O446" s="19" t="s">
        <v>473</v>
      </c>
      <c r="P446" s="19">
        <v>2</v>
      </c>
      <c r="Q446" s="19">
        <v>3.6215900000000002E-2</v>
      </c>
      <c r="R446" s="31">
        <v>0.4</v>
      </c>
    </row>
    <row r="447" spans="2:18" x14ac:dyDescent="0.2">
      <c r="B447" s="11" t="s">
        <v>5</v>
      </c>
      <c r="C447" s="12" t="str">
        <f>VLOOKUP(LOWER(E442),experiments_specs!$A:$J,6,FALSE)</f>
        <v>False</v>
      </c>
      <c r="D447" s="15" t="s">
        <v>1295</v>
      </c>
      <c r="E447" s="6" t="s">
        <v>14</v>
      </c>
      <c r="F447" s="19" t="s">
        <v>1404</v>
      </c>
      <c r="G447" s="19">
        <v>3</v>
      </c>
      <c r="H447" s="19">
        <v>1.52099E-2</v>
      </c>
      <c r="I447" s="31">
        <v>0.30769229999999997</v>
      </c>
      <c r="K447" s="11" t="s">
        <v>5</v>
      </c>
      <c r="L447" s="12" t="str">
        <f>VLOOKUP(LOWER(N442),experiments_specs!$A:$J,6,FALSE)</f>
        <v>False</v>
      </c>
      <c r="M447" s="15" t="s">
        <v>1296</v>
      </c>
      <c r="N447" s="6" t="s">
        <v>14</v>
      </c>
      <c r="O447" s="19" t="s">
        <v>1404</v>
      </c>
      <c r="P447" s="19">
        <v>3</v>
      </c>
      <c r="Q447" s="19">
        <v>1.52099E-2</v>
      </c>
      <c r="R447" s="31">
        <v>0.30769229999999997</v>
      </c>
    </row>
    <row r="448" spans="2:18" x14ac:dyDescent="0.2">
      <c r="B448" s="11" t="s">
        <v>6</v>
      </c>
      <c r="C448" s="12" t="str">
        <f>VLOOKUP(LOWER(E442),experiments_specs!$A:$J,7,FALSE)</f>
        <v>False</v>
      </c>
      <c r="D448" s="15" t="s">
        <v>1295</v>
      </c>
      <c r="E448" s="6" t="s">
        <v>15</v>
      </c>
      <c r="F448" s="19" t="s">
        <v>1053</v>
      </c>
      <c r="G448" s="19">
        <v>2</v>
      </c>
      <c r="H448" s="19">
        <v>3.2774200000000003E-2</v>
      </c>
      <c r="I448" s="31">
        <v>0.18181810000000001</v>
      </c>
      <c r="K448" s="11" t="s">
        <v>6</v>
      </c>
      <c r="L448" s="12" t="str">
        <f>VLOOKUP(LOWER(N442),experiments_specs!$A:$J,7,FALSE)</f>
        <v>False</v>
      </c>
      <c r="M448" s="15" t="s">
        <v>1296</v>
      </c>
      <c r="N448" s="6" t="s">
        <v>15</v>
      </c>
      <c r="O448" s="19" t="s">
        <v>1053</v>
      </c>
      <c r="P448" s="19">
        <v>2</v>
      </c>
      <c r="Q448" s="19">
        <v>3.2774200000000003E-2</v>
      </c>
      <c r="R448" s="31">
        <v>0.18181810000000001</v>
      </c>
    </row>
    <row r="449" spans="2:18" ht="68" x14ac:dyDescent="0.2">
      <c r="B449" s="11" t="s">
        <v>7</v>
      </c>
      <c r="C449" s="12" t="str">
        <f>VLOOKUP(LOWER(E442),experiments_specs!$A:$J,8,FALSE)</f>
        <v>True</v>
      </c>
      <c r="D449" s="15" t="s">
        <v>1295</v>
      </c>
      <c r="E449" s="6" t="s">
        <v>16</v>
      </c>
      <c r="F449" s="18" t="s">
        <v>1409</v>
      </c>
      <c r="G449" s="18" t="s">
        <v>1372</v>
      </c>
      <c r="H449" s="19">
        <v>2.17597E-2</v>
      </c>
      <c r="I449" s="51" t="s">
        <v>1461</v>
      </c>
      <c r="K449" s="11" t="s">
        <v>7</v>
      </c>
      <c r="L449" s="12" t="str">
        <f>VLOOKUP(LOWER(N442),experiments_specs!$A:$J,8,FALSE)</f>
        <v>True</v>
      </c>
      <c r="M449" s="15" t="s">
        <v>1296</v>
      </c>
      <c r="N449" s="6" t="s">
        <v>16</v>
      </c>
      <c r="O449" s="18" t="s">
        <v>1409</v>
      </c>
      <c r="P449" s="18" t="s">
        <v>1372</v>
      </c>
      <c r="Q449" s="19">
        <v>2.17597E-2</v>
      </c>
      <c r="R449" s="51" t="s">
        <v>1461</v>
      </c>
    </row>
    <row r="450" spans="2:18" ht="51" x14ac:dyDescent="0.2">
      <c r="B450" s="11" t="s">
        <v>8</v>
      </c>
      <c r="C450" s="12" t="str">
        <f>VLOOKUP(LOWER(E442),experiments_specs!$A:$J,9,FALSE)</f>
        <v>wup_similarity</v>
      </c>
      <c r="D450" s="15" t="s">
        <v>1295</v>
      </c>
      <c r="E450" s="6" t="s">
        <v>17</v>
      </c>
      <c r="F450" s="18" t="s">
        <v>1411</v>
      </c>
      <c r="G450" s="18" t="s">
        <v>1413</v>
      </c>
      <c r="H450" s="19">
        <v>3.1013099999999998E-2</v>
      </c>
      <c r="I450" s="51" t="s">
        <v>1463</v>
      </c>
      <c r="K450" s="11" t="s">
        <v>8</v>
      </c>
      <c r="L450" s="12" t="str">
        <f>VLOOKUP(LOWER(N442),experiments_specs!$A:$J,9,FALSE)</f>
        <v>wup_similarity</v>
      </c>
      <c r="M450" s="15" t="s">
        <v>1296</v>
      </c>
      <c r="N450" s="6" t="s">
        <v>17</v>
      </c>
      <c r="O450" s="18" t="s">
        <v>1411</v>
      </c>
      <c r="P450" s="18" t="s">
        <v>1413</v>
      </c>
      <c r="Q450" s="19">
        <v>3.1013099999999998E-2</v>
      </c>
      <c r="R450" s="51" t="s">
        <v>1463</v>
      </c>
    </row>
    <row r="451" spans="2:18" ht="68" x14ac:dyDescent="0.2">
      <c r="B451" s="11" t="s">
        <v>9</v>
      </c>
      <c r="C451" s="12" t="str">
        <f>VLOOKUP(LOWER(E442),experiments_specs!$A:$J,10,FALSE)</f>
        <v>False</v>
      </c>
      <c r="D451" s="15" t="s">
        <v>1295</v>
      </c>
      <c r="E451" s="7" t="s">
        <v>18</v>
      </c>
      <c r="F451" s="49" t="s">
        <v>1415</v>
      </c>
      <c r="G451" s="49" t="s">
        <v>1339</v>
      </c>
      <c r="H451" s="20">
        <v>2.01946E-2</v>
      </c>
      <c r="I451" s="52" t="s">
        <v>1465</v>
      </c>
      <c r="K451" s="11" t="s">
        <v>9</v>
      </c>
      <c r="L451" s="12" t="str">
        <f>VLOOKUP(LOWER(N442),experiments_specs!$A:$J,10,FALSE)</f>
        <v>False</v>
      </c>
      <c r="M451" s="15" t="s">
        <v>1296</v>
      </c>
      <c r="N451" s="7" t="s">
        <v>18</v>
      </c>
      <c r="O451" s="49" t="s">
        <v>1415</v>
      </c>
      <c r="P451" s="49" t="s">
        <v>1339</v>
      </c>
      <c r="Q451" s="20">
        <v>2.01946E-2</v>
      </c>
      <c r="R451" s="52" t="s">
        <v>1465</v>
      </c>
    </row>
    <row r="452" spans="2:18" ht="17" thickBot="1" x14ac:dyDescent="0.25"/>
    <row r="453" spans="2:18" ht="20" thickBot="1" x14ac:dyDescent="0.3">
      <c r="B453" s="13" t="s">
        <v>126</v>
      </c>
      <c r="C453" s="14"/>
      <c r="D453" s="9"/>
      <c r="E453" s="10" t="str">
        <f>"TEST_"&amp;TEXT(RIGHT(N442,3)+1, "00")</f>
        <v>TEST_173</v>
      </c>
      <c r="F453" s="41" t="s">
        <v>1306</v>
      </c>
      <c r="G453" s="41"/>
      <c r="H453" s="41"/>
      <c r="I453" s="41"/>
      <c r="K453" s="13" t="s">
        <v>126</v>
      </c>
      <c r="L453" s="14"/>
      <c r="M453" s="9"/>
      <c r="N453" s="10" t="str">
        <f>"TEST_"&amp;TEXT(RIGHT(E453,3)+1, "00")</f>
        <v>TEST_174</v>
      </c>
      <c r="O453" s="41" t="s">
        <v>1306</v>
      </c>
      <c r="P453" s="41"/>
      <c r="Q453" s="41"/>
      <c r="R453" s="41"/>
    </row>
    <row r="454" spans="2:18" x14ac:dyDescent="0.2">
      <c r="B454" s="11" t="s">
        <v>1</v>
      </c>
      <c r="C454" s="12" t="str">
        <f>VLOOKUP(LOWER(E453),experiments_specs!$A:$J,2,FALSE)</f>
        <v>NN,JJ,VB,VBD,VBG,VBN,VBP,VBZ</v>
      </c>
      <c r="D454" s="15" t="str">
        <f>"{"&amp;LOWER(E453)&amp;".csv}"</f>
        <v>{test_173.csv}</v>
      </c>
      <c r="E454" s="8" t="s">
        <v>118</v>
      </c>
      <c r="F454" s="3" t="s">
        <v>1307</v>
      </c>
      <c r="G454" s="3"/>
      <c r="H454" s="3" t="s">
        <v>178</v>
      </c>
      <c r="I454" s="29" t="s">
        <v>121</v>
      </c>
      <c r="K454" s="11" t="s">
        <v>1</v>
      </c>
      <c r="L454" s="12" t="str">
        <f>VLOOKUP(LOWER(N453),experiments_specs!$A:$J,2,FALSE)</f>
        <v>NN,JJ,VB,VBD,VBG,VBN,VBP,VBZ</v>
      </c>
      <c r="M454" s="15" t="str">
        <f>"{"&amp;LOWER(N453)&amp;".csv}"</f>
        <v>{test_174.csv}</v>
      </c>
      <c r="N454" s="8" t="s">
        <v>118</v>
      </c>
      <c r="O454" s="3" t="s">
        <v>1307</v>
      </c>
      <c r="P454" s="3"/>
      <c r="Q454" s="3" t="s">
        <v>178</v>
      </c>
      <c r="R454" s="29" t="s">
        <v>121</v>
      </c>
    </row>
    <row r="455" spans="2:18" ht="17" x14ac:dyDescent="0.2">
      <c r="B455" s="11" t="s">
        <v>2</v>
      </c>
      <c r="C455" s="12">
        <f>VLOOKUP(LOWER(E453),experiments_specs!$A:$J,3,FALSE)</f>
        <v>0</v>
      </c>
      <c r="D455" s="15" t="s">
        <v>1297</v>
      </c>
      <c r="E455" s="5" t="s">
        <v>19</v>
      </c>
      <c r="F455" s="17" t="s">
        <v>1402</v>
      </c>
      <c r="G455" s="17">
        <v>3</v>
      </c>
      <c r="H455" s="17">
        <v>1.92155E-2</v>
      </c>
      <c r="I455" s="30">
        <v>0.18181810000000001</v>
      </c>
      <c r="K455" s="11" t="s">
        <v>2</v>
      </c>
      <c r="L455" s="12">
        <f>VLOOKUP(LOWER(N453),experiments_specs!$A:$J,3,FALSE)</f>
        <v>0</v>
      </c>
      <c r="M455" s="15" t="s">
        <v>1298</v>
      </c>
      <c r="N455" s="5" t="s">
        <v>19</v>
      </c>
      <c r="O455" s="17" t="s">
        <v>1402</v>
      </c>
      <c r="P455" s="17">
        <v>3</v>
      </c>
      <c r="Q455" s="17">
        <v>1.92155E-2</v>
      </c>
      <c r="R455" s="30">
        <v>0.18181810000000001</v>
      </c>
    </row>
    <row r="456" spans="2:18" x14ac:dyDescent="0.2">
      <c r="B456" s="11" t="s">
        <v>3</v>
      </c>
      <c r="C456" s="12">
        <f>VLOOKUP(LOWER(E453),experiments_specs!$A:$J,4,FALSE)</f>
        <v>2</v>
      </c>
      <c r="D456" s="15" t="s">
        <v>1297</v>
      </c>
      <c r="E456" s="6" t="s">
        <v>12</v>
      </c>
      <c r="F456" s="19" t="s">
        <v>1403</v>
      </c>
      <c r="G456" s="19">
        <v>3</v>
      </c>
      <c r="H456" s="19">
        <v>1.8133E-2</v>
      </c>
      <c r="I456" s="31">
        <v>0.4</v>
      </c>
      <c r="K456" s="11" t="s">
        <v>3</v>
      </c>
      <c r="L456" s="12">
        <f>VLOOKUP(LOWER(N453),experiments_specs!$A:$J,4,FALSE)</f>
        <v>3</v>
      </c>
      <c r="M456" s="15" t="s">
        <v>1298</v>
      </c>
      <c r="N456" s="6" t="s">
        <v>12</v>
      </c>
      <c r="O456" s="19" t="s">
        <v>1403</v>
      </c>
      <c r="P456" s="19">
        <v>3</v>
      </c>
      <c r="Q456" s="19">
        <v>1.8133E-2</v>
      </c>
      <c r="R456" s="31">
        <v>0.4</v>
      </c>
    </row>
    <row r="457" spans="2:18" x14ac:dyDescent="0.2">
      <c r="B457" s="11" t="s">
        <v>4</v>
      </c>
      <c r="C457" s="12" t="str">
        <f>VLOOKUP(LOWER(E453),experiments_specs!$A:$J,5,FALSE)</f>
        <v>True</v>
      </c>
      <c r="D457" s="15" t="s">
        <v>1297</v>
      </c>
      <c r="E457" s="6" t="s">
        <v>13</v>
      </c>
      <c r="F457" s="19" t="s">
        <v>473</v>
      </c>
      <c r="G457" s="19">
        <v>2</v>
      </c>
      <c r="H457" s="19">
        <v>2.7524E-2</v>
      </c>
      <c r="I457" s="31">
        <v>0.4</v>
      </c>
      <c r="K457" s="11" t="s">
        <v>4</v>
      </c>
      <c r="L457" s="12" t="str">
        <f>VLOOKUP(LOWER(N453),experiments_specs!$A:$J,5,FALSE)</f>
        <v>True</v>
      </c>
      <c r="M457" s="15" t="s">
        <v>1298</v>
      </c>
      <c r="N457" s="6" t="s">
        <v>13</v>
      </c>
      <c r="O457" s="19" t="s">
        <v>473</v>
      </c>
      <c r="P457" s="19">
        <v>2</v>
      </c>
      <c r="Q457" s="19">
        <v>2.7524E-2</v>
      </c>
      <c r="R457" s="31">
        <v>0.4</v>
      </c>
    </row>
    <row r="458" spans="2:18" x14ac:dyDescent="0.2">
      <c r="B458" s="11" t="s">
        <v>5</v>
      </c>
      <c r="C458" s="12" t="str">
        <f>VLOOKUP(LOWER(E453),experiments_specs!$A:$J,6,FALSE)</f>
        <v>False</v>
      </c>
      <c r="D458" s="15" t="s">
        <v>1297</v>
      </c>
      <c r="E458" s="6" t="s">
        <v>14</v>
      </c>
      <c r="F458" s="19" t="s">
        <v>1404</v>
      </c>
      <c r="G458" s="19">
        <v>3</v>
      </c>
      <c r="H458" s="19">
        <v>1.2815E-2</v>
      </c>
      <c r="I458" s="31">
        <v>0.30769229999999997</v>
      </c>
      <c r="K458" s="11" t="s">
        <v>5</v>
      </c>
      <c r="L458" s="12" t="str">
        <f>VLOOKUP(LOWER(N453),experiments_specs!$A:$J,6,FALSE)</f>
        <v>False</v>
      </c>
      <c r="M458" s="15" t="s">
        <v>1298</v>
      </c>
      <c r="N458" s="6" t="s">
        <v>14</v>
      </c>
      <c r="O458" s="19" t="s">
        <v>1404</v>
      </c>
      <c r="P458" s="19">
        <v>3</v>
      </c>
      <c r="Q458" s="19">
        <v>1.2815E-2</v>
      </c>
      <c r="R458" s="31">
        <v>0.30769229999999997</v>
      </c>
    </row>
    <row r="459" spans="2:18" x14ac:dyDescent="0.2">
      <c r="B459" s="11" t="s">
        <v>6</v>
      </c>
      <c r="C459" s="12" t="str">
        <f>VLOOKUP(LOWER(E453),experiments_specs!$A:$J,7,FALSE)</f>
        <v>False</v>
      </c>
      <c r="D459" s="15" t="s">
        <v>1297</v>
      </c>
      <c r="E459" s="6" t="s">
        <v>15</v>
      </c>
      <c r="F459" s="19" t="s">
        <v>1114</v>
      </c>
      <c r="G459" s="19">
        <v>1</v>
      </c>
      <c r="H459" s="19">
        <v>2.81718E-2</v>
      </c>
      <c r="I459" s="31">
        <v>0.2</v>
      </c>
      <c r="K459" s="11" t="s">
        <v>6</v>
      </c>
      <c r="L459" s="12" t="str">
        <f>VLOOKUP(LOWER(N453),experiments_specs!$A:$J,7,FALSE)</f>
        <v>False</v>
      </c>
      <c r="M459" s="15" t="s">
        <v>1298</v>
      </c>
      <c r="N459" s="6" t="s">
        <v>15</v>
      </c>
      <c r="O459" s="19" t="s">
        <v>1114</v>
      </c>
      <c r="P459" s="19">
        <v>1</v>
      </c>
      <c r="Q459" s="19">
        <v>2.81718E-2</v>
      </c>
      <c r="R459" s="31">
        <v>0.2</v>
      </c>
    </row>
    <row r="460" spans="2:18" ht="68" x14ac:dyDescent="0.2">
      <c r="B460" s="11" t="s">
        <v>7</v>
      </c>
      <c r="C460" s="12" t="str">
        <f>VLOOKUP(LOWER(E453),experiments_specs!$A:$J,8,FALSE)</f>
        <v>True</v>
      </c>
      <c r="D460" s="15" t="s">
        <v>1297</v>
      </c>
      <c r="E460" s="6" t="s">
        <v>16</v>
      </c>
      <c r="F460" s="18" t="s">
        <v>1409</v>
      </c>
      <c r="G460" s="18" t="s">
        <v>1372</v>
      </c>
      <c r="H460" s="19">
        <v>2.0085800000000001E-2</v>
      </c>
      <c r="I460" s="51" t="s">
        <v>1461</v>
      </c>
      <c r="K460" s="11" t="s">
        <v>7</v>
      </c>
      <c r="L460" s="12" t="str">
        <f>VLOOKUP(LOWER(N453),experiments_specs!$A:$J,8,FALSE)</f>
        <v>True</v>
      </c>
      <c r="M460" s="15" t="s">
        <v>1298</v>
      </c>
      <c r="N460" s="6" t="s">
        <v>16</v>
      </c>
      <c r="O460" s="18" t="s">
        <v>1409</v>
      </c>
      <c r="P460" s="18" t="s">
        <v>1372</v>
      </c>
      <c r="Q460" s="19">
        <v>2.0085800000000001E-2</v>
      </c>
      <c r="R460" s="51" t="s">
        <v>1461</v>
      </c>
    </row>
    <row r="461" spans="2:18" ht="51" x14ac:dyDescent="0.2">
      <c r="B461" s="11" t="s">
        <v>8</v>
      </c>
      <c r="C461" s="12" t="str">
        <f>VLOOKUP(LOWER(E453),experiments_specs!$A:$J,9,FALSE)</f>
        <v>wup_similarity</v>
      </c>
      <c r="D461" s="15" t="s">
        <v>1297</v>
      </c>
      <c r="E461" s="6" t="s">
        <v>17</v>
      </c>
      <c r="F461" s="18" t="s">
        <v>1411</v>
      </c>
      <c r="G461" s="18" t="s">
        <v>1413</v>
      </c>
      <c r="H461" s="19">
        <v>2.7848399999999999E-2</v>
      </c>
      <c r="I461" s="51" t="s">
        <v>1463</v>
      </c>
      <c r="K461" s="11" t="s">
        <v>8</v>
      </c>
      <c r="L461" s="12" t="str">
        <f>VLOOKUP(LOWER(N453),experiments_specs!$A:$J,9,FALSE)</f>
        <v>wup_similarity</v>
      </c>
      <c r="M461" s="15" t="s">
        <v>1298</v>
      </c>
      <c r="N461" s="6" t="s">
        <v>17</v>
      </c>
      <c r="O461" s="18" t="s">
        <v>1411</v>
      </c>
      <c r="P461" s="18" t="s">
        <v>1413</v>
      </c>
      <c r="Q461" s="19">
        <v>2.7848399999999999E-2</v>
      </c>
      <c r="R461" s="51" t="s">
        <v>1463</v>
      </c>
    </row>
    <row r="462" spans="2:18" ht="68" x14ac:dyDescent="0.2">
      <c r="B462" s="11" t="s">
        <v>9</v>
      </c>
      <c r="C462" s="12" t="str">
        <f>VLOOKUP(LOWER(E453),experiments_specs!$A:$J,10,FALSE)</f>
        <v>False</v>
      </c>
      <c r="D462" s="15" t="s">
        <v>1297</v>
      </c>
      <c r="E462" s="7" t="s">
        <v>18</v>
      </c>
      <c r="F462" s="49" t="s">
        <v>1415</v>
      </c>
      <c r="G462" s="49" t="s">
        <v>1339</v>
      </c>
      <c r="H462" s="20">
        <v>1.6268000000000001E-2</v>
      </c>
      <c r="I462" s="52" t="s">
        <v>1465</v>
      </c>
      <c r="K462" s="11" t="s">
        <v>9</v>
      </c>
      <c r="L462" s="12" t="str">
        <f>VLOOKUP(LOWER(N453),experiments_specs!$A:$J,10,FALSE)</f>
        <v>False</v>
      </c>
      <c r="M462" s="15" t="s">
        <v>1298</v>
      </c>
      <c r="N462" s="7" t="s">
        <v>18</v>
      </c>
      <c r="O462" s="49" t="s">
        <v>1415</v>
      </c>
      <c r="P462" s="49" t="s">
        <v>1339</v>
      </c>
      <c r="Q462" s="20">
        <v>1.6268000000000001E-2</v>
      </c>
      <c r="R462" s="52" t="s">
        <v>1465</v>
      </c>
    </row>
    <row r="463" spans="2:18" ht="17" thickBot="1" x14ac:dyDescent="0.25"/>
    <row r="464" spans="2:18" ht="20" thickBot="1" x14ac:dyDescent="0.3">
      <c r="B464" s="13" t="s">
        <v>126</v>
      </c>
      <c r="C464" s="14"/>
      <c r="D464" s="9"/>
      <c r="E464" s="10" t="str">
        <f>"TEST_"&amp;TEXT(RIGHT(N453,3)+1, "00")</f>
        <v>TEST_175</v>
      </c>
      <c r="F464" s="41" t="s">
        <v>1306</v>
      </c>
      <c r="G464" s="41"/>
      <c r="H464" s="41"/>
      <c r="I464" s="41"/>
      <c r="K464" s="13" t="s">
        <v>126</v>
      </c>
      <c r="L464" s="14"/>
      <c r="M464" s="9"/>
      <c r="N464" s="10" t="str">
        <f>"TEST_"&amp;TEXT(RIGHT(E464,3)+1, "00")</f>
        <v>TEST_176</v>
      </c>
      <c r="O464" s="41" t="s">
        <v>1306</v>
      </c>
      <c r="P464" s="41"/>
      <c r="Q464" s="41"/>
      <c r="R464" s="41"/>
    </row>
    <row r="465" spans="2:18" x14ac:dyDescent="0.2">
      <c r="B465" s="11" t="s">
        <v>1</v>
      </c>
      <c r="C465" s="12" t="str">
        <f>VLOOKUP(LOWER(E464),experiments_specs!$A:$J,2,FALSE)</f>
        <v>NN,JJ</v>
      </c>
      <c r="D465" s="15" t="str">
        <f>"{"&amp;LOWER(E464)&amp;".csv}"</f>
        <v>{test_175.csv}</v>
      </c>
      <c r="E465" s="8" t="s">
        <v>118</v>
      </c>
      <c r="F465" s="3" t="s">
        <v>1307</v>
      </c>
      <c r="G465" s="3"/>
      <c r="H465" s="3" t="s">
        <v>178</v>
      </c>
      <c r="I465" s="29" t="s">
        <v>121</v>
      </c>
      <c r="K465" s="11" t="s">
        <v>1</v>
      </c>
      <c r="L465" s="12" t="str">
        <f>VLOOKUP(LOWER(N464),experiments_specs!$A:$J,2,FALSE)</f>
        <v>NN,JJ</v>
      </c>
      <c r="M465" s="15" t="str">
        <f>"{"&amp;LOWER(N464)&amp;".csv}"</f>
        <v>{test_176.csv}</v>
      </c>
      <c r="N465" s="8" t="s">
        <v>118</v>
      </c>
      <c r="O465" s="3" t="s">
        <v>1307</v>
      </c>
      <c r="P465" s="3"/>
      <c r="Q465" s="3" t="s">
        <v>178</v>
      </c>
      <c r="R465" s="29" t="s">
        <v>121</v>
      </c>
    </row>
    <row r="466" spans="2:18" ht="34" x14ac:dyDescent="0.2">
      <c r="B466" s="11" t="s">
        <v>2</v>
      </c>
      <c r="C466" s="12">
        <f>VLOOKUP(LOWER(E464),experiments_specs!$A:$J,3,FALSE)</f>
        <v>0</v>
      </c>
      <c r="D466" s="15" t="s">
        <v>1299</v>
      </c>
      <c r="E466" s="5" t="s">
        <v>19</v>
      </c>
      <c r="F466" s="17" t="s">
        <v>1386</v>
      </c>
      <c r="G466" s="17" t="s">
        <v>1380</v>
      </c>
      <c r="H466" s="17">
        <v>3.2292000000000002E-3</v>
      </c>
      <c r="I466" s="50" t="s">
        <v>1455</v>
      </c>
      <c r="K466" s="11" t="s">
        <v>2</v>
      </c>
      <c r="L466" s="12">
        <f>VLOOKUP(LOWER(N464),experiments_specs!$A:$J,3,FALSE)</f>
        <v>0</v>
      </c>
      <c r="M466" s="15" t="s">
        <v>1300</v>
      </c>
      <c r="N466" s="5" t="s">
        <v>19</v>
      </c>
      <c r="O466" s="17" t="s">
        <v>1402</v>
      </c>
      <c r="P466" s="17">
        <v>3</v>
      </c>
      <c r="Q466" s="17">
        <v>2.7404100000000001E-2</v>
      </c>
      <c r="R466" s="30">
        <v>0.18181810000000001</v>
      </c>
    </row>
    <row r="467" spans="2:18" x14ac:dyDescent="0.2">
      <c r="B467" s="11" t="s">
        <v>3</v>
      </c>
      <c r="C467" s="12">
        <f>VLOOKUP(LOWER(E464),experiments_specs!$A:$J,4,FALSE)</f>
        <v>2</v>
      </c>
      <c r="D467" s="15" t="s">
        <v>1299</v>
      </c>
      <c r="E467" s="6" t="s">
        <v>12</v>
      </c>
      <c r="F467" s="19" t="s">
        <v>1388</v>
      </c>
      <c r="G467" s="19">
        <v>1</v>
      </c>
      <c r="H467" s="19">
        <v>6.3214999999999999E-3</v>
      </c>
      <c r="I467" s="31">
        <v>0.30769229999999997</v>
      </c>
      <c r="K467" s="11" t="s">
        <v>3</v>
      </c>
      <c r="L467" s="12">
        <f>VLOOKUP(LOWER(N464),experiments_specs!$A:$J,4,FALSE)</f>
        <v>3</v>
      </c>
      <c r="M467" s="15" t="s">
        <v>1300</v>
      </c>
      <c r="N467" s="6" t="s">
        <v>12</v>
      </c>
      <c r="O467" s="19" t="s">
        <v>1403</v>
      </c>
      <c r="P467" s="19">
        <v>3</v>
      </c>
      <c r="Q467" s="19">
        <v>4.1152599999999998E-2</v>
      </c>
      <c r="R467" s="31">
        <v>0.4</v>
      </c>
    </row>
    <row r="468" spans="2:18" x14ac:dyDescent="0.2">
      <c r="B468" s="11" t="s">
        <v>4</v>
      </c>
      <c r="C468" s="12" t="str">
        <f>VLOOKUP(LOWER(E464),experiments_specs!$A:$J,5,FALSE)</f>
        <v>False</v>
      </c>
      <c r="D468" s="15" t="s">
        <v>1299</v>
      </c>
      <c r="E468" s="6" t="s">
        <v>13</v>
      </c>
      <c r="F468" s="19" t="s">
        <v>426</v>
      </c>
      <c r="G468" s="19">
        <v>2</v>
      </c>
      <c r="H468" s="19">
        <v>1.02869E-2</v>
      </c>
      <c r="I468" s="31" t="s">
        <v>25</v>
      </c>
      <c r="K468" s="11" t="s">
        <v>4</v>
      </c>
      <c r="L468" s="12" t="str">
        <f>VLOOKUP(LOWER(N464),experiments_specs!$A:$J,5,FALSE)</f>
        <v>True</v>
      </c>
      <c r="M468" s="15" t="s">
        <v>1300</v>
      </c>
      <c r="N468" s="6" t="s">
        <v>13</v>
      </c>
      <c r="O468" s="19" t="s">
        <v>908</v>
      </c>
      <c r="P468" s="19">
        <v>2</v>
      </c>
      <c r="Q468" s="19">
        <v>4.6201300000000001E-2</v>
      </c>
      <c r="R468" s="31" t="s">
        <v>25</v>
      </c>
    </row>
    <row r="469" spans="2:18" ht="34" x14ac:dyDescent="0.2">
      <c r="B469" s="11" t="s">
        <v>5</v>
      </c>
      <c r="C469" s="12" t="str">
        <f>VLOOKUP(LOWER(E464),experiments_specs!$A:$J,6,FALSE)</f>
        <v>False</v>
      </c>
      <c r="D469" s="15" t="s">
        <v>1299</v>
      </c>
      <c r="E469" s="6" t="s">
        <v>14</v>
      </c>
      <c r="F469" s="18" t="s">
        <v>1344</v>
      </c>
      <c r="G469" s="18" t="s">
        <v>1313</v>
      </c>
      <c r="H469" s="19">
        <v>4.7692000000000003E-3</v>
      </c>
      <c r="I469" s="51" t="s">
        <v>1346</v>
      </c>
      <c r="K469" s="11" t="s">
        <v>5</v>
      </c>
      <c r="L469" s="12" t="str">
        <f>VLOOKUP(LOWER(N464),experiments_specs!$A:$J,6,FALSE)</f>
        <v>False</v>
      </c>
      <c r="M469" s="15" t="s">
        <v>1300</v>
      </c>
      <c r="N469" s="6" t="s">
        <v>14</v>
      </c>
      <c r="O469" s="19" t="s">
        <v>1404</v>
      </c>
      <c r="P469" s="19">
        <v>3</v>
      </c>
      <c r="Q469" s="19">
        <v>1.6427400000000002E-2</v>
      </c>
      <c r="R469" s="31">
        <v>0.30769229999999997</v>
      </c>
    </row>
    <row r="470" spans="2:18" x14ac:dyDescent="0.2">
      <c r="B470" s="11" t="s">
        <v>6</v>
      </c>
      <c r="C470" s="12" t="str">
        <f>VLOOKUP(LOWER(E464),experiments_specs!$A:$J,7,FALSE)</f>
        <v>False</v>
      </c>
      <c r="D470" s="15" t="s">
        <v>1299</v>
      </c>
      <c r="E470" s="6" t="s">
        <v>15</v>
      </c>
      <c r="F470" s="19" t="s">
        <v>1389</v>
      </c>
      <c r="G470" s="19">
        <v>0</v>
      </c>
      <c r="H470" s="19">
        <v>6.4266000000000002E-3</v>
      </c>
      <c r="I470" s="31">
        <v>0.18181810000000001</v>
      </c>
      <c r="K470" s="11" t="s">
        <v>6</v>
      </c>
      <c r="L470" s="12" t="str">
        <f>VLOOKUP(LOWER(N464),experiments_specs!$A:$J,7,FALSE)</f>
        <v>False</v>
      </c>
      <c r="M470" s="15" t="s">
        <v>1300</v>
      </c>
      <c r="N470" s="6" t="s">
        <v>15</v>
      </c>
      <c r="O470" s="19" t="s">
        <v>27</v>
      </c>
      <c r="P470" s="19">
        <v>2</v>
      </c>
      <c r="Q470" s="19">
        <v>2.7617200000000001E-2</v>
      </c>
      <c r="R470" s="31">
        <v>0.1666666</v>
      </c>
    </row>
    <row r="471" spans="2:18" x14ac:dyDescent="0.2">
      <c r="B471" s="11" t="s">
        <v>7</v>
      </c>
      <c r="C471" s="12" t="str">
        <f>VLOOKUP(LOWER(E464),experiments_specs!$A:$J,8,FALSE)</f>
        <v>True</v>
      </c>
      <c r="D471" s="15" t="s">
        <v>1299</v>
      </c>
      <c r="E471" s="6" t="s">
        <v>16</v>
      </c>
      <c r="F471" s="19" t="s">
        <v>445</v>
      </c>
      <c r="G471" s="19">
        <v>1</v>
      </c>
      <c r="H471" s="19">
        <v>5.2512000000000001E-3</v>
      </c>
      <c r="I471" s="31">
        <v>0.14285709999999999</v>
      </c>
      <c r="K471" s="11" t="s">
        <v>7</v>
      </c>
      <c r="L471" s="12" t="str">
        <f>VLOOKUP(LOWER(N464),experiments_specs!$A:$J,8,FALSE)</f>
        <v>True</v>
      </c>
      <c r="M471" s="15" t="s">
        <v>1300</v>
      </c>
      <c r="N471" s="6" t="s">
        <v>16</v>
      </c>
      <c r="O471" s="19" t="s">
        <v>1406</v>
      </c>
      <c r="P471" s="19">
        <v>-2</v>
      </c>
      <c r="Q471" s="19">
        <v>3.1008600000000001E-2</v>
      </c>
      <c r="R471" s="31">
        <v>0.125</v>
      </c>
    </row>
    <row r="472" spans="2:18" x14ac:dyDescent="0.2">
      <c r="B472" s="11" t="s">
        <v>8</v>
      </c>
      <c r="C472" s="12" t="str">
        <f>VLOOKUP(LOWER(E464),experiments_specs!$A:$J,9,FALSE)</f>
        <v>wup_similarity</v>
      </c>
      <c r="D472" s="15" t="s">
        <v>1299</v>
      </c>
      <c r="E472" s="6" t="s">
        <v>17</v>
      </c>
      <c r="F472" s="19" t="s">
        <v>440</v>
      </c>
      <c r="G472" s="19">
        <v>2</v>
      </c>
      <c r="H472" s="19">
        <v>5.1130000000000004E-3</v>
      </c>
      <c r="I472" s="31">
        <v>0.2</v>
      </c>
      <c r="K472" s="11" t="s">
        <v>8</v>
      </c>
      <c r="L472" s="12" t="str">
        <f>VLOOKUP(LOWER(N464),experiments_specs!$A:$J,9,FALSE)</f>
        <v>wup_similarity</v>
      </c>
      <c r="M472" s="15" t="s">
        <v>1300</v>
      </c>
      <c r="N472" s="6" t="s">
        <v>17</v>
      </c>
      <c r="O472" s="19" t="s">
        <v>1407</v>
      </c>
      <c r="P472" s="19">
        <v>-1</v>
      </c>
      <c r="Q472" s="19">
        <v>3.4599900000000003E-2</v>
      </c>
      <c r="R472" s="31">
        <v>0.15384610000000001</v>
      </c>
    </row>
    <row r="473" spans="2:18" x14ac:dyDescent="0.2">
      <c r="B473" s="11" t="s">
        <v>9</v>
      </c>
      <c r="C473" s="12" t="str">
        <f>VLOOKUP(LOWER(E464),experiments_specs!$A:$J,10,FALSE)</f>
        <v>True</v>
      </c>
      <c r="D473" s="15" t="s">
        <v>1299</v>
      </c>
      <c r="E473" s="7" t="s">
        <v>18</v>
      </c>
      <c r="F473" s="20" t="s">
        <v>781</v>
      </c>
      <c r="G473" s="20">
        <v>2</v>
      </c>
      <c r="H473" s="20">
        <v>2.3768000000000001E-3</v>
      </c>
      <c r="I473" s="32">
        <v>0.2105263</v>
      </c>
      <c r="K473" s="11" t="s">
        <v>9</v>
      </c>
      <c r="L473" s="12" t="str">
        <f>VLOOKUP(LOWER(N464),experiments_specs!$A:$J,10,FALSE)</f>
        <v>True</v>
      </c>
      <c r="M473" s="15" t="s">
        <v>1300</v>
      </c>
      <c r="N473" s="7" t="s">
        <v>18</v>
      </c>
      <c r="O473" s="20" t="s">
        <v>436</v>
      </c>
      <c r="P473" s="20">
        <v>1</v>
      </c>
      <c r="Q473" s="20">
        <v>3.1149300000000001E-2</v>
      </c>
      <c r="R473" s="32">
        <v>0.22222220000000001</v>
      </c>
    </row>
    <row r="474" spans="2:18" ht="17" thickBot="1" x14ac:dyDescent="0.25"/>
    <row r="475" spans="2:18" ht="20" thickBot="1" x14ac:dyDescent="0.3">
      <c r="B475" s="13" t="s">
        <v>126</v>
      </c>
      <c r="C475" s="14"/>
      <c r="D475" s="9"/>
      <c r="E475" s="10" t="str">
        <f>"TEST_"&amp;TEXT(RIGHT(N464,3)+1, "00")</f>
        <v>TEST_177</v>
      </c>
      <c r="F475" s="41" t="s">
        <v>1306</v>
      </c>
      <c r="G475" s="41"/>
      <c r="H475" s="41"/>
      <c r="I475" s="41"/>
      <c r="K475" s="13" t="s">
        <v>126</v>
      </c>
      <c r="L475" s="14"/>
      <c r="M475" s="9"/>
      <c r="N475" s="10" t="str">
        <f>"TEST_"&amp;TEXT(RIGHT(E475,3)+1, "00")</f>
        <v>TEST_178</v>
      </c>
      <c r="O475" s="41" t="s">
        <v>1306</v>
      </c>
      <c r="P475" s="41"/>
      <c r="Q475" s="41"/>
      <c r="R475" s="41"/>
    </row>
    <row r="476" spans="2:18" x14ac:dyDescent="0.2">
      <c r="B476" s="11" t="s">
        <v>1</v>
      </c>
      <c r="C476" s="12" t="str">
        <f>VLOOKUP(LOWER(E475),experiments_specs!$A:$J,2,FALSE)</f>
        <v>NN,VB,VBD,VBG,VBN,VBP,VBZ</v>
      </c>
      <c r="D476" s="15" t="str">
        <f>"{"&amp;LOWER(E475)&amp;".csv}"</f>
        <v>{test_177.csv}</v>
      </c>
      <c r="E476" s="8" t="s">
        <v>118</v>
      </c>
      <c r="F476" s="3" t="s">
        <v>1307</v>
      </c>
      <c r="G476" s="3"/>
      <c r="H476" s="3" t="s">
        <v>178</v>
      </c>
      <c r="I476" s="29" t="s">
        <v>121</v>
      </c>
      <c r="K476" s="11" t="s">
        <v>1</v>
      </c>
      <c r="L476" s="12" t="str">
        <f>VLOOKUP(LOWER(N475),experiments_specs!$A:$J,2,FALSE)</f>
        <v>NN,VB,VBD,VBG,VBN,VBP,VBZ</v>
      </c>
      <c r="M476" s="15" t="str">
        <f>"{"&amp;LOWER(N475)&amp;".csv}"</f>
        <v>{test_178.csv}</v>
      </c>
      <c r="N476" s="8" t="s">
        <v>118</v>
      </c>
      <c r="O476" s="3" t="s">
        <v>1307</v>
      </c>
      <c r="P476" s="3"/>
      <c r="Q476" s="3" t="s">
        <v>178</v>
      </c>
      <c r="R476" s="29" t="s">
        <v>121</v>
      </c>
    </row>
    <row r="477" spans="2:18" ht="17" x14ac:dyDescent="0.2">
      <c r="B477" s="11" t="s">
        <v>2</v>
      </c>
      <c r="C477" s="12">
        <f>VLOOKUP(LOWER(E475),experiments_specs!$A:$J,3,FALSE)</f>
        <v>0</v>
      </c>
      <c r="D477" s="15" t="s">
        <v>1301</v>
      </c>
      <c r="E477" s="5" t="s">
        <v>19</v>
      </c>
      <c r="F477" s="17" t="s">
        <v>1402</v>
      </c>
      <c r="G477" s="17">
        <v>3</v>
      </c>
      <c r="H477" s="17">
        <v>3.4553E-2</v>
      </c>
      <c r="I477" s="30">
        <v>0.18181810000000001</v>
      </c>
      <c r="K477" s="11" t="s">
        <v>2</v>
      </c>
      <c r="L477" s="12">
        <f>VLOOKUP(LOWER(N475),experiments_specs!$A:$J,3,FALSE)</f>
        <v>0</v>
      </c>
      <c r="M477" s="15" t="s">
        <v>1302</v>
      </c>
      <c r="N477" s="5" t="s">
        <v>19</v>
      </c>
      <c r="O477" s="17" t="s">
        <v>1402</v>
      </c>
      <c r="P477" s="17">
        <v>3</v>
      </c>
      <c r="Q477" s="17">
        <v>3.4553E-2</v>
      </c>
      <c r="R477" s="30">
        <v>0.18181810000000001</v>
      </c>
    </row>
    <row r="478" spans="2:18" x14ac:dyDescent="0.2">
      <c r="B478" s="11" t="s">
        <v>3</v>
      </c>
      <c r="C478" s="12">
        <f>VLOOKUP(LOWER(E475),experiments_specs!$A:$J,4,FALSE)</f>
        <v>2</v>
      </c>
      <c r="D478" s="15" t="s">
        <v>1301</v>
      </c>
      <c r="E478" s="6" t="s">
        <v>12</v>
      </c>
      <c r="F478" s="19" t="s">
        <v>1403</v>
      </c>
      <c r="G478" s="19">
        <v>3</v>
      </c>
      <c r="H478" s="19">
        <v>3.5634800000000001E-2</v>
      </c>
      <c r="I478" s="31">
        <v>0.4</v>
      </c>
      <c r="K478" s="11" t="s">
        <v>3</v>
      </c>
      <c r="L478" s="12">
        <f>VLOOKUP(LOWER(N475),experiments_specs!$A:$J,4,FALSE)</f>
        <v>3</v>
      </c>
      <c r="M478" s="15" t="s">
        <v>1302</v>
      </c>
      <c r="N478" s="6" t="s">
        <v>12</v>
      </c>
      <c r="O478" s="19" t="s">
        <v>1403</v>
      </c>
      <c r="P478" s="19">
        <v>3</v>
      </c>
      <c r="Q478" s="19">
        <v>3.5634800000000001E-2</v>
      </c>
      <c r="R478" s="31">
        <v>0.4</v>
      </c>
    </row>
    <row r="479" spans="2:18" x14ac:dyDescent="0.2">
      <c r="B479" s="11" t="s">
        <v>4</v>
      </c>
      <c r="C479" s="12" t="str">
        <f>VLOOKUP(LOWER(E475),experiments_specs!$A:$J,5,FALSE)</f>
        <v>True</v>
      </c>
      <c r="D479" s="15" t="s">
        <v>1301</v>
      </c>
      <c r="E479" s="6" t="s">
        <v>13</v>
      </c>
      <c r="F479" s="19" t="s">
        <v>908</v>
      </c>
      <c r="G479" s="19">
        <v>2</v>
      </c>
      <c r="H479" s="19">
        <v>3.6961000000000001E-2</v>
      </c>
      <c r="I479" s="31" t="s">
        <v>25</v>
      </c>
      <c r="K479" s="11" t="s">
        <v>4</v>
      </c>
      <c r="L479" s="12" t="str">
        <f>VLOOKUP(LOWER(N475),experiments_specs!$A:$J,5,FALSE)</f>
        <v>True</v>
      </c>
      <c r="M479" s="15" t="s">
        <v>1302</v>
      </c>
      <c r="N479" s="6" t="s">
        <v>13</v>
      </c>
      <c r="O479" s="19" t="s">
        <v>908</v>
      </c>
      <c r="P479" s="19">
        <v>2</v>
      </c>
      <c r="Q479" s="19">
        <v>3.6961000000000001E-2</v>
      </c>
      <c r="R479" s="31" t="s">
        <v>25</v>
      </c>
    </row>
    <row r="480" spans="2:18" x14ac:dyDescent="0.2">
      <c r="B480" s="11" t="s">
        <v>5</v>
      </c>
      <c r="C480" s="12" t="str">
        <f>VLOOKUP(LOWER(E475),experiments_specs!$A:$J,6,FALSE)</f>
        <v>False</v>
      </c>
      <c r="D480" s="15" t="s">
        <v>1301</v>
      </c>
      <c r="E480" s="6" t="s">
        <v>14</v>
      </c>
      <c r="F480" s="19" t="s">
        <v>1404</v>
      </c>
      <c r="G480" s="19">
        <v>3</v>
      </c>
      <c r="H480" s="19">
        <v>1.5944199999999999E-2</v>
      </c>
      <c r="I480" s="31">
        <v>0.30769229999999997</v>
      </c>
      <c r="K480" s="11" t="s">
        <v>5</v>
      </c>
      <c r="L480" s="12" t="str">
        <f>VLOOKUP(LOWER(N475),experiments_specs!$A:$J,6,FALSE)</f>
        <v>False</v>
      </c>
      <c r="M480" s="15" t="s">
        <v>1302</v>
      </c>
      <c r="N480" s="6" t="s">
        <v>14</v>
      </c>
      <c r="O480" s="19" t="s">
        <v>1404</v>
      </c>
      <c r="P480" s="19">
        <v>3</v>
      </c>
      <c r="Q480" s="19">
        <v>1.5944199999999999E-2</v>
      </c>
      <c r="R480" s="31">
        <v>0.30769229999999997</v>
      </c>
    </row>
    <row r="481" spans="2:18" x14ac:dyDescent="0.2">
      <c r="B481" s="11" t="s">
        <v>6</v>
      </c>
      <c r="C481" s="12" t="str">
        <f>VLOOKUP(LOWER(E475),experiments_specs!$A:$J,7,FALSE)</f>
        <v>False</v>
      </c>
      <c r="D481" s="15" t="s">
        <v>1301</v>
      </c>
      <c r="E481" s="6" t="s">
        <v>15</v>
      </c>
      <c r="F481" s="19" t="s">
        <v>1417</v>
      </c>
      <c r="G481" s="19">
        <v>1</v>
      </c>
      <c r="H481" s="19">
        <v>2.0813000000000002E-2</v>
      </c>
      <c r="I481" s="31">
        <v>0.22222220000000001</v>
      </c>
      <c r="K481" s="11" t="s">
        <v>6</v>
      </c>
      <c r="L481" s="12" t="str">
        <f>VLOOKUP(LOWER(N475),experiments_specs!$A:$J,7,FALSE)</f>
        <v>False</v>
      </c>
      <c r="M481" s="15" t="s">
        <v>1302</v>
      </c>
      <c r="N481" s="6" t="s">
        <v>15</v>
      </c>
      <c r="O481" s="19" t="s">
        <v>1417</v>
      </c>
      <c r="P481" s="19">
        <v>1</v>
      </c>
      <c r="Q481" s="19">
        <v>2.0813000000000002E-2</v>
      </c>
      <c r="R481" s="31">
        <v>0.22222220000000001</v>
      </c>
    </row>
    <row r="482" spans="2:18" ht="68" x14ac:dyDescent="0.2">
      <c r="B482" s="11" t="s">
        <v>7</v>
      </c>
      <c r="C482" s="12" t="str">
        <f>VLOOKUP(LOWER(E475),experiments_specs!$A:$J,8,FALSE)</f>
        <v>True</v>
      </c>
      <c r="D482" s="15" t="s">
        <v>1301</v>
      </c>
      <c r="E482" s="6" t="s">
        <v>16</v>
      </c>
      <c r="F482" s="18" t="s">
        <v>1409</v>
      </c>
      <c r="G482" s="18" t="s">
        <v>1372</v>
      </c>
      <c r="H482" s="19">
        <v>2.9235199999999999E-2</v>
      </c>
      <c r="I482" s="51" t="s">
        <v>1461</v>
      </c>
      <c r="K482" s="11" t="s">
        <v>7</v>
      </c>
      <c r="L482" s="12" t="str">
        <f>VLOOKUP(LOWER(N475),experiments_specs!$A:$J,8,FALSE)</f>
        <v>True</v>
      </c>
      <c r="M482" s="15" t="s">
        <v>1302</v>
      </c>
      <c r="N482" s="6" t="s">
        <v>16</v>
      </c>
      <c r="O482" s="18" t="s">
        <v>1409</v>
      </c>
      <c r="P482" s="18" t="s">
        <v>1372</v>
      </c>
      <c r="Q482" s="19">
        <v>2.9235199999999999E-2</v>
      </c>
      <c r="R482" s="51" t="s">
        <v>1461</v>
      </c>
    </row>
    <row r="483" spans="2:18" x14ac:dyDescent="0.2">
      <c r="B483" s="11" t="s">
        <v>8</v>
      </c>
      <c r="C483" s="12" t="str">
        <f>VLOOKUP(LOWER(E475),experiments_specs!$A:$J,9,FALSE)</f>
        <v>wup_similarity</v>
      </c>
      <c r="D483" s="15" t="s">
        <v>1301</v>
      </c>
      <c r="E483" s="6" t="s">
        <v>17</v>
      </c>
      <c r="F483" s="19" t="s">
        <v>1407</v>
      </c>
      <c r="G483" s="19">
        <v>-1</v>
      </c>
      <c r="H483" s="19">
        <v>3.1139900000000002E-2</v>
      </c>
      <c r="I483" s="31">
        <v>0.15384610000000001</v>
      </c>
      <c r="K483" s="11" t="s">
        <v>8</v>
      </c>
      <c r="L483" s="12" t="str">
        <f>VLOOKUP(LOWER(N475),experiments_specs!$A:$J,9,FALSE)</f>
        <v>wup_similarity</v>
      </c>
      <c r="M483" s="15" t="s">
        <v>1302</v>
      </c>
      <c r="N483" s="6" t="s">
        <v>17</v>
      </c>
      <c r="O483" s="19" t="s">
        <v>1407</v>
      </c>
      <c r="P483" s="19">
        <v>-1</v>
      </c>
      <c r="Q483" s="19">
        <v>3.1139900000000002E-2</v>
      </c>
      <c r="R483" s="31">
        <v>0.15384610000000001</v>
      </c>
    </row>
    <row r="484" spans="2:18" x14ac:dyDescent="0.2">
      <c r="B484" s="11" t="s">
        <v>9</v>
      </c>
      <c r="C484" s="12" t="str">
        <f>VLOOKUP(LOWER(E475),experiments_specs!$A:$J,10,FALSE)</f>
        <v>True</v>
      </c>
      <c r="D484" s="15" t="s">
        <v>1301</v>
      </c>
      <c r="E484" s="7" t="s">
        <v>18</v>
      </c>
      <c r="F484" s="20" t="s">
        <v>1418</v>
      </c>
      <c r="G484" s="20">
        <v>2</v>
      </c>
      <c r="H484" s="20">
        <v>2.67745E-2</v>
      </c>
      <c r="I484" s="32">
        <v>0.2105263</v>
      </c>
      <c r="K484" s="11" t="s">
        <v>9</v>
      </c>
      <c r="L484" s="12" t="str">
        <f>VLOOKUP(LOWER(N475),experiments_specs!$A:$J,10,FALSE)</f>
        <v>True</v>
      </c>
      <c r="M484" s="15" t="s">
        <v>1302</v>
      </c>
      <c r="N484" s="7" t="s">
        <v>18</v>
      </c>
      <c r="O484" s="20" t="s">
        <v>1418</v>
      </c>
      <c r="P484" s="20">
        <v>2</v>
      </c>
      <c r="Q484" s="20">
        <v>2.67745E-2</v>
      </c>
      <c r="R484" s="32">
        <v>0.2105263</v>
      </c>
    </row>
    <row r="485" spans="2:18" ht="17" thickBot="1" x14ac:dyDescent="0.25"/>
    <row r="486" spans="2:18" ht="20" thickBot="1" x14ac:dyDescent="0.3">
      <c r="B486" s="13" t="s">
        <v>126</v>
      </c>
      <c r="C486" s="14"/>
      <c r="D486" s="9"/>
      <c r="E486" s="10" t="str">
        <f>"TEST_"&amp;TEXT(RIGHT(N475,3)+1, "00")</f>
        <v>TEST_179</v>
      </c>
      <c r="F486" s="41" t="s">
        <v>1306</v>
      </c>
      <c r="G486" s="41"/>
      <c r="H486" s="41"/>
      <c r="I486" s="41"/>
      <c r="K486" s="13" t="s">
        <v>126</v>
      </c>
      <c r="L486" s="14"/>
      <c r="M486" s="9"/>
      <c r="N486" s="10" t="str">
        <f>"TEST_"&amp;TEXT(RIGHT(E486,3)+1, "00")</f>
        <v>TEST_180</v>
      </c>
      <c r="O486" s="41" t="s">
        <v>1306</v>
      </c>
      <c r="P486" s="41"/>
      <c r="Q486" s="41"/>
      <c r="R486" s="41"/>
    </row>
    <row r="487" spans="2:18" x14ac:dyDescent="0.2">
      <c r="B487" s="11" t="s">
        <v>1</v>
      </c>
      <c r="C487" s="12" t="str">
        <f>VLOOKUP(LOWER(E486),experiments_specs!$A:$J,2,FALSE)</f>
        <v>NN,JJ,VB,VBD,VBG,VBN,VBP,VBZ</v>
      </c>
      <c r="D487" s="15" t="str">
        <f>"{"&amp;LOWER(E486)&amp;".csv}"</f>
        <v>{test_179.csv}</v>
      </c>
      <c r="E487" s="8" t="s">
        <v>118</v>
      </c>
      <c r="F487" s="3" t="s">
        <v>1307</v>
      </c>
      <c r="G487" s="3"/>
      <c r="H487" s="3" t="s">
        <v>178</v>
      </c>
      <c r="I487" s="29" t="s">
        <v>121</v>
      </c>
      <c r="K487" s="11" t="s">
        <v>1</v>
      </c>
      <c r="L487" s="12" t="str">
        <f>VLOOKUP(LOWER(N486),experiments_specs!$A:$J,2,FALSE)</f>
        <v>NN,JJ,VB,VBD,VBG,VBN,VBP,VBZ</v>
      </c>
      <c r="M487" s="15" t="str">
        <f>"{"&amp;LOWER(N486)&amp;".csv}"</f>
        <v>{test_180.csv}</v>
      </c>
      <c r="N487" s="8" t="s">
        <v>118</v>
      </c>
      <c r="O487" s="3" t="s">
        <v>1307</v>
      </c>
      <c r="P487" s="3"/>
      <c r="Q487" s="3" t="s">
        <v>178</v>
      </c>
      <c r="R487" s="29" t="s">
        <v>121</v>
      </c>
    </row>
    <row r="488" spans="2:18" ht="17" x14ac:dyDescent="0.2">
      <c r="B488" s="11" t="s">
        <v>2</v>
      </c>
      <c r="C488" s="12">
        <f>VLOOKUP(LOWER(E486),experiments_specs!$A:$J,3,FALSE)</f>
        <v>0</v>
      </c>
      <c r="D488" s="15" t="s">
        <v>1303</v>
      </c>
      <c r="E488" s="5" t="s">
        <v>19</v>
      </c>
      <c r="F488" s="17" t="s">
        <v>1402</v>
      </c>
      <c r="G488" s="17">
        <v>3</v>
      </c>
      <c r="H488" s="17">
        <v>2.64906E-2</v>
      </c>
      <c r="I488" s="30">
        <v>0.18181810000000001</v>
      </c>
      <c r="K488" s="11" t="s">
        <v>2</v>
      </c>
      <c r="L488" s="12">
        <f>VLOOKUP(LOWER(N486),experiments_specs!$A:$J,3,FALSE)</f>
        <v>0</v>
      </c>
      <c r="M488" s="15" t="s">
        <v>1304</v>
      </c>
      <c r="N488" s="5" t="s">
        <v>19</v>
      </c>
      <c r="O488" s="17" t="s">
        <v>1402</v>
      </c>
      <c r="P488" s="17">
        <v>3</v>
      </c>
      <c r="Q488" s="17">
        <v>2.64906E-2</v>
      </c>
      <c r="R488" s="30">
        <v>0.18181810000000001</v>
      </c>
    </row>
    <row r="489" spans="2:18" x14ac:dyDescent="0.2">
      <c r="B489" s="11" t="s">
        <v>3</v>
      </c>
      <c r="C489" s="12">
        <f>VLOOKUP(LOWER(E486),experiments_specs!$A:$J,4,FALSE)</f>
        <v>2</v>
      </c>
      <c r="D489" s="15" t="s">
        <v>1303</v>
      </c>
      <c r="E489" s="6" t="s">
        <v>12</v>
      </c>
      <c r="F489" s="19" t="s">
        <v>1403</v>
      </c>
      <c r="G489" s="19">
        <v>3</v>
      </c>
      <c r="H489" s="19">
        <v>3.07196E-2</v>
      </c>
      <c r="I489" s="31">
        <v>0.4</v>
      </c>
      <c r="K489" s="11" t="s">
        <v>3</v>
      </c>
      <c r="L489" s="12">
        <f>VLOOKUP(LOWER(N486),experiments_specs!$A:$J,4,FALSE)</f>
        <v>3</v>
      </c>
      <c r="M489" s="15" t="s">
        <v>1304</v>
      </c>
      <c r="N489" s="6" t="s">
        <v>12</v>
      </c>
      <c r="O489" s="19" t="s">
        <v>1403</v>
      </c>
      <c r="P489" s="19">
        <v>3</v>
      </c>
      <c r="Q489" s="19">
        <v>3.07196E-2</v>
      </c>
      <c r="R489" s="31">
        <v>0.4</v>
      </c>
    </row>
    <row r="490" spans="2:18" x14ac:dyDescent="0.2">
      <c r="B490" s="11" t="s">
        <v>4</v>
      </c>
      <c r="C490" s="12" t="str">
        <f>VLOOKUP(LOWER(E486),experiments_specs!$A:$J,5,FALSE)</f>
        <v>True</v>
      </c>
      <c r="D490" s="15" t="s">
        <v>1303</v>
      </c>
      <c r="E490" s="6" t="s">
        <v>13</v>
      </c>
      <c r="F490" s="19" t="s">
        <v>908</v>
      </c>
      <c r="G490" s="19">
        <v>2</v>
      </c>
      <c r="H490" s="19">
        <v>3.6961000000000001E-2</v>
      </c>
      <c r="I490" s="31" t="s">
        <v>25</v>
      </c>
      <c r="K490" s="11" t="s">
        <v>4</v>
      </c>
      <c r="L490" s="12" t="str">
        <f>VLOOKUP(LOWER(N486),experiments_specs!$A:$J,5,FALSE)</f>
        <v>True</v>
      </c>
      <c r="M490" s="15" t="s">
        <v>1304</v>
      </c>
      <c r="N490" s="6" t="s">
        <v>13</v>
      </c>
      <c r="O490" s="19" t="s">
        <v>908</v>
      </c>
      <c r="P490" s="19">
        <v>2</v>
      </c>
      <c r="Q490" s="19">
        <v>3.6961000000000001E-2</v>
      </c>
      <c r="R490" s="31" t="s">
        <v>25</v>
      </c>
    </row>
    <row r="491" spans="2:18" x14ac:dyDescent="0.2">
      <c r="B491" s="11" t="s">
        <v>5</v>
      </c>
      <c r="C491" s="12" t="str">
        <f>VLOOKUP(LOWER(E486),experiments_specs!$A:$J,6,FALSE)</f>
        <v>False</v>
      </c>
      <c r="D491" s="15" t="s">
        <v>1303</v>
      </c>
      <c r="E491" s="6" t="s">
        <v>14</v>
      </c>
      <c r="F491" s="19" t="s">
        <v>1404</v>
      </c>
      <c r="G491" s="19">
        <v>3</v>
      </c>
      <c r="H491" s="19">
        <v>1.39001E-2</v>
      </c>
      <c r="I491" s="31">
        <v>0.30769229999999997</v>
      </c>
      <c r="K491" s="11" t="s">
        <v>5</v>
      </c>
      <c r="L491" s="12" t="str">
        <f>VLOOKUP(LOWER(N486),experiments_specs!$A:$J,6,FALSE)</f>
        <v>False</v>
      </c>
      <c r="M491" s="15" t="s">
        <v>1304</v>
      </c>
      <c r="N491" s="6" t="s">
        <v>14</v>
      </c>
      <c r="O491" s="19" t="s">
        <v>1404</v>
      </c>
      <c r="P491" s="19">
        <v>3</v>
      </c>
      <c r="Q491" s="19">
        <v>1.39001E-2</v>
      </c>
      <c r="R491" s="31">
        <v>0.30769229999999997</v>
      </c>
    </row>
    <row r="492" spans="2:18" x14ac:dyDescent="0.2">
      <c r="B492" s="11" t="s">
        <v>6</v>
      </c>
      <c r="C492" s="12" t="str">
        <f>VLOOKUP(LOWER(E486),experiments_specs!$A:$J,7,FALSE)</f>
        <v>False</v>
      </c>
      <c r="D492" s="15" t="s">
        <v>1303</v>
      </c>
      <c r="E492" s="6" t="s">
        <v>15</v>
      </c>
      <c r="F492" s="19" t="s">
        <v>27</v>
      </c>
      <c r="G492" s="19">
        <v>2</v>
      </c>
      <c r="H492" s="19">
        <v>2.28217E-2</v>
      </c>
      <c r="I492" s="31">
        <v>0.1666666</v>
      </c>
      <c r="K492" s="11" t="s">
        <v>6</v>
      </c>
      <c r="L492" s="12" t="str">
        <f>VLOOKUP(LOWER(N486),experiments_specs!$A:$J,7,FALSE)</f>
        <v>False</v>
      </c>
      <c r="M492" s="15" t="s">
        <v>1304</v>
      </c>
      <c r="N492" s="6" t="s">
        <v>15</v>
      </c>
      <c r="O492" s="19" t="s">
        <v>27</v>
      </c>
      <c r="P492" s="19">
        <v>2</v>
      </c>
      <c r="Q492" s="19">
        <v>2.28217E-2</v>
      </c>
      <c r="R492" s="31">
        <v>0.1666666</v>
      </c>
    </row>
    <row r="493" spans="2:18" ht="68" x14ac:dyDescent="0.2">
      <c r="B493" s="11" t="s">
        <v>7</v>
      </c>
      <c r="C493" s="12" t="str">
        <f>VLOOKUP(LOWER(E486),experiments_specs!$A:$J,8,FALSE)</f>
        <v>True</v>
      </c>
      <c r="D493" s="15" t="s">
        <v>1303</v>
      </c>
      <c r="E493" s="6" t="s">
        <v>16</v>
      </c>
      <c r="F493" s="18" t="s">
        <v>1409</v>
      </c>
      <c r="G493" s="18" t="s">
        <v>1372</v>
      </c>
      <c r="H493" s="19">
        <v>2.8445100000000001E-2</v>
      </c>
      <c r="I493" s="51" t="s">
        <v>1461</v>
      </c>
      <c r="K493" s="11" t="s">
        <v>7</v>
      </c>
      <c r="L493" s="12" t="str">
        <f>VLOOKUP(LOWER(N486),experiments_specs!$A:$J,8,FALSE)</f>
        <v>True</v>
      </c>
      <c r="M493" s="15" t="s">
        <v>1304</v>
      </c>
      <c r="N493" s="6" t="s">
        <v>16</v>
      </c>
      <c r="O493" s="18" t="s">
        <v>1409</v>
      </c>
      <c r="P493" s="18" t="s">
        <v>1372</v>
      </c>
      <c r="Q493" s="19">
        <v>2.8445100000000001E-2</v>
      </c>
      <c r="R493" s="51" t="s">
        <v>1461</v>
      </c>
    </row>
    <row r="494" spans="2:18" x14ac:dyDescent="0.2">
      <c r="B494" s="11" t="s">
        <v>8</v>
      </c>
      <c r="C494" s="12" t="str">
        <f>VLOOKUP(LOWER(E486),experiments_specs!$A:$J,9,FALSE)</f>
        <v>wup_similarity</v>
      </c>
      <c r="D494" s="15" t="s">
        <v>1303</v>
      </c>
      <c r="E494" s="6" t="s">
        <v>17</v>
      </c>
      <c r="F494" s="19" t="s">
        <v>1407</v>
      </c>
      <c r="G494" s="19">
        <v>-1</v>
      </c>
      <c r="H494" s="19">
        <v>2.8309000000000001E-2</v>
      </c>
      <c r="I494" s="31">
        <v>0.15384610000000001</v>
      </c>
      <c r="K494" s="11" t="s">
        <v>8</v>
      </c>
      <c r="L494" s="12" t="str">
        <f>VLOOKUP(LOWER(N486),experiments_specs!$A:$J,9,FALSE)</f>
        <v>wup_similarity</v>
      </c>
      <c r="M494" s="15" t="s">
        <v>1304</v>
      </c>
      <c r="N494" s="6" t="s">
        <v>17</v>
      </c>
      <c r="O494" s="19" t="s">
        <v>1407</v>
      </c>
      <c r="P494" s="19">
        <v>-1</v>
      </c>
      <c r="Q494" s="19">
        <v>2.8309000000000001E-2</v>
      </c>
      <c r="R494" s="31">
        <v>0.15384610000000001</v>
      </c>
    </row>
    <row r="495" spans="2:18" x14ac:dyDescent="0.2">
      <c r="B495" s="11" t="s">
        <v>9</v>
      </c>
      <c r="C495" s="12" t="str">
        <f>VLOOKUP(LOWER(E486),experiments_specs!$A:$J,10,FALSE)</f>
        <v>True</v>
      </c>
      <c r="D495" s="15" t="s">
        <v>1303</v>
      </c>
      <c r="E495" s="7" t="s">
        <v>18</v>
      </c>
      <c r="F495" s="20" t="s">
        <v>1418</v>
      </c>
      <c r="G495" s="20">
        <v>2</v>
      </c>
      <c r="H495" s="20">
        <v>2.51995E-2</v>
      </c>
      <c r="I495" s="32">
        <v>0.2105263</v>
      </c>
      <c r="K495" s="11" t="s">
        <v>9</v>
      </c>
      <c r="L495" s="12" t="str">
        <f>VLOOKUP(LOWER(N486),experiments_specs!$A:$J,10,FALSE)</f>
        <v>True</v>
      </c>
      <c r="M495" s="15" t="s">
        <v>1304</v>
      </c>
      <c r="N495" s="7" t="s">
        <v>18</v>
      </c>
      <c r="O495" s="20" t="s">
        <v>1418</v>
      </c>
      <c r="P495" s="20">
        <v>2</v>
      </c>
      <c r="Q495" s="20">
        <v>2.51995E-2</v>
      </c>
      <c r="R495" s="32">
        <v>0.2105263</v>
      </c>
    </row>
  </sheetData>
  <mergeCells count="90">
    <mergeCell ref="F464:I464"/>
    <mergeCell ref="O464:R464"/>
    <mergeCell ref="F475:I475"/>
    <mergeCell ref="O475:R475"/>
    <mergeCell ref="F486:I486"/>
    <mergeCell ref="O486:R486"/>
    <mergeCell ref="F431:I431"/>
    <mergeCell ref="O431:R431"/>
    <mergeCell ref="F442:I442"/>
    <mergeCell ref="O442:R442"/>
    <mergeCell ref="F453:I453"/>
    <mergeCell ref="O453:R453"/>
    <mergeCell ref="F398:I398"/>
    <mergeCell ref="O398:R398"/>
    <mergeCell ref="F409:I409"/>
    <mergeCell ref="O409:R409"/>
    <mergeCell ref="F420:I420"/>
    <mergeCell ref="O420:R420"/>
    <mergeCell ref="F365:I365"/>
    <mergeCell ref="O365:R365"/>
    <mergeCell ref="F376:I376"/>
    <mergeCell ref="O376:R376"/>
    <mergeCell ref="F387:I387"/>
    <mergeCell ref="O387:R387"/>
    <mergeCell ref="F332:I332"/>
    <mergeCell ref="O332:R332"/>
    <mergeCell ref="F343:I343"/>
    <mergeCell ref="O343:R343"/>
    <mergeCell ref="F354:I354"/>
    <mergeCell ref="O354:R354"/>
    <mergeCell ref="F299:I299"/>
    <mergeCell ref="O299:R299"/>
    <mergeCell ref="F310:I310"/>
    <mergeCell ref="O310:R310"/>
    <mergeCell ref="F321:I321"/>
    <mergeCell ref="O321:R321"/>
    <mergeCell ref="F266:I266"/>
    <mergeCell ref="O266:R266"/>
    <mergeCell ref="F277:I277"/>
    <mergeCell ref="O277:R277"/>
    <mergeCell ref="F288:I288"/>
    <mergeCell ref="O288:R288"/>
    <mergeCell ref="F233:I233"/>
    <mergeCell ref="O233:R233"/>
    <mergeCell ref="F244:I244"/>
    <mergeCell ref="O244:R244"/>
    <mergeCell ref="F255:I255"/>
    <mergeCell ref="O255:R255"/>
    <mergeCell ref="F200:I200"/>
    <mergeCell ref="O200:R200"/>
    <mergeCell ref="F211:I211"/>
    <mergeCell ref="O211:R211"/>
    <mergeCell ref="F222:I222"/>
    <mergeCell ref="O222:R222"/>
    <mergeCell ref="F167:I167"/>
    <mergeCell ref="O167:R167"/>
    <mergeCell ref="F178:I178"/>
    <mergeCell ref="O178:R178"/>
    <mergeCell ref="F189:I189"/>
    <mergeCell ref="O189:R189"/>
    <mergeCell ref="F134:I134"/>
    <mergeCell ref="O134:R134"/>
    <mergeCell ref="F145:I145"/>
    <mergeCell ref="O145:R145"/>
    <mergeCell ref="F156:I156"/>
    <mergeCell ref="O156:R156"/>
    <mergeCell ref="F101:I101"/>
    <mergeCell ref="O101:R101"/>
    <mergeCell ref="F112:I112"/>
    <mergeCell ref="O112:R112"/>
    <mergeCell ref="F123:I123"/>
    <mergeCell ref="O123:R123"/>
    <mergeCell ref="F68:I68"/>
    <mergeCell ref="O68:R68"/>
    <mergeCell ref="F79:I79"/>
    <mergeCell ref="O79:R79"/>
    <mergeCell ref="F90:I90"/>
    <mergeCell ref="O90:R90"/>
    <mergeCell ref="F35:I35"/>
    <mergeCell ref="O35:R35"/>
    <mergeCell ref="F46:I46"/>
    <mergeCell ref="O46:R46"/>
    <mergeCell ref="F57:I57"/>
    <mergeCell ref="O57:R57"/>
    <mergeCell ref="F2:I2"/>
    <mergeCell ref="O2:R2"/>
    <mergeCell ref="F13:I13"/>
    <mergeCell ref="O13:R13"/>
    <mergeCell ref="F24:I24"/>
    <mergeCell ref="O24:R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9077-1D3F-1F4E-B061-853A1DE151FD}">
  <sheetPr codeName="Foglio3" filterMode="1"/>
  <dimension ref="A1:R181"/>
  <sheetViews>
    <sheetView topLeftCell="G1" workbookViewId="0">
      <pane ySplit="1" topLeftCell="A2" activePane="bottomLeft" state="frozen"/>
      <selection pane="bottomLeft" activeCell="M1" sqref="M1:N1"/>
    </sheetView>
  </sheetViews>
  <sheetFormatPr baseColWidth="10" defaultRowHeight="16" x14ac:dyDescent="0.2"/>
  <cols>
    <col min="1" max="1" width="7.83203125" customWidth="1"/>
    <col min="2" max="2" width="29" bestFit="1" customWidth="1"/>
    <col min="3" max="3" width="16.6640625" bestFit="1" customWidth="1"/>
    <col min="4" max="4" width="22.33203125" bestFit="1" customWidth="1"/>
    <col min="5" max="5" width="13.1640625" bestFit="1" customWidth="1"/>
    <col min="6" max="7" width="17.83203125" bestFit="1" customWidth="1"/>
    <col min="8" max="8" width="16.6640625" bestFit="1" customWidth="1"/>
    <col min="9" max="9" width="13.33203125" bestFit="1" customWidth="1"/>
    <col min="10" max="10" width="10.6640625" bestFit="1" customWidth="1"/>
    <col min="11" max="11" width="10.6640625" customWidth="1"/>
    <col min="12" max="12" width="26.33203125" customWidth="1"/>
    <col min="13" max="13" width="27.33203125" bestFit="1" customWidth="1"/>
    <col min="14" max="14" width="20.33203125" bestFit="1" customWidth="1"/>
    <col min="15" max="15" width="24.33203125" bestFit="1" customWidth="1"/>
    <col min="16" max="16" width="8.83203125" customWidth="1"/>
    <col min="17" max="17" width="23.83203125" bestFit="1" customWidth="1"/>
    <col min="18" max="18" width="25.1640625" bestFit="1" customWidth="1"/>
    <col min="19" max="19" width="17.83203125" bestFit="1" customWidth="1"/>
    <col min="20" max="20" width="48.83203125" bestFit="1" customWidth="1"/>
  </cols>
  <sheetData>
    <row r="1" spans="1:18" x14ac:dyDescent="0.2">
      <c r="A1" t="s">
        <v>0</v>
      </c>
      <c r="B1" t="s">
        <v>1</v>
      </c>
      <c r="C1" t="s">
        <v>2</v>
      </c>
      <c r="D1" t="s">
        <v>3</v>
      </c>
      <c r="E1" t="s">
        <v>4</v>
      </c>
      <c r="F1" t="s">
        <v>5</v>
      </c>
      <c r="G1" t="s">
        <v>6</v>
      </c>
      <c r="H1" t="s">
        <v>7</v>
      </c>
      <c r="I1" t="s">
        <v>8</v>
      </c>
      <c r="J1" t="s">
        <v>9</v>
      </c>
      <c r="K1" t="s">
        <v>1213</v>
      </c>
      <c r="L1" t="s">
        <v>11</v>
      </c>
      <c r="M1" t="str">
        <f>"["&amp;_xlfn.CONCAT(L2:M91)</f>
        <v>[{"test_id":"test_01", "genus_tags":["NN"], "genus_hypo_depth":1,"genus_hyper_hypo_depth":2,"lesk_on_genus":False,"definition_similarity":True,"examples_similarity":False,"lemmas_similarity":False,"score_type":"wup_similarity","lesk_only_n":False,"search_type":"static"},{"test_id":"test_02", "genus_tags":["NN","JJ"], "genus_hypo_depth":1,"genus_hyper_hypo_depth":2,"lesk_on_genus":False,"definition_similarity":True,"examples_similarity":False,"lemmas_similarity":False,"score_type":"wup_similarity","lesk_only_n":False,"search_type":"static"},{"test_id":"test_03", "genus_tags":["NN","VB"], "genus_hypo_depth":1,"genus_hyper_hypo_depth":2,"lesk_on_genus":False,"definition_similarity":True,"examples_similarity":False,"lemmas_similarity":False,"score_type":"wup_similarity","lesk_only_n":False,"search_type":"static"},{"test_id":"test_04", "genus_tags":["NN","VB","VBD","VBG","VBN","VBP","VBZ"], "genus_hypo_depth":1,"genus_hyper_hypo_depth":2,"lesk_on_genus":False,"definition_similarity":True,"examples_similarity":False,"lemmas_similarity":False,"score_type":"wup_similarity","lesk_only_n":False,"search_type":"static"},{"test_id":"test_05", "genus_tags":["NN","RB"], "genus_hypo_depth":1,"genus_hyper_hypo_depth":2,"lesk_on_genus":False,"definition_similarity":True,"examples_similarity":False,"lemmas_similarity":False,"score_type":"wup_similarity","lesk_only_n":False,"search_type":"static"},{"test_id":"test_06", "genus_tags":["NN","JJ","VB","VBD","VBG","VBN","VBP","VBZ"], "genus_hypo_depth":1,"genus_hyper_hypo_depth":2,"lesk_on_genus":False,"definition_similarity":True,"examples_similarity":False,"lemmas_similarity":False,"score_type":"wup_similarity","lesk_only_n":False,"search_type":"static"},{"test_id":"test_07", "genus_tags":["NN"], "genus_hypo_depth":1,"genus_hyper_hypo_depth":2,"lesk_on_genus":True,"definition_similarity":True,"examples_similarity":False,"lemmas_similarity":False,"score_type":"wup_similarity","lesk_only_n":False,"search_type":"static"},{"test_id":"test_08", "genus_tags":["NN","JJ"], "genus_hypo_depth":1,"genus_hyper_hypo_depth":2,"lesk_on_genus":True,"definition_similarity":True,"examples_similarity":False,"lemmas_similarity":False,"score_type":"wup_similarity","lesk_only_n":False,"search_type":"static"},{"test_id":"test_09", "genus_tags":["NN","VB"], "genus_hypo_depth":1,"genus_hyper_hypo_depth":2,"lesk_on_genus":True,"definition_similarity":True,"examples_similarity":False,"lemmas_similarity":False,"score_type":"wup_similarity","lesk_only_n":False,"search_type":"static"},{"test_id":"test_10", "genus_tags":["NN","VB","VBD","VBG","VBN","VBP","VBZ"], "genus_hypo_depth":1,"genus_hyper_hypo_depth":2,"lesk_on_genus":True,"definition_similarity":True,"examples_similarity":False,"lemmas_similarity":False,"score_type":"wup_similarity","lesk_only_n":False,"search_type":"static"},{"test_id":"test_11", "genus_tags":["NN","RB"], "genus_hypo_depth":1,"genus_hyper_hypo_depth":2,"lesk_on_genus":True,"definition_similarity":True,"examples_similarity":False,"lemmas_similarity":False,"score_type":"wup_similarity","lesk_only_n":False,"search_type":"static"},{"test_id":"test_12", "genus_tags":["NN","JJ","VB","VBD","VBG","VBN","VBP","VBZ"], "genus_hypo_depth":1,"genus_hyper_hypo_depth":2,"lesk_on_genus":True,"definition_similarity":True,"examples_similarity":False,"lemmas_similarity":False,"score_type":"wup_similarity","lesk_only_n":False,"search_type":"static"},{"test_id":"test_13", "genus_tags":["NN"], "genus_hypo_depth":1,"genus_hyper_hypo_depth":2,"lesk_on_genus":True,"definition_similarity":True,"examples_similarity":False,"lemmas_similarity":False,"score_type":"wup_similarity","lesk_only_n":True,"search_type":"static"},{"test_id":"test_14", "genus_tags":["NN","JJ"], "genus_hypo_depth":1,"genus_hyper_hypo_depth":2,"lesk_on_genus":True,"definition_similarity":True,"examples_similarity":False,"lemmas_similarity":False,"score_type":"wup_similarity","lesk_only_n":True,"search_type":"static"},{"test_id":"test_15", "genus_tags":["NN","VB"], "genus_hypo_depth":1,"genus_hyper_hypo_depth":2,"lesk_on_genus":True,"definition_similarity":True,"examples_similarity":False,"lemmas_similarity":False,"score_type":"wup_similarity","lesk_only_n":True,"search_type":"static"},{"test_id":"test_16", "genus_tags":["NN","VB","VBD","VBG","VBN","VBP","VBZ"], "genus_hypo_depth":1,"genus_hyper_hypo_depth":2,"lesk_on_genus":True,"definition_similarity":True,"examples_similarity":False,"lemmas_similarity":False,"score_type":"wup_similarity","lesk_only_n":True,"search_type":"static"},{"test_id":"test_17", "genus_tags":["NN","RB"], "genus_hypo_depth":1,"genus_hyper_hypo_depth":2,"lesk_on_genus":True,"definition_similarity":True,"examples_similarity":False,"lemmas_similarity":False,"score_type":"wup_similarity","lesk_only_n":True,"search_type":"static"},{"test_id":"test_18", "genus_tags":["NN","JJ","VB","VBD","VBG","VBN","VBP","VBZ"], "genus_hypo_depth":1,"genus_hyper_hypo_depth":2,"lesk_on_genus":True,"definition_similarity":True,"examples_similarity":False,"lemmas_similarity":False,"score_type":"wup_similarity","lesk_only_n":True,"search_type":"static"},{"test_id":"test_19", "genus_tags":["NN"], "genus_hypo_depth":1,"genus_hyper_hypo_depth":2,"lesk_on_genus":False,"definition_similarity":True,"examples_similarity":True,"lemmas_similarity":False,"score_type":"wup_similarity","lesk_only_n":False,"search_type":"static"},{"test_id":"test_20", "genus_tags":["NN","JJ"], "genus_hypo_depth":1,"genus_hyper_hypo_depth":2,"lesk_on_genus":False,"definition_similarity":True,"examples_similarity":True,"lemmas_similarity":False,"score_type":"wup_similarity","lesk_only_n":False,"search_type":"static"},{"test_id":"test_21", "genus_tags":["NN","VB"], "genus_hypo_depth":1,"genus_hyper_hypo_depth":2,"lesk_on_genus":False,"definition_similarity":True,"examples_similarity":True,"lemmas_similarity":False,"score_type":"wup_similarity","lesk_only_n":False,"search_type":"static"},{"test_id":"test_22", "genus_tags":["NN","VB","VBD","VBG","VBN","VBP","VBZ"], "genus_hypo_depth":1,"genus_hyper_hypo_depth":2,"lesk_on_genus":False,"definition_similarity":True,"examples_similarity":True,"lemmas_similarity":False,"score_type":"wup_similarity","lesk_only_n":False,"search_type":"static"},{"test_id":"test_23", "genus_tags":["NN","RB"], "genus_hypo_depth":1,"genus_hyper_hypo_depth":2,"lesk_on_genus":False,"definition_similarity":True,"examples_similarity":True,"lemmas_similarity":False,"score_type":"wup_similarity","lesk_only_n":False,"search_type":"static"},{"test_id":"test_24", "genus_tags":["NN","JJ","VB","VBD","VBG","VBN","VBP","VBZ"], "genus_hypo_depth":1,"genus_hyper_hypo_depth":2,"lesk_on_genus":False,"definition_similarity":True,"examples_similarity":True,"lemmas_similarity":False,"score_type":"wup_similarity","lesk_only_n":False,"search_type":"static"},{"test_id":"test_25", "genus_tags":["NN"], "genus_hypo_depth":1,"genus_hyper_hypo_depth":2,"lesk_on_genus":True,"definition_similarity":True,"examples_similarity":True,"lemmas_similarity":False,"score_type":"wup_similarity","lesk_only_n":False,"search_type":"static"},{"test_id":"test_26", "genus_tags":["NN","JJ"], "genus_hypo_depth":1,"genus_hyper_hypo_depth":2,"lesk_on_genus":True,"definition_similarity":True,"examples_similarity":True,"lemmas_similarity":False,"score_type":"wup_similarity","lesk_only_n":False,"search_type":"static"},{"test_id":"test_27", "genus_tags":["NN","VB"], "genus_hypo_depth":1,"genus_hyper_hypo_depth":2,"lesk_on_genus":True,"definition_similarity":True,"examples_similarity":True,"lemmas_similarity":False,"score_type":"wup_similarity","lesk_only_n":False,"search_type":"static"},{"test_id":"test_28", "genus_tags":["NN","VB","VBD","VBG","VBN","VBP","VBZ"], "genus_hypo_depth":1,"genus_hyper_hypo_depth":2,"lesk_on_genus":True,"definition_similarity":True,"examples_similarity":True,"lemmas_similarity":False,"score_type":"wup_similarity","lesk_only_n":False,"search_type":"static"},{"test_id":"test_29", "genus_tags":["NN","RB"], "genus_hypo_depth":1,"genus_hyper_hypo_depth":2,"lesk_on_genus":True,"definition_similarity":True,"examples_similarity":True,"lemmas_similarity":False,"score_type":"wup_similarity","lesk_only_n":False,"search_type":"static"},{"test_id":"test_30", "genus_tags":["NN","JJ","VB","VBD","VBG","VBN","VBP","VBZ"], "genus_hypo_depth":1,"genus_hyper_hypo_depth":2,"lesk_on_genus":True,"definition_similarity":True,"examples_similarity":True,"lemmas_similarity":False,"score_type":"wup_similarity","lesk_only_n":False,"search_type":"static"},{"test_id":"test_31", "genus_tags":["NN"], "genus_hypo_depth":1,"genus_hyper_hypo_depth":2,"lesk_on_genus":True,"definition_similarity":True,"examples_similarity":True,"lemmas_similarity":False,"score_type":"wup_similarity","lesk_only_n":True,"search_type":"static"},{"test_id":"test_32", "genus_tags":["NN","JJ"], "genus_hypo_depth":1,"genus_hyper_hypo_depth":2,"lesk_on_genus":True,"definition_similarity":True,"examples_similarity":True,"lemmas_similarity":False,"score_type":"wup_similarity","lesk_only_n":True,"search_type":"static"},{"test_id":"test_33", "genus_tags":["NN","VB"], "genus_hypo_depth":1,"genus_hyper_hypo_depth":2,"lesk_on_genus":True,"definition_similarity":True,"examples_similarity":True,"lemmas_similarity":False,"score_type":"wup_similarity","lesk_only_n":True,"search_type":"static"},{"test_id":"test_34", "genus_tags":["NN","VB","VBD","VBG","VBN","VBP","VBZ"], "genus_hypo_depth":1,"genus_hyper_hypo_depth":2,"lesk_on_genus":True,"definition_similarity":True,"examples_similarity":True,"lemmas_similarity":False,"score_type":"wup_similarity","lesk_only_n":True,"search_type":"static"},{"test_id":"test_35", "genus_tags":["NN","RB"], "genus_hypo_depth":1,"genus_hyper_hypo_depth":2,"lesk_on_genus":True,"definition_similarity":True,"examples_similarity":True,"lemmas_similarity":False,"score_type":"wup_similarity","lesk_only_n":True,"search_type":"static"},{"test_id":"test_36", "genus_tags":["NN","JJ","VB","VBD","VBG","VBN","VBP","VBZ"], "genus_hypo_depth":1,"genus_hyper_hypo_depth":2,"lesk_on_genus":True,"definition_similarity":True,"examples_similarity":True,"lemmas_similarity":False,"score_type":"wup_similarity","lesk_only_n":True,"search_type":"static"},{"test_id":"test_37", "genus_tags":["NN"], "genus_hypo_depth":1,"genus_hyper_hypo_depth":2,"lesk_on_genus":False,"definition_similarity":True,"examples_similarity":True,"lemmas_similarity":True,"score_type":"wup_similarity","lesk_only_n":False,"search_type":"static"},{"test_id":"test_38", "genus_tags":["NN","JJ"], "genus_hypo_depth":1,"genus_hyper_hypo_depth":2,"lesk_on_genus":False,"definition_similarity":True,"examples_similarity":True,"lemmas_similarity":True,"score_type":"wup_similarity","lesk_only_n":False,"search_type":"static"},{"test_id":"test_39", "genus_tags":["NN","VB"], "genus_hypo_depth":1,"genus_hyper_hypo_depth":2,"lesk_on_genus":False,"definition_similarity":True,"examples_similarity":True,"lemmas_similarity":True,"score_type":"wup_similarity","lesk_only_n":False,"search_type":"static"},{"test_id":"test_40", "genus_tags":["NN","VB","VBD","VBG","VBN","VBP","VBZ"], "genus_hypo_depth":1,"genus_hyper_hypo_depth":2,"lesk_on_genus":False,"definition_similarity":True,"examples_similarity":True,"lemmas_similarity":True,"score_type":"wup_similarity","lesk_only_n":False,"search_type":"static"},{"test_id":"test_41", "genus_tags":["NN","RB"], "genus_hypo_depth":1,"genus_hyper_hypo_depth":2,"lesk_on_genus":False,"definition_similarity":True,"examples_similarity":True,"lemmas_similarity":True,"score_type":"wup_similarity","lesk_only_n":False,"search_type":"static"},{"test_id":"test_42", "genus_tags":["NN","JJ","VB","VBD","VBG","VBN","VBP","VBZ"], "genus_hypo_depth":1,"genus_hyper_hypo_depth":2,"lesk_on_genus":False,"definition_similarity":True,"examples_similarity":True,"lemmas_similarity":True,"score_type":"wup_similarity","lesk_only_n":False,"search_type":"static"},{"test_id":"test_43", "genus_tags":["NN"], "genus_hypo_depth":1,"genus_hyper_hypo_depth":2,"lesk_on_genus":True,"definition_similarity":True,"examples_similarity":True,"lemmas_similarity":True,"score_type":"wup_similarity","lesk_only_n":False,"search_type":"static"},{"test_id":"test_44", "genus_tags":["NN","JJ"], "genus_hypo_depth":1,"genus_hyper_hypo_depth":2,"lesk_on_genus":True,"definition_similarity":True,"examples_similarity":True,"lemmas_similarity":True,"score_type":"wup_similarity","lesk_only_n":False,"search_type":"static"},{"test_id":"test_45", "genus_tags":["NN","VB"], "genus_hypo_depth":1,"genus_hyper_hypo_depth":2,"lesk_on_genus":True,"definition_similarity":True,"examples_similarity":True,"lemmas_similarity":True,"score_type":"wup_similarity","lesk_only_n":False,"search_type":"static"},{"test_id":"test_46", "genus_tags":["NN","VB","VBD","VBG","VBN","VBP","VBZ"], "genus_hypo_depth":1,"genus_hyper_hypo_depth":2,"lesk_on_genus":True,"definition_similarity":True,"examples_similarity":True,"lemmas_similarity":True,"score_type":"wup_similarity","lesk_only_n":False,"search_type":"static"},{"test_id":"test_47", "genus_tags":["NN","RB"], "genus_hypo_depth":1,"genus_hyper_hypo_depth":2,"lesk_on_genus":True,"definition_similarity":True,"examples_similarity":True,"lemmas_similarity":True,"score_type":"wup_similarity","lesk_only_n":False,"search_type":"static"},{"test_id":"test_48", "genus_tags":["NN","JJ","VB","VBD","VBG","VBN","VBP","VBZ"], "genus_hypo_depth":1,"genus_hyper_hypo_depth":2,"lesk_on_genus":True,"definition_similarity":True,"examples_similarity":True,"lemmas_similarity":True,"score_type":"wup_similarity","lesk_only_n":False,"search_type":"static"},{"test_id":"test_49", "genus_tags":["NN"], "genus_hypo_depth":1,"genus_hyper_hypo_depth":2,"lesk_on_genus":True,"definition_similarity":True,"examples_similarity":True,"lemmas_similarity":True,"score_type":"wup_similarity","lesk_only_n":True,"search_type":"static"},{"test_id":"test_50", "genus_tags":["NN","JJ"], "genus_hypo_depth":1,"genus_hyper_hypo_depth":2,"lesk_on_genus":True,"definition_similarity":True,"examples_similarity":True,"lemmas_similarity":True,"score_type":"wup_similarity","lesk_only_n":True,"search_type":"static"},{"test_id":"test_51", "genus_tags":["NN","VB"], "genus_hypo_depth":1,"genus_hyper_hypo_depth":2,"lesk_on_genus":True,"definition_similarity":True,"examples_similarity":True,"lemmas_similarity":True,"score_type":"wup_similarity","lesk_only_n":True,"search_type":"static"},{"test_id":"test_52", "genus_tags":["NN","VB","VBD","VBG","VBN","VBP","VBZ"], "genus_hypo_depth":1,"genus_hyper_hypo_depth":2,"lesk_on_genus":True,"definition_similarity":True,"examples_similarity":True,"lemmas_similarity":True,"score_type":"wup_similarity","lesk_only_n":True,"search_type":"static"},{"test_id":"test_53", "genus_tags":["NN","RB"], "genus_hypo_depth":1,"genus_hyper_hypo_depth":2,"lesk_on_genus":True,"definition_similarity":True,"examples_similarity":True,"lemmas_similarity":True,"score_type":"wup_similarity","lesk_only_n":True,"search_type":"static"},{"test_id":"test_54", "genus_tags":["NN","JJ","VB","VBD","VBG","VBN","VBP","VBZ"], "genus_hypo_depth":1,"genus_hyper_hypo_depth":2,"lesk_on_genus":True,"definition_similarity":True,"examples_similarity":True,"lemmas_similarity":True,"score_type":"wup_similarity","lesk_only_n":True,"search_type":"static"},{"test_id":"test_55", "genus_tags":["NN"], "genus_hypo_depth":1,"genus_hyper_hypo_depth":2,"lesk_on_genus":False,"definition_similarity":False,"examples_similarity":True,"lemmas_similarity":False,"score_type":"wup_similarity","lesk_only_n":False,"search_type":"static"},{"test_id":"test_56", "genus_tags":["NN","JJ"], "genus_hypo_depth":1,"genus_hyper_hypo_depth":2,"lesk_on_genus":False,"definition_similarity":False,"examples_similarity":True,"lemmas_similarity":False,"score_type":"wup_similarity","lesk_only_n":False,"search_type":"static"},{"test_id":"test_57", "genus_tags":["NN","VB"], "genus_hypo_depth":1,"genus_hyper_hypo_depth":2,"lesk_on_genus":False,"definition_similarity":False,"examples_similarity":True,"lemmas_similarity":False,"score_type":"wup_similarity","lesk_only_n":False,"search_type":"static"},{"test_id":"test_58", "genus_tags":["NN","VB","VBD","VBG","VBN","VBP","VBZ"], "genus_hypo_depth":1,"genus_hyper_hypo_depth":2,"lesk_on_genus":False,"definition_similarity":False,"examples_similarity":True,"lemmas_similarity":False,"score_type":"wup_similarity","lesk_only_n":False,"search_type":"static"},{"test_id":"test_59", "genus_tags":["NN","RB"], "genus_hypo_depth":1,"genus_hyper_hypo_depth":2,"lesk_on_genus":False,"definition_similarity":False,"examples_similarity":True,"lemmas_similarity":False,"score_type":"wup_similarity","lesk_only_n":False,"search_type":"static"},{"test_id":"test_60", "genus_tags":["NN","JJ","VB","VBD","VBG","VBN","VBP","VBZ"], "genus_hypo_depth":1,"genus_hyper_hypo_depth":2,"lesk_on_genus":False,"definition_similarity":False,"examples_similarity":True,"lemmas_similarity":False,"score_type":"wup_similarity","lesk_only_n":False,"search_type":"static"},{"test_id":"test_61", "genus_tags":["NN"], "genus_hypo_depth":1,"genus_hyper_hypo_depth":2,"lesk_on_genus":True,"definition_similarity":False,"examples_similarity":True,"lemmas_similarity":False,"score_type":"wup_similarity","lesk_only_n":False,"search_type":"static"},{"test_id":"test_62", "genus_tags":["NN","JJ"], "genus_hypo_depth":1,"genus_hyper_hypo_depth":2,"lesk_on_genus":True,"definition_similarity":False,"examples_similarity":True,"lemmas_similarity":False,"score_type":"wup_similarity","lesk_only_n":False,"search_type":"static"},{"test_id":"test_63", "genus_tags":["NN","VB"], "genus_hypo_depth":1,"genus_hyper_hypo_depth":2,"lesk_on_genus":True,"definition_similarity":False,"examples_similarity":True,"lemmas_similarity":False,"score_type":"wup_similarity","lesk_only_n":False,"search_type":"static"},{"test_id":"test_64", "genus_tags":["NN","VB","VBD","VBG","VBN","VBP","VBZ"], "genus_hypo_depth":1,"genus_hyper_hypo_depth":2,"lesk_on_genus":True,"definition_similarity":False,"examples_similarity":True,"lemmas_similarity":False,"score_type":"wup_similarity","lesk_only_n":False,"search_type":"static"},{"test_id":"test_65", "genus_tags":["NN","RB"], "genus_hypo_depth":1,"genus_hyper_hypo_depth":2,"lesk_on_genus":True,"definition_similarity":False,"examples_similarity":True,"lemmas_similarity":False,"score_type":"wup_similarity","lesk_only_n":False,"search_type":"static"},{"test_id":"test_66", "genus_tags":["NN","JJ","VB","VBD","VBG","VBN","VBP","VBZ"], "genus_hypo_depth":1,"genus_hyper_hypo_depth":2,"lesk_on_genus":True,"definition_similarity":False,"examples_similarity":True,"lemmas_similarity":False,"score_type":"wup_similarity","lesk_only_n":False,"search_type":"static"},{"test_id":"test_67", "genus_tags":["NN"], "genus_hypo_depth":1,"genus_hyper_hypo_depth":2,"lesk_on_genus":True,"definition_similarity":False,"examples_similarity":True,"lemmas_similarity":False,"score_type":"wup_similarity","lesk_only_n":True,"search_type":"static"},{"test_id":"test_68", "genus_tags":["NN","JJ"], "genus_hypo_depth":1,"genus_hyper_hypo_depth":2,"lesk_on_genus":True,"definition_similarity":False,"examples_similarity":True,"lemmas_similarity":False,"score_type":"wup_similarity","lesk_only_n":True,"search_type":"static"},{"test_id":"test_69", "genus_tags":["NN","VB"], "genus_hypo_depth":1,"genus_hyper_hypo_depth":2,"lesk_on_genus":True,"definition_similarity":False,"examples_similarity":True,"lemmas_similarity":False,"score_type":"wup_similarity","lesk_only_n":True,"search_type":"static"},{"test_id":"test_70", "genus_tags":["NN","VB","VBD","VBG","VBN","VBP","VBZ"], "genus_hypo_depth":1,"genus_hyper_hypo_depth":2,"lesk_on_genus":True,"definition_similarity":False,"examples_similarity":True,"lemmas_similarity":False,"score_type":"wup_similarity","lesk_only_n":True,"search_type":"static"},{"test_id":"test_71", "genus_tags":["NN","RB"], "genus_hypo_depth":1,"genus_hyper_hypo_depth":2,"lesk_on_genus":True,"definition_similarity":False,"examples_similarity":True,"lemmas_similarity":False,"score_type":"wup_similarity","lesk_only_n":True,"search_type":"static"},{"test_id":"test_72", "genus_tags":["NN","JJ","VB","VBD","VBG","VBN","VBP","VBZ"], "genus_hypo_depth":1,"genus_hyper_hypo_depth":2,"lesk_on_genus":True,"definition_similarity":False,"examples_similarity":True,"lemmas_similarity":False,"score_type":"wup_similarity","lesk_only_n":True,"search_type":"static"},{"test_id":"test_73", "genus_tags":["NN"], "genus_hypo_depth":1,"genus_hyper_hypo_depth":2,"lesk_on_genus":False,"definition_similarity":False,"examples_similarity":False,"lemmas_similarity":True,"score_type":"wup_similarity","lesk_only_n":False,"search_type":"static"},{"test_id":"test_74", "genus_tags":["NN","JJ"], "genus_hypo_depth":1,"genus_hyper_hypo_depth":2,"lesk_on_genus":False,"definition_similarity":False,"examples_similarity":False,"lemmas_similarity":True,"score_type":"wup_similarity","lesk_only_n":False,"search_type":"static"},{"test_id":"test_75", "genus_tags":["NN","VB"], "genus_hypo_depth":1,"genus_hyper_hypo_depth":2,"lesk_on_genus":False,"definition_similarity":False,"examples_similarity":False,"lemmas_similarity":True,"score_type":"wup_similarity","lesk_only_n":False,"search_type":"static"},{"test_id":"test_76", "genus_tags":["NN","VB","VBD","VBG","VBN","VBP","VBZ"], "genus_hypo_depth":1,"genus_hyper_hypo_depth":2,"lesk_on_genus":False,"definition_similarity":False,"examples_similarity":False,"lemmas_similarity":True,"score_type":"wup_similarity","lesk_only_n":False,"search_type":"static"},{"test_id":"test_77", "genus_tags":["NN","RB"], "genus_hypo_depth":1,"genus_hyper_hypo_depth":2,"lesk_on_genus":False,"definition_similarity":False,"examples_similarity":False,"lemmas_similarity":True,"score_type":"wup_similarity","lesk_only_n":False,"search_type":"static"},{"test_id":"test_78", "genus_tags":["NN","JJ","VB","VBD","VBG","VBN","VBP","VBZ"], "genus_hypo_depth":1,"genus_hyper_hypo_depth":2,"lesk_on_genus":False,"definition_similarity":False,"examples_similarity":False,"lemmas_similarity":True,"score_type":"wup_similarity","lesk_only_n":False,"search_type":"static"},{"test_id":"test_79", "genus_tags":["NN"], "genus_hypo_depth":1,"genus_hyper_hypo_depth":2,"lesk_on_genus":True,"definition_similarity":False,"examples_similarity":False,"lemmas_similarity":True,"score_type":"wup_similarity","lesk_only_n":False,"search_type":"static"},{"test_id":"test_80", "genus_tags":["NN","JJ"], "genus_hypo_depth":1,"genus_hyper_hypo_depth":2,"lesk_on_genus":True,"definition_similarity":False,"examples_similarity":False,"lemmas_similarity":True,"score_type":"wup_similarity","lesk_only_n":False,"search_type":"static"},{"test_id":"test_81", "genus_tags":["NN","VB"], "genus_hypo_depth":1,"genus_hyper_hypo_depth":2,"lesk_on_genus":True,"definition_similarity":False,"examples_similarity":False,"lemmas_similarity":True,"score_type":"wup_similarity","lesk_only_n":False,"search_type":"static"},{"test_id":"test_82", "genus_tags":["NN","VB","VBD","VBG","VBN","VBP","VBZ"], "genus_hypo_depth":1,"genus_hyper_hypo_depth":2,"lesk_on_genus":True,"definition_similarity":False,"examples_similarity":False,"lemmas_similarity":True,"score_type":"wup_similarity","lesk_only_n":False,"search_type":"static"},{"test_id":"test_83", "genus_tags":["NN","RB"], "genus_hypo_depth":1,"genus_hyper_hypo_depth":2,"lesk_on_genus":True,"definition_similarity":False,"examples_similarity":False,"lemmas_similarity":True,"score_type":"wup_similarity","lesk_only_n":False,"search_type":"static"},{"test_id":"test_84", "genus_tags":["NN","JJ","VB","VBD","VBG","VBN","VBP","VBZ"], "genus_hypo_depth":1,"genus_hyper_hypo_depth":2,"lesk_on_genus":True,"definition_similarity":False,"examples_similarity":False,"lemmas_similarity":True,"score_type":"wup_similarity","lesk_only_n":False,"search_type":"static"},{"test_id":"test_85", "genus_tags":["NN"], "genus_hypo_depth":1,"genus_hyper_hypo_depth":2,"lesk_on_genus":True,"definition_similarity":False,"examples_similarity":False,"lemmas_similarity":True,"score_type":"wup_similarity","lesk_only_n":True,"search_type":"static"},{"test_id":"test_86", "genus_tags":["NN","JJ"], "genus_hypo_depth":1,"genus_hyper_hypo_depth":2,"lesk_on_genus":True,"definition_similarity":False,"examples_similarity":False,"lemmas_similarity":True,"score_type":"wup_similarity","lesk_only_n":True,"search_type":"static"},{"test_id":"test_87", "genus_tags":["NN","VB"], "genus_hypo_depth":1,"genus_hyper_hypo_depth":2,"lesk_on_genus":True,"definition_similarity":False,"examples_similarity":False,"lemmas_similarity":True,"score_type":"wup_similarity","lesk_only_n":True,"search_type":"static"},{"test_id":"test_88", "genus_tags":["NN","VB","VBD","VBG","VBN","VBP","VBZ"], "genus_hypo_depth":1,"genus_hyper_hypo_depth":2,"lesk_on_genus":True,"definition_similarity":False,"examples_similarity":False,"lemmas_similarity":True,"score_type":"wup_similarity","lesk_only_n":True,"search_type":"static"},{"test_id":"test_89", "genus_tags":["NN","RB"], "genus_hypo_depth":1,"genus_hyper_hypo_depth":2,"lesk_on_genus":True,"definition_similarity":False,"examples_similarity":False,"lemmas_similarity":True,"score_type":"wup_similarity","lesk_only_n":True,"search_type":"static"},{"test_id":"test_90", "genus_tags":["NN","JJ","VB","VBD","VBG","VBN","VBP","VBZ"], "genus_hypo_depth":1,"genus_hyper_hypo_depth":2,"lesk_on_genus":True,"definition_similarity":False,"examples_similarity":False,"lemmas_similarity":True,"score_type":"wup_similarity","lesk_only_n":True,"search_type":"static"},</v>
      </c>
      <c r="N1" t="str">
        <f>_xlfn.CONCAT(L91:M181)&amp;"]"</f>
        <v>{"test_id":"test_90", "genus_tags":["NN","JJ","VB","VBD","VBG","VBN","VBP","VBZ"], "genus_hypo_depth":1,"genus_hyper_hypo_depth":2,"lesk_on_genus":True,"definition_similarity":False,"examples_similarity":False,"lemmas_similarity":True,"score_type":"wup_similarity","lesk_only_n":True,"search_type":"static"},{"test_id":"test_91", "genus_tags":["NN","JJ"], "genus_hypo_depth":0,"genus_hyper_hypo_depth":2,"lesk_on_genus":False,"definition_similarity":True,"examples_similarity":False,"lemmas_similarity":False,"score_type":"wup_similarity","lesk_only_n":False,"search_type":"dynamic"},{"test_id":"test_92", "genus_tags":["NN","JJ"], "genus_hypo_depth":0,"genus_hyper_hypo_depth":3,"lesk_on_genus":False,"definition_similarity":True,"examples_similarity":False,"lemmas_similarity":False,"score_type":"wup_similarity","lesk_only_n":False,"search_type":"dynamic"},{"test_id":"test_93", "genus_tags":["NN","VB","VBD","VBG","VBN","VBP","VBZ"], "genus_hypo_depth":0,"genus_hyper_hypo_depth":2,"lesk_on_genus":False,"definition_similarity":True,"examples_similarity":False,"lemmas_similarity":False,"score_type":"wup_similarity","lesk_only_n":False,"search_type":"dynamic"},{"test_id":"test_94", "genus_tags":["NN","VB","VBD","VBG","VBN","VBP","VBZ"], "genus_hypo_depth":0,"genus_hyper_hypo_depth":3,"lesk_on_genus":False,"definition_similarity":True,"examples_similarity":False,"lemmas_similarity":False,"score_type":"wup_similarity","lesk_only_n":False,"search_type":"dynamic"},{"test_id":"test_95", "genus_tags":["NN","JJ","VB","VBD","VBG","VBN","VBP","VBZ"], "genus_hypo_depth":0,"genus_hyper_hypo_depth":2,"lesk_on_genus":False,"definition_similarity":True,"examples_similarity":False,"lemmas_similarity":False,"score_type":"wup_similarity","lesk_only_n":False,"search_type":"dynamic"},{"test_id":"test_96", "genus_tags":["NN","JJ","VB","VBD","VBG","VBN","VBP","VBZ"], "genus_hypo_depth":0,"genus_hyper_hypo_depth":3,"lesk_on_genus":False,"definition_similarity":True,"examples_similarity":False,"lemmas_similarity":False,"score_type":"wup_similarity","lesk_only_n":False,"search_type":"dynamic"},{"test_id":"test_97", "genus_tags":["NN","JJ"], "genus_hypo_depth":0,"genus_hyper_hypo_depth":2,"lesk_on_genus":True,"definition_similarity":True,"examples_similarity":False,"lemmas_similarity":False,"score_type":"wup_similarity","lesk_only_n":False,"search_type":"dynamic"},{"test_id":"test_98", "genus_tags":["NN","JJ"], "genus_hypo_depth":0,"genus_hyper_hypo_depth":3,"lesk_on_genus":True,"definition_similarity":True,"examples_similarity":False,"lemmas_similarity":False,"score_type":"wup_similarity","lesk_only_n":False,"search_type":"dynamic"},{"test_id":"test_99", "genus_tags":["NN","VB","VBD","VBG","VBN","VBP","VBZ"], "genus_hypo_depth":0,"genus_hyper_hypo_depth":2,"lesk_on_genus":True,"definition_similarity":True,"examples_similarity":False,"lemmas_similarity":False,"score_type":"wup_similarity","lesk_only_n":False,"search_type":"dynamic"},{"test_id":"test_100", "genus_tags":["NN","VB","VBD","VBG","VBN","VBP","VBZ"], "genus_hypo_depth":0,"genus_hyper_hypo_depth":3,"lesk_on_genus":True,"definition_similarity":True,"examples_similarity":False,"lemmas_similarity":False,"score_type":"wup_similarity","lesk_only_n":False,"search_type":"dynamic"},{"test_id":"test_101", "genus_tags":["NN","JJ","VB","VBD","VBG","VBN","VBP","VBZ"], "genus_hypo_depth":0,"genus_hyper_hypo_depth":2,"lesk_on_genus":True,"definition_similarity":True,"examples_similarity":False,"lemmas_similarity":False,"score_type":"wup_similarity","lesk_only_n":False,"search_type":"dynamic"},{"test_id":"test_102", "genus_tags":["NN","JJ","VB","VBD","VBG","VBN","VBP","VBZ"], "genus_hypo_depth":0,"genus_hyper_hypo_depth":3,"lesk_on_genus":True,"definition_similarity":True,"examples_similarity":False,"lemmas_similarity":False,"score_type":"wup_similarity","lesk_only_n":False,"search_type":"dynamic"},{"test_id":"test_103", "genus_tags":["NN","JJ"], "genus_hypo_depth":0,"genus_hyper_hypo_depth":2,"lesk_on_genus":False,"definition_similarity":True,"examples_similarity":False,"lemmas_similarity":False,"score_type":"wup_similarity","lesk_only_n":True,"search_type":"dynamic"},{"test_id":"test_104", "genus_tags":["NN","JJ"], "genus_hypo_depth":0,"genus_hyper_hypo_depth":3,"lesk_on_genus":True,"definition_similarity":True,"examples_similarity":False,"lemmas_similarity":False,"score_type":"wup_similarity","lesk_only_n":True,"search_type":"dynamic"},{"test_id":"test_105", "genus_tags":["NN","VB","VBD","VBG","VBN","VBP","VBZ"], "genus_hypo_depth":0,"genus_hyper_hypo_depth":2,"lesk_on_genus":True,"definition_similarity":True,"examples_similarity":False,"lemmas_similarity":False,"score_type":"wup_similarity","lesk_only_n":True,"search_type":"dynamic"},{"test_id":"test_106", "genus_tags":["NN","VB","VBD","VBG","VBN","VBP","VBZ"], "genus_hypo_depth":0,"genus_hyper_hypo_depth":3,"lesk_on_genus":True,"definition_similarity":True,"examples_similarity":False,"lemmas_similarity":False,"score_type":"wup_similarity","lesk_only_n":True,"search_type":"dynamic"},{"test_id":"test_107", "genus_tags":["NN","JJ","VB","VBD","VBG","VBN","VBP","VBZ"], "genus_hypo_depth":0,"genus_hyper_hypo_depth":2,"lesk_on_genus":True,"definition_similarity":True,"examples_similarity":False,"lemmas_similarity":False,"score_type":"wup_similarity","lesk_only_n":True,"search_type":"dynamic"},{"test_id":"test_108", "genus_tags":["NN","JJ","VB","VBD","VBG","VBN","VBP","VBZ"], "genus_hypo_depth":0,"genus_hyper_hypo_depth":3,"lesk_on_genus":True,"definition_similarity":True,"examples_similarity":False,"lemmas_similarity":False,"score_type":"wup_similarity","lesk_only_n":True,"search_type":"dynamic"},{"test_id":"test_109", "genus_tags":["NN","JJ"], "genus_hypo_depth":0,"genus_hyper_hypo_depth":2,"lesk_on_genus":False,"definition_similarity":True,"examples_similarity":True,"lemmas_similarity":False,"score_type":"wup_similarity","lesk_only_n":False,"search_type":"dynamic"},{"test_id":"test_110", "genus_tags":["NN","JJ"], "genus_hypo_depth":0,"genus_hyper_hypo_depth":3,"lesk_on_genus":False,"definition_similarity":True,"examples_similarity":True,"lemmas_similarity":False,"score_type":"wup_similarity","lesk_only_n":False,"search_type":"dynamic"},{"test_id":"test_111", "genus_tags":["NN","VB","VBD","VBG","VBN","VBP","VBZ"], "genus_hypo_depth":0,"genus_hyper_hypo_depth":2,"lesk_on_genus":False,"definition_similarity":True,"examples_similarity":True,"lemmas_similarity":False,"score_type":"wup_similarity","lesk_only_n":False,"search_type":"dynamic"},{"test_id":"test_112", "genus_tags":["NN","VB","VBD","VBG","VBN","VBP","VBZ"], "genus_hypo_depth":0,"genus_hyper_hypo_depth":3,"lesk_on_genus":False,"definition_similarity":True,"examples_similarity":True,"lemmas_similarity":False,"score_type":"wup_similarity","lesk_only_n":False,"search_type":"dynamic"},{"test_id":"test_113", "genus_tags":["NN","JJ","VB","VBD","VBG","VBN","VBP","VBZ"], "genus_hypo_depth":0,"genus_hyper_hypo_depth":2,"lesk_on_genus":False,"definition_similarity":True,"examples_similarity":True,"lemmas_similarity":False,"score_type":"wup_similarity","lesk_only_n":False,"search_type":"dynamic"},{"test_id":"test_114", "genus_tags":["NN","JJ","VB","VBD","VBG","VBN","VBP","VBZ"], "genus_hypo_depth":0,"genus_hyper_hypo_depth":3,"lesk_on_genus":False,"definition_similarity":True,"examples_similarity":True,"lemmas_similarity":False,"score_type":"wup_similarity","lesk_only_n":False,"search_type":"dynamic"},{"test_id":"test_115", "genus_tags":["NN","JJ"], "genus_hypo_depth":0,"genus_hyper_hypo_depth":2,"lesk_on_genus":True,"definition_similarity":True,"examples_similarity":True,"lemmas_similarity":False,"score_type":"wup_similarity","lesk_only_n":False,"search_type":"dynamic"},{"test_id":"test_116", "genus_tags":["NN","JJ"], "genus_hypo_depth":0,"genus_hyper_hypo_depth":3,"lesk_on_genus":True,"definition_similarity":True,"examples_similarity":True,"lemmas_similarity":False,"score_type":"wup_similarity","lesk_only_n":False,"search_type":"dynamic"},{"test_id":"test_117", "genus_tags":["NN","VB","VBD","VBG","VBN","VBP","VBZ"], "genus_hypo_depth":0,"genus_hyper_hypo_depth":2,"lesk_on_genus":True,"definition_similarity":True,"examples_similarity":True,"lemmas_similarity":False,"score_type":"wup_similarity","lesk_only_n":False,"search_type":"dynamic"},{"test_id":"test_118", "genus_tags":["NN","VB","VBD","VBG","VBN","VBP","VBZ"], "genus_hypo_depth":0,"genus_hyper_hypo_depth":3,"lesk_on_genus":True,"definition_similarity":True,"examples_similarity":True,"lemmas_similarity":False,"score_type":"wup_similarity","lesk_only_n":False,"search_type":"dynamic"},{"test_id":"test_119", "genus_tags":["NN","JJ","VB","VBD","VBG","VBN","VBP","VBZ"], "genus_hypo_depth":0,"genus_hyper_hypo_depth":2,"lesk_on_genus":True,"definition_similarity":True,"examples_similarity":True,"lemmas_similarity":False,"score_type":"wup_similarity","lesk_only_n":False,"search_type":"dynamic"},{"test_id":"test_120", "genus_tags":["NN","JJ","VB","VBD","VBG","VBN","VBP","VBZ"], "genus_hypo_depth":0,"genus_hyper_hypo_depth":3,"lesk_on_genus":True,"definition_similarity":True,"examples_similarity":True,"lemmas_similarity":False,"score_type":"wup_similarity","lesk_only_n":False,"search_type":"dynamic"},{"test_id":"test_121", "genus_tags":["NN","JJ"], "genus_hypo_depth":0,"genus_hyper_hypo_depth":2,"lesk_on_genus":False,"definition_similarity":True,"examples_similarity":True,"lemmas_similarity":False,"score_type":"wup_similarity","lesk_only_n":True,"search_type":"dynamic"},{"test_id":"test_122", "genus_tags":["NN","JJ"], "genus_hypo_depth":0,"genus_hyper_hypo_depth":3,"lesk_on_genus":True,"definition_similarity":True,"examples_similarity":True,"lemmas_similarity":False,"score_type":"wup_similarity","lesk_only_n":True,"search_type":"dynamic"},{"test_id":"test_123", "genus_tags":["NN","VB","VBD","VBG","VBN","VBP","VBZ"], "genus_hypo_depth":0,"genus_hyper_hypo_depth":2,"lesk_on_genus":True,"definition_similarity":True,"examples_similarity":True,"lemmas_similarity":False,"score_type":"wup_similarity","lesk_only_n":True,"search_type":"dynamic"},{"test_id":"test_124", "genus_tags":["NN","VB","VBD","VBG","VBN","VBP","VBZ"], "genus_hypo_depth":0,"genus_hyper_hypo_depth":3,"lesk_on_genus":True,"definition_similarity":True,"examples_similarity":True,"lemmas_similarity":False,"score_type":"wup_similarity","lesk_only_n":True,"search_type":"dynamic"},{"test_id":"test_125", "genus_tags":["NN","JJ","VB","VBD","VBG","VBN","VBP","VBZ"], "genus_hypo_depth":0,"genus_hyper_hypo_depth":2,"lesk_on_genus":True,"definition_similarity":True,"examples_similarity":True,"lemmas_similarity":False,"score_type":"wup_similarity","lesk_only_n":True,"search_type":"dynamic"},{"test_id":"test_126", "genus_tags":["NN","JJ","VB","VBD","VBG","VBN","VBP","VBZ"], "genus_hypo_depth":0,"genus_hyper_hypo_depth":3,"lesk_on_genus":True,"definition_similarity":True,"examples_similarity":True,"lemmas_similarity":False,"score_type":"wup_similarity","lesk_only_n":True,"search_type":"dynamic"},{"test_id":"test_127", "genus_tags":["NN","JJ"], "genus_hypo_depth":0,"genus_hyper_hypo_depth":2,"lesk_on_genus":False,"definition_similarity":True,"examples_similarity":True,"lemmas_similarity":True,"score_type":"wup_similarity","lesk_only_n":False,"search_type":"dynamic"},{"test_id":"test_128", "genus_tags":["NN","JJ"], "genus_hypo_depth":0,"genus_hyper_hypo_depth":3,"lesk_on_genus":False,"definition_similarity":True,"examples_similarity":True,"lemmas_similarity":True,"score_type":"wup_similarity","lesk_only_n":False,"search_type":"dynamic"},{"test_id":"test_129", "genus_tags":["NN","VB","VBD","VBG","VBN","VBP","VBZ"], "genus_hypo_depth":0,"genus_hyper_hypo_depth":2,"lesk_on_genus":False,"definition_similarity":True,"examples_similarity":True,"lemmas_similarity":True,"score_type":"wup_similarity","lesk_only_n":False,"search_type":"dynamic"},{"test_id":"test_130", "genus_tags":["NN","VB","VBD","VBG","VBN","VBP","VBZ"], "genus_hypo_depth":0,"genus_hyper_hypo_depth":3,"lesk_on_genus":False,"definition_similarity":True,"examples_similarity":True,"lemmas_similarity":True,"score_type":"wup_similarity","lesk_only_n":False,"search_type":"dynamic"},{"test_id":"test_131", "genus_tags":["NN","JJ","VB","VBD","VBG","VBN","VBP","VBZ"], "genus_hypo_depth":0,"genus_hyper_hypo_depth":2,"lesk_on_genus":False,"definition_similarity":True,"examples_similarity":True,"lemmas_similarity":True,"score_type":"wup_similarity","lesk_only_n":False,"search_type":"dynamic"},{"test_id":"test_132", "genus_tags":["NN","JJ","VB","VBD","VBG","VBN","VBP","VBZ"], "genus_hypo_depth":0,"genus_hyper_hypo_depth":3,"lesk_on_genus":False,"definition_similarity":True,"examples_similarity":True,"lemmas_similarity":True,"score_type":"wup_similarity","lesk_only_n":False,"search_type":"dynamic"},{"test_id":"test_133", "genus_tags":["NN","JJ"], "genus_hypo_depth":0,"genus_hyper_hypo_depth":2,"lesk_on_genus":True,"definition_similarity":True,"examples_similarity":True,"lemmas_similarity":True,"score_type":"wup_similarity","lesk_only_n":False,"search_type":"dynamic"},{"test_id":"test_134", "genus_tags":["NN","JJ"], "genus_hypo_depth":0,"genus_hyper_hypo_depth":3,"lesk_on_genus":True,"definition_similarity":True,"examples_similarity":True,"lemmas_similarity":True,"score_type":"wup_similarity","lesk_only_n":False,"search_type":"dynamic"},{"test_id":"test_135", "genus_tags":["NN","VB","VBD","VBG","VBN","VBP","VBZ"], "genus_hypo_depth":0,"genus_hyper_hypo_depth":2,"lesk_on_genus":True,"definition_similarity":True,"examples_similarity":True,"lemmas_similarity":True,"score_type":"wup_similarity","lesk_only_n":False,"search_type":"dynamic"},{"test_id":"test_136", "genus_tags":["NN","VB","VBD","VBG","VBN","VBP","VBZ"], "genus_hypo_depth":0,"genus_hyper_hypo_depth":3,"lesk_on_genus":True,"definition_similarity":True,"examples_similarity":True,"lemmas_similarity":True,"score_type":"wup_similarity","lesk_only_n":False,"search_type":"dynamic"},{"test_id":"test_137", "genus_tags":["NN","JJ","VB","VBD","VBG","VBN","VBP","VBZ"], "genus_hypo_depth":0,"genus_hyper_hypo_depth":2,"lesk_on_genus":True,"definition_similarity":True,"examples_similarity":True,"lemmas_similarity":True,"score_type":"wup_similarity","lesk_only_n":False,"search_type":"dynamic"},{"test_id":"test_138", "genus_tags":["NN","JJ","VB","VBD","VBG","VBN","VBP","VBZ"], "genus_hypo_depth":0,"genus_hyper_hypo_depth":3,"lesk_on_genus":True,"definition_similarity":True,"examples_similarity":True,"lemmas_similarity":True,"score_type":"wup_similarity","lesk_only_n":False,"search_type":"dynamic"},{"test_id":"test_139", "genus_tags":["NN","JJ"], "genus_hypo_depth":0,"genus_hyper_hypo_depth":2,"lesk_on_genus":False,"definition_similarity":True,"examples_similarity":True,"lemmas_similarity":True,"score_type":"wup_similarity","lesk_only_n":True,"search_type":"dynamic"},{"test_id":"test_140", "genus_tags":["NN","JJ"], "genus_hypo_depth":0,"genus_hyper_hypo_depth":3,"lesk_on_genus":True,"definition_similarity":True,"examples_similarity":True,"lemmas_similarity":True,"score_type":"wup_similarity","lesk_only_n":True,"search_type":"dynamic"},{"test_id":"test_141", "genus_tags":["NN","VB","VBD","VBG","VBN","VBP","VBZ"], "genus_hypo_depth":0,"genus_hyper_hypo_depth":2,"lesk_on_genus":True,"definition_similarity":True,"examples_similarity":True,"lemmas_similarity":True,"score_type":"wup_similarity","lesk_only_n":True,"search_type":"dynamic"},{"test_id":"test_142", "genus_tags":["NN","VB","VBD","VBG","VBN","VBP","VBZ"], "genus_hypo_depth":0,"genus_hyper_hypo_depth":3,"lesk_on_genus":True,"definition_similarity":True,"examples_similarity":True,"lemmas_similarity":True,"score_type":"wup_similarity","lesk_only_n":True,"search_type":"dynamic"},{"test_id":"test_143", "genus_tags":["NN","JJ","VB","VBD","VBG","VBN","VBP","VBZ"], "genus_hypo_depth":0,"genus_hyper_hypo_depth":2,"lesk_on_genus":True,"definition_similarity":True,"examples_similarity":True,"lemmas_similarity":True,"score_type":"wup_similarity","lesk_only_n":True,"search_type":"dynamic"},{"test_id":"test_144", "genus_tags":["NN","JJ","VB","VBD","VBG","VBN","VBP","VBZ"], "genus_hypo_depth":0,"genus_hyper_hypo_depth":3,"lesk_on_genus":True,"definition_similarity":True,"examples_similarity":True,"lemmas_similarity":True,"score_type":"wup_similarity","lesk_only_n":True,"search_type":"dynamic"},{"test_id":"test_145", "genus_tags":["NN","JJ"], "genus_hypo_depth":0,"genus_hyper_hypo_depth":2,"lesk_on_genus":False,"definition_similarity":False,"examples_similarity":True,"lemmas_similarity":False,"score_type":"wup_similarity","lesk_only_n":False,"search_type":"dynamic"},{"test_id":"test_146", "genus_tags":["NN","JJ"], "genus_hypo_depth":0,"genus_hyper_hypo_depth":3,"lesk_on_genus":False,"definition_similarity":False,"examples_similarity":True,"lemmas_similarity":False,"score_type":"wup_similarity","lesk_only_n":False,"search_type":"dynamic"},{"test_id":"test_147", "genus_tags":["NN","VB","VBD","VBG","VBN","VBP","VBZ"], "genus_hypo_depth":0,"genus_hyper_hypo_depth":2,"lesk_on_genus":False,"definition_similarity":False,"examples_similarity":True,"lemmas_similarity":False,"score_type":"wup_similarity","lesk_only_n":False,"search_type":"dynamic"},{"test_id":"test_148", "genus_tags":["NN","VB","VBD","VBG","VBN","VBP","VBZ"], "genus_hypo_depth":0,"genus_hyper_hypo_depth":3,"lesk_on_genus":False,"definition_similarity":False,"examples_similarity":True,"lemmas_similarity":False,"score_type":"wup_similarity","lesk_only_n":False,"search_type":"dynamic"},{"test_id":"test_149", "genus_tags":["NN","JJ","VB","VBD","VBG","VBN","VBP","VBZ"], "genus_hypo_depth":0,"genus_hyper_hypo_depth":2,"lesk_on_genus":False,"definition_similarity":False,"examples_similarity":True,"lemmas_similarity":False,"score_type":"wup_similarity","lesk_only_n":False,"search_type":"dynamic"},{"test_id":"test_150", "genus_tags":["NN","JJ","VB","VBD","VBG","VBN","VBP","VBZ"], "genus_hypo_depth":0,"genus_hyper_hypo_depth":3,"lesk_on_genus":False,"definition_similarity":False,"examples_similarity":True,"lemmas_similarity":False,"score_type":"wup_similarity","lesk_only_n":False,"search_type":"dynamic"},{"test_id":"test_151", "genus_tags":["NN","JJ"], "genus_hypo_depth":0,"genus_hyper_hypo_depth":2,"lesk_on_genus":True,"definition_similarity":False,"examples_similarity":True,"lemmas_similarity":False,"score_type":"wup_similarity","lesk_only_n":False,"search_type":"dynamic"},{"test_id":"test_152", "genus_tags":["NN","JJ"], "genus_hypo_depth":0,"genus_hyper_hypo_depth":3,"lesk_on_genus":True,"definition_similarity":False,"examples_similarity":True,"lemmas_similarity":False,"score_type":"wup_similarity","lesk_only_n":False,"search_type":"dynamic"},{"test_id":"test_153", "genus_tags":["NN","VB","VBD","VBG","VBN","VBP","VBZ"], "genus_hypo_depth":0,"genus_hyper_hypo_depth":2,"lesk_on_genus":True,"definition_similarity":False,"examples_similarity":True,"lemmas_similarity":False,"score_type":"wup_similarity","lesk_only_n":False,"search_type":"dynamic"},{"test_id":"test_154", "genus_tags":["NN","VB","VBD","VBG","VBN","VBP","VBZ"], "genus_hypo_depth":0,"genus_hyper_hypo_depth":3,"lesk_on_genus":True,"definition_similarity":False,"examples_similarity":True,"lemmas_similarity":False,"score_type":"wup_similarity","lesk_only_n":False,"search_type":"dynamic"},{"test_id":"test_155", "genus_tags":["NN","JJ","VB","VBD","VBG","VBN","VBP","VBZ"], "genus_hypo_depth":0,"genus_hyper_hypo_depth":2,"lesk_on_genus":True,"definition_similarity":False,"examples_similarity":True,"lemmas_similarity":False,"score_type":"wup_similarity","lesk_only_n":False,"search_type":"dynamic"},{"test_id":"test_156", "genus_tags":["NN","JJ","VB","VBD","VBG","VBN","VBP","VBZ"], "genus_hypo_depth":0,"genus_hyper_hypo_depth":3,"lesk_on_genus":True,"definition_similarity":False,"examples_similarity":True,"lemmas_similarity":False,"score_type":"wup_similarity","lesk_only_n":False,"search_type":"dynamic"},{"test_id":"test_157", "genus_tags":["NN","JJ"], "genus_hypo_depth":0,"genus_hyper_hypo_depth":2,"lesk_on_genus":False,"definition_similarity":False,"examples_similarity":True,"lemmas_similarity":False,"score_type":"wup_similarity","lesk_only_n":True,"search_type":"dynamic"},{"test_id":"test_158", "genus_tags":["NN","JJ"], "genus_hypo_depth":0,"genus_hyper_hypo_depth":3,"lesk_on_genus":True,"definition_similarity":False,"examples_similarity":True,"lemmas_similarity":False,"score_type":"wup_similarity","lesk_only_n":True,"search_type":"dynamic"},{"test_id":"test_159", "genus_tags":["NN","VB","VBD","VBG","VBN","VBP","VBZ"], "genus_hypo_depth":0,"genus_hyper_hypo_depth":2,"lesk_on_genus":True,"definition_similarity":False,"examples_similarity":True,"lemmas_similarity":False,"score_type":"wup_similarity","lesk_only_n":True,"search_type":"dynamic"},{"test_id":"test_160", "genus_tags":["NN","VB","VBD","VBG","VBN","VBP","VBZ"], "genus_hypo_depth":0,"genus_hyper_hypo_depth":3,"lesk_on_genus":True,"definition_similarity":False,"examples_similarity":True,"lemmas_similarity":False,"score_type":"wup_similarity","lesk_only_n":True,"search_type":"dynamic"},{"test_id":"test_161", "genus_tags":["NN","JJ","VB","VBD","VBG","VBN","VBP","VBZ"], "genus_hypo_depth":0,"genus_hyper_hypo_depth":2,"lesk_on_genus":True,"definition_similarity":False,"examples_similarity":True,"lemmas_similarity":False,"score_type":"wup_similarity","lesk_only_n":True,"search_type":"dynamic"},{"test_id":"test_162", "genus_tags":["NN","JJ","VB","VBD","VBG","VBN","VBP","VBZ"], "genus_hypo_depth":0,"genus_hyper_hypo_depth":3,"lesk_on_genus":True,"definition_similarity":False,"examples_similarity":True,"lemmas_similarity":False,"score_type":"wup_similarity","lesk_only_n":True,"search_type":"dynamic"},{"test_id":"test_163", "genus_tags":["NN","JJ"], "genus_hypo_depth":0,"genus_hyper_hypo_depth":2,"lesk_on_genus":False,"definition_similarity":False,"examples_similarity":False,"lemmas_similarity":True,"score_type":"wup_similarity","lesk_only_n":False,"search_type":"dynamic"},{"test_id":"test_164", "genus_tags":["NN","JJ"], "genus_hypo_depth":0,"genus_hyper_hypo_depth":3,"lesk_on_genus":False,"definition_similarity":False,"examples_similarity":False,"lemmas_similarity":True,"score_type":"wup_similarity","lesk_only_n":False,"search_type":"dynamic"},{"test_id":"test_165", "genus_tags":["NN","VB","VBD","VBG","VBN","VBP","VBZ"], "genus_hypo_depth":0,"genus_hyper_hypo_depth":2,"lesk_on_genus":False,"definition_similarity":False,"examples_similarity":False,"lemmas_similarity":True,"score_type":"wup_similarity","lesk_only_n":False,"search_type":"dynamic"},{"test_id":"test_166", "genus_tags":["NN","VB","VBD","VBG","VBN","VBP","VBZ"], "genus_hypo_depth":0,"genus_hyper_hypo_depth":3,"lesk_on_genus":False,"definition_similarity":False,"examples_similarity":False,"lemmas_similarity":True,"score_type":"wup_similarity","lesk_only_n":False,"search_type":"dynamic"},{"test_id":"test_167", "genus_tags":["NN","JJ","VB","VBD","VBG","VBN","VBP","VBZ"], "genus_hypo_depth":0,"genus_hyper_hypo_depth":2,"lesk_on_genus":False,"definition_similarity":False,"examples_similarity":False,"lemmas_similarity":True,"score_type":"wup_similarity","lesk_only_n":False,"search_type":"dynamic"},{"test_id":"test_168", "genus_tags":["NN","JJ","VB","VBD","VBG","VBN","VBP","VBZ"], "genus_hypo_depth":0,"genus_hyper_hypo_depth":3,"lesk_on_genus":False,"definition_similarity":False,"examples_similarity":False,"lemmas_similarity":True,"score_type":"wup_similarity","lesk_only_n":False,"search_type":"dynamic"},{"test_id":"test_169", "genus_tags":["NN","JJ"], "genus_hypo_depth":0,"genus_hyper_hypo_depth":2,"lesk_on_genus":True,"definition_similarity":False,"examples_similarity":False,"lemmas_similarity":True,"score_type":"wup_similarity","lesk_only_n":False,"search_type":"dynamic"},{"test_id":"test_170", "genus_tags":["NN","JJ"], "genus_hypo_depth":0,"genus_hyper_hypo_depth":3,"lesk_on_genus":True,"definition_similarity":False,"examples_similarity":False,"lemmas_similarity":True,"score_type":"wup_similarity","lesk_only_n":False,"search_type":"dynamic"},{"test_id":"test_171", "genus_tags":["NN","VB","VBD","VBG","VBN","VBP","VBZ"], "genus_hypo_depth":0,"genus_hyper_hypo_depth":2,"lesk_on_genus":True,"definition_similarity":False,"examples_similarity":False,"lemmas_similarity":True,"score_type":"wup_similarity","lesk_only_n":False,"search_type":"dynamic"},{"test_id":"test_172", "genus_tags":["NN","VB","VBD","VBG","VBN","VBP","VBZ"], "genus_hypo_depth":0,"genus_hyper_hypo_depth":3,"lesk_on_genus":True,"definition_similarity":False,"examples_similarity":False,"lemmas_similarity":True,"score_type":"wup_similarity","lesk_only_n":False,"search_type":"dynamic"},{"test_id":"test_173", "genus_tags":["NN","JJ","VB","VBD","VBG","VBN","VBP","VBZ"], "genus_hypo_depth":0,"genus_hyper_hypo_depth":2,"lesk_on_genus":True,"definition_similarity":False,"examples_similarity":False,"lemmas_similarity":True,"score_type":"wup_similarity","lesk_only_n":False,"search_type":"dynamic"},{"test_id":"test_174", "genus_tags":["NN","JJ","VB","VBD","VBG","VBN","VBP","VBZ"], "genus_hypo_depth":0,"genus_hyper_hypo_depth":3,"lesk_on_genus":True,"definition_similarity":False,"examples_similarity":False,"lemmas_similarity":True,"score_type":"wup_similarity","lesk_only_n":False,"search_type":"dynamic"},{"test_id":"test_175", "genus_tags":["NN","JJ"], "genus_hypo_depth":0,"genus_hyper_hypo_depth":2,"lesk_on_genus":False,"definition_similarity":False,"examples_similarity":False,"lemmas_similarity":True,"score_type":"wup_similarity","lesk_only_n":True,"search_type":"dynamic"},{"test_id":"test_176", "genus_tags":["NN","JJ"], "genus_hypo_depth":0,"genus_hyper_hypo_depth":3,"lesk_on_genus":True,"definition_similarity":False,"examples_similarity":False,"lemmas_similarity":True,"score_type":"wup_similarity","lesk_only_n":True,"search_type":"dynamic"},{"test_id":"test_177", "genus_tags":["NN","VB","VBD","VBG","VBN","VBP","VBZ"], "genus_hypo_depth":0,"genus_hyper_hypo_depth":2,"lesk_on_genus":True,"definition_similarity":False,"examples_similarity":False,"lemmas_similarity":True,"score_type":"wup_similarity","lesk_only_n":True,"search_type":"dynamic"},{"test_id":"test_178", "genus_tags":["NN","VB","VBD","VBG","VBN","VBP","VBZ"], "genus_hypo_depth":0,"genus_hyper_hypo_depth":3,"lesk_on_genus":True,"definition_similarity":False,"examples_similarity":False,"lemmas_similarity":True,"score_type":"wup_similarity","lesk_only_n":True,"search_type":"dynamic"},{"test_id":"test_179", "genus_tags":["NN","JJ","VB","VBD","VBG","VBN","VBP","VBZ"], "genus_hypo_depth":0,"genus_hyper_hypo_depth":2,"lesk_on_genus":True,"definition_similarity":False,"examples_similarity":False,"lemmas_similarity":True,"score_type":"wup_similarity","lesk_only_n":True,"search_type":"dynamic"},{"test_id":"test_180", "genus_tags":["NN","JJ","VB","VBD","VBG","VBN","VBP","VBZ"], "genus_hypo_depth":0,"genus_hyper_hypo_depth":3,"lesk_on_genus":True,"definition_similarity":False,"examples_similarity":False,"lemmas_similarity":True,"score_type":"wup_similarity","lesk_only_n":True,"search_type":"dynamic"},]</v>
      </c>
    </row>
    <row r="2" spans="1:18" x14ac:dyDescent="0.2">
      <c r="A2" t="s">
        <v>10</v>
      </c>
      <c r="B2" t="s">
        <v>56</v>
      </c>
      <c r="C2">
        <v>1</v>
      </c>
      <c r="D2">
        <v>2</v>
      </c>
      <c r="E2" t="s">
        <v>57</v>
      </c>
      <c r="F2" t="s">
        <v>58</v>
      </c>
      <c r="G2" t="s">
        <v>57</v>
      </c>
      <c r="H2" t="s">
        <v>57</v>
      </c>
      <c r="I2" t="s">
        <v>59</v>
      </c>
      <c r="J2" t="s">
        <v>57</v>
      </c>
      <c r="K2" t="s">
        <v>1214</v>
      </c>
      <c r="L2" t="str">
        <f>"{"""&amp;A$1&amp;""""&amp;":"""&amp;A2&amp;""", "&amp;SUBSTITUTE( """"&amp;B$1&amp;""""&amp;":["""&amp;B2&amp;"""]",",",""",""")&amp;", "&amp;""""&amp;C$1&amp;""""&amp;":"&amp;C2&amp;","&amp;""""&amp;D$1&amp;""""&amp;":"&amp;D2&amp;","&amp;""""&amp;E$1&amp;""""&amp;":"&amp;E2&amp;","&amp;""""&amp;F$1&amp;""""&amp;":"&amp;F2&amp;","&amp;""""&amp;G$1&amp;""""&amp;":"&amp;G2&amp;","&amp;""""&amp;H$1&amp;""""&amp;":"&amp;H2&amp;","&amp;""""&amp;I$1&amp;""""&amp;":"""&amp;I2&amp;""","&amp;""""&amp;J$1&amp;""""&amp;":"&amp;J2&amp;","&amp;""""&amp;K$1&amp;""""&amp;":"""&amp;K2&amp;"""}"</f>
        <v>{"test_id":"test_01", "genus_tags":["NN"], "genus_hypo_depth":1,"genus_hyper_hypo_depth":2,"lesk_on_genus":False,"definition_similarity":True,"examples_similarity":False,"lemmas_similarity":False,"score_type":"wup_similarity","lesk_only_n":False,"search_type":"static"}</v>
      </c>
      <c r="M2" t="s">
        <v>132</v>
      </c>
      <c r="R2" t="str">
        <f>""""&amp;I$1&amp;""""&amp;":"""&amp;I2&amp;""","</f>
        <v>"score_type":"wup_similarity",</v>
      </c>
    </row>
    <row r="3" spans="1:18" x14ac:dyDescent="0.2">
      <c r="A3" t="s">
        <v>60</v>
      </c>
      <c r="B3" t="s">
        <v>61</v>
      </c>
      <c r="C3">
        <v>1</v>
      </c>
      <c r="D3">
        <v>2</v>
      </c>
      <c r="E3" t="s">
        <v>57</v>
      </c>
      <c r="F3" t="s">
        <v>58</v>
      </c>
      <c r="G3" t="s">
        <v>57</v>
      </c>
      <c r="H3" t="s">
        <v>57</v>
      </c>
      <c r="I3" t="s">
        <v>59</v>
      </c>
      <c r="J3" t="s">
        <v>57</v>
      </c>
      <c r="K3" t="s">
        <v>1214</v>
      </c>
      <c r="L3" t="str">
        <f t="shared" ref="L3:L66" si="0">"{"""&amp;A$1&amp;""""&amp;":"""&amp;A3&amp;""", "&amp;SUBSTITUTE( """"&amp;B$1&amp;""""&amp;":["""&amp;B3&amp;"""]",",",""",""")&amp;", "&amp;""""&amp;C$1&amp;""""&amp;":"&amp;C3&amp;","&amp;""""&amp;D$1&amp;""""&amp;":"&amp;D3&amp;","&amp;""""&amp;E$1&amp;""""&amp;":"&amp;E3&amp;","&amp;""""&amp;F$1&amp;""""&amp;":"&amp;F3&amp;","&amp;""""&amp;G$1&amp;""""&amp;":"&amp;G3&amp;","&amp;""""&amp;H$1&amp;""""&amp;":"&amp;H3&amp;","&amp;""""&amp;I$1&amp;""""&amp;":"""&amp;I3&amp;""","&amp;""""&amp;J$1&amp;""""&amp;":"&amp;J3&amp;","&amp;""""&amp;K$1&amp;""""&amp;":"""&amp;K3&amp;"""}"</f>
        <v>{"test_id":"test_02", "genus_tags":["NN","JJ"], "genus_hypo_depth":1,"genus_hyper_hypo_depth":2,"lesk_on_genus":False,"definition_similarity":True,"examples_similarity":False,"lemmas_similarity":False,"score_type":"wup_similarity","lesk_only_n":False,"search_type":"static"}</v>
      </c>
      <c r="M3" t="s">
        <v>132</v>
      </c>
    </row>
    <row r="4" spans="1:18" hidden="1" x14ac:dyDescent="0.2">
      <c r="A4" t="s">
        <v>62</v>
      </c>
      <c r="B4" t="s">
        <v>63</v>
      </c>
      <c r="C4">
        <v>1</v>
      </c>
      <c r="D4">
        <v>2</v>
      </c>
      <c r="E4" t="s">
        <v>57</v>
      </c>
      <c r="F4" t="s">
        <v>58</v>
      </c>
      <c r="G4" t="s">
        <v>57</v>
      </c>
      <c r="H4" t="s">
        <v>57</v>
      </c>
      <c r="I4" t="s">
        <v>59</v>
      </c>
      <c r="J4" t="s">
        <v>57</v>
      </c>
      <c r="K4" t="s">
        <v>1214</v>
      </c>
      <c r="L4" t="str">
        <f t="shared" si="0"/>
        <v>{"test_id":"test_03", "genus_tags":["NN","VB"], "genus_hypo_depth":1,"genus_hyper_hypo_depth":2,"lesk_on_genus":False,"definition_similarity":True,"examples_similarity":False,"lemmas_similarity":False,"score_type":"wup_similarity","lesk_only_n":False,"search_type":"static"}</v>
      </c>
      <c r="M4" t="s">
        <v>132</v>
      </c>
    </row>
    <row r="5" spans="1:18" hidden="1" x14ac:dyDescent="0.2">
      <c r="A5" t="s">
        <v>64</v>
      </c>
      <c r="B5" t="s">
        <v>65</v>
      </c>
      <c r="C5">
        <v>1</v>
      </c>
      <c r="D5">
        <v>2</v>
      </c>
      <c r="E5" t="s">
        <v>57</v>
      </c>
      <c r="F5" t="s">
        <v>58</v>
      </c>
      <c r="G5" t="s">
        <v>57</v>
      </c>
      <c r="H5" t="s">
        <v>57</v>
      </c>
      <c r="I5" t="s">
        <v>59</v>
      </c>
      <c r="J5" t="s">
        <v>57</v>
      </c>
      <c r="K5" t="s">
        <v>1214</v>
      </c>
      <c r="L5" t="str">
        <f t="shared" si="0"/>
        <v>{"test_id":"test_04", "genus_tags":["NN","VB","VBD","VBG","VBN","VBP","VBZ"], "genus_hypo_depth":1,"genus_hyper_hypo_depth":2,"lesk_on_genus":False,"definition_similarity":True,"examples_similarity":False,"lemmas_similarity":False,"score_type":"wup_similarity","lesk_only_n":False,"search_type":"static"}</v>
      </c>
      <c r="M5" t="s">
        <v>132</v>
      </c>
    </row>
    <row r="6" spans="1:18" hidden="1" x14ac:dyDescent="0.2">
      <c r="A6" t="s">
        <v>66</v>
      </c>
      <c r="B6" t="s">
        <v>67</v>
      </c>
      <c r="C6">
        <v>1</v>
      </c>
      <c r="D6">
        <v>2</v>
      </c>
      <c r="E6" t="s">
        <v>57</v>
      </c>
      <c r="F6" t="s">
        <v>58</v>
      </c>
      <c r="G6" t="s">
        <v>57</v>
      </c>
      <c r="H6" t="s">
        <v>57</v>
      </c>
      <c r="I6" t="s">
        <v>59</v>
      </c>
      <c r="J6" t="s">
        <v>57</v>
      </c>
      <c r="K6" t="s">
        <v>1214</v>
      </c>
      <c r="L6" t="str">
        <f t="shared" si="0"/>
        <v>{"test_id":"test_05", "genus_tags":["NN","RB"], "genus_hypo_depth":1,"genus_hyper_hypo_depth":2,"lesk_on_genus":False,"definition_similarity":True,"examples_similarity":False,"lemmas_similarity":False,"score_type":"wup_similarity","lesk_only_n":False,"search_type":"static"}</v>
      </c>
      <c r="M6" t="s">
        <v>132</v>
      </c>
    </row>
    <row r="7" spans="1:18" hidden="1" x14ac:dyDescent="0.2">
      <c r="A7" t="s">
        <v>68</v>
      </c>
      <c r="B7" t="s">
        <v>69</v>
      </c>
      <c r="C7">
        <v>1</v>
      </c>
      <c r="D7">
        <v>2</v>
      </c>
      <c r="E7" t="s">
        <v>57</v>
      </c>
      <c r="F7" t="s">
        <v>58</v>
      </c>
      <c r="G7" t="s">
        <v>57</v>
      </c>
      <c r="H7" t="s">
        <v>57</v>
      </c>
      <c r="I7" t="s">
        <v>59</v>
      </c>
      <c r="J7" t="s">
        <v>57</v>
      </c>
      <c r="K7" t="s">
        <v>1214</v>
      </c>
      <c r="L7" t="str">
        <f t="shared" si="0"/>
        <v>{"test_id":"test_06", "genus_tags":["NN","JJ","VB","VBD","VBG","VBN","VBP","VBZ"], "genus_hypo_depth":1,"genus_hyper_hypo_depth":2,"lesk_on_genus":False,"definition_similarity":True,"examples_similarity":False,"lemmas_similarity":False,"score_type":"wup_similarity","lesk_only_n":False,"search_type":"static"}</v>
      </c>
      <c r="M7" t="s">
        <v>132</v>
      </c>
    </row>
    <row r="8" spans="1:18" x14ac:dyDescent="0.2">
      <c r="A8" t="s">
        <v>70</v>
      </c>
      <c r="B8" t="s">
        <v>56</v>
      </c>
      <c r="C8">
        <v>1</v>
      </c>
      <c r="D8">
        <v>2</v>
      </c>
      <c r="E8" t="s">
        <v>58</v>
      </c>
      <c r="F8" t="s">
        <v>58</v>
      </c>
      <c r="G8" t="s">
        <v>57</v>
      </c>
      <c r="H8" t="s">
        <v>57</v>
      </c>
      <c r="I8" t="s">
        <v>59</v>
      </c>
      <c r="J8" t="s">
        <v>57</v>
      </c>
      <c r="K8" t="s">
        <v>1214</v>
      </c>
      <c r="L8" t="str">
        <f t="shared" si="0"/>
        <v>{"test_id":"test_07", "genus_tags":["NN"], "genus_hypo_depth":1,"genus_hyper_hypo_depth":2,"lesk_on_genus":True,"definition_similarity":True,"examples_similarity":False,"lemmas_similarity":False,"score_type":"wup_similarity","lesk_only_n":False,"search_type":"static"}</v>
      </c>
      <c r="M8" t="s">
        <v>132</v>
      </c>
    </row>
    <row r="9" spans="1:18" x14ac:dyDescent="0.2">
      <c r="A9" t="s">
        <v>71</v>
      </c>
      <c r="B9" t="s">
        <v>61</v>
      </c>
      <c r="C9">
        <v>1</v>
      </c>
      <c r="D9">
        <v>2</v>
      </c>
      <c r="E9" t="s">
        <v>58</v>
      </c>
      <c r="F9" t="s">
        <v>58</v>
      </c>
      <c r="G9" t="s">
        <v>57</v>
      </c>
      <c r="H9" t="s">
        <v>57</v>
      </c>
      <c r="I9" t="s">
        <v>59</v>
      </c>
      <c r="J9" t="s">
        <v>57</v>
      </c>
      <c r="K9" t="s">
        <v>1214</v>
      </c>
      <c r="L9" t="str">
        <f t="shared" si="0"/>
        <v>{"test_id":"test_08", "genus_tags":["NN","JJ"], "genus_hypo_depth":1,"genus_hyper_hypo_depth":2,"lesk_on_genus":True,"definition_similarity":True,"examples_similarity":False,"lemmas_similarity":False,"score_type":"wup_similarity","lesk_only_n":False,"search_type":"static"}</v>
      </c>
      <c r="M9" t="s">
        <v>132</v>
      </c>
    </row>
    <row r="10" spans="1:18" hidden="1" x14ac:dyDescent="0.2">
      <c r="A10" t="s">
        <v>72</v>
      </c>
      <c r="B10" t="s">
        <v>63</v>
      </c>
      <c r="C10">
        <v>1</v>
      </c>
      <c r="D10">
        <v>2</v>
      </c>
      <c r="E10" t="s">
        <v>58</v>
      </c>
      <c r="F10" t="s">
        <v>58</v>
      </c>
      <c r="G10" t="s">
        <v>57</v>
      </c>
      <c r="H10" t="s">
        <v>57</v>
      </c>
      <c r="I10" t="s">
        <v>59</v>
      </c>
      <c r="J10" t="s">
        <v>57</v>
      </c>
      <c r="K10" t="s">
        <v>1214</v>
      </c>
      <c r="L10" t="str">
        <f t="shared" si="0"/>
        <v>{"test_id":"test_09", "genus_tags":["NN","VB"], "genus_hypo_depth":1,"genus_hyper_hypo_depth":2,"lesk_on_genus":True,"definition_similarity":True,"examples_similarity":False,"lemmas_similarity":False,"score_type":"wup_similarity","lesk_only_n":False,"search_type":"static"}</v>
      </c>
      <c r="M10" t="s">
        <v>132</v>
      </c>
    </row>
    <row r="11" spans="1:18" hidden="1" x14ac:dyDescent="0.2">
      <c r="A11" t="s">
        <v>73</v>
      </c>
      <c r="B11" t="s">
        <v>65</v>
      </c>
      <c r="C11">
        <v>1</v>
      </c>
      <c r="D11">
        <v>2</v>
      </c>
      <c r="E11" t="s">
        <v>58</v>
      </c>
      <c r="F11" t="s">
        <v>58</v>
      </c>
      <c r="G11" t="s">
        <v>57</v>
      </c>
      <c r="H11" t="s">
        <v>57</v>
      </c>
      <c r="I11" t="s">
        <v>59</v>
      </c>
      <c r="J11" t="s">
        <v>57</v>
      </c>
      <c r="K11" t="s">
        <v>1214</v>
      </c>
      <c r="L11" t="str">
        <f t="shared" si="0"/>
        <v>{"test_id":"test_10", "genus_tags":["NN","VB","VBD","VBG","VBN","VBP","VBZ"], "genus_hypo_depth":1,"genus_hyper_hypo_depth":2,"lesk_on_genus":True,"definition_similarity":True,"examples_similarity":False,"lemmas_similarity":False,"score_type":"wup_similarity","lesk_only_n":False,"search_type":"static"}</v>
      </c>
      <c r="M11" t="s">
        <v>132</v>
      </c>
    </row>
    <row r="12" spans="1:18" hidden="1" x14ac:dyDescent="0.2">
      <c r="A12" t="s">
        <v>74</v>
      </c>
      <c r="B12" t="s">
        <v>67</v>
      </c>
      <c r="C12">
        <v>1</v>
      </c>
      <c r="D12">
        <v>2</v>
      </c>
      <c r="E12" t="s">
        <v>58</v>
      </c>
      <c r="F12" t="s">
        <v>58</v>
      </c>
      <c r="G12" t="s">
        <v>57</v>
      </c>
      <c r="H12" t="s">
        <v>57</v>
      </c>
      <c r="I12" t="s">
        <v>59</v>
      </c>
      <c r="J12" t="s">
        <v>57</v>
      </c>
      <c r="K12" t="s">
        <v>1214</v>
      </c>
      <c r="L12" t="str">
        <f t="shared" si="0"/>
        <v>{"test_id":"test_11", "genus_tags":["NN","RB"], "genus_hypo_depth":1,"genus_hyper_hypo_depth":2,"lesk_on_genus":True,"definition_similarity":True,"examples_similarity":False,"lemmas_similarity":False,"score_type":"wup_similarity","lesk_only_n":False,"search_type":"static"}</v>
      </c>
      <c r="M12" t="s">
        <v>132</v>
      </c>
    </row>
    <row r="13" spans="1:18" hidden="1" x14ac:dyDescent="0.2">
      <c r="A13" t="s">
        <v>75</v>
      </c>
      <c r="B13" t="s">
        <v>69</v>
      </c>
      <c r="C13">
        <v>1</v>
      </c>
      <c r="D13">
        <v>2</v>
      </c>
      <c r="E13" t="s">
        <v>58</v>
      </c>
      <c r="F13" t="s">
        <v>58</v>
      </c>
      <c r="G13" t="s">
        <v>57</v>
      </c>
      <c r="H13" t="s">
        <v>57</v>
      </c>
      <c r="I13" t="s">
        <v>59</v>
      </c>
      <c r="J13" t="s">
        <v>57</v>
      </c>
      <c r="K13" t="s">
        <v>1214</v>
      </c>
      <c r="L13" t="str">
        <f t="shared" si="0"/>
        <v>{"test_id":"test_12", "genus_tags":["NN","JJ","VB","VBD","VBG","VBN","VBP","VBZ"], "genus_hypo_depth":1,"genus_hyper_hypo_depth":2,"lesk_on_genus":True,"definition_similarity":True,"examples_similarity":False,"lemmas_similarity":False,"score_type":"wup_similarity","lesk_only_n":False,"search_type":"static"}</v>
      </c>
      <c r="M13" t="s">
        <v>132</v>
      </c>
    </row>
    <row r="14" spans="1:18" x14ac:dyDescent="0.2">
      <c r="A14" t="s">
        <v>76</v>
      </c>
      <c r="B14" t="s">
        <v>56</v>
      </c>
      <c r="C14">
        <v>1</v>
      </c>
      <c r="D14">
        <v>2</v>
      </c>
      <c r="E14" t="s">
        <v>58</v>
      </c>
      <c r="F14" t="s">
        <v>58</v>
      </c>
      <c r="G14" t="s">
        <v>57</v>
      </c>
      <c r="H14" t="s">
        <v>57</v>
      </c>
      <c r="I14" t="s">
        <v>59</v>
      </c>
      <c r="J14" t="s">
        <v>58</v>
      </c>
      <c r="K14" t="s">
        <v>1214</v>
      </c>
      <c r="L14" t="str">
        <f t="shared" si="0"/>
        <v>{"test_id":"test_13", "genus_tags":["NN"], "genus_hypo_depth":1,"genus_hyper_hypo_depth":2,"lesk_on_genus":True,"definition_similarity":True,"examples_similarity":False,"lemmas_similarity":False,"score_type":"wup_similarity","lesk_only_n":True,"search_type":"static"}</v>
      </c>
      <c r="M14" t="s">
        <v>132</v>
      </c>
    </row>
    <row r="15" spans="1:18" x14ac:dyDescent="0.2">
      <c r="A15" t="s">
        <v>77</v>
      </c>
      <c r="B15" t="s">
        <v>61</v>
      </c>
      <c r="C15">
        <v>1</v>
      </c>
      <c r="D15">
        <v>2</v>
      </c>
      <c r="E15" t="s">
        <v>58</v>
      </c>
      <c r="F15" t="s">
        <v>58</v>
      </c>
      <c r="G15" t="s">
        <v>57</v>
      </c>
      <c r="H15" t="s">
        <v>57</v>
      </c>
      <c r="I15" t="s">
        <v>59</v>
      </c>
      <c r="J15" t="s">
        <v>58</v>
      </c>
      <c r="K15" t="s">
        <v>1214</v>
      </c>
      <c r="L15" t="str">
        <f t="shared" si="0"/>
        <v>{"test_id":"test_14", "genus_tags":["NN","JJ"], "genus_hypo_depth":1,"genus_hyper_hypo_depth":2,"lesk_on_genus":True,"definition_similarity":True,"examples_similarity":False,"lemmas_similarity":False,"score_type":"wup_similarity","lesk_only_n":True,"search_type":"static"}</v>
      </c>
      <c r="M15" t="s">
        <v>132</v>
      </c>
    </row>
    <row r="16" spans="1:18" hidden="1" x14ac:dyDescent="0.2">
      <c r="A16" t="s">
        <v>78</v>
      </c>
      <c r="B16" t="s">
        <v>63</v>
      </c>
      <c r="C16">
        <v>1</v>
      </c>
      <c r="D16">
        <v>2</v>
      </c>
      <c r="E16" t="s">
        <v>58</v>
      </c>
      <c r="F16" t="s">
        <v>58</v>
      </c>
      <c r="G16" t="s">
        <v>57</v>
      </c>
      <c r="H16" t="s">
        <v>57</v>
      </c>
      <c r="I16" t="s">
        <v>59</v>
      </c>
      <c r="J16" t="s">
        <v>58</v>
      </c>
      <c r="K16" t="s">
        <v>1214</v>
      </c>
      <c r="L16" t="str">
        <f t="shared" si="0"/>
        <v>{"test_id":"test_15", "genus_tags":["NN","VB"], "genus_hypo_depth":1,"genus_hyper_hypo_depth":2,"lesk_on_genus":True,"definition_similarity":True,"examples_similarity":False,"lemmas_similarity":False,"score_type":"wup_similarity","lesk_only_n":True,"search_type":"static"}</v>
      </c>
      <c r="M16" t="s">
        <v>132</v>
      </c>
    </row>
    <row r="17" spans="1:13" hidden="1" x14ac:dyDescent="0.2">
      <c r="A17" t="s">
        <v>79</v>
      </c>
      <c r="B17" t="s">
        <v>65</v>
      </c>
      <c r="C17">
        <v>1</v>
      </c>
      <c r="D17">
        <v>2</v>
      </c>
      <c r="E17" t="s">
        <v>58</v>
      </c>
      <c r="F17" t="s">
        <v>58</v>
      </c>
      <c r="G17" t="s">
        <v>57</v>
      </c>
      <c r="H17" t="s">
        <v>57</v>
      </c>
      <c r="I17" t="s">
        <v>59</v>
      </c>
      <c r="J17" t="s">
        <v>58</v>
      </c>
      <c r="K17" t="s">
        <v>1214</v>
      </c>
      <c r="L17" t="str">
        <f t="shared" si="0"/>
        <v>{"test_id":"test_16", "genus_tags":["NN","VB","VBD","VBG","VBN","VBP","VBZ"], "genus_hypo_depth":1,"genus_hyper_hypo_depth":2,"lesk_on_genus":True,"definition_similarity":True,"examples_similarity":False,"lemmas_similarity":False,"score_type":"wup_similarity","lesk_only_n":True,"search_type":"static"}</v>
      </c>
      <c r="M17" t="s">
        <v>132</v>
      </c>
    </row>
    <row r="18" spans="1:13" hidden="1" x14ac:dyDescent="0.2">
      <c r="A18" t="s">
        <v>80</v>
      </c>
      <c r="B18" t="s">
        <v>67</v>
      </c>
      <c r="C18">
        <v>1</v>
      </c>
      <c r="D18">
        <v>2</v>
      </c>
      <c r="E18" t="s">
        <v>58</v>
      </c>
      <c r="F18" t="s">
        <v>58</v>
      </c>
      <c r="G18" t="s">
        <v>57</v>
      </c>
      <c r="H18" t="s">
        <v>57</v>
      </c>
      <c r="I18" t="s">
        <v>59</v>
      </c>
      <c r="J18" t="s">
        <v>58</v>
      </c>
      <c r="K18" t="s">
        <v>1214</v>
      </c>
      <c r="L18" t="str">
        <f t="shared" si="0"/>
        <v>{"test_id":"test_17", "genus_tags":["NN","RB"], "genus_hypo_depth":1,"genus_hyper_hypo_depth":2,"lesk_on_genus":True,"definition_similarity":True,"examples_similarity":False,"lemmas_similarity":False,"score_type":"wup_similarity","lesk_only_n":True,"search_type":"static"}</v>
      </c>
      <c r="M18" t="s">
        <v>132</v>
      </c>
    </row>
    <row r="19" spans="1:13" hidden="1" x14ac:dyDescent="0.2">
      <c r="A19" t="s">
        <v>81</v>
      </c>
      <c r="B19" t="s">
        <v>69</v>
      </c>
      <c r="C19">
        <v>1</v>
      </c>
      <c r="D19">
        <v>2</v>
      </c>
      <c r="E19" t="s">
        <v>58</v>
      </c>
      <c r="F19" t="s">
        <v>58</v>
      </c>
      <c r="G19" t="s">
        <v>57</v>
      </c>
      <c r="H19" t="s">
        <v>57</v>
      </c>
      <c r="I19" t="s">
        <v>59</v>
      </c>
      <c r="J19" t="s">
        <v>58</v>
      </c>
      <c r="K19" t="s">
        <v>1214</v>
      </c>
      <c r="L19" t="str">
        <f t="shared" si="0"/>
        <v>{"test_id":"test_18", "genus_tags":["NN","JJ","VB","VBD","VBG","VBN","VBP","VBZ"], "genus_hypo_depth":1,"genus_hyper_hypo_depth":2,"lesk_on_genus":True,"definition_similarity":True,"examples_similarity":False,"lemmas_similarity":False,"score_type":"wup_similarity","lesk_only_n":True,"search_type":"static"}</v>
      </c>
      <c r="M19" t="s">
        <v>132</v>
      </c>
    </row>
    <row r="20" spans="1:13" x14ac:dyDescent="0.2">
      <c r="A20" t="s">
        <v>82</v>
      </c>
      <c r="B20" t="s">
        <v>56</v>
      </c>
      <c r="C20">
        <v>1</v>
      </c>
      <c r="D20">
        <v>2</v>
      </c>
      <c r="E20" t="s">
        <v>57</v>
      </c>
      <c r="F20" t="s">
        <v>58</v>
      </c>
      <c r="G20" t="s">
        <v>58</v>
      </c>
      <c r="H20" t="s">
        <v>57</v>
      </c>
      <c r="I20" t="s">
        <v>59</v>
      </c>
      <c r="J20" t="s">
        <v>57</v>
      </c>
      <c r="K20" t="s">
        <v>1214</v>
      </c>
      <c r="L20" t="str">
        <f t="shared" si="0"/>
        <v>{"test_id":"test_19", "genus_tags":["NN"], "genus_hypo_depth":1,"genus_hyper_hypo_depth":2,"lesk_on_genus":False,"definition_similarity":True,"examples_similarity":True,"lemmas_similarity":False,"score_type":"wup_similarity","lesk_only_n":False,"search_type":"static"}</v>
      </c>
      <c r="M20" t="s">
        <v>132</v>
      </c>
    </row>
    <row r="21" spans="1:13" x14ac:dyDescent="0.2">
      <c r="A21" t="s">
        <v>83</v>
      </c>
      <c r="B21" t="s">
        <v>61</v>
      </c>
      <c r="C21">
        <v>1</v>
      </c>
      <c r="D21">
        <v>2</v>
      </c>
      <c r="E21" t="s">
        <v>57</v>
      </c>
      <c r="F21" t="s">
        <v>58</v>
      </c>
      <c r="G21" t="s">
        <v>58</v>
      </c>
      <c r="H21" t="s">
        <v>57</v>
      </c>
      <c r="I21" t="s">
        <v>59</v>
      </c>
      <c r="J21" t="s">
        <v>57</v>
      </c>
      <c r="K21" t="s">
        <v>1214</v>
      </c>
      <c r="L21" t="str">
        <f t="shared" si="0"/>
        <v>{"test_id":"test_20", "genus_tags":["NN","JJ"], "genus_hypo_depth":1,"genus_hyper_hypo_depth":2,"lesk_on_genus":False,"definition_similarity":True,"examples_similarity":True,"lemmas_similarity":False,"score_type":"wup_similarity","lesk_only_n":False,"search_type":"static"}</v>
      </c>
      <c r="M21" t="s">
        <v>132</v>
      </c>
    </row>
    <row r="22" spans="1:13" hidden="1" x14ac:dyDescent="0.2">
      <c r="A22" t="s">
        <v>84</v>
      </c>
      <c r="B22" t="s">
        <v>63</v>
      </c>
      <c r="C22">
        <v>1</v>
      </c>
      <c r="D22">
        <v>2</v>
      </c>
      <c r="E22" t="s">
        <v>57</v>
      </c>
      <c r="F22" t="s">
        <v>58</v>
      </c>
      <c r="G22" t="s">
        <v>58</v>
      </c>
      <c r="H22" t="s">
        <v>57</v>
      </c>
      <c r="I22" t="s">
        <v>59</v>
      </c>
      <c r="J22" t="s">
        <v>57</v>
      </c>
      <c r="K22" t="s">
        <v>1214</v>
      </c>
      <c r="L22" t="str">
        <f t="shared" si="0"/>
        <v>{"test_id":"test_21", "genus_tags":["NN","VB"], "genus_hypo_depth":1,"genus_hyper_hypo_depth":2,"lesk_on_genus":False,"definition_similarity":True,"examples_similarity":True,"lemmas_similarity":False,"score_type":"wup_similarity","lesk_only_n":False,"search_type":"static"}</v>
      </c>
      <c r="M22" t="s">
        <v>132</v>
      </c>
    </row>
    <row r="23" spans="1:13" hidden="1" x14ac:dyDescent="0.2">
      <c r="A23" t="s">
        <v>85</v>
      </c>
      <c r="B23" t="s">
        <v>65</v>
      </c>
      <c r="C23">
        <v>1</v>
      </c>
      <c r="D23">
        <v>2</v>
      </c>
      <c r="E23" t="s">
        <v>57</v>
      </c>
      <c r="F23" t="s">
        <v>58</v>
      </c>
      <c r="G23" t="s">
        <v>58</v>
      </c>
      <c r="H23" t="s">
        <v>57</v>
      </c>
      <c r="I23" t="s">
        <v>59</v>
      </c>
      <c r="J23" t="s">
        <v>57</v>
      </c>
      <c r="K23" t="s">
        <v>1214</v>
      </c>
      <c r="L23" t="str">
        <f t="shared" si="0"/>
        <v>{"test_id":"test_22", "genus_tags":["NN","VB","VBD","VBG","VBN","VBP","VBZ"], "genus_hypo_depth":1,"genus_hyper_hypo_depth":2,"lesk_on_genus":False,"definition_similarity":True,"examples_similarity":True,"lemmas_similarity":False,"score_type":"wup_similarity","lesk_only_n":False,"search_type":"static"}</v>
      </c>
      <c r="M23" t="s">
        <v>132</v>
      </c>
    </row>
    <row r="24" spans="1:13" hidden="1" x14ac:dyDescent="0.2">
      <c r="A24" t="s">
        <v>86</v>
      </c>
      <c r="B24" t="s">
        <v>67</v>
      </c>
      <c r="C24">
        <v>1</v>
      </c>
      <c r="D24">
        <v>2</v>
      </c>
      <c r="E24" t="s">
        <v>57</v>
      </c>
      <c r="F24" t="s">
        <v>58</v>
      </c>
      <c r="G24" t="s">
        <v>58</v>
      </c>
      <c r="H24" t="s">
        <v>57</v>
      </c>
      <c r="I24" t="s">
        <v>59</v>
      </c>
      <c r="J24" t="s">
        <v>57</v>
      </c>
      <c r="K24" t="s">
        <v>1214</v>
      </c>
      <c r="L24" t="str">
        <f t="shared" si="0"/>
        <v>{"test_id":"test_23", "genus_tags":["NN","RB"], "genus_hypo_depth":1,"genus_hyper_hypo_depth":2,"lesk_on_genus":False,"definition_similarity":True,"examples_similarity":True,"lemmas_similarity":False,"score_type":"wup_similarity","lesk_only_n":False,"search_type":"static"}</v>
      </c>
      <c r="M24" t="s">
        <v>132</v>
      </c>
    </row>
    <row r="25" spans="1:13" hidden="1" x14ac:dyDescent="0.2">
      <c r="A25" t="s">
        <v>87</v>
      </c>
      <c r="B25" t="s">
        <v>69</v>
      </c>
      <c r="C25">
        <v>1</v>
      </c>
      <c r="D25">
        <v>2</v>
      </c>
      <c r="E25" t="s">
        <v>57</v>
      </c>
      <c r="F25" t="s">
        <v>58</v>
      </c>
      <c r="G25" t="s">
        <v>58</v>
      </c>
      <c r="H25" t="s">
        <v>57</v>
      </c>
      <c r="I25" t="s">
        <v>59</v>
      </c>
      <c r="J25" t="s">
        <v>57</v>
      </c>
      <c r="K25" t="s">
        <v>1214</v>
      </c>
      <c r="L25" t="str">
        <f t="shared" si="0"/>
        <v>{"test_id":"test_24", "genus_tags":["NN","JJ","VB","VBD","VBG","VBN","VBP","VBZ"], "genus_hypo_depth":1,"genus_hyper_hypo_depth":2,"lesk_on_genus":False,"definition_similarity":True,"examples_similarity":True,"lemmas_similarity":False,"score_type":"wup_similarity","lesk_only_n":False,"search_type":"static"}</v>
      </c>
      <c r="M25" t="s">
        <v>132</v>
      </c>
    </row>
    <row r="26" spans="1:13" x14ac:dyDescent="0.2">
      <c r="A26" t="s">
        <v>88</v>
      </c>
      <c r="B26" t="s">
        <v>56</v>
      </c>
      <c r="C26">
        <v>1</v>
      </c>
      <c r="D26">
        <v>2</v>
      </c>
      <c r="E26" t="s">
        <v>58</v>
      </c>
      <c r="F26" t="s">
        <v>58</v>
      </c>
      <c r="G26" t="s">
        <v>58</v>
      </c>
      <c r="H26" t="s">
        <v>57</v>
      </c>
      <c r="I26" t="s">
        <v>59</v>
      </c>
      <c r="J26" t="s">
        <v>57</v>
      </c>
      <c r="K26" t="s">
        <v>1214</v>
      </c>
      <c r="L26" t="str">
        <f t="shared" si="0"/>
        <v>{"test_id":"test_25", "genus_tags":["NN"], "genus_hypo_depth":1,"genus_hyper_hypo_depth":2,"lesk_on_genus":True,"definition_similarity":True,"examples_similarity":True,"lemmas_similarity":False,"score_type":"wup_similarity","lesk_only_n":False,"search_type":"static"}</v>
      </c>
      <c r="M26" t="s">
        <v>132</v>
      </c>
    </row>
    <row r="27" spans="1:13" x14ac:dyDescent="0.2">
      <c r="A27" t="s">
        <v>89</v>
      </c>
      <c r="B27" t="s">
        <v>61</v>
      </c>
      <c r="C27">
        <v>1</v>
      </c>
      <c r="D27">
        <v>2</v>
      </c>
      <c r="E27" t="s">
        <v>58</v>
      </c>
      <c r="F27" t="s">
        <v>58</v>
      </c>
      <c r="G27" t="s">
        <v>58</v>
      </c>
      <c r="H27" t="s">
        <v>57</v>
      </c>
      <c r="I27" t="s">
        <v>59</v>
      </c>
      <c r="J27" t="s">
        <v>57</v>
      </c>
      <c r="K27" t="s">
        <v>1214</v>
      </c>
      <c r="L27" t="str">
        <f t="shared" si="0"/>
        <v>{"test_id":"test_26", "genus_tags":["NN","JJ"], "genus_hypo_depth":1,"genus_hyper_hypo_depth":2,"lesk_on_genus":True,"definition_similarity":True,"examples_similarity":True,"lemmas_similarity":False,"score_type":"wup_similarity","lesk_only_n":False,"search_type":"static"}</v>
      </c>
      <c r="M27" t="s">
        <v>132</v>
      </c>
    </row>
    <row r="28" spans="1:13" hidden="1" x14ac:dyDescent="0.2">
      <c r="A28" t="s">
        <v>90</v>
      </c>
      <c r="B28" t="s">
        <v>63</v>
      </c>
      <c r="C28">
        <v>1</v>
      </c>
      <c r="D28">
        <v>2</v>
      </c>
      <c r="E28" t="s">
        <v>58</v>
      </c>
      <c r="F28" t="s">
        <v>58</v>
      </c>
      <c r="G28" t="s">
        <v>58</v>
      </c>
      <c r="H28" t="s">
        <v>57</v>
      </c>
      <c r="I28" t="s">
        <v>59</v>
      </c>
      <c r="J28" t="s">
        <v>57</v>
      </c>
      <c r="K28" t="s">
        <v>1214</v>
      </c>
      <c r="L28" t="str">
        <f t="shared" si="0"/>
        <v>{"test_id":"test_27", "genus_tags":["NN","VB"], "genus_hypo_depth":1,"genus_hyper_hypo_depth":2,"lesk_on_genus":True,"definition_similarity":True,"examples_similarity":True,"lemmas_similarity":False,"score_type":"wup_similarity","lesk_only_n":False,"search_type":"static"}</v>
      </c>
      <c r="M28" t="s">
        <v>132</v>
      </c>
    </row>
    <row r="29" spans="1:13" hidden="1" x14ac:dyDescent="0.2">
      <c r="A29" t="s">
        <v>91</v>
      </c>
      <c r="B29" t="s">
        <v>65</v>
      </c>
      <c r="C29">
        <v>1</v>
      </c>
      <c r="D29">
        <v>2</v>
      </c>
      <c r="E29" t="s">
        <v>58</v>
      </c>
      <c r="F29" t="s">
        <v>58</v>
      </c>
      <c r="G29" t="s">
        <v>58</v>
      </c>
      <c r="H29" t="s">
        <v>57</v>
      </c>
      <c r="I29" t="s">
        <v>59</v>
      </c>
      <c r="J29" t="s">
        <v>57</v>
      </c>
      <c r="K29" t="s">
        <v>1214</v>
      </c>
      <c r="L29" t="str">
        <f t="shared" si="0"/>
        <v>{"test_id":"test_28", "genus_tags":["NN","VB","VBD","VBG","VBN","VBP","VBZ"], "genus_hypo_depth":1,"genus_hyper_hypo_depth":2,"lesk_on_genus":True,"definition_similarity":True,"examples_similarity":True,"lemmas_similarity":False,"score_type":"wup_similarity","lesk_only_n":False,"search_type":"static"}</v>
      </c>
      <c r="M29" t="s">
        <v>132</v>
      </c>
    </row>
    <row r="30" spans="1:13" hidden="1" x14ac:dyDescent="0.2">
      <c r="A30" t="s">
        <v>92</v>
      </c>
      <c r="B30" t="s">
        <v>67</v>
      </c>
      <c r="C30">
        <v>1</v>
      </c>
      <c r="D30">
        <v>2</v>
      </c>
      <c r="E30" t="s">
        <v>58</v>
      </c>
      <c r="F30" t="s">
        <v>58</v>
      </c>
      <c r="G30" t="s">
        <v>58</v>
      </c>
      <c r="H30" t="s">
        <v>57</v>
      </c>
      <c r="I30" t="s">
        <v>59</v>
      </c>
      <c r="J30" t="s">
        <v>57</v>
      </c>
      <c r="K30" t="s">
        <v>1214</v>
      </c>
      <c r="L30" t="str">
        <f t="shared" si="0"/>
        <v>{"test_id":"test_29", "genus_tags":["NN","RB"], "genus_hypo_depth":1,"genus_hyper_hypo_depth":2,"lesk_on_genus":True,"definition_similarity":True,"examples_similarity":True,"lemmas_similarity":False,"score_type":"wup_similarity","lesk_only_n":False,"search_type":"static"}</v>
      </c>
      <c r="M30" t="s">
        <v>132</v>
      </c>
    </row>
    <row r="31" spans="1:13" hidden="1" x14ac:dyDescent="0.2">
      <c r="A31" t="s">
        <v>93</v>
      </c>
      <c r="B31" t="s">
        <v>69</v>
      </c>
      <c r="C31">
        <v>1</v>
      </c>
      <c r="D31">
        <v>2</v>
      </c>
      <c r="E31" t="s">
        <v>58</v>
      </c>
      <c r="F31" t="s">
        <v>58</v>
      </c>
      <c r="G31" t="s">
        <v>58</v>
      </c>
      <c r="H31" t="s">
        <v>57</v>
      </c>
      <c r="I31" t="s">
        <v>59</v>
      </c>
      <c r="J31" t="s">
        <v>57</v>
      </c>
      <c r="K31" t="s">
        <v>1214</v>
      </c>
      <c r="L31" t="str">
        <f t="shared" si="0"/>
        <v>{"test_id":"test_30", "genus_tags":["NN","JJ","VB","VBD","VBG","VBN","VBP","VBZ"], "genus_hypo_depth":1,"genus_hyper_hypo_depth":2,"lesk_on_genus":True,"definition_similarity":True,"examples_similarity":True,"lemmas_similarity":False,"score_type":"wup_similarity","lesk_only_n":False,"search_type":"static"}</v>
      </c>
      <c r="M31" t="s">
        <v>132</v>
      </c>
    </row>
    <row r="32" spans="1:13" x14ac:dyDescent="0.2">
      <c r="A32" t="s">
        <v>94</v>
      </c>
      <c r="B32" t="s">
        <v>56</v>
      </c>
      <c r="C32">
        <v>1</v>
      </c>
      <c r="D32">
        <v>2</v>
      </c>
      <c r="E32" t="s">
        <v>58</v>
      </c>
      <c r="F32" t="s">
        <v>58</v>
      </c>
      <c r="G32" t="s">
        <v>58</v>
      </c>
      <c r="H32" t="s">
        <v>57</v>
      </c>
      <c r="I32" t="s">
        <v>59</v>
      </c>
      <c r="J32" t="s">
        <v>58</v>
      </c>
      <c r="K32" t="s">
        <v>1214</v>
      </c>
      <c r="L32" t="str">
        <f t="shared" si="0"/>
        <v>{"test_id":"test_31", "genus_tags":["NN"], "genus_hypo_depth":1,"genus_hyper_hypo_depth":2,"lesk_on_genus":True,"definition_similarity":True,"examples_similarity":True,"lemmas_similarity":False,"score_type":"wup_similarity","lesk_only_n":True,"search_type":"static"}</v>
      </c>
      <c r="M32" t="s">
        <v>132</v>
      </c>
    </row>
    <row r="33" spans="1:13" x14ac:dyDescent="0.2">
      <c r="A33" t="s">
        <v>95</v>
      </c>
      <c r="B33" t="s">
        <v>61</v>
      </c>
      <c r="C33">
        <v>1</v>
      </c>
      <c r="D33">
        <v>2</v>
      </c>
      <c r="E33" t="s">
        <v>58</v>
      </c>
      <c r="F33" t="s">
        <v>58</v>
      </c>
      <c r="G33" t="s">
        <v>58</v>
      </c>
      <c r="H33" t="s">
        <v>57</v>
      </c>
      <c r="I33" t="s">
        <v>59</v>
      </c>
      <c r="J33" t="s">
        <v>58</v>
      </c>
      <c r="K33" t="s">
        <v>1214</v>
      </c>
      <c r="L33" t="str">
        <f t="shared" si="0"/>
        <v>{"test_id":"test_32", "genus_tags":["NN","JJ"], "genus_hypo_depth":1,"genus_hyper_hypo_depth":2,"lesk_on_genus":True,"definition_similarity":True,"examples_similarity":True,"lemmas_similarity":False,"score_type":"wup_similarity","lesk_only_n":True,"search_type":"static"}</v>
      </c>
      <c r="M33" t="s">
        <v>132</v>
      </c>
    </row>
    <row r="34" spans="1:13" hidden="1" x14ac:dyDescent="0.2">
      <c r="A34" t="s">
        <v>96</v>
      </c>
      <c r="B34" t="s">
        <v>63</v>
      </c>
      <c r="C34">
        <v>1</v>
      </c>
      <c r="D34">
        <v>2</v>
      </c>
      <c r="E34" t="s">
        <v>58</v>
      </c>
      <c r="F34" t="s">
        <v>58</v>
      </c>
      <c r="G34" t="s">
        <v>58</v>
      </c>
      <c r="H34" t="s">
        <v>57</v>
      </c>
      <c r="I34" t="s">
        <v>59</v>
      </c>
      <c r="J34" t="s">
        <v>58</v>
      </c>
      <c r="K34" t="s">
        <v>1214</v>
      </c>
      <c r="L34" t="str">
        <f t="shared" si="0"/>
        <v>{"test_id":"test_33", "genus_tags":["NN","VB"], "genus_hypo_depth":1,"genus_hyper_hypo_depth":2,"lesk_on_genus":True,"definition_similarity":True,"examples_similarity":True,"lemmas_similarity":False,"score_type":"wup_similarity","lesk_only_n":True,"search_type":"static"}</v>
      </c>
      <c r="M34" t="s">
        <v>132</v>
      </c>
    </row>
    <row r="35" spans="1:13" hidden="1" x14ac:dyDescent="0.2">
      <c r="A35" t="s">
        <v>97</v>
      </c>
      <c r="B35" t="s">
        <v>65</v>
      </c>
      <c r="C35">
        <v>1</v>
      </c>
      <c r="D35">
        <v>2</v>
      </c>
      <c r="E35" t="s">
        <v>58</v>
      </c>
      <c r="F35" t="s">
        <v>58</v>
      </c>
      <c r="G35" t="s">
        <v>58</v>
      </c>
      <c r="H35" t="s">
        <v>57</v>
      </c>
      <c r="I35" t="s">
        <v>59</v>
      </c>
      <c r="J35" t="s">
        <v>58</v>
      </c>
      <c r="K35" t="s">
        <v>1214</v>
      </c>
      <c r="L35" t="str">
        <f t="shared" si="0"/>
        <v>{"test_id":"test_34", "genus_tags":["NN","VB","VBD","VBG","VBN","VBP","VBZ"], "genus_hypo_depth":1,"genus_hyper_hypo_depth":2,"lesk_on_genus":True,"definition_similarity":True,"examples_similarity":True,"lemmas_similarity":False,"score_type":"wup_similarity","lesk_only_n":True,"search_type":"static"}</v>
      </c>
      <c r="M35" t="s">
        <v>132</v>
      </c>
    </row>
    <row r="36" spans="1:13" hidden="1" x14ac:dyDescent="0.2">
      <c r="A36" t="s">
        <v>98</v>
      </c>
      <c r="B36" t="s">
        <v>67</v>
      </c>
      <c r="C36">
        <v>1</v>
      </c>
      <c r="D36">
        <v>2</v>
      </c>
      <c r="E36" t="s">
        <v>58</v>
      </c>
      <c r="F36" t="s">
        <v>58</v>
      </c>
      <c r="G36" t="s">
        <v>58</v>
      </c>
      <c r="H36" t="s">
        <v>57</v>
      </c>
      <c r="I36" t="s">
        <v>59</v>
      </c>
      <c r="J36" t="s">
        <v>58</v>
      </c>
      <c r="K36" t="s">
        <v>1214</v>
      </c>
      <c r="L36" t="str">
        <f t="shared" si="0"/>
        <v>{"test_id":"test_35", "genus_tags":["NN","RB"], "genus_hypo_depth":1,"genus_hyper_hypo_depth":2,"lesk_on_genus":True,"definition_similarity":True,"examples_similarity":True,"lemmas_similarity":False,"score_type":"wup_similarity","lesk_only_n":True,"search_type":"static"}</v>
      </c>
      <c r="M36" t="s">
        <v>132</v>
      </c>
    </row>
    <row r="37" spans="1:13" hidden="1" x14ac:dyDescent="0.2">
      <c r="A37" t="s">
        <v>99</v>
      </c>
      <c r="B37" t="s">
        <v>69</v>
      </c>
      <c r="C37">
        <v>1</v>
      </c>
      <c r="D37">
        <v>2</v>
      </c>
      <c r="E37" t="s">
        <v>58</v>
      </c>
      <c r="F37" t="s">
        <v>58</v>
      </c>
      <c r="G37" t="s">
        <v>58</v>
      </c>
      <c r="H37" t="s">
        <v>57</v>
      </c>
      <c r="I37" t="s">
        <v>59</v>
      </c>
      <c r="J37" t="s">
        <v>58</v>
      </c>
      <c r="K37" t="s">
        <v>1214</v>
      </c>
      <c r="L37" t="str">
        <f t="shared" si="0"/>
        <v>{"test_id":"test_36", "genus_tags":["NN","JJ","VB","VBD","VBG","VBN","VBP","VBZ"], "genus_hypo_depth":1,"genus_hyper_hypo_depth":2,"lesk_on_genus":True,"definition_similarity":True,"examples_similarity":True,"lemmas_similarity":False,"score_type":"wup_similarity","lesk_only_n":True,"search_type":"static"}</v>
      </c>
      <c r="M37" t="s">
        <v>132</v>
      </c>
    </row>
    <row r="38" spans="1:13" x14ac:dyDescent="0.2">
      <c r="A38" t="s">
        <v>100</v>
      </c>
      <c r="B38" t="s">
        <v>56</v>
      </c>
      <c r="C38">
        <v>1</v>
      </c>
      <c r="D38">
        <v>2</v>
      </c>
      <c r="E38" t="s">
        <v>57</v>
      </c>
      <c r="F38" t="s">
        <v>58</v>
      </c>
      <c r="G38" t="s">
        <v>58</v>
      </c>
      <c r="H38" t="s">
        <v>58</v>
      </c>
      <c r="I38" t="s">
        <v>59</v>
      </c>
      <c r="J38" t="s">
        <v>57</v>
      </c>
      <c r="K38" t="s">
        <v>1214</v>
      </c>
      <c r="L38" t="str">
        <f t="shared" si="0"/>
        <v>{"test_id":"test_37", "genus_tags":["NN"], "genus_hypo_depth":1,"genus_hyper_hypo_depth":2,"lesk_on_genus":False,"definition_similarity":True,"examples_similarity":True,"lemmas_similarity":True,"score_type":"wup_similarity","lesk_only_n":False,"search_type":"static"}</v>
      </c>
      <c r="M38" t="s">
        <v>132</v>
      </c>
    </row>
    <row r="39" spans="1:13" x14ac:dyDescent="0.2">
      <c r="A39" t="s">
        <v>101</v>
      </c>
      <c r="B39" t="s">
        <v>61</v>
      </c>
      <c r="C39">
        <v>1</v>
      </c>
      <c r="D39">
        <v>2</v>
      </c>
      <c r="E39" t="s">
        <v>57</v>
      </c>
      <c r="F39" t="s">
        <v>58</v>
      </c>
      <c r="G39" t="s">
        <v>58</v>
      </c>
      <c r="H39" t="s">
        <v>58</v>
      </c>
      <c r="I39" t="s">
        <v>59</v>
      </c>
      <c r="J39" t="s">
        <v>57</v>
      </c>
      <c r="K39" t="s">
        <v>1214</v>
      </c>
      <c r="L39" t="str">
        <f t="shared" si="0"/>
        <v>{"test_id":"test_38", "genus_tags":["NN","JJ"], "genus_hypo_depth":1,"genus_hyper_hypo_depth":2,"lesk_on_genus":False,"definition_similarity":True,"examples_similarity":True,"lemmas_similarity":True,"score_type":"wup_similarity","lesk_only_n":False,"search_type":"static"}</v>
      </c>
      <c r="M39" t="s">
        <v>132</v>
      </c>
    </row>
    <row r="40" spans="1:13" hidden="1" x14ac:dyDescent="0.2">
      <c r="A40" t="s">
        <v>102</v>
      </c>
      <c r="B40" t="s">
        <v>63</v>
      </c>
      <c r="C40">
        <v>1</v>
      </c>
      <c r="D40">
        <v>2</v>
      </c>
      <c r="E40" t="s">
        <v>57</v>
      </c>
      <c r="F40" t="s">
        <v>58</v>
      </c>
      <c r="G40" t="s">
        <v>58</v>
      </c>
      <c r="H40" t="s">
        <v>58</v>
      </c>
      <c r="I40" t="s">
        <v>59</v>
      </c>
      <c r="J40" t="s">
        <v>57</v>
      </c>
      <c r="K40" t="s">
        <v>1214</v>
      </c>
      <c r="L40" t="str">
        <f t="shared" si="0"/>
        <v>{"test_id":"test_39", "genus_tags":["NN","VB"], "genus_hypo_depth":1,"genus_hyper_hypo_depth":2,"lesk_on_genus":False,"definition_similarity":True,"examples_similarity":True,"lemmas_similarity":True,"score_type":"wup_similarity","lesk_only_n":False,"search_type":"static"}</v>
      </c>
      <c r="M40" t="s">
        <v>132</v>
      </c>
    </row>
    <row r="41" spans="1:13" hidden="1" x14ac:dyDescent="0.2">
      <c r="A41" t="s">
        <v>103</v>
      </c>
      <c r="B41" t="s">
        <v>65</v>
      </c>
      <c r="C41">
        <v>1</v>
      </c>
      <c r="D41">
        <v>2</v>
      </c>
      <c r="E41" t="s">
        <v>57</v>
      </c>
      <c r="F41" t="s">
        <v>58</v>
      </c>
      <c r="G41" t="s">
        <v>58</v>
      </c>
      <c r="H41" t="s">
        <v>58</v>
      </c>
      <c r="I41" t="s">
        <v>59</v>
      </c>
      <c r="J41" t="s">
        <v>57</v>
      </c>
      <c r="K41" t="s">
        <v>1214</v>
      </c>
      <c r="L41" t="str">
        <f t="shared" si="0"/>
        <v>{"test_id":"test_40", "genus_tags":["NN","VB","VBD","VBG","VBN","VBP","VBZ"], "genus_hypo_depth":1,"genus_hyper_hypo_depth":2,"lesk_on_genus":False,"definition_similarity":True,"examples_similarity":True,"lemmas_similarity":True,"score_type":"wup_similarity","lesk_only_n":False,"search_type":"static"}</v>
      </c>
      <c r="M41" t="s">
        <v>132</v>
      </c>
    </row>
    <row r="42" spans="1:13" hidden="1" x14ac:dyDescent="0.2">
      <c r="A42" t="s">
        <v>104</v>
      </c>
      <c r="B42" t="s">
        <v>67</v>
      </c>
      <c r="C42">
        <v>1</v>
      </c>
      <c r="D42">
        <v>2</v>
      </c>
      <c r="E42" t="s">
        <v>57</v>
      </c>
      <c r="F42" t="s">
        <v>58</v>
      </c>
      <c r="G42" t="s">
        <v>58</v>
      </c>
      <c r="H42" t="s">
        <v>58</v>
      </c>
      <c r="I42" t="s">
        <v>59</v>
      </c>
      <c r="J42" t="s">
        <v>57</v>
      </c>
      <c r="K42" t="s">
        <v>1214</v>
      </c>
      <c r="L42" t="str">
        <f t="shared" si="0"/>
        <v>{"test_id":"test_41", "genus_tags":["NN","RB"], "genus_hypo_depth":1,"genus_hyper_hypo_depth":2,"lesk_on_genus":False,"definition_similarity":True,"examples_similarity":True,"lemmas_similarity":True,"score_type":"wup_similarity","lesk_only_n":False,"search_type":"static"}</v>
      </c>
      <c r="M42" t="s">
        <v>132</v>
      </c>
    </row>
    <row r="43" spans="1:13" hidden="1" x14ac:dyDescent="0.2">
      <c r="A43" t="s">
        <v>105</v>
      </c>
      <c r="B43" t="s">
        <v>69</v>
      </c>
      <c r="C43">
        <v>1</v>
      </c>
      <c r="D43">
        <v>2</v>
      </c>
      <c r="E43" t="s">
        <v>57</v>
      </c>
      <c r="F43" t="s">
        <v>58</v>
      </c>
      <c r="G43" t="s">
        <v>58</v>
      </c>
      <c r="H43" t="s">
        <v>58</v>
      </c>
      <c r="I43" t="s">
        <v>59</v>
      </c>
      <c r="J43" t="s">
        <v>57</v>
      </c>
      <c r="K43" t="s">
        <v>1214</v>
      </c>
      <c r="L43" t="str">
        <f t="shared" si="0"/>
        <v>{"test_id":"test_42", "genus_tags":["NN","JJ","VB","VBD","VBG","VBN","VBP","VBZ"], "genus_hypo_depth":1,"genus_hyper_hypo_depth":2,"lesk_on_genus":False,"definition_similarity":True,"examples_similarity":True,"lemmas_similarity":True,"score_type":"wup_similarity","lesk_only_n":False,"search_type":"static"}</v>
      </c>
      <c r="M43" t="s">
        <v>132</v>
      </c>
    </row>
    <row r="44" spans="1:13" x14ac:dyDescent="0.2">
      <c r="A44" t="s">
        <v>106</v>
      </c>
      <c r="B44" t="s">
        <v>56</v>
      </c>
      <c r="C44">
        <v>1</v>
      </c>
      <c r="D44">
        <v>2</v>
      </c>
      <c r="E44" t="s">
        <v>58</v>
      </c>
      <c r="F44" t="s">
        <v>58</v>
      </c>
      <c r="G44" t="s">
        <v>58</v>
      </c>
      <c r="H44" t="s">
        <v>58</v>
      </c>
      <c r="I44" t="s">
        <v>59</v>
      </c>
      <c r="J44" t="s">
        <v>57</v>
      </c>
      <c r="K44" t="s">
        <v>1214</v>
      </c>
      <c r="L44" t="str">
        <f t="shared" si="0"/>
        <v>{"test_id":"test_43", "genus_tags":["NN"], "genus_hypo_depth":1,"genus_hyper_hypo_depth":2,"lesk_on_genus":True,"definition_similarity":True,"examples_similarity":True,"lemmas_similarity":True,"score_type":"wup_similarity","lesk_only_n":False,"search_type":"static"}</v>
      </c>
      <c r="M44" t="s">
        <v>132</v>
      </c>
    </row>
    <row r="45" spans="1:13" x14ac:dyDescent="0.2">
      <c r="A45" t="s">
        <v>107</v>
      </c>
      <c r="B45" t="s">
        <v>61</v>
      </c>
      <c r="C45">
        <v>1</v>
      </c>
      <c r="D45">
        <v>2</v>
      </c>
      <c r="E45" t="s">
        <v>58</v>
      </c>
      <c r="F45" t="s">
        <v>58</v>
      </c>
      <c r="G45" t="s">
        <v>58</v>
      </c>
      <c r="H45" t="s">
        <v>58</v>
      </c>
      <c r="I45" t="s">
        <v>59</v>
      </c>
      <c r="J45" t="s">
        <v>57</v>
      </c>
      <c r="K45" t="s">
        <v>1214</v>
      </c>
      <c r="L45" t="str">
        <f t="shared" si="0"/>
        <v>{"test_id":"test_44", "genus_tags":["NN","JJ"], "genus_hypo_depth":1,"genus_hyper_hypo_depth":2,"lesk_on_genus":True,"definition_similarity":True,"examples_similarity":True,"lemmas_similarity":True,"score_type":"wup_similarity","lesk_only_n":False,"search_type":"static"}</v>
      </c>
      <c r="M45" t="s">
        <v>132</v>
      </c>
    </row>
    <row r="46" spans="1:13" hidden="1" x14ac:dyDescent="0.2">
      <c r="A46" t="s">
        <v>108</v>
      </c>
      <c r="B46" t="s">
        <v>63</v>
      </c>
      <c r="C46">
        <v>1</v>
      </c>
      <c r="D46">
        <v>2</v>
      </c>
      <c r="E46" t="s">
        <v>58</v>
      </c>
      <c r="F46" t="s">
        <v>58</v>
      </c>
      <c r="G46" t="s">
        <v>58</v>
      </c>
      <c r="H46" t="s">
        <v>58</v>
      </c>
      <c r="I46" t="s">
        <v>59</v>
      </c>
      <c r="J46" t="s">
        <v>57</v>
      </c>
      <c r="K46" t="s">
        <v>1214</v>
      </c>
      <c r="L46" t="str">
        <f t="shared" si="0"/>
        <v>{"test_id":"test_45", "genus_tags":["NN","VB"], "genus_hypo_depth":1,"genus_hyper_hypo_depth":2,"lesk_on_genus":True,"definition_similarity":True,"examples_similarity":True,"lemmas_similarity":True,"score_type":"wup_similarity","lesk_only_n":False,"search_type":"static"}</v>
      </c>
      <c r="M46" t="s">
        <v>132</v>
      </c>
    </row>
    <row r="47" spans="1:13" hidden="1" x14ac:dyDescent="0.2">
      <c r="A47" t="s">
        <v>109</v>
      </c>
      <c r="B47" t="s">
        <v>65</v>
      </c>
      <c r="C47">
        <v>1</v>
      </c>
      <c r="D47">
        <v>2</v>
      </c>
      <c r="E47" t="s">
        <v>58</v>
      </c>
      <c r="F47" t="s">
        <v>58</v>
      </c>
      <c r="G47" t="s">
        <v>58</v>
      </c>
      <c r="H47" t="s">
        <v>58</v>
      </c>
      <c r="I47" t="s">
        <v>59</v>
      </c>
      <c r="J47" t="s">
        <v>57</v>
      </c>
      <c r="K47" t="s">
        <v>1214</v>
      </c>
      <c r="L47" t="str">
        <f t="shared" si="0"/>
        <v>{"test_id":"test_46", "genus_tags":["NN","VB","VBD","VBG","VBN","VBP","VBZ"], "genus_hypo_depth":1,"genus_hyper_hypo_depth":2,"lesk_on_genus":True,"definition_similarity":True,"examples_similarity":True,"lemmas_similarity":True,"score_type":"wup_similarity","lesk_only_n":False,"search_type":"static"}</v>
      </c>
      <c r="M47" t="s">
        <v>132</v>
      </c>
    </row>
    <row r="48" spans="1:13" hidden="1" x14ac:dyDescent="0.2">
      <c r="A48" t="s">
        <v>110</v>
      </c>
      <c r="B48" t="s">
        <v>67</v>
      </c>
      <c r="C48">
        <v>1</v>
      </c>
      <c r="D48">
        <v>2</v>
      </c>
      <c r="E48" t="s">
        <v>58</v>
      </c>
      <c r="F48" t="s">
        <v>58</v>
      </c>
      <c r="G48" t="s">
        <v>58</v>
      </c>
      <c r="H48" t="s">
        <v>58</v>
      </c>
      <c r="I48" t="s">
        <v>59</v>
      </c>
      <c r="J48" t="s">
        <v>57</v>
      </c>
      <c r="K48" t="s">
        <v>1214</v>
      </c>
      <c r="L48" t="str">
        <f t="shared" si="0"/>
        <v>{"test_id":"test_47", "genus_tags":["NN","RB"], "genus_hypo_depth":1,"genus_hyper_hypo_depth":2,"lesk_on_genus":True,"definition_similarity":True,"examples_similarity":True,"lemmas_similarity":True,"score_type":"wup_similarity","lesk_only_n":False,"search_type":"static"}</v>
      </c>
      <c r="M48" t="s">
        <v>132</v>
      </c>
    </row>
    <row r="49" spans="1:13" hidden="1" x14ac:dyDescent="0.2">
      <c r="A49" t="s">
        <v>111</v>
      </c>
      <c r="B49" t="s">
        <v>69</v>
      </c>
      <c r="C49">
        <v>1</v>
      </c>
      <c r="D49">
        <v>2</v>
      </c>
      <c r="E49" t="s">
        <v>58</v>
      </c>
      <c r="F49" t="s">
        <v>58</v>
      </c>
      <c r="G49" t="s">
        <v>58</v>
      </c>
      <c r="H49" t="s">
        <v>58</v>
      </c>
      <c r="I49" t="s">
        <v>59</v>
      </c>
      <c r="J49" t="s">
        <v>57</v>
      </c>
      <c r="K49" t="s">
        <v>1214</v>
      </c>
      <c r="L49" t="str">
        <f t="shared" si="0"/>
        <v>{"test_id":"test_48", "genus_tags":["NN","JJ","VB","VBD","VBG","VBN","VBP","VBZ"], "genus_hypo_depth":1,"genus_hyper_hypo_depth":2,"lesk_on_genus":True,"definition_similarity":True,"examples_similarity":True,"lemmas_similarity":True,"score_type":"wup_similarity","lesk_only_n":False,"search_type":"static"}</v>
      </c>
      <c r="M49" t="s">
        <v>132</v>
      </c>
    </row>
    <row r="50" spans="1:13" x14ac:dyDescent="0.2">
      <c r="A50" t="s">
        <v>112</v>
      </c>
      <c r="B50" t="s">
        <v>56</v>
      </c>
      <c r="C50">
        <v>1</v>
      </c>
      <c r="D50">
        <v>2</v>
      </c>
      <c r="E50" t="s">
        <v>58</v>
      </c>
      <c r="F50" t="s">
        <v>58</v>
      </c>
      <c r="G50" t="s">
        <v>58</v>
      </c>
      <c r="H50" t="s">
        <v>58</v>
      </c>
      <c r="I50" t="s">
        <v>59</v>
      </c>
      <c r="J50" t="s">
        <v>58</v>
      </c>
      <c r="K50" t="s">
        <v>1214</v>
      </c>
      <c r="L50" t="str">
        <f t="shared" si="0"/>
        <v>{"test_id":"test_49", "genus_tags":["NN"], "genus_hypo_depth":1,"genus_hyper_hypo_depth":2,"lesk_on_genus":True,"definition_similarity":True,"examples_similarity":True,"lemmas_similarity":True,"score_type":"wup_similarity","lesk_only_n":True,"search_type":"static"}</v>
      </c>
      <c r="M50" t="s">
        <v>132</v>
      </c>
    </row>
    <row r="51" spans="1:13" x14ac:dyDescent="0.2">
      <c r="A51" t="s">
        <v>113</v>
      </c>
      <c r="B51" t="s">
        <v>61</v>
      </c>
      <c r="C51">
        <v>1</v>
      </c>
      <c r="D51">
        <v>2</v>
      </c>
      <c r="E51" t="s">
        <v>58</v>
      </c>
      <c r="F51" t="s">
        <v>58</v>
      </c>
      <c r="G51" t="s">
        <v>58</v>
      </c>
      <c r="H51" t="s">
        <v>58</v>
      </c>
      <c r="I51" t="s">
        <v>59</v>
      </c>
      <c r="J51" t="s">
        <v>58</v>
      </c>
      <c r="K51" t="s">
        <v>1214</v>
      </c>
      <c r="L51" t="str">
        <f t="shared" si="0"/>
        <v>{"test_id":"test_50", "genus_tags":["NN","JJ"], "genus_hypo_depth":1,"genus_hyper_hypo_depth":2,"lesk_on_genus":True,"definition_similarity":True,"examples_similarity":True,"lemmas_similarity":True,"score_type":"wup_similarity","lesk_only_n":True,"search_type":"static"}</v>
      </c>
      <c r="M51" t="s">
        <v>132</v>
      </c>
    </row>
    <row r="52" spans="1:13" hidden="1" x14ac:dyDescent="0.2">
      <c r="A52" t="s">
        <v>114</v>
      </c>
      <c r="B52" t="s">
        <v>63</v>
      </c>
      <c r="C52">
        <v>1</v>
      </c>
      <c r="D52">
        <v>2</v>
      </c>
      <c r="E52" t="s">
        <v>58</v>
      </c>
      <c r="F52" t="s">
        <v>58</v>
      </c>
      <c r="G52" t="s">
        <v>58</v>
      </c>
      <c r="H52" t="s">
        <v>58</v>
      </c>
      <c r="I52" t="s">
        <v>59</v>
      </c>
      <c r="J52" t="s">
        <v>58</v>
      </c>
      <c r="K52" t="s">
        <v>1214</v>
      </c>
      <c r="L52" t="str">
        <f t="shared" si="0"/>
        <v>{"test_id":"test_51", "genus_tags":["NN","VB"], "genus_hypo_depth":1,"genus_hyper_hypo_depth":2,"lesk_on_genus":True,"definition_similarity":True,"examples_similarity":True,"lemmas_similarity":True,"score_type":"wup_similarity","lesk_only_n":True,"search_type":"static"}</v>
      </c>
      <c r="M52" t="s">
        <v>132</v>
      </c>
    </row>
    <row r="53" spans="1:13" hidden="1" x14ac:dyDescent="0.2">
      <c r="A53" t="s">
        <v>115</v>
      </c>
      <c r="B53" t="s">
        <v>65</v>
      </c>
      <c r="C53">
        <v>1</v>
      </c>
      <c r="D53">
        <v>2</v>
      </c>
      <c r="E53" t="s">
        <v>58</v>
      </c>
      <c r="F53" t="s">
        <v>58</v>
      </c>
      <c r="G53" t="s">
        <v>58</v>
      </c>
      <c r="H53" t="s">
        <v>58</v>
      </c>
      <c r="I53" t="s">
        <v>59</v>
      </c>
      <c r="J53" t="s">
        <v>58</v>
      </c>
      <c r="K53" t="s">
        <v>1214</v>
      </c>
      <c r="L53" t="str">
        <f t="shared" si="0"/>
        <v>{"test_id":"test_52", "genus_tags":["NN","VB","VBD","VBG","VBN","VBP","VBZ"], "genus_hypo_depth":1,"genus_hyper_hypo_depth":2,"lesk_on_genus":True,"definition_similarity":True,"examples_similarity":True,"lemmas_similarity":True,"score_type":"wup_similarity","lesk_only_n":True,"search_type":"static"}</v>
      </c>
      <c r="M53" t="s">
        <v>132</v>
      </c>
    </row>
    <row r="54" spans="1:13" hidden="1" x14ac:dyDescent="0.2">
      <c r="A54" t="s">
        <v>116</v>
      </c>
      <c r="B54" t="s">
        <v>67</v>
      </c>
      <c r="C54">
        <v>1</v>
      </c>
      <c r="D54">
        <v>2</v>
      </c>
      <c r="E54" t="s">
        <v>58</v>
      </c>
      <c r="F54" t="s">
        <v>58</v>
      </c>
      <c r="G54" t="s">
        <v>58</v>
      </c>
      <c r="H54" t="s">
        <v>58</v>
      </c>
      <c r="I54" t="s">
        <v>59</v>
      </c>
      <c r="J54" t="s">
        <v>58</v>
      </c>
      <c r="K54" t="s">
        <v>1214</v>
      </c>
      <c r="L54" t="str">
        <f t="shared" si="0"/>
        <v>{"test_id":"test_53", "genus_tags":["NN","RB"], "genus_hypo_depth":1,"genus_hyper_hypo_depth":2,"lesk_on_genus":True,"definition_similarity":True,"examples_similarity":True,"lemmas_similarity":True,"score_type":"wup_similarity","lesk_only_n":True,"search_type":"static"}</v>
      </c>
      <c r="M54" t="s">
        <v>132</v>
      </c>
    </row>
    <row r="55" spans="1:13" hidden="1" x14ac:dyDescent="0.2">
      <c r="A55" t="s">
        <v>117</v>
      </c>
      <c r="B55" t="s">
        <v>69</v>
      </c>
      <c r="C55">
        <v>1</v>
      </c>
      <c r="D55">
        <v>2</v>
      </c>
      <c r="E55" t="s">
        <v>58</v>
      </c>
      <c r="F55" t="s">
        <v>58</v>
      </c>
      <c r="G55" t="s">
        <v>58</v>
      </c>
      <c r="H55" t="s">
        <v>58</v>
      </c>
      <c r="I55" t="s">
        <v>59</v>
      </c>
      <c r="J55" t="s">
        <v>58</v>
      </c>
      <c r="K55" t="s">
        <v>1214</v>
      </c>
      <c r="L55" t="str">
        <f t="shared" si="0"/>
        <v>{"test_id":"test_54", "genus_tags":["NN","JJ","VB","VBD","VBG","VBN","VBP","VBZ"], "genus_hypo_depth":1,"genus_hyper_hypo_depth":2,"lesk_on_genus":True,"definition_similarity":True,"examples_similarity":True,"lemmas_similarity":True,"score_type":"wup_similarity","lesk_only_n":True,"search_type":"static"}</v>
      </c>
      <c r="M55" t="s">
        <v>132</v>
      </c>
    </row>
    <row r="56" spans="1:13" x14ac:dyDescent="0.2">
      <c r="A56" t="s">
        <v>134</v>
      </c>
      <c r="B56" t="s">
        <v>56</v>
      </c>
      <c r="C56">
        <v>1</v>
      </c>
      <c r="D56">
        <v>2</v>
      </c>
      <c r="E56" t="s">
        <v>57</v>
      </c>
      <c r="F56" t="s">
        <v>57</v>
      </c>
      <c r="G56" t="s">
        <v>58</v>
      </c>
      <c r="H56" t="s">
        <v>57</v>
      </c>
      <c r="I56" t="s">
        <v>59</v>
      </c>
      <c r="J56" t="s">
        <v>57</v>
      </c>
      <c r="K56" t="s">
        <v>1214</v>
      </c>
      <c r="L56" t="str">
        <f t="shared" si="0"/>
        <v>{"test_id":"test_55", "genus_tags":["NN"], "genus_hypo_depth":1,"genus_hyper_hypo_depth":2,"lesk_on_genus":False,"definition_similarity":False,"examples_similarity":True,"lemmas_similarity":False,"score_type":"wup_similarity","lesk_only_n":False,"search_type":"static"}</v>
      </c>
      <c r="M56" t="s">
        <v>132</v>
      </c>
    </row>
    <row r="57" spans="1:13" x14ac:dyDescent="0.2">
      <c r="A57" t="s">
        <v>135</v>
      </c>
      <c r="B57" t="s">
        <v>61</v>
      </c>
      <c r="C57">
        <v>1</v>
      </c>
      <c r="D57">
        <v>2</v>
      </c>
      <c r="E57" t="s">
        <v>57</v>
      </c>
      <c r="F57" t="s">
        <v>57</v>
      </c>
      <c r="G57" t="s">
        <v>58</v>
      </c>
      <c r="H57" t="s">
        <v>57</v>
      </c>
      <c r="I57" t="s">
        <v>59</v>
      </c>
      <c r="J57" t="s">
        <v>57</v>
      </c>
      <c r="K57" t="s">
        <v>1214</v>
      </c>
      <c r="L57" t="str">
        <f t="shared" si="0"/>
        <v>{"test_id":"test_56", "genus_tags":["NN","JJ"], "genus_hypo_depth":1,"genus_hyper_hypo_depth":2,"lesk_on_genus":False,"definition_similarity":False,"examples_similarity":True,"lemmas_similarity":False,"score_type":"wup_similarity","lesk_only_n":False,"search_type":"static"}</v>
      </c>
      <c r="M57" t="s">
        <v>132</v>
      </c>
    </row>
    <row r="58" spans="1:13" hidden="1" x14ac:dyDescent="0.2">
      <c r="A58" t="s">
        <v>136</v>
      </c>
      <c r="B58" t="s">
        <v>63</v>
      </c>
      <c r="C58">
        <v>1</v>
      </c>
      <c r="D58">
        <v>2</v>
      </c>
      <c r="E58" t="s">
        <v>57</v>
      </c>
      <c r="F58" t="s">
        <v>57</v>
      </c>
      <c r="G58" t="s">
        <v>58</v>
      </c>
      <c r="H58" t="s">
        <v>57</v>
      </c>
      <c r="I58" t="s">
        <v>59</v>
      </c>
      <c r="J58" t="s">
        <v>57</v>
      </c>
      <c r="K58" t="s">
        <v>1214</v>
      </c>
      <c r="L58" t="str">
        <f t="shared" si="0"/>
        <v>{"test_id":"test_57", "genus_tags":["NN","VB"], "genus_hypo_depth":1,"genus_hyper_hypo_depth":2,"lesk_on_genus":False,"definition_similarity":False,"examples_similarity":True,"lemmas_similarity":False,"score_type":"wup_similarity","lesk_only_n":False,"search_type":"static"}</v>
      </c>
      <c r="M58" t="s">
        <v>132</v>
      </c>
    </row>
    <row r="59" spans="1:13" hidden="1" x14ac:dyDescent="0.2">
      <c r="A59" t="s">
        <v>137</v>
      </c>
      <c r="B59" t="s">
        <v>65</v>
      </c>
      <c r="C59">
        <v>1</v>
      </c>
      <c r="D59">
        <v>2</v>
      </c>
      <c r="E59" t="s">
        <v>57</v>
      </c>
      <c r="F59" t="s">
        <v>57</v>
      </c>
      <c r="G59" t="s">
        <v>58</v>
      </c>
      <c r="H59" t="s">
        <v>57</v>
      </c>
      <c r="I59" t="s">
        <v>59</v>
      </c>
      <c r="J59" t="s">
        <v>57</v>
      </c>
      <c r="K59" t="s">
        <v>1214</v>
      </c>
      <c r="L59" t="str">
        <f t="shared" si="0"/>
        <v>{"test_id":"test_58", "genus_tags":["NN","VB","VBD","VBG","VBN","VBP","VBZ"], "genus_hypo_depth":1,"genus_hyper_hypo_depth":2,"lesk_on_genus":False,"definition_similarity":False,"examples_similarity":True,"lemmas_similarity":False,"score_type":"wup_similarity","lesk_only_n":False,"search_type":"static"}</v>
      </c>
      <c r="M59" t="s">
        <v>132</v>
      </c>
    </row>
    <row r="60" spans="1:13" hidden="1" x14ac:dyDescent="0.2">
      <c r="A60" t="s">
        <v>138</v>
      </c>
      <c r="B60" t="s">
        <v>67</v>
      </c>
      <c r="C60">
        <v>1</v>
      </c>
      <c r="D60">
        <v>2</v>
      </c>
      <c r="E60" t="s">
        <v>57</v>
      </c>
      <c r="F60" t="s">
        <v>57</v>
      </c>
      <c r="G60" t="s">
        <v>58</v>
      </c>
      <c r="H60" t="s">
        <v>57</v>
      </c>
      <c r="I60" t="s">
        <v>59</v>
      </c>
      <c r="J60" t="s">
        <v>57</v>
      </c>
      <c r="K60" t="s">
        <v>1214</v>
      </c>
      <c r="L60" t="str">
        <f t="shared" si="0"/>
        <v>{"test_id":"test_59", "genus_tags":["NN","RB"], "genus_hypo_depth":1,"genus_hyper_hypo_depth":2,"lesk_on_genus":False,"definition_similarity":False,"examples_similarity":True,"lemmas_similarity":False,"score_type":"wup_similarity","lesk_only_n":False,"search_type":"static"}</v>
      </c>
      <c r="M60" t="s">
        <v>132</v>
      </c>
    </row>
    <row r="61" spans="1:13" hidden="1" x14ac:dyDescent="0.2">
      <c r="A61" t="s">
        <v>139</v>
      </c>
      <c r="B61" t="s">
        <v>69</v>
      </c>
      <c r="C61">
        <v>1</v>
      </c>
      <c r="D61">
        <v>2</v>
      </c>
      <c r="E61" t="s">
        <v>57</v>
      </c>
      <c r="F61" t="s">
        <v>57</v>
      </c>
      <c r="G61" t="s">
        <v>58</v>
      </c>
      <c r="H61" t="s">
        <v>57</v>
      </c>
      <c r="I61" t="s">
        <v>59</v>
      </c>
      <c r="J61" t="s">
        <v>57</v>
      </c>
      <c r="K61" t="s">
        <v>1214</v>
      </c>
      <c r="L61" t="str">
        <f t="shared" si="0"/>
        <v>{"test_id":"test_60", "genus_tags":["NN","JJ","VB","VBD","VBG","VBN","VBP","VBZ"], "genus_hypo_depth":1,"genus_hyper_hypo_depth":2,"lesk_on_genus":False,"definition_similarity":False,"examples_similarity":True,"lemmas_similarity":False,"score_type":"wup_similarity","lesk_only_n":False,"search_type":"static"}</v>
      </c>
      <c r="M61" t="s">
        <v>132</v>
      </c>
    </row>
    <row r="62" spans="1:13" x14ac:dyDescent="0.2">
      <c r="A62" t="s">
        <v>140</v>
      </c>
      <c r="B62" t="s">
        <v>56</v>
      </c>
      <c r="C62">
        <v>1</v>
      </c>
      <c r="D62">
        <v>2</v>
      </c>
      <c r="E62" t="s">
        <v>58</v>
      </c>
      <c r="F62" t="s">
        <v>57</v>
      </c>
      <c r="G62" t="s">
        <v>58</v>
      </c>
      <c r="H62" t="s">
        <v>57</v>
      </c>
      <c r="I62" t="s">
        <v>59</v>
      </c>
      <c r="J62" t="s">
        <v>57</v>
      </c>
      <c r="K62" t="s">
        <v>1214</v>
      </c>
      <c r="L62" t="str">
        <f t="shared" si="0"/>
        <v>{"test_id":"test_61", "genus_tags":["NN"], "genus_hypo_depth":1,"genus_hyper_hypo_depth":2,"lesk_on_genus":True,"definition_similarity":False,"examples_similarity":True,"lemmas_similarity":False,"score_type":"wup_similarity","lesk_only_n":False,"search_type":"static"}</v>
      </c>
      <c r="M62" t="s">
        <v>132</v>
      </c>
    </row>
    <row r="63" spans="1:13" x14ac:dyDescent="0.2">
      <c r="A63" t="s">
        <v>141</v>
      </c>
      <c r="B63" t="s">
        <v>61</v>
      </c>
      <c r="C63">
        <v>1</v>
      </c>
      <c r="D63">
        <v>2</v>
      </c>
      <c r="E63" t="s">
        <v>58</v>
      </c>
      <c r="F63" t="s">
        <v>57</v>
      </c>
      <c r="G63" t="s">
        <v>58</v>
      </c>
      <c r="H63" t="s">
        <v>57</v>
      </c>
      <c r="I63" t="s">
        <v>59</v>
      </c>
      <c r="J63" t="s">
        <v>57</v>
      </c>
      <c r="K63" t="s">
        <v>1214</v>
      </c>
      <c r="L63" t="str">
        <f t="shared" si="0"/>
        <v>{"test_id":"test_62", "genus_tags":["NN","JJ"], "genus_hypo_depth":1,"genus_hyper_hypo_depth":2,"lesk_on_genus":True,"definition_similarity":False,"examples_similarity":True,"lemmas_similarity":False,"score_type":"wup_similarity","lesk_only_n":False,"search_type":"static"}</v>
      </c>
      <c r="M63" t="s">
        <v>132</v>
      </c>
    </row>
    <row r="64" spans="1:13" hidden="1" x14ac:dyDescent="0.2">
      <c r="A64" t="s">
        <v>142</v>
      </c>
      <c r="B64" t="s">
        <v>63</v>
      </c>
      <c r="C64">
        <v>1</v>
      </c>
      <c r="D64">
        <v>2</v>
      </c>
      <c r="E64" t="s">
        <v>58</v>
      </c>
      <c r="F64" t="s">
        <v>57</v>
      </c>
      <c r="G64" t="s">
        <v>58</v>
      </c>
      <c r="H64" t="s">
        <v>57</v>
      </c>
      <c r="I64" t="s">
        <v>59</v>
      </c>
      <c r="J64" t="s">
        <v>57</v>
      </c>
      <c r="K64" t="s">
        <v>1214</v>
      </c>
      <c r="L64" t="str">
        <f t="shared" si="0"/>
        <v>{"test_id":"test_63", "genus_tags":["NN","VB"], "genus_hypo_depth":1,"genus_hyper_hypo_depth":2,"lesk_on_genus":True,"definition_similarity":False,"examples_similarity":True,"lemmas_similarity":False,"score_type":"wup_similarity","lesk_only_n":False,"search_type":"static"}</v>
      </c>
      <c r="M64" t="s">
        <v>132</v>
      </c>
    </row>
    <row r="65" spans="1:13" hidden="1" x14ac:dyDescent="0.2">
      <c r="A65" t="s">
        <v>143</v>
      </c>
      <c r="B65" t="s">
        <v>65</v>
      </c>
      <c r="C65">
        <v>1</v>
      </c>
      <c r="D65">
        <v>2</v>
      </c>
      <c r="E65" t="s">
        <v>58</v>
      </c>
      <c r="F65" t="s">
        <v>57</v>
      </c>
      <c r="G65" t="s">
        <v>58</v>
      </c>
      <c r="H65" t="s">
        <v>57</v>
      </c>
      <c r="I65" t="s">
        <v>59</v>
      </c>
      <c r="J65" t="s">
        <v>57</v>
      </c>
      <c r="K65" t="s">
        <v>1214</v>
      </c>
      <c r="L65" t="str">
        <f t="shared" si="0"/>
        <v>{"test_id":"test_64", "genus_tags":["NN","VB","VBD","VBG","VBN","VBP","VBZ"], "genus_hypo_depth":1,"genus_hyper_hypo_depth":2,"lesk_on_genus":True,"definition_similarity":False,"examples_similarity":True,"lemmas_similarity":False,"score_type":"wup_similarity","lesk_only_n":False,"search_type":"static"}</v>
      </c>
      <c r="M65" t="s">
        <v>132</v>
      </c>
    </row>
    <row r="66" spans="1:13" hidden="1" x14ac:dyDescent="0.2">
      <c r="A66" t="s">
        <v>144</v>
      </c>
      <c r="B66" t="s">
        <v>67</v>
      </c>
      <c r="C66">
        <v>1</v>
      </c>
      <c r="D66">
        <v>2</v>
      </c>
      <c r="E66" t="s">
        <v>58</v>
      </c>
      <c r="F66" t="s">
        <v>57</v>
      </c>
      <c r="G66" t="s">
        <v>58</v>
      </c>
      <c r="H66" t="s">
        <v>57</v>
      </c>
      <c r="I66" t="s">
        <v>59</v>
      </c>
      <c r="J66" t="s">
        <v>57</v>
      </c>
      <c r="K66" t="s">
        <v>1214</v>
      </c>
      <c r="L66" t="str">
        <f t="shared" si="0"/>
        <v>{"test_id":"test_65", "genus_tags":["NN","RB"], "genus_hypo_depth":1,"genus_hyper_hypo_depth":2,"lesk_on_genus":True,"definition_similarity":False,"examples_similarity":True,"lemmas_similarity":False,"score_type":"wup_similarity","lesk_only_n":False,"search_type":"static"}</v>
      </c>
      <c r="M66" t="s">
        <v>132</v>
      </c>
    </row>
    <row r="67" spans="1:13" hidden="1" x14ac:dyDescent="0.2">
      <c r="A67" t="s">
        <v>145</v>
      </c>
      <c r="B67" t="s">
        <v>69</v>
      </c>
      <c r="C67">
        <v>1</v>
      </c>
      <c r="D67">
        <v>2</v>
      </c>
      <c r="E67" t="s">
        <v>58</v>
      </c>
      <c r="F67" t="s">
        <v>57</v>
      </c>
      <c r="G67" t="s">
        <v>58</v>
      </c>
      <c r="H67" t="s">
        <v>57</v>
      </c>
      <c r="I67" t="s">
        <v>59</v>
      </c>
      <c r="J67" t="s">
        <v>57</v>
      </c>
      <c r="K67" t="s">
        <v>1214</v>
      </c>
      <c r="L67" t="str">
        <f t="shared" ref="L67:L130" si="1">"{"""&amp;A$1&amp;""""&amp;":"""&amp;A67&amp;""", "&amp;SUBSTITUTE( """"&amp;B$1&amp;""""&amp;":["""&amp;B67&amp;"""]",",",""",""")&amp;", "&amp;""""&amp;C$1&amp;""""&amp;":"&amp;C67&amp;","&amp;""""&amp;D$1&amp;""""&amp;":"&amp;D67&amp;","&amp;""""&amp;E$1&amp;""""&amp;":"&amp;E67&amp;","&amp;""""&amp;F$1&amp;""""&amp;":"&amp;F67&amp;","&amp;""""&amp;G$1&amp;""""&amp;":"&amp;G67&amp;","&amp;""""&amp;H$1&amp;""""&amp;":"&amp;H67&amp;","&amp;""""&amp;I$1&amp;""""&amp;":"""&amp;I67&amp;""","&amp;""""&amp;J$1&amp;""""&amp;":"&amp;J67&amp;","&amp;""""&amp;K$1&amp;""""&amp;":"""&amp;K67&amp;"""}"</f>
        <v>{"test_id":"test_66", "genus_tags":["NN","JJ","VB","VBD","VBG","VBN","VBP","VBZ"], "genus_hypo_depth":1,"genus_hyper_hypo_depth":2,"lesk_on_genus":True,"definition_similarity":False,"examples_similarity":True,"lemmas_similarity":False,"score_type":"wup_similarity","lesk_only_n":False,"search_type":"static"}</v>
      </c>
      <c r="M67" t="s">
        <v>132</v>
      </c>
    </row>
    <row r="68" spans="1:13" x14ac:dyDescent="0.2">
      <c r="A68" t="s">
        <v>146</v>
      </c>
      <c r="B68" t="s">
        <v>56</v>
      </c>
      <c r="C68">
        <v>1</v>
      </c>
      <c r="D68">
        <v>2</v>
      </c>
      <c r="E68" t="s">
        <v>58</v>
      </c>
      <c r="F68" t="s">
        <v>57</v>
      </c>
      <c r="G68" t="s">
        <v>58</v>
      </c>
      <c r="H68" t="s">
        <v>57</v>
      </c>
      <c r="I68" t="s">
        <v>59</v>
      </c>
      <c r="J68" t="s">
        <v>58</v>
      </c>
      <c r="K68" t="s">
        <v>1214</v>
      </c>
      <c r="L68" t="str">
        <f t="shared" si="1"/>
        <v>{"test_id":"test_67", "genus_tags":["NN"], "genus_hypo_depth":1,"genus_hyper_hypo_depth":2,"lesk_on_genus":True,"definition_similarity":False,"examples_similarity":True,"lemmas_similarity":False,"score_type":"wup_similarity","lesk_only_n":True,"search_type":"static"}</v>
      </c>
      <c r="M68" t="s">
        <v>132</v>
      </c>
    </row>
    <row r="69" spans="1:13" x14ac:dyDescent="0.2">
      <c r="A69" t="s">
        <v>147</v>
      </c>
      <c r="B69" t="s">
        <v>61</v>
      </c>
      <c r="C69">
        <v>1</v>
      </c>
      <c r="D69">
        <v>2</v>
      </c>
      <c r="E69" t="s">
        <v>58</v>
      </c>
      <c r="F69" t="s">
        <v>57</v>
      </c>
      <c r="G69" t="s">
        <v>58</v>
      </c>
      <c r="H69" t="s">
        <v>57</v>
      </c>
      <c r="I69" t="s">
        <v>59</v>
      </c>
      <c r="J69" t="s">
        <v>58</v>
      </c>
      <c r="K69" t="s">
        <v>1214</v>
      </c>
      <c r="L69" t="str">
        <f t="shared" si="1"/>
        <v>{"test_id":"test_68", "genus_tags":["NN","JJ"], "genus_hypo_depth":1,"genus_hyper_hypo_depth":2,"lesk_on_genus":True,"definition_similarity":False,"examples_similarity":True,"lemmas_similarity":False,"score_type":"wup_similarity","lesk_only_n":True,"search_type":"static"}</v>
      </c>
      <c r="M69" t="s">
        <v>132</v>
      </c>
    </row>
    <row r="70" spans="1:13" hidden="1" x14ac:dyDescent="0.2">
      <c r="A70" t="s">
        <v>148</v>
      </c>
      <c r="B70" t="s">
        <v>63</v>
      </c>
      <c r="C70">
        <v>1</v>
      </c>
      <c r="D70">
        <v>2</v>
      </c>
      <c r="E70" t="s">
        <v>58</v>
      </c>
      <c r="F70" t="s">
        <v>57</v>
      </c>
      <c r="G70" t="s">
        <v>58</v>
      </c>
      <c r="H70" t="s">
        <v>57</v>
      </c>
      <c r="I70" t="s">
        <v>59</v>
      </c>
      <c r="J70" t="s">
        <v>58</v>
      </c>
      <c r="K70" t="s">
        <v>1214</v>
      </c>
      <c r="L70" t="str">
        <f t="shared" si="1"/>
        <v>{"test_id":"test_69", "genus_tags":["NN","VB"], "genus_hypo_depth":1,"genus_hyper_hypo_depth":2,"lesk_on_genus":True,"definition_similarity":False,"examples_similarity":True,"lemmas_similarity":False,"score_type":"wup_similarity","lesk_only_n":True,"search_type":"static"}</v>
      </c>
      <c r="M70" t="s">
        <v>132</v>
      </c>
    </row>
    <row r="71" spans="1:13" hidden="1" x14ac:dyDescent="0.2">
      <c r="A71" t="s">
        <v>149</v>
      </c>
      <c r="B71" t="s">
        <v>65</v>
      </c>
      <c r="C71">
        <v>1</v>
      </c>
      <c r="D71">
        <v>2</v>
      </c>
      <c r="E71" t="s">
        <v>58</v>
      </c>
      <c r="F71" t="s">
        <v>57</v>
      </c>
      <c r="G71" t="s">
        <v>58</v>
      </c>
      <c r="H71" t="s">
        <v>57</v>
      </c>
      <c r="I71" t="s">
        <v>59</v>
      </c>
      <c r="J71" t="s">
        <v>58</v>
      </c>
      <c r="K71" t="s">
        <v>1214</v>
      </c>
      <c r="L71" t="str">
        <f t="shared" si="1"/>
        <v>{"test_id":"test_70", "genus_tags":["NN","VB","VBD","VBG","VBN","VBP","VBZ"], "genus_hypo_depth":1,"genus_hyper_hypo_depth":2,"lesk_on_genus":True,"definition_similarity":False,"examples_similarity":True,"lemmas_similarity":False,"score_type":"wup_similarity","lesk_only_n":True,"search_type":"static"}</v>
      </c>
      <c r="M71" t="s">
        <v>132</v>
      </c>
    </row>
    <row r="72" spans="1:13" hidden="1" x14ac:dyDescent="0.2">
      <c r="A72" t="s">
        <v>150</v>
      </c>
      <c r="B72" t="s">
        <v>67</v>
      </c>
      <c r="C72">
        <v>1</v>
      </c>
      <c r="D72">
        <v>2</v>
      </c>
      <c r="E72" t="s">
        <v>58</v>
      </c>
      <c r="F72" t="s">
        <v>57</v>
      </c>
      <c r="G72" t="s">
        <v>58</v>
      </c>
      <c r="H72" t="s">
        <v>57</v>
      </c>
      <c r="I72" t="s">
        <v>59</v>
      </c>
      <c r="J72" t="s">
        <v>58</v>
      </c>
      <c r="K72" t="s">
        <v>1214</v>
      </c>
      <c r="L72" t="str">
        <f t="shared" si="1"/>
        <v>{"test_id":"test_71", "genus_tags":["NN","RB"], "genus_hypo_depth":1,"genus_hyper_hypo_depth":2,"lesk_on_genus":True,"definition_similarity":False,"examples_similarity":True,"lemmas_similarity":False,"score_type":"wup_similarity","lesk_only_n":True,"search_type":"static"}</v>
      </c>
      <c r="M72" t="s">
        <v>132</v>
      </c>
    </row>
    <row r="73" spans="1:13" hidden="1" x14ac:dyDescent="0.2">
      <c r="A73" t="s">
        <v>151</v>
      </c>
      <c r="B73" t="s">
        <v>69</v>
      </c>
      <c r="C73">
        <v>1</v>
      </c>
      <c r="D73">
        <v>2</v>
      </c>
      <c r="E73" t="s">
        <v>58</v>
      </c>
      <c r="F73" t="s">
        <v>57</v>
      </c>
      <c r="G73" t="s">
        <v>58</v>
      </c>
      <c r="H73" t="s">
        <v>57</v>
      </c>
      <c r="I73" t="s">
        <v>59</v>
      </c>
      <c r="J73" t="s">
        <v>58</v>
      </c>
      <c r="K73" t="s">
        <v>1214</v>
      </c>
      <c r="L73" t="str">
        <f t="shared" si="1"/>
        <v>{"test_id":"test_72", "genus_tags":["NN","JJ","VB","VBD","VBG","VBN","VBP","VBZ"], "genus_hypo_depth":1,"genus_hyper_hypo_depth":2,"lesk_on_genus":True,"definition_similarity":False,"examples_similarity":True,"lemmas_similarity":False,"score_type":"wup_similarity","lesk_only_n":True,"search_type":"static"}</v>
      </c>
      <c r="M73" t="s">
        <v>132</v>
      </c>
    </row>
    <row r="74" spans="1:13" x14ac:dyDescent="0.2">
      <c r="A74" t="s">
        <v>152</v>
      </c>
      <c r="B74" t="s">
        <v>56</v>
      </c>
      <c r="C74">
        <v>1</v>
      </c>
      <c r="D74">
        <v>2</v>
      </c>
      <c r="E74" t="s">
        <v>57</v>
      </c>
      <c r="F74" t="s">
        <v>57</v>
      </c>
      <c r="G74" t="s">
        <v>57</v>
      </c>
      <c r="H74" t="s">
        <v>58</v>
      </c>
      <c r="I74" t="s">
        <v>59</v>
      </c>
      <c r="J74" t="s">
        <v>57</v>
      </c>
      <c r="K74" t="s">
        <v>1214</v>
      </c>
      <c r="L74" t="str">
        <f t="shared" si="1"/>
        <v>{"test_id":"test_73", "genus_tags":["NN"], "genus_hypo_depth":1,"genus_hyper_hypo_depth":2,"lesk_on_genus":False,"definition_similarity":False,"examples_similarity":False,"lemmas_similarity":True,"score_type":"wup_similarity","lesk_only_n":False,"search_type":"static"}</v>
      </c>
      <c r="M74" t="s">
        <v>132</v>
      </c>
    </row>
    <row r="75" spans="1:13" x14ac:dyDescent="0.2">
      <c r="A75" t="s">
        <v>153</v>
      </c>
      <c r="B75" t="s">
        <v>61</v>
      </c>
      <c r="C75">
        <v>1</v>
      </c>
      <c r="D75">
        <v>2</v>
      </c>
      <c r="E75" t="s">
        <v>57</v>
      </c>
      <c r="F75" t="s">
        <v>57</v>
      </c>
      <c r="G75" t="s">
        <v>57</v>
      </c>
      <c r="H75" t="s">
        <v>58</v>
      </c>
      <c r="I75" t="s">
        <v>59</v>
      </c>
      <c r="J75" t="s">
        <v>57</v>
      </c>
      <c r="K75" t="s">
        <v>1214</v>
      </c>
      <c r="L75" t="str">
        <f t="shared" si="1"/>
        <v>{"test_id":"test_74", "genus_tags":["NN","JJ"], "genus_hypo_depth":1,"genus_hyper_hypo_depth":2,"lesk_on_genus":False,"definition_similarity":False,"examples_similarity":False,"lemmas_similarity":True,"score_type":"wup_similarity","lesk_only_n":False,"search_type":"static"}</v>
      </c>
      <c r="M75" t="s">
        <v>132</v>
      </c>
    </row>
    <row r="76" spans="1:13" hidden="1" x14ac:dyDescent="0.2">
      <c r="A76" t="s">
        <v>154</v>
      </c>
      <c r="B76" t="s">
        <v>63</v>
      </c>
      <c r="C76">
        <v>1</v>
      </c>
      <c r="D76">
        <v>2</v>
      </c>
      <c r="E76" t="s">
        <v>57</v>
      </c>
      <c r="F76" t="s">
        <v>57</v>
      </c>
      <c r="G76" t="s">
        <v>57</v>
      </c>
      <c r="H76" t="s">
        <v>58</v>
      </c>
      <c r="I76" t="s">
        <v>59</v>
      </c>
      <c r="J76" t="s">
        <v>57</v>
      </c>
      <c r="K76" t="s">
        <v>1214</v>
      </c>
      <c r="L76" t="str">
        <f t="shared" si="1"/>
        <v>{"test_id":"test_75", "genus_tags":["NN","VB"], "genus_hypo_depth":1,"genus_hyper_hypo_depth":2,"lesk_on_genus":False,"definition_similarity":False,"examples_similarity":False,"lemmas_similarity":True,"score_type":"wup_similarity","lesk_only_n":False,"search_type":"static"}</v>
      </c>
      <c r="M76" t="s">
        <v>132</v>
      </c>
    </row>
    <row r="77" spans="1:13" hidden="1" x14ac:dyDescent="0.2">
      <c r="A77" t="s">
        <v>155</v>
      </c>
      <c r="B77" t="s">
        <v>65</v>
      </c>
      <c r="C77">
        <v>1</v>
      </c>
      <c r="D77">
        <v>2</v>
      </c>
      <c r="E77" t="s">
        <v>57</v>
      </c>
      <c r="F77" t="s">
        <v>57</v>
      </c>
      <c r="G77" t="s">
        <v>57</v>
      </c>
      <c r="H77" t="s">
        <v>58</v>
      </c>
      <c r="I77" t="s">
        <v>59</v>
      </c>
      <c r="J77" t="s">
        <v>57</v>
      </c>
      <c r="K77" t="s">
        <v>1214</v>
      </c>
      <c r="L77" t="str">
        <f t="shared" si="1"/>
        <v>{"test_id":"test_76", "genus_tags":["NN","VB","VBD","VBG","VBN","VBP","VBZ"], "genus_hypo_depth":1,"genus_hyper_hypo_depth":2,"lesk_on_genus":False,"definition_similarity":False,"examples_similarity":False,"lemmas_similarity":True,"score_type":"wup_similarity","lesk_only_n":False,"search_type":"static"}</v>
      </c>
      <c r="M77" t="s">
        <v>132</v>
      </c>
    </row>
    <row r="78" spans="1:13" hidden="1" x14ac:dyDescent="0.2">
      <c r="A78" t="s">
        <v>156</v>
      </c>
      <c r="B78" t="s">
        <v>67</v>
      </c>
      <c r="C78">
        <v>1</v>
      </c>
      <c r="D78">
        <v>2</v>
      </c>
      <c r="E78" t="s">
        <v>57</v>
      </c>
      <c r="F78" t="s">
        <v>57</v>
      </c>
      <c r="G78" t="s">
        <v>57</v>
      </c>
      <c r="H78" t="s">
        <v>58</v>
      </c>
      <c r="I78" t="s">
        <v>59</v>
      </c>
      <c r="J78" t="s">
        <v>57</v>
      </c>
      <c r="K78" t="s">
        <v>1214</v>
      </c>
      <c r="L78" t="str">
        <f t="shared" si="1"/>
        <v>{"test_id":"test_77", "genus_tags":["NN","RB"], "genus_hypo_depth":1,"genus_hyper_hypo_depth":2,"lesk_on_genus":False,"definition_similarity":False,"examples_similarity":False,"lemmas_similarity":True,"score_type":"wup_similarity","lesk_only_n":False,"search_type":"static"}</v>
      </c>
      <c r="M78" t="s">
        <v>132</v>
      </c>
    </row>
    <row r="79" spans="1:13" hidden="1" x14ac:dyDescent="0.2">
      <c r="A79" t="s">
        <v>157</v>
      </c>
      <c r="B79" t="s">
        <v>69</v>
      </c>
      <c r="C79">
        <v>1</v>
      </c>
      <c r="D79">
        <v>2</v>
      </c>
      <c r="E79" t="s">
        <v>57</v>
      </c>
      <c r="F79" t="s">
        <v>57</v>
      </c>
      <c r="G79" t="s">
        <v>57</v>
      </c>
      <c r="H79" t="s">
        <v>58</v>
      </c>
      <c r="I79" t="s">
        <v>59</v>
      </c>
      <c r="J79" t="s">
        <v>57</v>
      </c>
      <c r="K79" t="s">
        <v>1214</v>
      </c>
      <c r="L79" t="str">
        <f t="shared" si="1"/>
        <v>{"test_id":"test_78", "genus_tags":["NN","JJ","VB","VBD","VBG","VBN","VBP","VBZ"], "genus_hypo_depth":1,"genus_hyper_hypo_depth":2,"lesk_on_genus":False,"definition_similarity":False,"examples_similarity":False,"lemmas_similarity":True,"score_type":"wup_similarity","lesk_only_n":False,"search_type":"static"}</v>
      </c>
      <c r="M79" t="s">
        <v>132</v>
      </c>
    </row>
    <row r="80" spans="1:13" x14ac:dyDescent="0.2">
      <c r="A80" t="s">
        <v>158</v>
      </c>
      <c r="B80" t="s">
        <v>56</v>
      </c>
      <c r="C80">
        <v>1</v>
      </c>
      <c r="D80">
        <v>2</v>
      </c>
      <c r="E80" t="s">
        <v>58</v>
      </c>
      <c r="F80" t="s">
        <v>57</v>
      </c>
      <c r="G80" t="s">
        <v>57</v>
      </c>
      <c r="H80" t="s">
        <v>58</v>
      </c>
      <c r="I80" t="s">
        <v>59</v>
      </c>
      <c r="J80" t="s">
        <v>57</v>
      </c>
      <c r="K80" t="s">
        <v>1214</v>
      </c>
      <c r="L80" t="str">
        <f t="shared" si="1"/>
        <v>{"test_id":"test_79", "genus_tags":["NN"], "genus_hypo_depth":1,"genus_hyper_hypo_depth":2,"lesk_on_genus":True,"definition_similarity":False,"examples_similarity":False,"lemmas_similarity":True,"score_type":"wup_similarity","lesk_only_n":False,"search_type":"static"}</v>
      </c>
      <c r="M80" t="s">
        <v>132</v>
      </c>
    </row>
    <row r="81" spans="1:18" x14ac:dyDescent="0.2">
      <c r="A81" t="s">
        <v>159</v>
      </c>
      <c r="B81" t="s">
        <v>61</v>
      </c>
      <c r="C81">
        <v>1</v>
      </c>
      <c r="D81">
        <v>2</v>
      </c>
      <c r="E81" t="s">
        <v>58</v>
      </c>
      <c r="F81" t="s">
        <v>57</v>
      </c>
      <c r="G81" t="s">
        <v>57</v>
      </c>
      <c r="H81" t="s">
        <v>58</v>
      </c>
      <c r="I81" t="s">
        <v>59</v>
      </c>
      <c r="J81" t="s">
        <v>57</v>
      </c>
      <c r="K81" t="s">
        <v>1214</v>
      </c>
      <c r="L81" t="str">
        <f t="shared" si="1"/>
        <v>{"test_id":"test_80", "genus_tags":["NN","JJ"], "genus_hypo_depth":1,"genus_hyper_hypo_depth":2,"lesk_on_genus":True,"definition_similarity":False,"examples_similarity":False,"lemmas_similarity":True,"score_type":"wup_similarity","lesk_only_n":False,"search_type":"static"}</v>
      </c>
      <c r="M81" t="s">
        <v>132</v>
      </c>
    </row>
    <row r="82" spans="1:18" hidden="1" x14ac:dyDescent="0.2">
      <c r="A82" t="s">
        <v>160</v>
      </c>
      <c r="B82" t="s">
        <v>63</v>
      </c>
      <c r="C82">
        <v>1</v>
      </c>
      <c r="D82">
        <v>2</v>
      </c>
      <c r="E82" t="s">
        <v>58</v>
      </c>
      <c r="F82" t="s">
        <v>57</v>
      </c>
      <c r="G82" t="s">
        <v>57</v>
      </c>
      <c r="H82" t="s">
        <v>58</v>
      </c>
      <c r="I82" t="s">
        <v>59</v>
      </c>
      <c r="J82" t="s">
        <v>57</v>
      </c>
      <c r="K82" t="s">
        <v>1214</v>
      </c>
      <c r="L82" t="str">
        <f t="shared" si="1"/>
        <v>{"test_id":"test_81", "genus_tags":["NN","VB"], "genus_hypo_depth":1,"genus_hyper_hypo_depth":2,"lesk_on_genus":True,"definition_similarity":False,"examples_similarity":False,"lemmas_similarity":True,"score_type":"wup_similarity","lesk_only_n":False,"search_type":"static"}</v>
      </c>
      <c r="M82" t="s">
        <v>132</v>
      </c>
    </row>
    <row r="83" spans="1:18" hidden="1" x14ac:dyDescent="0.2">
      <c r="A83" t="s">
        <v>161</v>
      </c>
      <c r="B83" t="s">
        <v>65</v>
      </c>
      <c r="C83">
        <v>1</v>
      </c>
      <c r="D83">
        <v>2</v>
      </c>
      <c r="E83" t="s">
        <v>58</v>
      </c>
      <c r="F83" t="s">
        <v>57</v>
      </c>
      <c r="G83" t="s">
        <v>57</v>
      </c>
      <c r="H83" t="s">
        <v>58</v>
      </c>
      <c r="I83" t="s">
        <v>59</v>
      </c>
      <c r="J83" t="s">
        <v>57</v>
      </c>
      <c r="K83" t="s">
        <v>1214</v>
      </c>
      <c r="L83" t="str">
        <f t="shared" si="1"/>
        <v>{"test_id":"test_82", "genus_tags":["NN","VB","VBD","VBG","VBN","VBP","VBZ"], "genus_hypo_depth":1,"genus_hyper_hypo_depth":2,"lesk_on_genus":True,"definition_similarity":False,"examples_similarity":False,"lemmas_similarity":True,"score_type":"wup_similarity","lesk_only_n":False,"search_type":"static"}</v>
      </c>
      <c r="M83" t="s">
        <v>132</v>
      </c>
    </row>
    <row r="84" spans="1:18" hidden="1" x14ac:dyDescent="0.2">
      <c r="A84" t="s">
        <v>162</v>
      </c>
      <c r="B84" t="s">
        <v>67</v>
      </c>
      <c r="C84">
        <v>1</v>
      </c>
      <c r="D84">
        <v>2</v>
      </c>
      <c r="E84" t="s">
        <v>58</v>
      </c>
      <c r="F84" t="s">
        <v>57</v>
      </c>
      <c r="G84" t="s">
        <v>57</v>
      </c>
      <c r="H84" t="s">
        <v>58</v>
      </c>
      <c r="I84" t="s">
        <v>59</v>
      </c>
      <c r="J84" t="s">
        <v>57</v>
      </c>
      <c r="K84" t="s">
        <v>1214</v>
      </c>
      <c r="L84" t="str">
        <f t="shared" si="1"/>
        <v>{"test_id":"test_83", "genus_tags":["NN","RB"], "genus_hypo_depth":1,"genus_hyper_hypo_depth":2,"lesk_on_genus":True,"definition_similarity":False,"examples_similarity":False,"lemmas_similarity":True,"score_type":"wup_similarity","lesk_only_n":False,"search_type":"static"}</v>
      </c>
      <c r="M84" t="s">
        <v>132</v>
      </c>
    </row>
    <row r="85" spans="1:18" hidden="1" x14ac:dyDescent="0.2">
      <c r="A85" t="s">
        <v>163</v>
      </c>
      <c r="B85" t="s">
        <v>69</v>
      </c>
      <c r="C85">
        <v>1</v>
      </c>
      <c r="D85">
        <v>2</v>
      </c>
      <c r="E85" t="s">
        <v>58</v>
      </c>
      <c r="F85" t="s">
        <v>57</v>
      </c>
      <c r="G85" t="s">
        <v>57</v>
      </c>
      <c r="H85" t="s">
        <v>58</v>
      </c>
      <c r="I85" t="s">
        <v>59</v>
      </c>
      <c r="J85" t="s">
        <v>57</v>
      </c>
      <c r="K85" t="s">
        <v>1214</v>
      </c>
      <c r="L85" t="str">
        <f t="shared" si="1"/>
        <v>{"test_id":"test_84", "genus_tags":["NN","JJ","VB","VBD","VBG","VBN","VBP","VBZ"], "genus_hypo_depth":1,"genus_hyper_hypo_depth":2,"lesk_on_genus":True,"definition_similarity":False,"examples_similarity":False,"lemmas_similarity":True,"score_type":"wup_similarity","lesk_only_n":False,"search_type":"static"}</v>
      </c>
      <c r="M85" t="s">
        <v>132</v>
      </c>
    </row>
    <row r="86" spans="1:18" x14ac:dyDescent="0.2">
      <c r="A86" t="s">
        <v>164</v>
      </c>
      <c r="B86" t="s">
        <v>56</v>
      </c>
      <c r="C86">
        <v>1</v>
      </c>
      <c r="D86">
        <v>2</v>
      </c>
      <c r="E86" t="s">
        <v>58</v>
      </c>
      <c r="F86" t="s">
        <v>57</v>
      </c>
      <c r="G86" t="s">
        <v>57</v>
      </c>
      <c r="H86" t="s">
        <v>58</v>
      </c>
      <c r="I86" t="s">
        <v>59</v>
      </c>
      <c r="J86" t="s">
        <v>58</v>
      </c>
      <c r="K86" t="s">
        <v>1214</v>
      </c>
      <c r="L86" t="str">
        <f t="shared" si="1"/>
        <v>{"test_id":"test_85", "genus_tags":["NN"], "genus_hypo_depth":1,"genus_hyper_hypo_depth":2,"lesk_on_genus":True,"definition_similarity":False,"examples_similarity":False,"lemmas_similarity":True,"score_type":"wup_similarity","lesk_only_n":True,"search_type":"static"}</v>
      </c>
      <c r="M86" t="s">
        <v>132</v>
      </c>
    </row>
    <row r="87" spans="1:18" x14ac:dyDescent="0.2">
      <c r="A87" t="s">
        <v>165</v>
      </c>
      <c r="B87" t="s">
        <v>61</v>
      </c>
      <c r="C87">
        <v>1</v>
      </c>
      <c r="D87">
        <v>2</v>
      </c>
      <c r="E87" t="s">
        <v>58</v>
      </c>
      <c r="F87" t="s">
        <v>57</v>
      </c>
      <c r="G87" t="s">
        <v>57</v>
      </c>
      <c r="H87" t="s">
        <v>58</v>
      </c>
      <c r="I87" t="s">
        <v>59</v>
      </c>
      <c r="J87" t="s">
        <v>58</v>
      </c>
      <c r="K87" t="s">
        <v>1214</v>
      </c>
      <c r="L87" t="str">
        <f t="shared" si="1"/>
        <v>{"test_id":"test_86", "genus_tags":["NN","JJ"], "genus_hypo_depth":1,"genus_hyper_hypo_depth":2,"lesk_on_genus":True,"definition_similarity":False,"examples_similarity":False,"lemmas_similarity":True,"score_type":"wup_similarity","lesk_only_n":True,"search_type":"static"}</v>
      </c>
      <c r="M87" t="s">
        <v>132</v>
      </c>
    </row>
    <row r="88" spans="1:18" hidden="1" x14ac:dyDescent="0.2">
      <c r="A88" t="s">
        <v>166</v>
      </c>
      <c r="B88" t="s">
        <v>63</v>
      </c>
      <c r="C88">
        <v>1</v>
      </c>
      <c r="D88">
        <v>2</v>
      </c>
      <c r="E88" t="s">
        <v>58</v>
      </c>
      <c r="F88" t="s">
        <v>57</v>
      </c>
      <c r="G88" t="s">
        <v>57</v>
      </c>
      <c r="H88" t="s">
        <v>58</v>
      </c>
      <c r="I88" t="s">
        <v>59</v>
      </c>
      <c r="J88" t="s">
        <v>58</v>
      </c>
      <c r="K88" t="s">
        <v>1214</v>
      </c>
      <c r="L88" t="str">
        <f t="shared" si="1"/>
        <v>{"test_id":"test_87", "genus_tags":["NN","VB"], "genus_hypo_depth":1,"genus_hyper_hypo_depth":2,"lesk_on_genus":True,"definition_similarity":False,"examples_similarity":False,"lemmas_similarity":True,"score_type":"wup_similarity","lesk_only_n":True,"search_type":"static"}</v>
      </c>
      <c r="M88" t="s">
        <v>132</v>
      </c>
    </row>
    <row r="89" spans="1:18" hidden="1" x14ac:dyDescent="0.2">
      <c r="A89" t="s">
        <v>167</v>
      </c>
      <c r="B89" t="s">
        <v>65</v>
      </c>
      <c r="C89">
        <v>1</v>
      </c>
      <c r="D89">
        <v>2</v>
      </c>
      <c r="E89" t="s">
        <v>58</v>
      </c>
      <c r="F89" t="s">
        <v>57</v>
      </c>
      <c r="G89" t="s">
        <v>57</v>
      </c>
      <c r="H89" t="s">
        <v>58</v>
      </c>
      <c r="I89" t="s">
        <v>59</v>
      </c>
      <c r="J89" t="s">
        <v>58</v>
      </c>
      <c r="K89" t="s">
        <v>1214</v>
      </c>
      <c r="L89" t="str">
        <f t="shared" si="1"/>
        <v>{"test_id":"test_88", "genus_tags":["NN","VB","VBD","VBG","VBN","VBP","VBZ"], "genus_hypo_depth":1,"genus_hyper_hypo_depth":2,"lesk_on_genus":True,"definition_similarity":False,"examples_similarity":False,"lemmas_similarity":True,"score_type":"wup_similarity","lesk_only_n":True,"search_type":"static"}</v>
      </c>
      <c r="M89" t="s">
        <v>132</v>
      </c>
    </row>
    <row r="90" spans="1:18" hidden="1" x14ac:dyDescent="0.2">
      <c r="A90" t="s">
        <v>168</v>
      </c>
      <c r="B90" t="s">
        <v>67</v>
      </c>
      <c r="C90">
        <v>1</v>
      </c>
      <c r="D90">
        <v>2</v>
      </c>
      <c r="E90" t="s">
        <v>58</v>
      </c>
      <c r="F90" t="s">
        <v>57</v>
      </c>
      <c r="G90" t="s">
        <v>57</v>
      </c>
      <c r="H90" t="s">
        <v>58</v>
      </c>
      <c r="I90" t="s">
        <v>59</v>
      </c>
      <c r="J90" t="s">
        <v>58</v>
      </c>
      <c r="K90" t="s">
        <v>1214</v>
      </c>
      <c r="L90" t="str">
        <f t="shared" si="1"/>
        <v>{"test_id":"test_89", "genus_tags":["NN","RB"], "genus_hypo_depth":1,"genus_hyper_hypo_depth":2,"lesk_on_genus":True,"definition_similarity":False,"examples_similarity":False,"lemmas_similarity":True,"score_type":"wup_similarity","lesk_only_n":True,"search_type":"static"}</v>
      </c>
      <c r="M90" t="s">
        <v>132</v>
      </c>
    </row>
    <row r="91" spans="1:18" hidden="1" x14ac:dyDescent="0.2">
      <c r="A91" t="s">
        <v>169</v>
      </c>
      <c r="B91" t="s">
        <v>69</v>
      </c>
      <c r="C91">
        <v>1</v>
      </c>
      <c r="D91">
        <v>2</v>
      </c>
      <c r="E91" t="s">
        <v>58</v>
      </c>
      <c r="F91" t="s">
        <v>57</v>
      </c>
      <c r="G91" t="s">
        <v>57</v>
      </c>
      <c r="H91" t="s">
        <v>58</v>
      </c>
      <c r="I91" t="s">
        <v>59</v>
      </c>
      <c r="J91" t="s">
        <v>58</v>
      </c>
      <c r="K91" t="s">
        <v>1214</v>
      </c>
      <c r="L91" t="str">
        <f t="shared" si="1"/>
        <v>{"test_id":"test_90", "genus_tags":["NN","JJ","VB","VBD","VBG","VBN","VBP","VBZ"], "genus_hypo_depth":1,"genus_hyper_hypo_depth":2,"lesk_on_genus":True,"definition_similarity":False,"examples_similarity":False,"lemmas_similarity":True,"score_type":"wup_similarity","lesk_only_n":True,"search_type":"static"}</v>
      </c>
      <c r="M91" t="s">
        <v>132</v>
      </c>
    </row>
    <row r="92" spans="1:18" x14ac:dyDescent="0.2">
      <c r="A92" t="s">
        <v>1215</v>
      </c>
      <c r="B92" t="s">
        <v>61</v>
      </c>
      <c r="C92">
        <v>0</v>
      </c>
      <c r="D92">
        <v>2</v>
      </c>
      <c r="E92" t="s">
        <v>57</v>
      </c>
      <c r="F92" t="s">
        <v>58</v>
      </c>
      <c r="G92" t="s">
        <v>57</v>
      </c>
      <c r="H92" t="s">
        <v>57</v>
      </c>
      <c r="I92" t="s">
        <v>59</v>
      </c>
      <c r="J92" t="s">
        <v>57</v>
      </c>
      <c r="K92" t="s">
        <v>1310</v>
      </c>
      <c r="L92" t="str">
        <f t="shared" si="1"/>
        <v>{"test_id":"test_91", "genus_tags":["NN","JJ"], "genus_hypo_depth":0,"genus_hyper_hypo_depth":2,"lesk_on_genus":False,"definition_similarity":True,"examples_similarity":False,"lemmas_similarity":False,"score_type":"wup_similarity","lesk_only_n":False,"search_type":"dynamic"}</v>
      </c>
      <c r="M92" t="s">
        <v>132</v>
      </c>
      <c r="R92" t="str">
        <f>""""&amp;I$1&amp;""""&amp;":"""&amp;I92&amp;""","</f>
        <v>"score_type":"wup_similarity",</v>
      </c>
    </row>
    <row r="93" spans="1:18" x14ac:dyDescent="0.2">
      <c r="A93" t="s">
        <v>1216</v>
      </c>
      <c r="B93" t="s">
        <v>61</v>
      </c>
      <c r="C93">
        <v>0</v>
      </c>
      <c r="D93">
        <v>3</v>
      </c>
      <c r="E93" t="s">
        <v>57</v>
      </c>
      <c r="F93" t="s">
        <v>58</v>
      </c>
      <c r="G93" t="s">
        <v>57</v>
      </c>
      <c r="H93" t="s">
        <v>57</v>
      </c>
      <c r="I93" t="s">
        <v>59</v>
      </c>
      <c r="J93" t="s">
        <v>57</v>
      </c>
      <c r="K93" t="s">
        <v>1310</v>
      </c>
      <c r="L93" t="str">
        <f t="shared" si="1"/>
        <v>{"test_id":"test_92", "genus_tags":["NN","JJ"], "genus_hypo_depth":0,"genus_hyper_hypo_depth":3,"lesk_on_genus":False,"definition_similarity":True,"examples_similarity":False,"lemmas_similarity":False,"score_type":"wup_similarity","lesk_only_n":False,"search_type":"dynamic"}</v>
      </c>
      <c r="M93" t="s">
        <v>132</v>
      </c>
    </row>
    <row r="94" spans="1:18" hidden="1" x14ac:dyDescent="0.2">
      <c r="A94" t="s">
        <v>1217</v>
      </c>
      <c r="B94" t="s">
        <v>65</v>
      </c>
      <c r="C94">
        <v>0</v>
      </c>
      <c r="D94">
        <v>2</v>
      </c>
      <c r="E94" t="s">
        <v>57</v>
      </c>
      <c r="F94" t="s">
        <v>58</v>
      </c>
      <c r="G94" t="s">
        <v>57</v>
      </c>
      <c r="H94" t="s">
        <v>57</v>
      </c>
      <c r="I94" t="s">
        <v>59</v>
      </c>
      <c r="J94" t="s">
        <v>57</v>
      </c>
      <c r="K94" t="s">
        <v>1310</v>
      </c>
      <c r="L94" t="str">
        <f t="shared" si="1"/>
        <v>{"test_id":"test_93", "genus_tags":["NN","VB","VBD","VBG","VBN","VBP","VBZ"], "genus_hypo_depth":0,"genus_hyper_hypo_depth":2,"lesk_on_genus":False,"definition_similarity":True,"examples_similarity":False,"lemmas_similarity":False,"score_type":"wup_similarity","lesk_only_n":False,"search_type":"dynamic"}</v>
      </c>
      <c r="M94" t="s">
        <v>132</v>
      </c>
    </row>
    <row r="95" spans="1:18" hidden="1" x14ac:dyDescent="0.2">
      <c r="A95" t="s">
        <v>1218</v>
      </c>
      <c r="B95" t="s">
        <v>65</v>
      </c>
      <c r="C95">
        <v>0</v>
      </c>
      <c r="D95">
        <v>3</v>
      </c>
      <c r="E95" t="s">
        <v>57</v>
      </c>
      <c r="F95" t="s">
        <v>58</v>
      </c>
      <c r="G95" t="s">
        <v>57</v>
      </c>
      <c r="H95" t="s">
        <v>57</v>
      </c>
      <c r="I95" t="s">
        <v>59</v>
      </c>
      <c r="J95" t="s">
        <v>57</v>
      </c>
      <c r="K95" t="s">
        <v>1310</v>
      </c>
      <c r="L95" t="str">
        <f t="shared" si="1"/>
        <v>{"test_id":"test_94", "genus_tags":["NN","VB","VBD","VBG","VBN","VBP","VBZ"], "genus_hypo_depth":0,"genus_hyper_hypo_depth":3,"lesk_on_genus":False,"definition_similarity":True,"examples_similarity":False,"lemmas_similarity":False,"score_type":"wup_similarity","lesk_only_n":False,"search_type":"dynamic"}</v>
      </c>
      <c r="M95" t="s">
        <v>132</v>
      </c>
    </row>
    <row r="96" spans="1:18" hidden="1" x14ac:dyDescent="0.2">
      <c r="A96" t="s">
        <v>1219</v>
      </c>
      <c r="B96" t="s">
        <v>69</v>
      </c>
      <c r="C96">
        <v>0</v>
      </c>
      <c r="D96">
        <v>2</v>
      </c>
      <c r="E96" t="s">
        <v>57</v>
      </c>
      <c r="F96" t="s">
        <v>58</v>
      </c>
      <c r="G96" t="s">
        <v>57</v>
      </c>
      <c r="H96" t="s">
        <v>57</v>
      </c>
      <c r="I96" t="s">
        <v>59</v>
      </c>
      <c r="J96" t="s">
        <v>57</v>
      </c>
      <c r="K96" t="s">
        <v>1310</v>
      </c>
      <c r="L96" t="str">
        <f t="shared" si="1"/>
        <v>{"test_id":"test_95", "genus_tags":["NN","JJ","VB","VBD","VBG","VBN","VBP","VBZ"], "genus_hypo_depth":0,"genus_hyper_hypo_depth":2,"lesk_on_genus":False,"definition_similarity":True,"examples_similarity":False,"lemmas_similarity":False,"score_type":"wup_similarity","lesk_only_n":False,"search_type":"dynamic"}</v>
      </c>
      <c r="M96" t="s">
        <v>132</v>
      </c>
    </row>
    <row r="97" spans="1:13" hidden="1" x14ac:dyDescent="0.2">
      <c r="A97" t="s">
        <v>1220</v>
      </c>
      <c r="B97" t="s">
        <v>69</v>
      </c>
      <c r="C97">
        <v>0</v>
      </c>
      <c r="D97">
        <v>3</v>
      </c>
      <c r="E97" t="s">
        <v>57</v>
      </c>
      <c r="F97" t="s">
        <v>58</v>
      </c>
      <c r="G97" t="s">
        <v>57</v>
      </c>
      <c r="H97" t="s">
        <v>57</v>
      </c>
      <c r="I97" t="s">
        <v>59</v>
      </c>
      <c r="J97" t="s">
        <v>57</v>
      </c>
      <c r="K97" t="s">
        <v>1310</v>
      </c>
      <c r="L97" t="str">
        <f t="shared" si="1"/>
        <v>{"test_id":"test_96", "genus_tags":["NN","JJ","VB","VBD","VBG","VBN","VBP","VBZ"], "genus_hypo_depth":0,"genus_hyper_hypo_depth":3,"lesk_on_genus":False,"definition_similarity":True,"examples_similarity":False,"lemmas_similarity":False,"score_type":"wup_similarity","lesk_only_n":False,"search_type":"dynamic"}</v>
      </c>
      <c r="M97" t="s">
        <v>132</v>
      </c>
    </row>
    <row r="98" spans="1:13" x14ac:dyDescent="0.2">
      <c r="A98" t="s">
        <v>1221</v>
      </c>
      <c r="B98" t="s">
        <v>61</v>
      </c>
      <c r="C98">
        <v>0</v>
      </c>
      <c r="D98">
        <v>2</v>
      </c>
      <c r="E98" t="s">
        <v>58</v>
      </c>
      <c r="F98" t="s">
        <v>58</v>
      </c>
      <c r="G98" t="s">
        <v>57</v>
      </c>
      <c r="H98" t="s">
        <v>57</v>
      </c>
      <c r="I98" t="s">
        <v>59</v>
      </c>
      <c r="J98" t="s">
        <v>57</v>
      </c>
      <c r="K98" t="s">
        <v>1310</v>
      </c>
      <c r="L98" t="str">
        <f t="shared" si="1"/>
        <v>{"test_id":"test_97", "genus_tags":["NN","JJ"], "genus_hypo_depth":0,"genus_hyper_hypo_depth":2,"lesk_on_genus":True,"definition_similarity":True,"examples_similarity":False,"lemmas_similarity":False,"score_type":"wup_similarity","lesk_only_n":False,"search_type":"dynamic"}</v>
      </c>
      <c r="M98" t="s">
        <v>132</v>
      </c>
    </row>
    <row r="99" spans="1:13" x14ac:dyDescent="0.2">
      <c r="A99" t="s">
        <v>1222</v>
      </c>
      <c r="B99" t="s">
        <v>61</v>
      </c>
      <c r="C99">
        <v>0</v>
      </c>
      <c r="D99">
        <v>3</v>
      </c>
      <c r="E99" t="s">
        <v>58</v>
      </c>
      <c r="F99" t="s">
        <v>58</v>
      </c>
      <c r="G99" t="s">
        <v>57</v>
      </c>
      <c r="H99" t="s">
        <v>57</v>
      </c>
      <c r="I99" t="s">
        <v>59</v>
      </c>
      <c r="J99" t="s">
        <v>57</v>
      </c>
      <c r="K99" t="s">
        <v>1310</v>
      </c>
      <c r="L99" t="str">
        <f t="shared" si="1"/>
        <v>{"test_id":"test_98", "genus_tags":["NN","JJ"], "genus_hypo_depth":0,"genus_hyper_hypo_depth":3,"lesk_on_genus":True,"definition_similarity":True,"examples_similarity":False,"lemmas_similarity":False,"score_type":"wup_similarity","lesk_only_n":False,"search_type":"dynamic"}</v>
      </c>
      <c r="M99" t="s">
        <v>132</v>
      </c>
    </row>
    <row r="100" spans="1:13" hidden="1" x14ac:dyDescent="0.2">
      <c r="A100" t="s">
        <v>1223</v>
      </c>
      <c r="B100" t="s">
        <v>65</v>
      </c>
      <c r="C100">
        <v>0</v>
      </c>
      <c r="D100">
        <v>2</v>
      </c>
      <c r="E100" t="s">
        <v>58</v>
      </c>
      <c r="F100" t="s">
        <v>58</v>
      </c>
      <c r="G100" t="s">
        <v>57</v>
      </c>
      <c r="H100" t="s">
        <v>57</v>
      </c>
      <c r="I100" t="s">
        <v>59</v>
      </c>
      <c r="J100" t="s">
        <v>57</v>
      </c>
      <c r="K100" t="s">
        <v>1310</v>
      </c>
      <c r="L100" t="str">
        <f t="shared" si="1"/>
        <v>{"test_id":"test_99", "genus_tags":["NN","VB","VBD","VBG","VBN","VBP","VBZ"], "genus_hypo_depth":0,"genus_hyper_hypo_depth":2,"lesk_on_genus":True,"definition_similarity":True,"examples_similarity":False,"lemmas_similarity":False,"score_type":"wup_similarity","lesk_only_n":False,"search_type":"dynamic"}</v>
      </c>
      <c r="M100" t="s">
        <v>132</v>
      </c>
    </row>
    <row r="101" spans="1:13" hidden="1" x14ac:dyDescent="0.2">
      <c r="A101" t="s">
        <v>1224</v>
      </c>
      <c r="B101" t="s">
        <v>65</v>
      </c>
      <c r="C101">
        <v>0</v>
      </c>
      <c r="D101">
        <v>3</v>
      </c>
      <c r="E101" t="s">
        <v>58</v>
      </c>
      <c r="F101" t="s">
        <v>58</v>
      </c>
      <c r="G101" t="s">
        <v>57</v>
      </c>
      <c r="H101" t="s">
        <v>57</v>
      </c>
      <c r="I101" t="s">
        <v>59</v>
      </c>
      <c r="J101" t="s">
        <v>57</v>
      </c>
      <c r="K101" t="s">
        <v>1310</v>
      </c>
      <c r="L101" t="str">
        <f t="shared" si="1"/>
        <v>{"test_id":"test_100", "genus_tags":["NN","VB","VBD","VBG","VBN","VBP","VBZ"], "genus_hypo_depth":0,"genus_hyper_hypo_depth":3,"lesk_on_genus":True,"definition_similarity":True,"examples_similarity":False,"lemmas_similarity":False,"score_type":"wup_similarity","lesk_only_n":False,"search_type":"dynamic"}</v>
      </c>
      <c r="M101" t="s">
        <v>132</v>
      </c>
    </row>
    <row r="102" spans="1:13" hidden="1" x14ac:dyDescent="0.2">
      <c r="A102" t="s">
        <v>1225</v>
      </c>
      <c r="B102" t="s">
        <v>69</v>
      </c>
      <c r="C102">
        <v>0</v>
      </c>
      <c r="D102">
        <v>2</v>
      </c>
      <c r="E102" t="s">
        <v>58</v>
      </c>
      <c r="F102" t="s">
        <v>58</v>
      </c>
      <c r="G102" t="s">
        <v>57</v>
      </c>
      <c r="H102" t="s">
        <v>57</v>
      </c>
      <c r="I102" t="s">
        <v>59</v>
      </c>
      <c r="J102" t="s">
        <v>57</v>
      </c>
      <c r="K102" t="s">
        <v>1310</v>
      </c>
      <c r="L102" t="str">
        <f t="shared" si="1"/>
        <v>{"test_id":"test_101", "genus_tags":["NN","JJ","VB","VBD","VBG","VBN","VBP","VBZ"], "genus_hypo_depth":0,"genus_hyper_hypo_depth":2,"lesk_on_genus":True,"definition_similarity":True,"examples_similarity":False,"lemmas_similarity":False,"score_type":"wup_similarity","lesk_only_n":False,"search_type":"dynamic"}</v>
      </c>
      <c r="M102" t="s">
        <v>132</v>
      </c>
    </row>
    <row r="103" spans="1:13" hidden="1" x14ac:dyDescent="0.2">
      <c r="A103" t="s">
        <v>1226</v>
      </c>
      <c r="B103" t="s">
        <v>69</v>
      </c>
      <c r="C103">
        <v>0</v>
      </c>
      <c r="D103">
        <v>3</v>
      </c>
      <c r="E103" t="s">
        <v>58</v>
      </c>
      <c r="F103" t="s">
        <v>58</v>
      </c>
      <c r="G103" t="s">
        <v>57</v>
      </c>
      <c r="H103" t="s">
        <v>57</v>
      </c>
      <c r="I103" t="s">
        <v>59</v>
      </c>
      <c r="J103" t="s">
        <v>57</v>
      </c>
      <c r="K103" t="s">
        <v>1310</v>
      </c>
      <c r="L103" t="str">
        <f t="shared" si="1"/>
        <v>{"test_id":"test_102", "genus_tags":["NN","JJ","VB","VBD","VBG","VBN","VBP","VBZ"], "genus_hypo_depth":0,"genus_hyper_hypo_depth":3,"lesk_on_genus":True,"definition_similarity":True,"examples_similarity":False,"lemmas_similarity":False,"score_type":"wup_similarity","lesk_only_n":False,"search_type":"dynamic"}</v>
      </c>
      <c r="M103" t="s">
        <v>132</v>
      </c>
    </row>
    <row r="104" spans="1:13" x14ac:dyDescent="0.2">
      <c r="A104" t="s">
        <v>1227</v>
      </c>
      <c r="B104" t="s">
        <v>61</v>
      </c>
      <c r="C104">
        <v>0</v>
      </c>
      <c r="D104">
        <v>2</v>
      </c>
      <c r="E104" t="s">
        <v>57</v>
      </c>
      <c r="F104" t="s">
        <v>58</v>
      </c>
      <c r="G104" t="s">
        <v>57</v>
      </c>
      <c r="H104" t="s">
        <v>57</v>
      </c>
      <c r="I104" t="s">
        <v>59</v>
      </c>
      <c r="J104" t="s">
        <v>58</v>
      </c>
      <c r="K104" t="s">
        <v>1310</v>
      </c>
      <c r="L104" t="str">
        <f t="shared" si="1"/>
        <v>{"test_id":"test_103", "genus_tags":["NN","JJ"], "genus_hypo_depth":0,"genus_hyper_hypo_depth":2,"lesk_on_genus":False,"definition_similarity":True,"examples_similarity":False,"lemmas_similarity":False,"score_type":"wup_similarity","lesk_only_n":True,"search_type":"dynamic"}</v>
      </c>
      <c r="M104" t="s">
        <v>132</v>
      </c>
    </row>
    <row r="105" spans="1:13" x14ac:dyDescent="0.2">
      <c r="A105" t="s">
        <v>1228</v>
      </c>
      <c r="B105" t="s">
        <v>61</v>
      </c>
      <c r="C105">
        <v>0</v>
      </c>
      <c r="D105">
        <v>3</v>
      </c>
      <c r="E105" t="s">
        <v>58</v>
      </c>
      <c r="F105" t="s">
        <v>58</v>
      </c>
      <c r="G105" t="s">
        <v>57</v>
      </c>
      <c r="H105" t="s">
        <v>57</v>
      </c>
      <c r="I105" t="s">
        <v>59</v>
      </c>
      <c r="J105" t="s">
        <v>58</v>
      </c>
      <c r="K105" t="s">
        <v>1310</v>
      </c>
      <c r="L105" t="str">
        <f t="shared" si="1"/>
        <v>{"test_id":"test_104", "genus_tags":["NN","JJ"], "genus_hypo_depth":0,"genus_hyper_hypo_depth":3,"lesk_on_genus":True,"definition_similarity":True,"examples_similarity":False,"lemmas_similarity":False,"score_type":"wup_similarity","lesk_only_n":True,"search_type":"dynamic"}</v>
      </c>
      <c r="M105" t="s">
        <v>132</v>
      </c>
    </row>
    <row r="106" spans="1:13" hidden="1" x14ac:dyDescent="0.2">
      <c r="A106" t="s">
        <v>1229</v>
      </c>
      <c r="B106" t="s">
        <v>65</v>
      </c>
      <c r="C106">
        <v>0</v>
      </c>
      <c r="D106">
        <v>2</v>
      </c>
      <c r="E106" t="s">
        <v>58</v>
      </c>
      <c r="F106" t="s">
        <v>58</v>
      </c>
      <c r="G106" t="s">
        <v>57</v>
      </c>
      <c r="H106" t="s">
        <v>57</v>
      </c>
      <c r="I106" t="s">
        <v>59</v>
      </c>
      <c r="J106" t="s">
        <v>58</v>
      </c>
      <c r="K106" t="s">
        <v>1310</v>
      </c>
      <c r="L106" t="str">
        <f t="shared" si="1"/>
        <v>{"test_id":"test_105", "genus_tags":["NN","VB","VBD","VBG","VBN","VBP","VBZ"], "genus_hypo_depth":0,"genus_hyper_hypo_depth":2,"lesk_on_genus":True,"definition_similarity":True,"examples_similarity":False,"lemmas_similarity":False,"score_type":"wup_similarity","lesk_only_n":True,"search_type":"dynamic"}</v>
      </c>
      <c r="M106" t="s">
        <v>132</v>
      </c>
    </row>
    <row r="107" spans="1:13" hidden="1" x14ac:dyDescent="0.2">
      <c r="A107" t="s">
        <v>1230</v>
      </c>
      <c r="B107" t="s">
        <v>65</v>
      </c>
      <c r="C107">
        <v>0</v>
      </c>
      <c r="D107">
        <v>3</v>
      </c>
      <c r="E107" t="s">
        <v>58</v>
      </c>
      <c r="F107" t="s">
        <v>58</v>
      </c>
      <c r="G107" t="s">
        <v>57</v>
      </c>
      <c r="H107" t="s">
        <v>57</v>
      </c>
      <c r="I107" t="s">
        <v>59</v>
      </c>
      <c r="J107" t="s">
        <v>58</v>
      </c>
      <c r="K107" t="s">
        <v>1310</v>
      </c>
      <c r="L107" t="str">
        <f t="shared" si="1"/>
        <v>{"test_id":"test_106", "genus_tags":["NN","VB","VBD","VBG","VBN","VBP","VBZ"], "genus_hypo_depth":0,"genus_hyper_hypo_depth":3,"lesk_on_genus":True,"definition_similarity":True,"examples_similarity":False,"lemmas_similarity":False,"score_type":"wup_similarity","lesk_only_n":True,"search_type":"dynamic"}</v>
      </c>
      <c r="M107" t="s">
        <v>132</v>
      </c>
    </row>
    <row r="108" spans="1:13" hidden="1" x14ac:dyDescent="0.2">
      <c r="A108" t="s">
        <v>1231</v>
      </c>
      <c r="B108" t="s">
        <v>69</v>
      </c>
      <c r="C108">
        <v>0</v>
      </c>
      <c r="D108">
        <v>2</v>
      </c>
      <c r="E108" t="s">
        <v>58</v>
      </c>
      <c r="F108" t="s">
        <v>58</v>
      </c>
      <c r="G108" t="s">
        <v>57</v>
      </c>
      <c r="H108" t="s">
        <v>57</v>
      </c>
      <c r="I108" t="s">
        <v>59</v>
      </c>
      <c r="J108" t="s">
        <v>58</v>
      </c>
      <c r="K108" t="s">
        <v>1310</v>
      </c>
      <c r="L108" t="str">
        <f t="shared" si="1"/>
        <v>{"test_id":"test_107", "genus_tags":["NN","JJ","VB","VBD","VBG","VBN","VBP","VBZ"], "genus_hypo_depth":0,"genus_hyper_hypo_depth":2,"lesk_on_genus":True,"definition_similarity":True,"examples_similarity":False,"lemmas_similarity":False,"score_type":"wup_similarity","lesk_only_n":True,"search_type":"dynamic"}</v>
      </c>
      <c r="M108" t="s">
        <v>132</v>
      </c>
    </row>
    <row r="109" spans="1:13" hidden="1" x14ac:dyDescent="0.2">
      <c r="A109" t="s">
        <v>1232</v>
      </c>
      <c r="B109" t="s">
        <v>69</v>
      </c>
      <c r="C109">
        <v>0</v>
      </c>
      <c r="D109">
        <v>3</v>
      </c>
      <c r="E109" t="s">
        <v>58</v>
      </c>
      <c r="F109" t="s">
        <v>58</v>
      </c>
      <c r="G109" t="s">
        <v>57</v>
      </c>
      <c r="H109" t="s">
        <v>57</v>
      </c>
      <c r="I109" t="s">
        <v>59</v>
      </c>
      <c r="J109" t="s">
        <v>58</v>
      </c>
      <c r="K109" t="s">
        <v>1310</v>
      </c>
      <c r="L109" t="str">
        <f t="shared" si="1"/>
        <v>{"test_id":"test_108", "genus_tags":["NN","JJ","VB","VBD","VBG","VBN","VBP","VBZ"], "genus_hypo_depth":0,"genus_hyper_hypo_depth":3,"lesk_on_genus":True,"definition_similarity":True,"examples_similarity":False,"lemmas_similarity":False,"score_type":"wup_similarity","lesk_only_n":True,"search_type":"dynamic"}</v>
      </c>
      <c r="M109" t="s">
        <v>132</v>
      </c>
    </row>
    <row r="110" spans="1:13" x14ac:dyDescent="0.2">
      <c r="A110" t="s">
        <v>1233</v>
      </c>
      <c r="B110" t="s">
        <v>61</v>
      </c>
      <c r="C110">
        <v>0</v>
      </c>
      <c r="D110">
        <v>2</v>
      </c>
      <c r="E110" t="s">
        <v>57</v>
      </c>
      <c r="F110" t="s">
        <v>58</v>
      </c>
      <c r="G110" t="s">
        <v>58</v>
      </c>
      <c r="H110" t="s">
        <v>57</v>
      </c>
      <c r="I110" t="s">
        <v>59</v>
      </c>
      <c r="J110" t="s">
        <v>57</v>
      </c>
      <c r="K110" t="s">
        <v>1310</v>
      </c>
      <c r="L110" t="str">
        <f t="shared" si="1"/>
        <v>{"test_id":"test_109", "genus_tags":["NN","JJ"], "genus_hypo_depth":0,"genus_hyper_hypo_depth":2,"lesk_on_genus":False,"definition_similarity":True,"examples_similarity":True,"lemmas_similarity":False,"score_type":"wup_similarity","lesk_only_n":False,"search_type":"dynamic"}</v>
      </c>
      <c r="M110" t="s">
        <v>132</v>
      </c>
    </row>
    <row r="111" spans="1:13" x14ac:dyDescent="0.2">
      <c r="A111" t="s">
        <v>1234</v>
      </c>
      <c r="B111" t="s">
        <v>61</v>
      </c>
      <c r="C111">
        <v>0</v>
      </c>
      <c r="D111">
        <v>3</v>
      </c>
      <c r="E111" t="s">
        <v>57</v>
      </c>
      <c r="F111" t="s">
        <v>58</v>
      </c>
      <c r="G111" t="s">
        <v>58</v>
      </c>
      <c r="H111" t="s">
        <v>57</v>
      </c>
      <c r="I111" t="s">
        <v>59</v>
      </c>
      <c r="J111" t="s">
        <v>57</v>
      </c>
      <c r="K111" t="s">
        <v>1310</v>
      </c>
      <c r="L111" t="str">
        <f t="shared" si="1"/>
        <v>{"test_id":"test_110", "genus_tags":["NN","JJ"], "genus_hypo_depth":0,"genus_hyper_hypo_depth":3,"lesk_on_genus":False,"definition_similarity":True,"examples_similarity":True,"lemmas_similarity":False,"score_type":"wup_similarity","lesk_only_n":False,"search_type":"dynamic"}</v>
      </c>
      <c r="M111" t="s">
        <v>132</v>
      </c>
    </row>
    <row r="112" spans="1:13" hidden="1" x14ac:dyDescent="0.2">
      <c r="A112" t="s">
        <v>1235</v>
      </c>
      <c r="B112" t="s">
        <v>65</v>
      </c>
      <c r="C112">
        <v>0</v>
      </c>
      <c r="D112">
        <v>2</v>
      </c>
      <c r="E112" t="s">
        <v>57</v>
      </c>
      <c r="F112" t="s">
        <v>58</v>
      </c>
      <c r="G112" t="s">
        <v>58</v>
      </c>
      <c r="H112" t="s">
        <v>57</v>
      </c>
      <c r="I112" t="s">
        <v>59</v>
      </c>
      <c r="J112" t="s">
        <v>57</v>
      </c>
      <c r="K112" t="s">
        <v>1310</v>
      </c>
      <c r="L112" t="str">
        <f t="shared" si="1"/>
        <v>{"test_id":"test_111", "genus_tags":["NN","VB","VBD","VBG","VBN","VBP","VBZ"], "genus_hypo_depth":0,"genus_hyper_hypo_depth":2,"lesk_on_genus":False,"definition_similarity":True,"examples_similarity":True,"lemmas_similarity":False,"score_type":"wup_similarity","lesk_only_n":False,"search_type":"dynamic"}</v>
      </c>
      <c r="M112" t="s">
        <v>132</v>
      </c>
    </row>
    <row r="113" spans="1:13" hidden="1" x14ac:dyDescent="0.2">
      <c r="A113" t="s">
        <v>1236</v>
      </c>
      <c r="B113" t="s">
        <v>65</v>
      </c>
      <c r="C113">
        <v>0</v>
      </c>
      <c r="D113">
        <v>3</v>
      </c>
      <c r="E113" t="s">
        <v>57</v>
      </c>
      <c r="F113" t="s">
        <v>58</v>
      </c>
      <c r="G113" t="s">
        <v>58</v>
      </c>
      <c r="H113" t="s">
        <v>57</v>
      </c>
      <c r="I113" t="s">
        <v>59</v>
      </c>
      <c r="J113" t="s">
        <v>57</v>
      </c>
      <c r="K113" t="s">
        <v>1310</v>
      </c>
      <c r="L113" t="str">
        <f t="shared" si="1"/>
        <v>{"test_id":"test_112", "genus_tags":["NN","VB","VBD","VBG","VBN","VBP","VBZ"], "genus_hypo_depth":0,"genus_hyper_hypo_depth":3,"lesk_on_genus":False,"definition_similarity":True,"examples_similarity":True,"lemmas_similarity":False,"score_type":"wup_similarity","lesk_only_n":False,"search_type":"dynamic"}</v>
      </c>
      <c r="M113" t="s">
        <v>132</v>
      </c>
    </row>
    <row r="114" spans="1:13" hidden="1" x14ac:dyDescent="0.2">
      <c r="A114" t="s">
        <v>1237</v>
      </c>
      <c r="B114" t="s">
        <v>69</v>
      </c>
      <c r="C114">
        <v>0</v>
      </c>
      <c r="D114">
        <v>2</v>
      </c>
      <c r="E114" t="s">
        <v>57</v>
      </c>
      <c r="F114" t="s">
        <v>58</v>
      </c>
      <c r="G114" t="s">
        <v>58</v>
      </c>
      <c r="H114" t="s">
        <v>57</v>
      </c>
      <c r="I114" t="s">
        <v>59</v>
      </c>
      <c r="J114" t="s">
        <v>57</v>
      </c>
      <c r="K114" t="s">
        <v>1310</v>
      </c>
      <c r="L114" t="str">
        <f t="shared" si="1"/>
        <v>{"test_id":"test_113", "genus_tags":["NN","JJ","VB","VBD","VBG","VBN","VBP","VBZ"], "genus_hypo_depth":0,"genus_hyper_hypo_depth":2,"lesk_on_genus":False,"definition_similarity":True,"examples_similarity":True,"lemmas_similarity":False,"score_type":"wup_similarity","lesk_only_n":False,"search_type":"dynamic"}</v>
      </c>
      <c r="M114" t="s">
        <v>132</v>
      </c>
    </row>
    <row r="115" spans="1:13" hidden="1" x14ac:dyDescent="0.2">
      <c r="A115" t="s">
        <v>1238</v>
      </c>
      <c r="B115" t="s">
        <v>69</v>
      </c>
      <c r="C115">
        <v>0</v>
      </c>
      <c r="D115">
        <v>3</v>
      </c>
      <c r="E115" t="s">
        <v>57</v>
      </c>
      <c r="F115" t="s">
        <v>58</v>
      </c>
      <c r="G115" t="s">
        <v>58</v>
      </c>
      <c r="H115" t="s">
        <v>57</v>
      </c>
      <c r="I115" t="s">
        <v>59</v>
      </c>
      <c r="J115" t="s">
        <v>57</v>
      </c>
      <c r="K115" t="s">
        <v>1310</v>
      </c>
      <c r="L115" t="str">
        <f t="shared" si="1"/>
        <v>{"test_id":"test_114", "genus_tags":["NN","JJ","VB","VBD","VBG","VBN","VBP","VBZ"], "genus_hypo_depth":0,"genus_hyper_hypo_depth":3,"lesk_on_genus":False,"definition_similarity":True,"examples_similarity":True,"lemmas_similarity":False,"score_type":"wup_similarity","lesk_only_n":False,"search_type":"dynamic"}</v>
      </c>
      <c r="M115" t="s">
        <v>132</v>
      </c>
    </row>
    <row r="116" spans="1:13" x14ac:dyDescent="0.2">
      <c r="A116" t="s">
        <v>1239</v>
      </c>
      <c r="B116" t="s">
        <v>61</v>
      </c>
      <c r="C116">
        <v>0</v>
      </c>
      <c r="D116">
        <v>2</v>
      </c>
      <c r="E116" t="s">
        <v>58</v>
      </c>
      <c r="F116" t="s">
        <v>58</v>
      </c>
      <c r="G116" t="s">
        <v>58</v>
      </c>
      <c r="H116" t="s">
        <v>57</v>
      </c>
      <c r="I116" t="s">
        <v>59</v>
      </c>
      <c r="J116" t="s">
        <v>57</v>
      </c>
      <c r="K116" t="s">
        <v>1310</v>
      </c>
      <c r="L116" t="str">
        <f t="shared" si="1"/>
        <v>{"test_id":"test_115", "genus_tags":["NN","JJ"], "genus_hypo_depth":0,"genus_hyper_hypo_depth":2,"lesk_on_genus":True,"definition_similarity":True,"examples_similarity":True,"lemmas_similarity":False,"score_type":"wup_similarity","lesk_only_n":False,"search_type":"dynamic"}</v>
      </c>
      <c r="M116" t="s">
        <v>132</v>
      </c>
    </row>
    <row r="117" spans="1:13" x14ac:dyDescent="0.2">
      <c r="A117" t="s">
        <v>1240</v>
      </c>
      <c r="B117" t="s">
        <v>61</v>
      </c>
      <c r="C117">
        <v>0</v>
      </c>
      <c r="D117">
        <v>3</v>
      </c>
      <c r="E117" t="s">
        <v>58</v>
      </c>
      <c r="F117" t="s">
        <v>58</v>
      </c>
      <c r="G117" t="s">
        <v>58</v>
      </c>
      <c r="H117" t="s">
        <v>57</v>
      </c>
      <c r="I117" t="s">
        <v>59</v>
      </c>
      <c r="J117" t="s">
        <v>57</v>
      </c>
      <c r="K117" t="s">
        <v>1310</v>
      </c>
      <c r="L117" t="str">
        <f t="shared" si="1"/>
        <v>{"test_id":"test_116", "genus_tags":["NN","JJ"], "genus_hypo_depth":0,"genus_hyper_hypo_depth":3,"lesk_on_genus":True,"definition_similarity":True,"examples_similarity":True,"lemmas_similarity":False,"score_type":"wup_similarity","lesk_only_n":False,"search_type":"dynamic"}</v>
      </c>
      <c r="M117" t="s">
        <v>132</v>
      </c>
    </row>
    <row r="118" spans="1:13" hidden="1" x14ac:dyDescent="0.2">
      <c r="A118" t="s">
        <v>1241</v>
      </c>
      <c r="B118" t="s">
        <v>65</v>
      </c>
      <c r="C118">
        <v>0</v>
      </c>
      <c r="D118">
        <v>2</v>
      </c>
      <c r="E118" t="s">
        <v>58</v>
      </c>
      <c r="F118" t="s">
        <v>58</v>
      </c>
      <c r="G118" t="s">
        <v>58</v>
      </c>
      <c r="H118" t="s">
        <v>57</v>
      </c>
      <c r="I118" t="s">
        <v>59</v>
      </c>
      <c r="J118" t="s">
        <v>57</v>
      </c>
      <c r="K118" t="s">
        <v>1310</v>
      </c>
      <c r="L118" t="str">
        <f t="shared" si="1"/>
        <v>{"test_id":"test_117", "genus_tags":["NN","VB","VBD","VBG","VBN","VBP","VBZ"], "genus_hypo_depth":0,"genus_hyper_hypo_depth":2,"lesk_on_genus":True,"definition_similarity":True,"examples_similarity":True,"lemmas_similarity":False,"score_type":"wup_similarity","lesk_only_n":False,"search_type":"dynamic"}</v>
      </c>
      <c r="M118" t="s">
        <v>132</v>
      </c>
    </row>
    <row r="119" spans="1:13" hidden="1" x14ac:dyDescent="0.2">
      <c r="A119" t="s">
        <v>1242</v>
      </c>
      <c r="B119" t="s">
        <v>65</v>
      </c>
      <c r="C119">
        <v>0</v>
      </c>
      <c r="D119">
        <v>3</v>
      </c>
      <c r="E119" t="s">
        <v>58</v>
      </c>
      <c r="F119" t="s">
        <v>58</v>
      </c>
      <c r="G119" t="s">
        <v>58</v>
      </c>
      <c r="H119" t="s">
        <v>57</v>
      </c>
      <c r="I119" t="s">
        <v>59</v>
      </c>
      <c r="J119" t="s">
        <v>57</v>
      </c>
      <c r="K119" t="s">
        <v>1310</v>
      </c>
      <c r="L119" t="str">
        <f t="shared" si="1"/>
        <v>{"test_id":"test_118", "genus_tags":["NN","VB","VBD","VBG","VBN","VBP","VBZ"], "genus_hypo_depth":0,"genus_hyper_hypo_depth":3,"lesk_on_genus":True,"definition_similarity":True,"examples_similarity":True,"lemmas_similarity":False,"score_type":"wup_similarity","lesk_only_n":False,"search_type":"dynamic"}</v>
      </c>
      <c r="M119" t="s">
        <v>132</v>
      </c>
    </row>
    <row r="120" spans="1:13" hidden="1" x14ac:dyDescent="0.2">
      <c r="A120" t="s">
        <v>1243</v>
      </c>
      <c r="B120" t="s">
        <v>69</v>
      </c>
      <c r="C120">
        <v>0</v>
      </c>
      <c r="D120">
        <v>2</v>
      </c>
      <c r="E120" t="s">
        <v>58</v>
      </c>
      <c r="F120" t="s">
        <v>58</v>
      </c>
      <c r="G120" t="s">
        <v>58</v>
      </c>
      <c r="H120" t="s">
        <v>57</v>
      </c>
      <c r="I120" t="s">
        <v>59</v>
      </c>
      <c r="J120" t="s">
        <v>57</v>
      </c>
      <c r="K120" t="s">
        <v>1310</v>
      </c>
      <c r="L120" t="str">
        <f t="shared" si="1"/>
        <v>{"test_id":"test_119", "genus_tags":["NN","JJ","VB","VBD","VBG","VBN","VBP","VBZ"], "genus_hypo_depth":0,"genus_hyper_hypo_depth":2,"lesk_on_genus":True,"definition_similarity":True,"examples_similarity":True,"lemmas_similarity":False,"score_type":"wup_similarity","lesk_only_n":False,"search_type":"dynamic"}</v>
      </c>
      <c r="M120" t="s">
        <v>132</v>
      </c>
    </row>
    <row r="121" spans="1:13" hidden="1" x14ac:dyDescent="0.2">
      <c r="A121" t="s">
        <v>1244</v>
      </c>
      <c r="B121" t="s">
        <v>69</v>
      </c>
      <c r="C121">
        <v>0</v>
      </c>
      <c r="D121">
        <v>3</v>
      </c>
      <c r="E121" t="s">
        <v>58</v>
      </c>
      <c r="F121" t="s">
        <v>58</v>
      </c>
      <c r="G121" t="s">
        <v>58</v>
      </c>
      <c r="H121" t="s">
        <v>57</v>
      </c>
      <c r="I121" t="s">
        <v>59</v>
      </c>
      <c r="J121" t="s">
        <v>57</v>
      </c>
      <c r="K121" t="s">
        <v>1310</v>
      </c>
      <c r="L121" t="str">
        <f t="shared" si="1"/>
        <v>{"test_id":"test_120", "genus_tags":["NN","JJ","VB","VBD","VBG","VBN","VBP","VBZ"], "genus_hypo_depth":0,"genus_hyper_hypo_depth":3,"lesk_on_genus":True,"definition_similarity":True,"examples_similarity":True,"lemmas_similarity":False,"score_type":"wup_similarity","lesk_only_n":False,"search_type":"dynamic"}</v>
      </c>
      <c r="M121" t="s">
        <v>132</v>
      </c>
    </row>
    <row r="122" spans="1:13" x14ac:dyDescent="0.2">
      <c r="A122" t="s">
        <v>1245</v>
      </c>
      <c r="B122" t="s">
        <v>61</v>
      </c>
      <c r="C122">
        <v>0</v>
      </c>
      <c r="D122">
        <v>2</v>
      </c>
      <c r="E122" t="s">
        <v>57</v>
      </c>
      <c r="F122" t="s">
        <v>58</v>
      </c>
      <c r="G122" t="s">
        <v>58</v>
      </c>
      <c r="H122" t="s">
        <v>57</v>
      </c>
      <c r="I122" t="s">
        <v>59</v>
      </c>
      <c r="J122" t="s">
        <v>58</v>
      </c>
      <c r="K122" t="s">
        <v>1310</v>
      </c>
      <c r="L122" t="str">
        <f t="shared" si="1"/>
        <v>{"test_id":"test_121", "genus_tags":["NN","JJ"], "genus_hypo_depth":0,"genus_hyper_hypo_depth":2,"lesk_on_genus":False,"definition_similarity":True,"examples_similarity":True,"lemmas_similarity":False,"score_type":"wup_similarity","lesk_only_n":True,"search_type":"dynamic"}</v>
      </c>
      <c r="M122" t="s">
        <v>132</v>
      </c>
    </row>
    <row r="123" spans="1:13" x14ac:dyDescent="0.2">
      <c r="A123" t="s">
        <v>1246</v>
      </c>
      <c r="B123" t="s">
        <v>61</v>
      </c>
      <c r="C123">
        <v>0</v>
      </c>
      <c r="D123">
        <v>3</v>
      </c>
      <c r="E123" t="s">
        <v>58</v>
      </c>
      <c r="F123" t="s">
        <v>58</v>
      </c>
      <c r="G123" t="s">
        <v>58</v>
      </c>
      <c r="H123" t="s">
        <v>57</v>
      </c>
      <c r="I123" t="s">
        <v>59</v>
      </c>
      <c r="J123" t="s">
        <v>58</v>
      </c>
      <c r="K123" t="s">
        <v>1310</v>
      </c>
      <c r="L123" t="str">
        <f t="shared" si="1"/>
        <v>{"test_id":"test_122", "genus_tags":["NN","JJ"], "genus_hypo_depth":0,"genus_hyper_hypo_depth":3,"lesk_on_genus":True,"definition_similarity":True,"examples_similarity":True,"lemmas_similarity":False,"score_type":"wup_similarity","lesk_only_n":True,"search_type":"dynamic"}</v>
      </c>
      <c r="M123" t="s">
        <v>132</v>
      </c>
    </row>
    <row r="124" spans="1:13" hidden="1" x14ac:dyDescent="0.2">
      <c r="A124" t="s">
        <v>1247</v>
      </c>
      <c r="B124" t="s">
        <v>65</v>
      </c>
      <c r="C124">
        <v>0</v>
      </c>
      <c r="D124">
        <v>2</v>
      </c>
      <c r="E124" t="s">
        <v>58</v>
      </c>
      <c r="F124" t="s">
        <v>58</v>
      </c>
      <c r="G124" t="s">
        <v>58</v>
      </c>
      <c r="H124" t="s">
        <v>57</v>
      </c>
      <c r="I124" t="s">
        <v>59</v>
      </c>
      <c r="J124" t="s">
        <v>58</v>
      </c>
      <c r="K124" t="s">
        <v>1310</v>
      </c>
      <c r="L124" t="str">
        <f t="shared" si="1"/>
        <v>{"test_id":"test_123", "genus_tags":["NN","VB","VBD","VBG","VBN","VBP","VBZ"], "genus_hypo_depth":0,"genus_hyper_hypo_depth":2,"lesk_on_genus":True,"definition_similarity":True,"examples_similarity":True,"lemmas_similarity":False,"score_type":"wup_similarity","lesk_only_n":True,"search_type":"dynamic"}</v>
      </c>
      <c r="M124" t="s">
        <v>132</v>
      </c>
    </row>
    <row r="125" spans="1:13" hidden="1" x14ac:dyDescent="0.2">
      <c r="A125" t="s">
        <v>1248</v>
      </c>
      <c r="B125" t="s">
        <v>65</v>
      </c>
      <c r="C125">
        <v>0</v>
      </c>
      <c r="D125">
        <v>3</v>
      </c>
      <c r="E125" t="s">
        <v>58</v>
      </c>
      <c r="F125" t="s">
        <v>58</v>
      </c>
      <c r="G125" t="s">
        <v>58</v>
      </c>
      <c r="H125" t="s">
        <v>57</v>
      </c>
      <c r="I125" t="s">
        <v>59</v>
      </c>
      <c r="J125" t="s">
        <v>58</v>
      </c>
      <c r="K125" t="s">
        <v>1310</v>
      </c>
      <c r="L125" t="str">
        <f t="shared" si="1"/>
        <v>{"test_id":"test_124", "genus_tags":["NN","VB","VBD","VBG","VBN","VBP","VBZ"], "genus_hypo_depth":0,"genus_hyper_hypo_depth":3,"lesk_on_genus":True,"definition_similarity":True,"examples_similarity":True,"lemmas_similarity":False,"score_type":"wup_similarity","lesk_only_n":True,"search_type":"dynamic"}</v>
      </c>
      <c r="M125" t="s">
        <v>132</v>
      </c>
    </row>
    <row r="126" spans="1:13" hidden="1" x14ac:dyDescent="0.2">
      <c r="A126" t="s">
        <v>1249</v>
      </c>
      <c r="B126" t="s">
        <v>69</v>
      </c>
      <c r="C126">
        <v>0</v>
      </c>
      <c r="D126">
        <v>2</v>
      </c>
      <c r="E126" t="s">
        <v>58</v>
      </c>
      <c r="F126" t="s">
        <v>58</v>
      </c>
      <c r="G126" t="s">
        <v>58</v>
      </c>
      <c r="H126" t="s">
        <v>57</v>
      </c>
      <c r="I126" t="s">
        <v>59</v>
      </c>
      <c r="J126" t="s">
        <v>58</v>
      </c>
      <c r="K126" t="s">
        <v>1310</v>
      </c>
      <c r="L126" t="str">
        <f t="shared" si="1"/>
        <v>{"test_id":"test_125", "genus_tags":["NN","JJ","VB","VBD","VBG","VBN","VBP","VBZ"], "genus_hypo_depth":0,"genus_hyper_hypo_depth":2,"lesk_on_genus":True,"definition_similarity":True,"examples_similarity":True,"lemmas_similarity":False,"score_type":"wup_similarity","lesk_only_n":True,"search_type":"dynamic"}</v>
      </c>
      <c r="M126" t="s">
        <v>132</v>
      </c>
    </row>
    <row r="127" spans="1:13" hidden="1" x14ac:dyDescent="0.2">
      <c r="A127" t="s">
        <v>1250</v>
      </c>
      <c r="B127" t="s">
        <v>69</v>
      </c>
      <c r="C127">
        <v>0</v>
      </c>
      <c r="D127">
        <v>3</v>
      </c>
      <c r="E127" t="s">
        <v>58</v>
      </c>
      <c r="F127" t="s">
        <v>58</v>
      </c>
      <c r="G127" t="s">
        <v>58</v>
      </c>
      <c r="H127" t="s">
        <v>57</v>
      </c>
      <c r="I127" t="s">
        <v>59</v>
      </c>
      <c r="J127" t="s">
        <v>58</v>
      </c>
      <c r="K127" t="s">
        <v>1310</v>
      </c>
      <c r="L127" t="str">
        <f t="shared" si="1"/>
        <v>{"test_id":"test_126", "genus_tags":["NN","JJ","VB","VBD","VBG","VBN","VBP","VBZ"], "genus_hypo_depth":0,"genus_hyper_hypo_depth":3,"lesk_on_genus":True,"definition_similarity":True,"examples_similarity":True,"lemmas_similarity":False,"score_type":"wup_similarity","lesk_only_n":True,"search_type":"dynamic"}</v>
      </c>
      <c r="M127" t="s">
        <v>132</v>
      </c>
    </row>
    <row r="128" spans="1:13" x14ac:dyDescent="0.2">
      <c r="A128" t="s">
        <v>1251</v>
      </c>
      <c r="B128" t="s">
        <v>61</v>
      </c>
      <c r="C128">
        <v>0</v>
      </c>
      <c r="D128">
        <v>2</v>
      </c>
      <c r="E128" t="s">
        <v>57</v>
      </c>
      <c r="F128" t="s">
        <v>58</v>
      </c>
      <c r="G128" t="s">
        <v>58</v>
      </c>
      <c r="H128" t="s">
        <v>58</v>
      </c>
      <c r="I128" t="s">
        <v>59</v>
      </c>
      <c r="J128" t="s">
        <v>57</v>
      </c>
      <c r="K128" t="s">
        <v>1310</v>
      </c>
      <c r="L128" t="str">
        <f t="shared" si="1"/>
        <v>{"test_id":"test_127", "genus_tags":["NN","JJ"], "genus_hypo_depth":0,"genus_hyper_hypo_depth":2,"lesk_on_genus":False,"definition_similarity":True,"examples_similarity":True,"lemmas_similarity":True,"score_type":"wup_similarity","lesk_only_n":False,"search_type":"dynamic"}</v>
      </c>
      <c r="M128" t="s">
        <v>132</v>
      </c>
    </row>
    <row r="129" spans="1:13" x14ac:dyDescent="0.2">
      <c r="A129" t="s">
        <v>1252</v>
      </c>
      <c r="B129" t="s">
        <v>61</v>
      </c>
      <c r="C129">
        <v>0</v>
      </c>
      <c r="D129">
        <v>3</v>
      </c>
      <c r="E129" t="s">
        <v>57</v>
      </c>
      <c r="F129" t="s">
        <v>58</v>
      </c>
      <c r="G129" t="s">
        <v>58</v>
      </c>
      <c r="H129" t="s">
        <v>58</v>
      </c>
      <c r="I129" t="s">
        <v>59</v>
      </c>
      <c r="J129" t="s">
        <v>57</v>
      </c>
      <c r="K129" t="s">
        <v>1310</v>
      </c>
      <c r="L129" t="str">
        <f t="shared" si="1"/>
        <v>{"test_id":"test_128", "genus_tags":["NN","JJ"], "genus_hypo_depth":0,"genus_hyper_hypo_depth":3,"lesk_on_genus":False,"definition_similarity":True,"examples_similarity":True,"lemmas_similarity":True,"score_type":"wup_similarity","lesk_only_n":False,"search_type":"dynamic"}</v>
      </c>
      <c r="M129" t="s">
        <v>132</v>
      </c>
    </row>
    <row r="130" spans="1:13" hidden="1" x14ac:dyDescent="0.2">
      <c r="A130" t="s">
        <v>1253</v>
      </c>
      <c r="B130" t="s">
        <v>65</v>
      </c>
      <c r="C130">
        <v>0</v>
      </c>
      <c r="D130">
        <v>2</v>
      </c>
      <c r="E130" t="s">
        <v>57</v>
      </c>
      <c r="F130" t="s">
        <v>58</v>
      </c>
      <c r="G130" t="s">
        <v>58</v>
      </c>
      <c r="H130" t="s">
        <v>58</v>
      </c>
      <c r="I130" t="s">
        <v>59</v>
      </c>
      <c r="J130" t="s">
        <v>57</v>
      </c>
      <c r="K130" t="s">
        <v>1310</v>
      </c>
      <c r="L130" t="str">
        <f t="shared" si="1"/>
        <v>{"test_id":"test_129", "genus_tags":["NN","VB","VBD","VBG","VBN","VBP","VBZ"], "genus_hypo_depth":0,"genus_hyper_hypo_depth":2,"lesk_on_genus":False,"definition_similarity":True,"examples_similarity":True,"lemmas_similarity":True,"score_type":"wup_similarity","lesk_only_n":False,"search_type":"dynamic"}</v>
      </c>
      <c r="M130" t="s">
        <v>132</v>
      </c>
    </row>
    <row r="131" spans="1:13" hidden="1" x14ac:dyDescent="0.2">
      <c r="A131" t="s">
        <v>1254</v>
      </c>
      <c r="B131" t="s">
        <v>65</v>
      </c>
      <c r="C131">
        <v>0</v>
      </c>
      <c r="D131">
        <v>3</v>
      </c>
      <c r="E131" t="s">
        <v>57</v>
      </c>
      <c r="F131" t="s">
        <v>58</v>
      </c>
      <c r="G131" t="s">
        <v>58</v>
      </c>
      <c r="H131" t="s">
        <v>58</v>
      </c>
      <c r="I131" t="s">
        <v>59</v>
      </c>
      <c r="J131" t="s">
        <v>57</v>
      </c>
      <c r="K131" t="s">
        <v>1310</v>
      </c>
      <c r="L131" t="str">
        <f t="shared" ref="L131:L181" si="2">"{"""&amp;A$1&amp;""""&amp;":"""&amp;A131&amp;""", "&amp;SUBSTITUTE( """"&amp;B$1&amp;""""&amp;":["""&amp;B131&amp;"""]",",",""",""")&amp;", "&amp;""""&amp;C$1&amp;""""&amp;":"&amp;C131&amp;","&amp;""""&amp;D$1&amp;""""&amp;":"&amp;D131&amp;","&amp;""""&amp;E$1&amp;""""&amp;":"&amp;E131&amp;","&amp;""""&amp;F$1&amp;""""&amp;":"&amp;F131&amp;","&amp;""""&amp;G$1&amp;""""&amp;":"&amp;G131&amp;","&amp;""""&amp;H$1&amp;""""&amp;":"&amp;H131&amp;","&amp;""""&amp;I$1&amp;""""&amp;":"""&amp;I131&amp;""","&amp;""""&amp;J$1&amp;""""&amp;":"&amp;J131&amp;","&amp;""""&amp;K$1&amp;""""&amp;":"""&amp;K131&amp;"""}"</f>
        <v>{"test_id":"test_130", "genus_tags":["NN","VB","VBD","VBG","VBN","VBP","VBZ"], "genus_hypo_depth":0,"genus_hyper_hypo_depth":3,"lesk_on_genus":False,"definition_similarity":True,"examples_similarity":True,"lemmas_similarity":True,"score_type":"wup_similarity","lesk_only_n":False,"search_type":"dynamic"}</v>
      </c>
      <c r="M131" t="s">
        <v>132</v>
      </c>
    </row>
    <row r="132" spans="1:13" hidden="1" x14ac:dyDescent="0.2">
      <c r="A132" t="s">
        <v>1255</v>
      </c>
      <c r="B132" t="s">
        <v>69</v>
      </c>
      <c r="C132">
        <v>0</v>
      </c>
      <c r="D132">
        <v>2</v>
      </c>
      <c r="E132" t="s">
        <v>57</v>
      </c>
      <c r="F132" t="s">
        <v>58</v>
      </c>
      <c r="G132" t="s">
        <v>58</v>
      </c>
      <c r="H132" t="s">
        <v>58</v>
      </c>
      <c r="I132" t="s">
        <v>59</v>
      </c>
      <c r="J132" t="s">
        <v>57</v>
      </c>
      <c r="K132" t="s">
        <v>1310</v>
      </c>
      <c r="L132" t="str">
        <f t="shared" si="2"/>
        <v>{"test_id":"test_131", "genus_tags":["NN","JJ","VB","VBD","VBG","VBN","VBP","VBZ"], "genus_hypo_depth":0,"genus_hyper_hypo_depth":2,"lesk_on_genus":False,"definition_similarity":True,"examples_similarity":True,"lemmas_similarity":True,"score_type":"wup_similarity","lesk_only_n":False,"search_type":"dynamic"}</v>
      </c>
      <c r="M132" t="s">
        <v>132</v>
      </c>
    </row>
    <row r="133" spans="1:13" hidden="1" x14ac:dyDescent="0.2">
      <c r="A133" t="s">
        <v>1256</v>
      </c>
      <c r="B133" t="s">
        <v>69</v>
      </c>
      <c r="C133">
        <v>0</v>
      </c>
      <c r="D133">
        <v>3</v>
      </c>
      <c r="E133" t="s">
        <v>57</v>
      </c>
      <c r="F133" t="s">
        <v>58</v>
      </c>
      <c r="G133" t="s">
        <v>58</v>
      </c>
      <c r="H133" t="s">
        <v>58</v>
      </c>
      <c r="I133" t="s">
        <v>59</v>
      </c>
      <c r="J133" t="s">
        <v>57</v>
      </c>
      <c r="K133" t="s">
        <v>1310</v>
      </c>
      <c r="L133" t="str">
        <f t="shared" si="2"/>
        <v>{"test_id":"test_132", "genus_tags":["NN","JJ","VB","VBD","VBG","VBN","VBP","VBZ"], "genus_hypo_depth":0,"genus_hyper_hypo_depth":3,"lesk_on_genus":False,"definition_similarity":True,"examples_similarity":True,"lemmas_similarity":True,"score_type":"wup_similarity","lesk_only_n":False,"search_type":"dynamic"}</v>
      </c>
      <c r="M133" t="s">
        <v>132</v>
      </c>
    </row>
    <row r="134" spans="1:13" x14ac:dyDescent="0.2">
      <c r="A134" t="s">
        <v>1257</v>
      </c>
      <c r="B134" t="s">
        <v>61</v>
      </c>
      <c r="C134">
        <v>0</v>
      </c>
      <c r="D134">
        <v>2</v>
      </c>
      <c r="E134" t="s">
        <v>58</v>
      </c>
      <c r="F134" t="s">
        <v>58</v>
      </c>
      <c r="G134" t="s">
        <v>58</v>
      </c>
      <c r="H134" t="s">
        <v>58</v>
      </c>
      <c r="I134" t="s">
        <v>59</v>
      </c>
      <c r="J134" t="s">
        <v>57</v>
      </c>
      <c r="K134" t="s">
        <v>1310</v>
      </c>
      <c r="L134" t="str">
        <f t="shared" si="2"/>
        <v>{"test_id":"test_133", "genus_tags":["NN","JJ"], "genus_hypo_depth":0,"genus_hyper_hypo_depth":2,"lesk_on_genus":True,"definition_similarity":True,"examples_similarity":True,"lemmas_similarity":True,"score_type":"wup_similarity","lesk_only_n":False,"search_type":"dynamic"}</v>
      </c>
      <c r="M134" t="s">
        <v>132</v>
      </c>
    </row>
    <row r="135" spans="1:13" x14ac:dyDescent="0.2">
      <c r="A135" t="s">
        <v>1258</v>
      </c>
      <c r="B135" t="s">
        <v>61</v>
      </c>
      <c r="C135">
        <v>0</v>
      </c>
      <c r="D135">
        <v>3</v>
      </c>
      <c r="E135" t="s">
        <v>58</v>
      </c>
      <c r="F135" t="s">
        <v>58</v>
      </c>
      <c r="G135" t="s">
        <v>58</v>
      </c>
      <c r="H135" t="s">
        <v>58</v>
      </c>
      <c r="I135" t="s">
        <v>59</v>
      </c>
      <c r="J135" t="s">
        <v>57</v>
      </c>
      <c r="K135" t="s">
        <v>1310</v>
      </c>
      <c r="L135" t="str">
        <f t="shared" si="2"/>
        <v>{"test_id":"test_134", "genus_tags":["NN","JJ"], "genus_hypo_depth":0,"genus_hyper_hypo_depth":3,"lesk_on_genus":True,"definition_similarity":True,"examples_similarity":True,"lemmas_similarity":True,"score_type":"wup_similarity","lesk_only_n":False,"search_type":"dynamic"}</v>
      </c>
      <c r="M135" t="s">
        <v>132</v>
      </c>
    </row>
    <row r="136" spans="1:13" hidden="1" x14ac:dyDescent="0.2">
      <c r="A136" t="s">
        <v>1259</v>
      </c>
      <c r="B136" t="s">
        <v>65</v>
      </c>
      <c r="C136">
        <v>0</v>
      </c>
      <c r="D136">
        <v>2</v>
      </c>
      <c r="E136" t="s">
        <v>58</v>
      </c>
      <c r="F136" t="s">
        <v>58</v>
      </c>
      <c r="G136" t="s">
        <v>58</v>
      </c>
      <c r="H136" t="s">
        <v>58</v>
      </c>
      <c r="I136" t="s">
        <v>59</v>
      </c>
      <c r="J136" t="s">
        <v>57</v>
      </c>
      <c r="K136" t="s">
        <v>1310</v>
      </c>
      <c r="L136" t="str">
        <f t="shared" si="2"/>
        <v>{"test_id":"test_135", "genus_tags":["NN","VB","VBD","VBG","VBN","VBP","VBZ"], "genus_hypo_depth":0,"genus_hyper_hypo_depth":2,"lesk_on_genus":True,"definition_similarity":True,"examples_similarity":True,"lemmas_similarity":True,"score_type":"wup_similarity","lesk_only_n":False,"search_type":"dynamic"}</v>
      </c>
      <c r="M136" t="s">
        <v>132</v>
      </c>
    </row>
    <row r="137" spans="1:13" hidden="1" x14ac:dyDescent="0.2">
      <c r="A137" t="s">
        <v>1260</v>
      </c>
      <c r="B137" t="s">
        <v>65</v>
      </c>
      <c r="C137">
        <v>0</v>
      </c>
      <c r="D137">
        <v>3</v>
      </c>
      <c r="E137" t="s">
        <v>58</v>
      </c>
      <c r="F137" t="s">
        <v>58</v>
      </c>
      <c r="G137" t="s">
        <v>58</v>
      </c>
      <c r="H137" t="s">
        <v>58</v>
      </c>
      <c r="I137" t="s">
        <v>59</v>
      </c>
      <c r="J137" t="s">
        <v>57</v>
      </c>
      <c r="K137" t="s">
        <v>1310</v>
      </c>
      <c r="L137" t="str">
        <f t="shared" si="2"/>
        <v>{"test_id":"test_136", "genus_tags":["NN","VB","VBD","VBG","VBN","VBP","VBZ"], "genus_hypo_depth":0,"genus_hyper_hypo_depth":3,"lesk_on_genus":True,"definition_similarity":True,"examples_similarity":True,"lemmas_similarity":True,"score_type":"wup_similarity","lesk_only_n":False,"search_type":"dynamic"}</v>
      </c>
      <c r="M137" t="s">
        <v>132</v>
      </c>
    </row>
    <row r="138" spans="1:13" hidden="1" x14ac:dyDescent="0.2">
      <c r="A138" t="s">
        <v>1261</v>
      </c>
      <c r="B138" t="s">
        <v>69</v>
      </c>
      <c r="C138">
        <v>0</v>
      </c>
      <c r="D138">
        <v>2</v>
      </c>
      <c r="E138" t="s">
        <v>58</v>
      </c>
      <c r="F138" t="s">
        <v>58</v>
      </c>
      <c r="G138" t="s">
        <v>58</v>
      </c>
      <c r="H138" t="s">
        <v>58</v>
      </c>
      <c r="I138" t="s">
        <v>59</v>
      </c>
      <c r="J138" t="s">
        <v>57</v>
      </c>
      <c r="K138" t="s">
        <v>1310</v>
      </c>
      <c r="L138" t="str">
        <f t="shared" si="2"/>
        <v>{"test_id":"test_137", "genus_tags":["NN","JJ","VB","VBD","VBG","VBN","VBP","VBZ"], "genus_hypo_depth":0,"genus_hyper_hypo_depth":2,"lesk_on_genus":True,"definition_similarity":True,"examples_similarity":True,"lemmas_similarity":True,"score_type":"wup_similarity","lesk_only_n":False,"search_type":"dynamic"}</v>
      </c>
      <c r="M138" t="s">
        <v>132</v>
      </c>
    </row>
    <row r="139" spans="1:13" hidden="1" x14ac:dyDescent="0.2">
      <c r="A139" t="s">
        <v>1262</v>
      </c>
      <c r="B139" t="s">
        <v>69</v>
      </c>
      <c r="C139">
        <v>0</v>
      </c>
      <c r="D139">
        <v>3</v>
      </c>
      <c r="E139" t="s">
        <v>58</v>
      </c>
      <c r="F139" t="s">
        <v>58</v>
      </c>
      <c r="G139" t="s">
        <v>58</v>
      </c>
      <c r="H139" t="s">
        <v>58</v>
      </c>
      <c r="I139" t="s">
        <v>59</v>
      </c>
      <c r="J139" t="s">
        <v>57</v>
      </c>
      <c r="K139" t="s">
        <v>1310</v>
      </c>
      <c r="L139" t="str">
        <f t="shared" si="2"/>
        <v>{"test_id":"test_138", "genus_tags":["NN","JJ","VB","VBD","VBG","VBN","VBP","VBZ"], "genus_hypo_depth":0,"genus_hyper_hypo_depth":3,"lesk_on_genus":True,"definition_similarity":True,"examples_similarity":True,"lemmas_similarity":True,"score_type":"wup_similarity","lesk_only_n":False,"search_type":"dynamic"}</v>
      </c>
      <c r="M139" t="s">
        <v>132</v>
      </c>
    </row>
    <row r="140" spans="1:13" x14ac:dyDescent="0.2">
      <c r="A140" t="s">
        <v>1263</v>
      </c>
      <c r="B140" t="s">
        <v>61</v>
      </c>
      <c r="C140">
        <v>0</v>
      </c>
      <c r="D140">
        <v>2</v>
      </c>
      <c r="E140" t="s">
        <v>57</v>
      </c>
      <c r="F140" t="s">
        <v>58</v>
      </c>
      <c r="G140" t="s">
        <v>58</v>
      </c>
      <c r="H140" t="s">
        <v>58</v>
      </c>
      <c r="I140" t="s">
        <v>59</v>
      </c>
      <c r="J140" t="s">
        <v>58</v>
      </c>
      <c r="K140" t="s">
        <v>1310</v>
      </c>
      <c r="L140" t="str">
        <f t="shared" si="2"/>
        <v>{"test_id":"test_139", "genus_tags":["NN","JJ"], "genus_hypo_depth":0,"genus_hyper_hypo_depth":2,"lesk_on_genus":False,"definition_similarity":True,"examples_similarity":True,"lemmas_similarity":True,"score_type":"wup_similarity","lesk_only_n":True,"search_type":"dynamic"}</v>
      </c>
      <c r="M140" t="s">
        <v>132</v>
      </c>
    </row>
    <row r="141" spans="1:13" x14ac:dyDescent="0.2">
      <c r="A141" t="s">
        <v>1264</v>
      </c>
      <c r="B141" t="s">
        <v>61</v>
      </c>
      <c r="C141">
        <v>0</v>
      </c>
      <c r="D141">
        <v>3</v>
      </c>
      <c r="E141" t="s">
        <v>58</v>
      </c>
      <c r="F141" t="s">
        <v>58</v>
      </c>
      <c r="G141" t="s">
        <v>58</v>
      </c>
      <c r="H141" t="s">
        <v>58</v>
      </c>
      <c r="I141" t="s">
        <v>59</v>
      </c>
      <c r="J141" t="s">
        <v>58</v>
      </c>
      <c r="K141" t="s">
        <v>1310</v>
      </c>
      <c r="L141" t="str">
        <f t="shared" si="2"/>
        <v>{"test_id":"test_140", "genus_tags":["NN","JJ"], "genus_hypo_depth":0,"genus_hyper_hypo_depth":3,"lesk_on_genus":True,"definition_similarity":True,"examples_similarity":True,"lemmas_similarity":True,"score_type":"wup_similarity","lesk_only_n":True,"search_type":"dynamic"}</v>
      </c>
      <c r="M141" t="s">
        <v>132</v>
      </c>
    </row>
    <row r="142" spans="1:13" hidden="1" x14ac:dyDescent="0.2">
      <c r="A142" t="s">
        <v>1265</v>
      </c>
      <c r="B142" t="s">
        <v>65</v>
      </c>
      <c r="C142">
        <v>0</v>
      </c>
      <c r="D142">
        <v>2</v>
      </c>
      <c r="E142" t="s">
        <v>58</v>
      </c>
      <c r="F142" t="s">
        <v>58</v>
      </c>
      <c r="G142" t="s">
        <v>58</v>
      </c>
      <c r="H142" t="s">
        <v>58</v>
      </c>
      <c r="I142" t="s">
        <v>59</v>
      </c>
      <c r="J142" t="s">
        <v>58</v>
      </c>
      <c r="K142" t="s">
        <v>1310</v>
      </c>
      <c r="L142" t="str">
        <f t="shared" si="2"/>
        <v>{"test_id":"test_141", "genus_tags":["NN","VB","VBD","VBG","VBN","VBP","VBZ"], "genus_hypo_depth":0,"genus_hyper_hypo_depth":2,"lesk_on_genus":True,"definition_similarity":True,"examples_similarity":True,"lemmas_similarity":True,"score_type":"wup_similarity","lesk_only_n":True,"search_type":"dynamic"}</v>
      </c>
      <c r="M142" t="s">
        <v>132</v>
      </c>
    </row>
    <row r="143" spans="1:13" hidden="1" x14ac:dyDescent="0.2">
      <c r="A143" t="s">
        <v>1266</v>
      </c>
      <c r="B143" t="s">
        <v>65</v>
      </c>
      <c r="C143">
        <v>0</v>
      </c>
      <c r="D143">
        <v>3</v>
      </c>
      <c r="E143" t="s">
        <v>58</v>
      </c>
      <c r="F143" t="s">
        <v>58</v>
      </c>
      <c r="G143" t="s">
        <v>58</v>
      </c>
      <c r="H143" t="s">
        <v>58</v>
      </c>
      <c r="I143" t="s">
        <v>59</v>
      </c>
      <c r="J143" t="s">
        <v>58</v>
      </c>
      <c r="K143" t="s">
        <v>1310</v>
      </c>
      <c r="L143" t="str">
        <f t="shared" si="2"/>
        <v>{"test_id":"test_142", "genus_tags":["NN","VB","VBD","VBG","VBN","VBP","VBZ"], "genus_hypo_depth":0,"genus_hyper_hypo_depth":3,"lesk_on_genus":True,"definition_similarity":True,"examples_similarity":True,"lemmas_similarity":True,"score_type":"wup_similarity","lesk_only_n":True,"search_type":"dynamic"}</v>
      </c>
      <c r="M143" t="s">
        <v>132</v>
      </c>
    </row>
    <row r="144" spans="1:13" hidden="1" x14ac:dyDescent="0.2">
      <c r="A144" t="s">
        <v>1267</v>
      </c>
      <c r="B144" t="s">
        <v>69</v>
      </c>
      <c r="C144">
        <v>0</v>
      </c>
      <c r="D144">
        <v>2</v>
      </c>
      <c r="E144" t="s">
        <v>58</v>
      </c>
      <c r="F144" t="s">
        <v>58</v>
      </c>
      <c r="G144" t="s">
        <v>58</v>
      </c>
      <c r="H144" t="s">
        <v>58</v>
      </c>
      <c r="I144" t="s">
        <v>59</v>
      </c>
      <c r="J144" t="s">
        <v>58</v>
      </c>
      <c r="K144" t="s">
        <v>1310</v>
      </c>
      <c r="L144" t="str">
        <f t="shared" si="2"/>
        <v>{"test_id":"test_143", "genus_tags":["NN","JJ","VB","VBD","VBG","VBN","VBP","VBZ"], "genus_hypo_depth":0,"genus_hyper_hypo_depth":2,"lesk_on_genus":True,"definition_similarity":True,"examples_similarity":True,"lemmas_similarity":True,"score_type":"wup_similarity","lesk_only_n":True,"search_type":"dynamic"}</v>
      </c>
      <c r="M144" t="s">
        <v>132</v>
      </c>
    </row>
    <row r="145" spans="1:13" hidden="1" x14ac:dyDescent="0.2">
      <c r="A145" t="s">
        <v>1268</v>
      </c>
      <c r="B145" t="s">
        <v>69</v>
      </c>
      <c r="C145">
        <v>0</v>
      </c>
      <c r="D145">
        <v>3</v>
      </c>
      <c r="E145" t="s">
        <v>58</v>
      </c>
      <c r="F145" t="s">
        <v>58</v>
      </c>
      <c r="G145" t="s">
        <v>58</v>
      </c>
      <c r="H145" t="s">
        <v>58</v>
      </c>
      <c r="I145" t="s">
        <v>59</v>
      </c>
      <c r="J145" t="s">
        <v>58</v>
      </c>
      <c r="K145" t="s">
        <v>1310</v>
      </c>
      <c r="L145" t="str">
        <f t="shared" si="2"/>
        <v>{"test_id":"test_144", "genus_tags":["NN","JJ","VB","VBD","VBG","VBN","VBP","VBZ"], "genus_hypo_depth":0,"genus_hyper_hypo_depth":3,"lesk_on_genus":True,"definition_similarity":True,"examples_similarity":True,"lemmas_similarity":True,"score_type":"wup_similarity","lesk_only_n":True,"search_type":"dynamic"}</v>
      </c>
      <c r="M145" t="s">
        <v>132</v>
      </c>
    </row>
    <row r="146" spans="1:13" x14ac:dyDescent="0.2">
      <c r="A146" t="s">
        <v>1269</v>
      </c>
      <c r="B146" t="s">
        <v>61</v>
      </c>
      <c r="C146">
        <v>0</v>
      </c>
      <c r="D146">
        <v>2</v>
      </c>
      <c r="E146" t="s">
        <v>57</v>
      </c>
      <c r="F146" t="s">
        <v>57</v>
      </c>
      <c r="G146" t="s">
        <v>58</v>
      </c>
      <c r="H146" t="s">
        <v>57</v>
      </c>
      <c r="I146" t="s">
        <v>59</v>
      </c>
      <c r="J146" t="s">
        <v>57</v>
      </c>
      <c r="K146" t="s">
        <v>1310</v>
      </c>
      <c r="L146" t="str">
        <f t="shared" si="2"/>
        <v>{"test_id":"test_145", "genus_tags":["NN","JJ"], "genus_hypo_depth":0,"genus_hyper_hypo_depth":2,"lesk_on_genus":False,"definition_similarity":False,"examples_similarity":True,"lemmas_similarity":False,"score_type":"wup_similarity","lesk_only_n":False,"search_type":"dynamic"}</v>
      </c>
      <c r="M146" t="s">
        <v>132</v>
      </c>
    </row>
    <row r="147" spans="1:13" x14ac:dyDescent="0.2">
      <c r="A147" t="s">
        <v>1270</v>
      </c>
      <c r="B147" t="s">
        <v>61</v>
      </c>
      <c r="C147">
        <v>0</v>
      </c>
      <c r="D147">
        <v>3</v>
      </c>
      <c r="E147" t="s">
        <v>57</v>
      </c>
      <c r="F147" t="s">
        <v>57</v>
      </c>
      <c r="G147" t="s">
        <v>58</v>
      </c>
      <c r="H147" t="s">
        <v>57</v>
      </c>
      <c r="I147" t="s">
        <v>59</v>
      </c>
      <c r="J147" t="s">
        <v>57</v>
      </c>
      <c r="K147" t="s">
        <v>1310</v>
      </c>
      <c r="L147" t="str">
        <f t="shared" si="2"/>
        <v>{"test_id":"test_146", "genus_tags":["NN","JJ"], "genus_hypo_depth":0,"genus_hyper_hypo_depth":3,"lesk_on_genus":False,"definition_similarity":False,"examples_similarity":True,"lemmas_similarity":False,"score_type":"wup_similarity","lesk_only_n":False,"search_type":"dynamic"}</v>
      </c>
      <c r="M147" t="s">
        <v>132</v>
      </c>
    </row>
    <row r="148" spans="1:13" hidden="1" x14ac:dyDescent="0.2">
      <c r="A148" t="s">
        <v>1271</v>
      </c>
      <c r="B148" t="s">
        <v>65</v>
      </c>
      <c r="C148">
        <v>0</v>
      </c>
      <c r="D148">
        <v>2</v>
      </c>
      <c r="E148" t="s">
        <v>57</v>
      </c>
      <c r="F148" t="s">
        <v>57</v>
      </c>
      <c r="G148" t="s">
        <v>58</v>
      </c>
      <c r="H148" t="s">
        <v>57</v>
      </c>
      <c r="I148" t="s">
        <v>59</v>
      </c>
      <c r="J148" t="s">
        <v>57</v>
      </c>
      <c r="K148" t="s">
        <v>1310</v>
      </c>
      <c r="L148" t="str">
        <f t="shared" si="2"/>
        <v>{"test_id":"test_147", "genus_tags":["NN","VB","VBD","VBG","VBN","VBP","VBZ"], "genus_hypo_depth":0,"genus_hyper_hypo_depth":2,"lesk_on_genus":False,"definition_similarity":False,"examples_similarity":True,"lemmas_similarity":False,"score_type":"wup_similarity","lesk_only_n":False,"search_type":"dynamic"}</v>
      </c>
      <c r="M148" t="s">
        <v>132</v>
      </c>
    </row>
    <row r="149" spans="1:13" hidden="1" x14ac:dyDescent="0.2">
      <c r="A149" t="s">
        <v>1272</v>
      </c>
      <c r="B149" t="s">
        <v>65</v>
      </c>
      <c r="C149">
        <v>0</v>
      </c>
      <c r="D149">
        <v>3</v>
      </c>
      <c r="E149" t="s">
        <v>57</v>
      </c>
      <c r="F149" t="s">
        <v>57</v>
      </c>
      <c r="G149" t="s">
        <v>58</v>
      </c>
      <c r="H149" t="s">
        <v>57</v>
      </c>
      <c r="I149" t="s">
        <v>59</v>
      </c>
      <c r="J149" t="s">
        <v>57</v>
      </c>
      <c r="K149" t="s">
        <v>1310</v>
      </c>
      <c r="L149" t="str">
        <f t="shared" si="2"/>
        <v>{"test_id":"test_148", "genus_tags":["NN","VB","VBD","VBG","VBN","VBP","VBZ"], "genus_hypo_depth":0,"genus_hyper_hypo_depth":3,"lesk_on_genus":False,"definition_similarity":False,"examples_similarity":True,"lemmas_similarity":False,"score_type":"wup_similarity","lesk_only_n":False,"search_type":"dynamic"}</v>
      </c>
      <c r="M149" t="s">
        <v>132</v>
      </c>
    </row>
    <row r="150" spans="1:13" hidden="1" x14ac:dyDescent="0.2">
      <c r="A150" t="s">
        <v>1273</v>
      </c>
      <c r="B150" t="s">
        <v>69</v>
      </c>
      <c r="C150">
        <v>0</v>
      </c>
      <c r="D150">
        <v>2</v>
      </c>
      <c r="E150" t="s">
        <v>57</v>
      </c>
      <c r="F150" t="s">
        <v>57</v>
      </c>
      <c r="G150" t="s">
        <v>58</v>
      </c>
      <c r="H150" t="s">
        <v>57</v>
      </c>
      <c r="I150" t="s">
        <v>59</v>
      </c>
      <c r="J150" t="s">
        <v>57</v>
      </c>
      <c r="K150" t="s">
        <v>1310</v>
      </c>
      <c r="L150" t="str">
        <f t="shared" si="2"/>
        <v>{"test_id":"test_149", "genus_tags":["NN","JJ","VB","VBD","VBG","VBN","VBP","VBZ"], "genus_hypo_depth":0,"genus_hyper_hypo_depth":2,"lesk_on_genus":False,"definition_similarity":False,"examples_similarity":True,"lemmas_similarity":False,"score_type":"wup_similarity","lesk_only_n":False,"search_type":"dynamic"}</v>
      </c>
      <c r="M150" t="s">
        <v>132</v>
      </c>
    </row>
    <row r="151" spans="1:13" hidden="1" x14ac:dyDescent="0.2">
      <c r="A151" t="s">
        <v>1274</v>
      </c>
      <c r="B151" t="s">
        <v>69</v>
      </c>
      <c r="C151">
        <v>0</v>
      </c>
      <c r="D151">
        <v>3</v>
      </c>
      <c r="E151" t="s">
        <v>57</v>
      </c>
      <c r="F151" t="s">
        <v>57</v>
      </c>
      <c r="G151" t="s">
        <v>58</v>
      </c>
      <c r="H151" t="s">
        <v>57</v>
      </c>
      <c r="I151" t="s">
        <v>59</v>
      </c>
      <c r="J151" t="s">
        <v>57</v>
      </c>
      <c r="K151" t="s">
        <v>1310</v>
      </c>
      <c r="L151" t="str">
        <f t="shared" si="2"/>
        <v>{"test_id":"test_150", "genus_tags":["NN","JJ","VB","VBD","VBG","VBN","VBP","VBZ"], "genus_hypo_depth":0,"genus_hyper_hypo_depth":3,"lesk_on_genus":False,"definition_similarity":False,"examples_similarity":True,"lemmas_similarity":False,"score_type":"wup_similarity","lesk_only_n":False,"search_type":"dynamic"}</v>
      </c>
      <c r="M151" t="s">
        <v>132</v>
      </c>
    </row>
    <row r="152" spans="1:13" x14ac:dyDescent="0.2">
      <c r="A152" t="s">
        <v>1275</v>
      </c>
      <c r="B152" t="s">
        <v>61</v>
      </c>
      <c r="C152">
        <v>0</v>
      </c>
      <c r="D152">
        <v>2</v>
      </c>
      <c r="E152" t="s">
        <v>58</v>
      </c>
      <c r="F152" t="s">
        <v>57</v>
      </c>
      <c r="G152" t="s">
        <v>58</v>
      </c>
      <c r="H152" t="s">
        <v>57</v>
      </c>
      <c r="I152" t="s">
        <v>59</v>
      </c>
      <c r="J152" t="s">
        <v>57</v>
      </c>
      <c r="K152" t="s">
        <v>1310</v>
      </c>
      <c r="L152" t="str">
        <f t="shared" si="2"/>
        <v>{"test_id":"test_151", "genus_tags":["NN","JJ"], "genus_hypo_depth":0,"genus_hyper_hypo_depth":2,"lesk_on_genus":True,"definition_similarity":False,"examples_similarity":True,"lemmas_similarity":False,"score_type":"wup_similarity","lesk_only_n":False,"search_type":"dynamic"}</v>
      </c>
      <c r="M152" t="s">
        <v>132</v>
      </c>
    </row>
    <row r="153" spans="1:13" x14ac:dyDescent="0.2">
      <c r="A153" t="s">
        <v>1276</v>
      </c>
      <c r="B153" t="s">
        <v>61</v>
      </c>
      <c r="C153">
        <v>0</v>
      </c>
      <c r="D153">
        <v>3</v>
      </c>
      <c r="E153" t="s">
        <v>58</v>
      </c>
      <c r="F153" t="s">
        <v>57</v>
      </c>
      <c r="G153" t="s">
        <v>58</v>
      </c>
      <c r="H153" t="s">
        <v>57</v>
      </c>
      <c r="I153" t="s">
        <v>59</v>
      </c>
      <c r="J153" t="s">
        <v>57</v>
      </c>
      <c r="K153" t="s">
        <v>1310</v>
      </c>
      <c r="L153" t="str">
        <f t="shared" si="2"/>
        <v>{"test_id":"test_152", "genus_tags":["NN","JJ"], "genus_hypo_depth":0,"genus_hyper_hypo_depth":3,"lesk_on_genus":True,"definition_similarity":False,"examples_similarity":True,"lemmas_similarity":False,"score_type":"wup_similarity","lesk_only_n":False,"search_type":"dynamic"}</v>
      </c>
      <c r="M153" t="s">
        <v>132</v>
      </c>
    </row>
    <row r="154" spans="1:13" hidden="1" x14ac:dyDescent="0.2">
      <c r="A154" t="s">
        <v>1277</v>
      </c>
      <c r="B154" t="s">
        <v>65</v>
      </c>
      <c r="C154">
        <v>0</v>
      </c>
      <c r="D154">
        <v>2</v>
      </c>
      <c r="E154" t="s">
        <v>58</v>
      </c>
      <c r="F154" t="s">
        <v>57</v>
      </c>
      <c r="G154" t="s">
        <v>58</v>
      </c>
      <c r="H154" t="s">
        <v>57</v>
      </c>
      <c r="I154" t="s">
        <v>59</v>
      </c>
      <c r="J154" t="s">
        <v>57</v>
      </c>
      <c r="K154" t="s">
        <v>1310</v>
      </c>
      <c r="L154" t="str">
        <f t="shared" si="2"/>
        <v>{"test_id":"test_153", "genus_tags":["NN","VB","VBD","VBG","VBN","VBP","VBZ"], "genus_hypo_depth":0,"genus_hyper_hypo_depth":2,"lesk_on_genus":True,"definition_similarity":False,"examples_similarity":True,"lemmas_similarity":False,"score_type":"wup_similarity","lesk_only_n":False,"search_type":"dynamic"}</v>
      </c>
      <c r="M154" t="s">
        <v>132</v>
      </c>
    </row>
    <row r="155" spans="1:13" hidden="1" x14ac:dyDescent="0.2">
      <c r="A155" t="s">
        <v>1278</v>
      </c>
      <c r="B155" t="s">
        <v>65</v>
      </c>
      <c r="C155">
        <v>0</v>
      </c>
      <c r="D155">
        <v>3</v>
      </c>
      <c r="E155" t="s">
        <v>58</v>
      </c>
      <c r="F155" t="s">
        <v>57</v>
      </c>
      <c r="G155" t="s">
        <v>58</v>
      </c>
      <c r="H155" t="s">
        <v>57</v>
      </c>
      <c r="I155" t="s">
        <v>59</v>
      </c>
      <c r="J155" t="s">
        <v>57</v>
      </c>
      <c r="K155" t="s">
        <v>1310</v>
      </c>
      <c r="L155" t="str">
        <f t="shared" si="2"/>
        <v>{"test_id":"test_154", "genus_tags":["NN","VB","VBD","VBG","VBN","VBP","VBZ"], "genus_hypo_depth":0,"genus_hyper_hypo_depth":3,"lesk_on_genus":True,"definition_similarity":False,"examples_similarity":True,"lemmas_similarity":False,"score_type":"wup_similarity","lesk_only_n":False,"search_type":"dynamic"}</v>
      </c>
      <c r="M155" t="s">
        <v>132</v>
      </c>
    </row>
    <row r="156" spans="1:13" hidden="1" x14ac:dyDescent="0.2">
      <c r="A156" t="s">
        <v>1279</v>
      </c>
      <c r="B156" t="s">
        <v>69</v>
      </c>
      <c r="C156">
        <v>0</v>
      </c>
      <c r="D156">
        <v>2</v>
      </c>
      <c r="E156" t="s">
        <v>58</v>
      </c>
      <c r="F156" t="s">
        <v>57</v>
      </c>
      <c r="G156" t="s">
        <v>58</v>
      </c>
      <c r="H156" t="s">
        <v>57</v>
      </c>
      <c r="I156" t="s">
        <v>59</v>
      </c>
      <c r="J156" t="s">
        <v>57</v>
      </c>
      <c r="K156" t="s">
        <v>1310</v>
      </c>
      <c r="L156" t="str">
        <f t="shared" si="2"/>
        <v>{"test_id":"test_155", "genus_tags":["NN","JJ","VB","VBD","VBG","VBN","VBP","VBZ"], "genus_hypo_depth":0,"genus_hyper_hypo_depth":2,"lesk_on_genus":True,"definition_similarity":False,"examples_similarity":True,"lemmas_similarity":False,"score_type":"wup_similarity","lesk_only_n":False,"search_type":"dynamic"}</v>
      </c>
      <c r="M156" t="s">
        <v>132</v>
      </c>
    </row>
    <row r="157" spans="1:13" hidden="1" x14ac:dyDescent="0.2">
      <c r="A157" t="s">
        <v>1280</v>
      </c>
      <c r="B157" t="s">
        <v>69</v>
      </c>
      <c r="C157">
        <v>0</v>
      </c>
      <c r="D157">
        <v>3</v>
      </c>
      <c r="E157" t="s">
        <v>58</v>
      </c>
      <c r="F157" t="s">
        <v>57</v>
      </c>
      <c r="G157" t="s">
        <v>58</v>
      </c>
      <c r="H157" t="s">
        <v>57</v>
      </c>
      <c r="I157" t="s">
        <v>59</v>
      </c>
      <c r="J157" t="s">
        <v>57</v>
      </c>
      <c r="K157" t="s">
        <v>1310</v>
      </c>
      <c r="L157" t="str">
        <f t="shared" si="2"/>
        <v>{"test_id":"test_156", "genus_tags":["NN","JJ","VB","VBD","VBG","VBN","VBP","VBZ"], "genus_hypo_depth":0,"genus_hyper_hypo_depth":3,"lesk_on_genus":True,"definition_similarity":False,"examples_similarity":True,"lemmas_similarity":False,"score_type":"wup_similarity","lesk_only_n":False,"search_type":"dynamic"}</v>
      </c>
      <c r="M157" t="s">
        <v>132</v>
      </c>
    </row>
    <row r="158" spans="1:13" x14ac:dyDescent="0.2">
      <c r="A158" t="s">
        <v>1281</v>
      </c>
      <c r="B158" t="s">
        <v>61</v>
      </c>
      <c r="C158">
        <v>0</v>
      </c>
      <c r="D158">
        <v>2</v>
      </c>
      <c r="E158" t="s">
        <v>57</v>
      </c>
      <c r="F158" t="s">
        <v>57</v>
      </c>
      <c r="G158" t="s">
        <v>58</v>
      </c>
      <c r="H158" t="s">
        <v>57</v>
      </c>
      <c r="I158" t="s">
        <v>59</v>
      </c>
      <c r="J158" t="s">
        <v>58</v>
      </c>
      <c r="K158" t="s">
        <v>1310</v>
      </c>
      <c r="L158" t="str">
        <f t="shared" si="2"/>
        <v>{"test_id":"test_157", "genus_tags":["NN","JJ"], "genus_hypo_depth":0,"genus_hyper_hypo_depth":2,"lesk_on_genus":False,"definition_similarity":False,"examples_similarity":True,"lemmas_similarity":False,"score_type":"wup_similarity","lesk_only_n":True,"search_type":"dynamic"}</v>
      </c>
      <c r="M158" t="s">
        <v>132</v>
      </c>
    </row>
    <row r="159" spans="1:13" x14ac:dyDescent="0.2">
      <c r="A159" t="s">
        <v>1282</v>
      </c>
      <c r="B159" t="s">
        <v>61</v>
      </c>
      <c r="C159">
        <v>0</v>
      </c>
      <c r="D159">
        <v>3</v>
      </c>
      <c r="E159" t="s">
        <v>58</v>
      </c>
      <c r="F159" t="s">
        <v>57</v>
      </c>
      <c r="G159" t="s">
        <v>58</v>
      </c>
      <c r="H159" t="s">
        <v>57</v>
      </c>
      <c r="I159" t="s">
        <v>59</v>
      </c>
      <c r="J159" t="s">
        <v>58</v>
      </c>
      <c r="K159" t="s">
        <v>1310</v>
      </c>
      <c r="L159" t="str">
        <f t="shared" si="2"/>
        <v>{"test_id":"test_158", "genus_tags":["NN","JJ"], "genus_hypo_depth":0,"genus_hyper_hypo_depth":3,"lesk_on_genus":True,"definition_similarity":False,"examples_similarity":True,"lemmas_similarity":False,"score_type":"wup_similarity","lesk_only_n":True,"search_type":"dynamic"}</v>
      </c>
      <c r="M159" t="s">
        <v>132</v>
      </c>
    </row>
    <row r="160" spans="1:13" hidden="1" x14ac:dyDescent="0.2">
      <c r="A160" t="s">
        <v>1283</v>
      </c>
      <c r="B160" t="s">
        <v>65</v>
      </c>
      <c r="C160">
        <v>0</v>
      </c>
      <c r="D160">
        <v>2</v>
      </c>
      <c r="E160" t="s">
        <v>58</v>
      </c>
      <c r="F160" t="s">
        <v>57</v>
      </c>
      <c r="G160" t="s">
        <v>58</v>
      </c>
      <c r="H160" t="s">
        <v>57</v>
      </c>
      <c r="I160" t="s">
        <v>59</v>
      </c>
      <c r="J160" t="s">
        <v>58</v>
      </c>
      <c r="K160" t="s">
        <v>1310</v>
      </c>
      <c r="L160" t="str">
        <f t="shared" si="2"/>
        <v>{"test_id":"test_159", "genus_tags":["NN","VB","VBD","VBG","VBN","VBP","VBZ"], "genus_hypo_depth":0,"genus_hyper_hypo_depth":2,"lesk_on_genus":True,"definition_similarity":False,"examples_similarity":True,"lemmas_similarity":False,"score_type":"wup_similarity","lesk_only_n":True,"search_type":"dynamic"}</v>
      </c>
      <c r="M160" t="s">
        <v>132</v>
      </c>
    </row>
    <row r="161" spans="1:13" hidden="1" x14ac:dyDescent="0.2">
      <c r="A161" t="s">
        <v>1284</v>
      </c>
      <c r="B161" t="s">
        <v>65</v>
      </c>
      <c r="C161">
        <v>0</v>
      </c>
      <c r="D161">
        <v>3</v>
      </c>
      <c r="E161" t="s">
        <v>58</v>
      </c>
      <c r="F161" t="s">
        <v>57</v>
      </c>
      <c r="G161" t="s">
        <v>58</v>
      </c>
      <c r="H161" t="s">
        <v>57</v>
      </c>
      <c r="I161" t="s">
        <v>59</v>
      </c>
      <c r="J161" t="s">
        <v>58</v>
      </c>
      <c r="K161" t="s">
        <v>1310</v>
      </c>
      <c r="L161" t="str">
        <f t="shared" si="2"/>
        <v>{"test_id":"test_160", "genus_tags":["NN","VB","VBD","VBG","VBN","VBP","VBZ"], "genus_hypo_depth":0,"genus_hyper_hypo_depth":3,"lesk_on_genus":True,"definition_similarity":False,"examples_similarity":True,"lemmas_similarity":False,"score_type":"wup_similarity","lesk_only_n":True,"search_type":"dynamic"}</v>
      </c>
      <c r="M161" t="s">
        <v>132</v>
      </c>
    </row>
    <row r="162" spans="1:13" hidden="1" x14ac:dyDescent="0.2">
      <c r="A162" t="s">
        <v>1285</v>
      </c>
      <c r="B162" t="s">
        <v>69</v>
      </c>
      <c r="C162">
        <v>0</v>
      </c>
      <c r="D162">
        <v>2</v>
      </c>
      <c r="E162" t="s">
        <v>58</v>
      </c>
      <c r="F162" t="s">
        <v>57</v>
      </c>
      <c r="G162" t="s">
        <v>58</v>
      </c>
      <c r="H162" t="s">
        <v>57</v>
      </c>
      <c r="I162" t="s">
        <v>59</v>
      </c>
      <c r="J162" t="s">
        <v>58</v>
      </c>
      <c r="K162" t="s">
        <v>1310</v>
      </c>
      <c r="L162" t="str">
        <f t="shared" si="2"/>
        <v>{"test_id":"test_161", "genus_tags":["NN","JJ","VB","VBD","VBG","VBN","VBP","VBZ"], "genus_hypo_depth":0,"genus_hyper_hypo_depth":2,"lesk_on_genus":True,"definition_similarity":False,"examples_similarity":True,"lemmas_similarity":False,"score_type":"wup_similarity","lesk_only_n":True,"search_type":"dynamic"}</v>
      </c>
      <c r="M162" t="s">
        <v>132</v>
      </c>
    </row>
    <row r="163" spans="1:13" hidden="1" x14ac:dyDescent="0.2">
      <c r="A163" t="s">
        <v>1286</v>
      </c>
      <c r="B163" t="s">
        <v>69</v>
      </c>
      <c r="C163">
        <v>0</v>
      </c>
      <c r="D163">
        <v>3</v>
      </c>
      <c r="E163" t="s">
        <v>58</v>
      </c>
      <c r="F163" t="s">
        <v>57</v>
      </c>
      <c r="G163" t="s">
        <v>58</v>
      </c>
      <c r="H163" t="s">
        <v>57</v>
      </c>
      <c r="I163" t="s">
        <v>59</v>
      </c>
      <c r="J163" t="s">
        <v>58</v>
      </c>
      <c r="K163" t="s">
        <v>1310</v>
      </c>
      <c r="L163" t="str">
        <f t="shared" si="2"/>
        <v>{"test_id":"test_162", "genus_tags":["NN","JJ","VB","VBD","VBG","VBN","VBP","VBZ"], "genus_hypo_depth":0,"genus_hyper_hypo_depth":3,"lesk_on_genus":True,"definition_similarity":False,"examples_similarity":True,"lemmas_similarity":False,"score_type":"wup_similarity","lesk_only_n":True,"search_type":"dynamic"}</v>
      </c>
      <c r="M163" t="s">
        <v>132</v>
      </c>
    </row>
    <row r="164" spans="1:13" x14ac:dyDescent="0.2">
      <c r="A164" t="s">
        <v>1287</v>
      </c>
      <c r="B164" t="s">
        <v>61</v>
      </c>
      <c r="C164">
        <v>0</v>
      </c>
      <c r="D164">
        <v>2</v>
      </c>
      <c r="E164" t="s">
        <v>57</v>
      </c>
      <c r="F164" t="s">
        <v>57</v>
      </c>
      <c r="G164" t="s">
        <v>57</v>
      </c>
      <c r="H164" t="s">
        <v>58</v>
      </c>
      <c r="I164" t="s">
        <v>59</v>
      </c>
      <c r="J164" t="s">
        <v>57</v>
      </c>
      <c r="K164" t="s">
        <v>1310</v>
      </c>
      <c r="L164" t="str">
        <f t="shared" si="2"/>
        <v>{"test_id":"test_163", "genus_tags":["NN","JJ"], "genus_hypo_depth":0,"genus_hyper_hypo_depth":2,"lesk_on_genus":False,"definition_similarity":False,"examples_similarity":False,"lemmas_similarity":True,"score_type":"wup_similarity","lesk_only_n":False,"search_type":"dynamic"}</v>
      </c>
      <c r="M164" t="s">
        <v>132</v>
      </c>
    </row>
    <row r="165" spans="1:13" x14ac:dyDescent="0.2">
      <c r="A165" t="s">
        <v>1288</v>
      </c>
      <c r="B165" t="s">
        <v>61</v>
      </c>
      <c r="C165">
        <v>0</v>
      </c>
      <c r="D165">
        <v>3</v>
      </c>
      <c r="E165" t="s">
        <v>57</v>
      </c>
      <c r="F165" t="s">
        <v>57</v>
      </c>
      <c r="G165" t="s">
        <v>57</v>
      </c>
      <c r="H165" t="s">
        <v>58</v>
      </c>
      <c r="I165" t="s">
        <v>59</v>
      </c>
      <c r="J165" t="s">
        <v>57</v>
      </c>
      <c r="K165" t="s">
        <v>1310</v>
      </c>
      <c r="L165" t="str">
        <f t="shared" si="2"/>
        <v>{"test_id":"test_164", "genus_tags":["NN","JJ"], "genus_hypo_depth":0,"genus_hyper_hypo_depth":3,"lesk_on_genus":False,"definition_similarity":False,"examples_similarity":False,"lemmas_similarity":True,"score_type":"wup_similarity","lesk_only_n":False,"search_type":"dynamic"}</v>
      </c>
      <c r="M165" t="s">
        <v>132</v>
      </c>
    </row>
    <row r="166" spans="1:13" hidden="1" x14ac:dyDescent="0.2">
      <c r="A166" t="s">
        <v>1289</v>
      </c>
      <c r="B166" t="s">
        <v>65</v>
      </c>
      <c r="C166">
        <v>0</v>
      </c>
      <c r="D166">
        <v>2</v>
      </c>
      <c r="E166" t="s">
        <v>57</v>
      </c>
      <c r="F166" t="s">
        <v>57</v>
      </c>
      <c r="G166" t="s">
        <v>57</v>
      </c>
      <c r="H166" t="s">
        <v>58</v>
      </c>
      <c r="I166" t="s">
        <v>59</v>
      </c>
      <c r="J166" t="s">
        <v>57</v>
      </c>
      <c r="K166" t="s">
        <v>1310</v>
      </c>
      <c r="L166" t="str">
        <f t="shared" si="2"/>
        <v>{"test_id":"test_165", "genus_tags":["NN","VB","VBD","VBG","VBN","VBP","VBZ"], "genus_hypo_depth":0,"genus_hyper_hypo_depth":2,"lesk_on_genus":False,"definition_similarity":False,"examples_similarity":False,"lemmas_similarity":True,"score_type":"wup_similarity","lesk_only_n":False,"search_type":"dynamic"}</v>
      </c>
      <c r="M166" t="s">
        <v>132</v>
      </c>
    </row>
    <row r="167" spans="1:13" hidden="1" x14ac:dyDescent="0.2">
      <c r="A167" t="s">
        <v>1290</v>
      </c>
      <c r="B167" t="s">
        <v>65</v>
      </c>
      <c r="C167">
        <v>0</v>
      </c>
      <c r="D167">
        <v>3</v>
      </c>
      <c r="E167" t="s">
        <v>57</v>
      </c>
      <c r="F167" t="s">
        <v>57</v>
      </c>
      <c r="G167" t="s">
        <v>57</v>
      </c>
      <c r="H167" t="s">
        <v>58</v>
      </c>
      <c r="I167" t="s">
        <v>59</v>
      </c>
      <c r="J167" t="s">
        <v>57</v>
      </c>
      <c r="K167" t="s">
        <v>1310</v>
      </c>
      <c r="L167" t="str">
        <f t="shared" si="2"/>
        <v>{"test_id":"test_166", "genus_tags":["NN","VB","VBD","VBG","VBN","VBP","VBZ"], "genus_hypo_depth":0,"genus_hyper_hypo_depth":3,"lesk_on_genus":False,"definition_similarity":False,"examples_similarity":False,"lemmas_similarity":True,"score_type":"wup_similarity","lesk_only_n":False,"search_type":"dynamic"}</v>
      </c>
      <c r="M167" t="s">
        <v>132</v>
      </c>
    </row>
    <row r="168" spans="1:13" hidden="1" x14ac:dyDescent="0.2">
      <c r="A168" t="s">
        <v>1291</v>
      </c>
      <c r="B168" t="s">
        <v>69</v>
      </c>
      <c r="C168">
        <v>0</v>
      </c>
      <c r="D168">
        <v>2</v>
      </c>
      <c r="E168" t="s">
        <v>57</v>
      </c>
      <c r="F168" t="s">
        <v>57</v>
      </c>
      <c r="G168" t="s">
        <v>57</v>
      </c>
      <c r="H168" t="s">
        <v>58</v>
      </c>
      <c r="I168" t="s">
        <v>59</v>
      </c>
      <c r="J168" t="s">
        <v>57</v>
      </c>
      <c r="K168" t="s">
        <v>1310</v>
      </c>
      <c r="L168" t="str">
        <f t="shared" si="2"/>
        <v>{"test_id":"test_167", "genus_tags":["NN","JJ","VB","VBD","VBG","VBN","VBP","VBZ"], "genus_hypo_depth":0,"genus_hyper_hypo_depth":2,"lesk_on_genus":False,"definition_similarity":False,"examples_similarity":False,"lemmas_similarity":True,"score_type":"wup_similarity","lesk_only_n":False,"search_type":"dynamic"}</v>
      </c>
      <c r="M168" t="s">
        <v>132</v>
      </c>
    </row>
    <row r="169" spans="1:13" hidden="1" x14ac:dyDescent="0.2">
      <c r="A169" t="s">
        <v>1292</v>
      </c>
      <c r="B169" t="s">
        <v>69</v>
      </c>
      <c r="C169">
        <v>0</v>
      </c>
      <c r="D169">
        <v>3</v>
      </c>
      <c r="E169" t="s">
        <v>57</v>
      </c>
      <c r="F169" t="s">
        <v>57</v>
      </c>
      <c r="G169" t="s">
        <v>57</v>
      </c>
      <c r="H169" t="s">
        <v>58</v>
      </c>
      <c r="I169" t="s">
        <v>59</v>
      </c>
      <c r="J169" t="s">
        <v>57</v>
      </c>
      <c r="K169" t="s">
        <v>1310</v>
      </c>
      <c r="L169" t="str">
        <f t="shared" si="2"/>
        <v>{"test_id":"test_168", "genus_tags":["NN","JJ","VB","VBD","VBG","VBN","VBP","VBZ"], "genus_hypo_depth":0,"genus_hyper_hypo_depth":3,"lesk_on_genus":False,"definition_similarity":False,"examples_similarity":False,"lemmas_similarity":True,"score_type":"wup_similarity","lesk_only_n":False,"search_type":"dynamic"}</v>
      </c>
      <c r="M169" t="s">
        <v>132</v>
      </c>
    </row>
    <row r="170" spans="1:13" x14ac:dyDescent="0.2">
      <c r="A170" t="s">
        <v>1293</v>
      </c>
      <c r="B170" t="s">
        <v>61</v>
      </c>
      <c r="C170">
        <v>0</v>
      </c>
      <c r="D170">
        <v>2</v>
      </c>
      <c r="E170" t="s">
        <v>58</v>
      </c>
      <c r="F170" t="s">
        <v>57</v>
      </c>
      <c r="G170" t="s">
        <v>57</v>
      </c>
      <c r="H170" t="s">
        <v>58</v>
      </c>
      <c r="I170" t="s">
        <v>59</v>
      </c>
      <c r="J170" t="s">
        <v>57</v>
      </c>
      <c r="K170" t="s">
        <v>1310</v>
      </c>
      <c r="L170" t="str">
        <f t="shared" si="2"/>
        <v>{"test_id":"test_169", "genus_tags":["NN","JJ"], "genus_hypo_depth":0,"genus_hyper_hypo_depth":2,"lesk_on_genus":True,"definition_similarity":False,"examples_similarity":False,"lemmas_similarity":True,"score_type":"wup_similarity","lesk_only_n":False,"search_type":"dynamic"}</v>
      </c>
      <c r="M170" t="s">
        <v>132</v>
      </c>
    </row>
    <row r="171" spans="1:13" x14ac:dyDescent="0.2">
      <c r="A171" t="s">
        <v>1294</v>
      </c>
      <c r="B171" t="s">
        <v>61</v>
      </c>
      <c r="C171">
        <v>0</v>
      </c>
      <c r="D171">
        <v>3</v>
      </c>
      <c r="E171" t="s">
        <v>58</v>
      </c>
      <c r="F171" t="s">
        <v>57</v>
      </c>
      <c r="G171" t="s">
        <v>57</v>
      </c>
      <c r="H171" t="s">
        <v>58</v>
      </c>
      <c r="I171" t="s">
        <v>59</v>
      </c>
      <c r="J171" t="s">
        <v>57</v>
      </c>
      <c r="K171" t="s">
        <v>1310</v>
      </c>
      <c r="L171" t="str">
        <f t="shared" si="2"/>
        <v>{"test_id":"test_170", "genus_tags":["NN","JJ"], "genus_hypo_depth":0,"genus_hyper_hypo_depth":3,"lesk_on_genus":True,"definition_similarity":False,"examples_similarity":False,"lemmas_similarity":True,"score_type":"wup_similarity","lesk_only_n":False,"search_type":"dynamic"}</v>
      </c>
      <c r="M171" t="s">
        <v>132</v>
      </c>
    </row>
    <row r="172" spans="1:13" hidden="1" x14ac:dyDescent="0.2">
      <c r="A172" t="s">
        <v>1295</v>
      </c>
      <c r="B172" t="s">
        <v>65</v>
      </c>
      <c r="C172">
        <v>0</v>
      </c>
      <c r="D172">
        <v>2</v>
      </c>
      <c r="E172" t="s">
        <v>58</v>
      </c>
      <c r="F172" t="s">
        <v>57</v>
      </c>
      <c r="G172" t="s">
        <v>57</v>
      </c>
      <c r="H172" t="s">
        <v>58</v>
      </c>
      <c r="I172" t="s">
        <v>59</v>
      </c>
      <c r="J172" t="s">
        <v>57</v>
      </c>
      <c r="K172" t="s">
        <v>1310</v>
      </c>
      <c r="L172" t="str">
        <f t="shared" si="2"/>
        <v>{"test_id":"test_171", "genus_tags":["NN","VB","VBD","VBG","VBN","VBP","VBZ"], "genus_hypo_depth":0,"genus_hyper_hypo_depth":2,"lesk_on_genus":True,"definition_similarity":False,"examples_similarity":False,"lemmas_similarity":True,"score_type":"wup_similarity","lesk_only_n":False,"search_type":"dynamic"}</v>
      </c>
      <c r="M172" t="s">
        <v>132</v>
      </c>
    </row>
    <row r="173" spans="1:13" hidden="1" x14ac:dyDescent="0.2">
      <c r="A173" t="s">
        <v>1296</v>
      </c>
      <c r="B173" t="s">
        <v>65</v>
      </c>
      <c r="C173">
        <v>0</v>
      </c>
      <c r="D173">
        <v>3</v>
      </c>
      <c r="E173" t="s">
        <v>58</v>
      </c>
      <c r="F173" t="s">
        <v>57</v>
      </c>
      <c r="G173" t="s">
        <v>57</v>
      </c>
      <c r="H173" t="s">
        <v>58</v>
      </c>
      <c r="I173" t="s">
        <v>59</v>
      </c>
      <c r="J173" t="s">
        <v>57</v>
      </c>
      <c r="K173" t="s">
        <v>1310</v>
      </c>
      <c r="L173" t="str">
        <f t="shared" si="2"/>
        <v>{"test_id":"test_172", "genus_tags":["NN","VB","VBD","VBG","VBN","VBP","VBZ"], "genus_hypo_depth":0,"genus_hyper_hypo_depth":3,"lesk_on_genus":True,"definition_similarity":False,"examples_similarity":False,"lemmas_similarity":True,"score_type":"wup_similarity","lesk_only_n":False,"search_type":"dynamic"}</v>
      </c>
      <c r="M173" t="s">
        <v>132</v>
      </c>
    </row>
    <row r="174" spans="1:13" hidden="1" x14ac:dyDescent="0.2">
      <c r="A174" t="s">
        <v>1297</v>
      </c>
      <c r="B174" t="s">
        <v>69</v>
      </c>
      <c r="C174">
        <v>0</v>
      </c>
      <c r="D174">
        <v>2</v>
      </c>
      <c r="E174" t="s">
        <v>58</v>
      </c>
      <c r="F174" t="s">
        <v>57</v>
      </c>
      <c r="G174" t="s">
        <v>57</v>
      </c>
      <c r="H174" t="s">
        <v>58</v>
      </c>
      <c r="I174" t="s">
        <v>59</v>
      </c>
      <c r="J174" t="s">
        <v>57</v>
      </c>
      <c r="K174" t="s">
        <v>1310</v>
      </c>
      <c r="L174" t="str">
        <f t="shared" si="2"/>
        <v>{"test_id":"test_173", "genus_tags":["NN","JJ","VB","VBD","VBG","VBN","VBP","VBZ"], "genus_hypo_depth":0,"genus_hyper_hypo_depth":2,"lesk_on_genus":True,"definition_similarity":False,"examples_similarity":False,"lemmas_similarity":True,"score_type":"wup_similarity","lesk_only_n":False,"search_type":"dynamic"}</v>
      </c>
      <c r="M174" t="s">
        <v>132</v>
      </c>
    </row>
    <row r="175" spans="1:13" hidden="1" x14ac:dyDescent="0.2">
      <c r="A175" t="s">
        <v>1298</v>
      </c>
      <c r="B175" t="s">
        <v>69</v>
      </c>
      <c r="C175">
        <v>0</v>
      </c>
      <c r="D175">
        <v>3</v>
      </c>
      <c r="E175" t="s">
        <v>58</v>
      </c>
      <c r="F175" t="s">
        <v>57</v>
      </c>
      <c r="G175" t="s">
        <v>57</v>
      </c>
      <c r="H175" t="s">
        <v>58</v>
      </c>
      <c r="I175" t="s">
        <v>59</v>
      </c>
      <c r="J175" t="s">
        <v>57</v>
      </c>
      <c r="K175" t="s">
        <v>1310</v>
      </c>
      <c r="L175" t="str">
        <f t="shared" si="2"/>
        <v>{"test_id":"test_174", "genus_tags":["NN","JJ","VB","VBD","VBG","VBN","VBP","VBZ"], "genus_hypo_depth":0,"genus_hyper_hypo_depth":3,"lesk_on_genus":True,"definition_similarity":False,"examples_similarity":False,"lemmas_similarity":True,"score_type":"wup_similarity","lesk_only_n":False,"search_type":"dynamic"}</v>
      </c>
      <c r="M175" t="s">
        <v>132</v>
      </c>
    </row>
    <row r="176" spans="1:13" x14ac:dyDescent="0.2">
      <c r="A176" t="s">
        <v>1299</v>
      </c>
      <c r="B176" t="s">
        <v>61</v>
      </c>
      <c r="C176">
        <v>0</v>
      </c>
      <c r="D176">
        <v>2</v>
      </c>
      <c r="E176" t="s">
        <v>57</v>
      </c>
      <c r="F176" t="s">
        <v>57</v>
      </c>
      <c r="G176" t="s">
        <v>57</v>
      </c>
      <c r="H176" t="s">
        <v>58</v>
      </c>
      <c r="I176" t="s">
        <v>59</v>
      </c>
      <c r="J176" t="s">
        <v>58</v>
      </c>
      <c r="K176" t="s">
        <v>1310</v>
      </c>
      <c r="L176" t="str">
        <f t="shared" si="2"/>
        <v>{"test_id":"test_175", "genus_tags":["NN","JJ"], "genus_hypo_depth":0,"genus_hyper_hypo_depth":2,"lesk_on_genus":False,"definition_similarity":False,"examples_similarity":False,"lemmas_similarity":True,"score_type":"wup_similarity","lesk_only_n":True,"search_type":"dynamic"}</v>
      </c>
      <c r="M176" t="s">
        <v>132</v>
      </c>
    </row>
    <row r="177" spans="1:13" x14ac:dyDescent="0.2">
      <c r="A177" t="s">
        <v>1300</v>
      </c>
      <c r="B177" t="s">
        <v>61</v>
      </c>
      <c r="C177">
        <v>0</v>
      </c>
      <c r="D177">
        <v>3</v>
      </c>
      <c r="E177" t="s">
        <v>58</v>
      </c>
      <c r="F177" t="s">
        <v>57</v>
      </c>
      <c r="G177" t="s">
        <v>57</v>
      </c>
      <c r="H177" t="s">
        <v>58</v>
      </c>
      <c r="I177" t="s">
        <v>59</v>
      </c>
      <c r="J177" t="s">
        <v>58</v>
      </c>
      <c r="K177" t="s">
        <v>1310</v>
      </c>
      <c r="L177" t="str">
        <f t="shared" si="2"/>
        <v>{"test_id":"test_176", "genus_tags":["NN","JJ"], "genus_hypo_depth":0,"genus_hyper_hypo_depth":3,"lesk_on_genus":True,"definition_similarity":False,"examples_similarity":False,"lemmas_similarity":True,"score_type":"wup_similarity","lesk_only_n":True,"search_type":"dynamic"}</v>
      </c>
      <c r="M177" t="s">
        <v>132</v>
      </c>
    </row>
    <row r="178" spans="1:13" hidden="1" x14ac:dyDescent="0.2">
      <c r="A178" t="s">
        <v>1301</v>
      </c>
      <c r="B178" t="s">
        <v>65</v>
      </c>
      <c r="C178">
        <v>0</v>
      </c>
      <c r="D178">
        <v>2</v>
      </c>
      <c r="E178" t="s">
        <v>58</v>
      </c>
      <c r="F178" t="s">
        <v>57</v>
      </c>
      <c r="G178" t="s">
        <v>57</v>
      </c>
      <c r="H178" t="s">
        <v>58</v>
      </c>
      <c r="I178" t="s">
        <v>59</v>
      </c>
      <c r="J178" t="s">
        <v>58</v>
      </c>
      <c r="K178" t="s">
        <v>1310</v>
      </c>
      <c r="L178" t="str">
        <f t="shared" si="2"/>
        <v>{"test_id":"test_177", "genus_tags":["NN","VB","VBD","VBG","VBN","VBP","VBZ"], "genus_hypo_depth":0,"genus_hyper_hypo_depth":2,"lesk_on_genus":True,"definition_similarity":False,"examples_similarity":False,"lemmas_similarity":True,"score_type":"wup_similarity","lesk_only_n":True,"search_type":"dynamic"}</v>
      </c>
      <c r="M178" t="s">
        <v>132</v>
      </c>
    </row>
    <row r="179" spans="1:13" hidden="1" x14ac:dyDescent="0.2">
      <c r="A179" t="s">
        <v>1302</v>
      </c>
      <c r="B179" t="s">
        <v>65</v>
      </c>
      <c r="C179">
        <v>0</v>
      </c>
      <c r="D179">
        <v>3</v>
      </c>
      <c r="E179" t="s">
        <v>58</v>
      </c>
      <c r="F179" t="s">
        <v>57</v>
      </c>
      <c r="G179" t="s">
        <v>57</v>
      </c>
      <c r="H179" t="s">
        <v>58</v>
      </c>
      <c r="I179" t="s">
        <v>59</v>
      </c>
      <c r="J179" t="s">
        <v>58</v>
      </c>
      <c r="K179" t="s">
        <v>1310</v>
      </c>
      <c r="L179" t="str">
        <f t="shared" si="2"/>
        <v>{"test_id":"test_178", "genus_tags":["NN","VB","VBD","VBG","VBN","VBP","VBZ"], "genus_hypo_depth":0,"genus_hyper_hypo_depth":3,"lesk_on_genus":True,"definition_similarity":False,"examples_similarity":False,"lemmas_similarity":True,"score_type":"wup_similarity","lesk_only_n":True,"search_type":"dynamic"}</v>
      </c>
      <c r="M179" t="s">
        <v>132</v>
      </c>
    </row>
    <row r="180" spans="1:13" hidden="1" x14ac:dyDescent="0.2">
      <c r="A180" t="s">
        <v>1303</v>
      </c>
      <c r="B180" t="s">
        <v>69</v>
      </c>
      <c r="C180">
        <v>0</v>
      </c>
      <c r="D180">
        <v>2</v>
      </c>
      <c r="E180" t="s">
        <v>58</v>
      </c>
      <c r="F180" t="s">
        <v>57</v>
      </c>
      <c r="G180" t="s">
        <v>57</v>
      </c>
      <c r="H180" t="s">
        <v>58</v>
      </c>
      <c r="I180" t="s">
        <v>59</v>
      </c>
      <c r="J180" t="s">
        <v>58</v>
      </c>
      <c r="K180" t="s">
        <v>1310</v>
      </c>
      <c r="L180" t="str">
        <f t="shared" si="2"/>
        <v>{"test_id":"test_179", "genus_tags":["NN","JJ","VB","VBD","VBG","VBN","VBP","VBZ"], "genus_hypo_depth":0,"genus_hyper_hypo_depth":2,"lesk_on_genus":True,"definition_similarity":False,"examples_similarity":False,"lemmas_similarity":True,"score_type":"wup_similarity","lesk_only_n":True,"search_type":"dynamic"}</v>
      </c>
      <c r="M180" t="s">
        <v>132</v>
      </c>
    </row>
    <row r="181" spans="1:13" hidden="1" x14ac:dyDescent="0.2">
      <c r="A181" t="s">
        <v>1304</v>
      </c>
      <c r="B181" t="s">
        <v>69</v>
      </c>
      <c r="C181">
        <v>0</v>
      </c>
      <c r="D181">
        <v>3</v>
      </c>
      <c r="E181" t="s">
        <v>58</v>
      </c>
      <c r="F181" t="s">
        <v>57</v>
      </c>
      <c r="G181" t="s">
        <v>57</v>
      </c>
      <c r="H181" t="s">
        <v>58</v>
      </c>
      <c r="I181" t="s">
        <v>59</v>
      </c>
      <c r="J181" t="s">
        <v>58</v>
      </c>
      <c r="K181" t="s">
        <v>1310</v>
      </c>
      <c r="L181" t="str">
        <f t="shared" si="2"/>
        <v>{"test_id":"test_180", "genus_tags":["NN","JJ","VB","VBD","VBG","VBN","VBP","VBZ"], "genus_hypo_depth":0,"genus_hyper_hypo_depth":3,"lesk_on_genus":True,"definition_similarity":False,"examples_similarity":False,"lemmas_similarity":True,"score_type":"wup_similarity","lesk_only_n":True,"search_type":"dynamic"}</v>
      </c>
      <c r="M181" t="s">
        <v>132</v>
      </c>
    </row>
  </sheetData>
  <autoFilter ref="A1:M181" xr:uid="{644EB1C3-9D7C-A949-8DA6-850ACEFACCD6}">
    <filterColumn colId="1">
      <filters>
        <filter val="NN"/>
        <filter val="NN,JJ"/>
      </filters>
    </filterColumn>
  </autoFilter>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11</vt:i4>
      </vt:variant>
    </vt:vector>
  </HeadingPairs>
  <TitlesOfParts>
    <vt:vector size="11" baseType="lpstr">
      <vt:lpstr>gloss_similarity</vt:lpstr>
      <vt:lpstr>WINNERS</vt:lpstr>
      <vt:lpstr>gloss_example_similarity</vt:lpstr>
      <vt:lpstr>gloss_example_lemmas_similarity</vt:lpstr>
      <vt:lpstr>example_similarity</vt:lpstr>
      <vt:lpstr>example_lemmas</vt:lpstr>
      <vt:lpstr>Dataset_static</vt:lpstr>
      <vt:lpstr>scores_results</vt:lpstr>
      <vt:lpstr>Dataset_dynamic</vt:lpstr>
      <vt:lpstr>met_c</vt:lpstr>
      <vt:lpstr>experiments_specs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2020-11-07T12:36:51Z</dcterms:created>
  <dcterms:modified xsi:type="dcterms:W3CDTF">2020-11-10T15:21:23Z</dcterms:modified>
</cp:coreProperties>
</file>