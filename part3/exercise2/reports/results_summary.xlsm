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darka/Desktop/tln_repo/tln-1920/part3/exercise2/reports/"/>
    </mc:Choice>
  </mc:AlternateContent>
  <xr:revisionPtr revIDLastSave="0" documentId="13_ncr:1_{AECBA7ED-8895-BB44-865D-CDA485C5B302}" xr6:coauthVersionLast="45" xr6:coauthVersionMax="45" xr10:uidLastSave="{00000000-0000-0000-0000-000000000000}"/>
  <bookViews>
    <workbookView xWindow="540" yWindow="460" windowWidth="36900" windowHeight="19860" activeTab="8" xr2:uid="{E9BDE07A-8BC4-724E-BE54-94A4DC5B1916}"/>
  </bookViews>
  <sheets>
    <sheet name="gloss_similarity" sheetId="1" r:id="rId1"/>
    <sheet name="gloss_example_similarity" sheetId="5" r:id="rId2"/>
    <sheet name="gloss_example_lemmas_similarity" sheetId="6" r:id="rId3"/>
    <sheet name="example_similarity" sheetId="7" r:id="rId4"/>
    <sheet name="example_lemmas" sheetId="8" r:id="rId5"/>
    <sheet name="Dataset" sheetId="3" r:id="rId6"/>
    <sheet name="scores_results" sheetId="10" r:id="rId7"/>
    <sheet name="test da rieseguire" sheetId="9" r:id="rId8"/>
    <sheet name="experiments_specs" sheetId="4" r:id="rId9"/>
  </sheets>
  <functionGroups builtInGroupCount="19"/>
  <definedNames>
    <definedName name="_xlnm._FilterDatabase" localSheetId="8" hidden="1">experiments_specs!$A$1:$L$55</definedName>
    <definedName name="_xlnm._FilterDatabase" localSheetId="7" hidden="1">'test da rieseguire'!$A$1:$L$6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0" l="1"/>
  <c r="D4" i="10"/>
  <c r="E4" i="10"/>
  <c r="F4" i="10"/>
  <c r="G4" i="10"/>
  <c r="H4" i="10"/>
  <c r="I4" i="10"/>
  <c r="J4" i="10"/>
  <c r="C5" i="10"/>
  <c r="D5" i="10"/>
  <c r="E5" i="10"/>
  <c r="F5" i="10"/>
  <c r="G5" i="10"/>
  <c r="H5" i="10"/>
  <c r="I5" i="10"/>
  <c r="J5" i="10"/>
  <c r="C6" i="10"/>
  <c r="D6" i="10"/>
  <c r="E6" i="10"/>
  <c r="F6" i="10"/>
  <c r="G6" i="10"/>
  <c r="H6" i="10"/>
  <c r="I6" i="10"/>
  <c r="J6" i="10"/>
  <c r="C7" i="10"/>
  <c r="D7" i="10"/>
  <c r="E7" i="10"/>
  <c r="F7" i="10"/>
  <c r="G7" i="10"/>
  <c r="H7" i="10"/>
  <c r="I7" i="10"/>
  <c r="J7" i="10"/>
  <c r="C8" i="10"/>
  <c r="D8" i="10"/>
  <c r="E8" i="10"/>
  <c r="F8" i="10"/>
  <c r="G8" i="10"/>
  <c r="H8" i="10"/>
  <c r="I8" i="10"/>
  <c r="J8" i="10"/>
  <c r="C9" i="10"/>
  <c r="D9" i="10"/>
  <c r="E9" i="10"/>
  <c r="F9" i="10"/>
  <c r="G9" i="10"/>
  <c r="H9" i="10"/>
  <c r="I9" i="10"/>
  <c r="J9" i="10"/>
  <c r="C10" i="10"/>
  <c r="D10" i="10"/>
  <c r="E10" i="10"/>
  <c r="F10" i="10"/>
  <c r="G10" i="10"/>
  <c r="H10" i="10"/>
  <c r="I10" i="10"/>
  <c r="J10" i="10"/>
  <c r="C11" i="10"/>
  <c r="D11" i="10"/>
  <c r="E11" i="10"/>
  <c r="F11" i="10"/>
  <c r="G11" i="10"/>
  <c r="H11" i="10"/>
  <c r="I11" i="10"/>
  <c r="J11" i="10"/>
  <c r="C12" i="10"/>
  <c r="D12" i="10"/>
  <c r="E12" i="10"/>
  <c r="F12" i="10"/>
  <c r="G12" i="10"/>
  <c r="H12" i="10"/>
  <c r="I12" i="10"/>
  <c r="J12" i="10"/>
  <c r="C13" i="10"/>
  <c r="D13" i="10"/>
  <c r="E13" i="10"/>
  <c r="F13" i="10"/>
  <c r="G13" i="10"/>
  <c r="H13" i="10"/>
  <c r="I13" i="10"/>
  <c r="J13" i="10"/>
  <c r="C14" i="10"/>
  <c r="D14" i="10"/>
  <c r="E14" i="10"/>
  <c r="F14" i="10"/>
  <c r="G14" i="10"/>
  <c r="H14" i="10"/>
  <c r="I14" i="10"/>
  <c r="J14" i="10"/>
  <c r="C15" i="10"/>
  <c r="D15" i="10"/>
  <c r="E15" i="10"/>
  <c r="F15" i="10"/>
  <c r="G15" i="10"/>
  <c r="H15" i="10"/>
  <c r="I15" i="10"/>
  <c r="J15" i="10"/>
  <c r="C16" i="10"/>
  <c r="D16" i="10"/>
  <c r="E16" i="10"/>
  <c r="F16" i="10"/>
  <c r="G16" i="10"/>
  <c r="H16" i="10"/>
  <c r="I16" i="10"/>
  <c r="J16" i="10"/>
  <c r="C17" i="10"/>
  <c r="D17" i="10"/>
  <c r="E17" i="10"/>
  <c r="F17" i="10"/>
  <c r="G17" i="10"/>
  <c r="H17" i="10"/>
  <c r="I17" i="10"/>
  <c r="J17" i="10"/>
  <c r="C18" i="10"/>
  <c r="D18" i="10"/>
  <c r="E18" i="10"/>
  <c r="F18" i="10"/>
  <c r="G18" i="10"/>
  <c r="H18" i="10"/>
  <c r="I18" i="10"/>
  <c r="J18" i="10"/>
  <c r="C19" i="10"/>
  <c r="D19" i="10"/>
  <c r="E19" i="10"/>
  <c r="F19" i="10"/>
  <c r="G19" i="10"/>
  <c r="H19" i="10"/>
  <c r="I19" i="10"/>
  <c r="J19" i="10"/>
  <c r="C20" i="10"/>
  <c r="D20" i="10"/>
  <c r="E20" i="10"/>
  <c r="F20" i="10"/>
  <c r="G20" i="10"/>
  <c r="H20" i="10"/>
  <c r="I20" i="10"/>
  <c r="J20" i="10"/>
  <c r="C21" i="10"/>
  <c r="D21" i="10"/>
  <c r="E21" i="10"/>
  <c r="F21" i="10"/>
  <c r="G21" i="10"/>
  <c r="H21" i="10"/>
  <c r="I21" i="10"/>
  <c r="J21" i="10"/>
  <c r="C22" i="10"/>
  <c r="D22" i="10"/>
  <c r="E22" i="10"/>
  <c r="F22" i="10"/>
  <c r="G22" i="10"/>
  <c r="H22" i="10"/>
  <c r="I22" i="10"/>
  <c r="J22" i="10"/>
  <c r="C23" i="10"/>
  <c r="D23" i="10"/>
  <c r="E23" i="10"/>
  <c r="F23" i="10"/>
  <c r="G23" i="10"/>
  <c r="H23" i="10"/>
  <c r="I23" i="10"/>
  <c r="J23" i="10"/>
  <c r="C24" i="10"/>
  <c r="D24" i="10"/>
  <c r="E24" i="10"/>
  <c r="F24" i="10"/>
  <c r="G24" i="10"/>
  <c r="H24" i="10"/>
  <c r="I24" i="10"/>
  <c r="J24" i="10"/>
  <c r="C25" i="10"/>
  <c r="D25" i="10"/>
  <c r="E25" i="10"/>
  <c r="F25" i="10"/>
  <c r="G25" i="10"/>
  <c r="H25" i="10"/>
  <c r="I25" i="10"/>
  <c r="J25" i="10"/>
  <c r="C26" i="10"/>
  <c r="D26" i="10"/>
  <c r="E26" i="10"/>
  <c r="F26" i="10"/>
  <c r="G26" i="10"/>
  <c r="H26" i="10"/>
  <c r="I26" i="10"/>
  <c r="J26" i="10"/>
  <c r="C27" i="10"/>
  <c r="D27" i="10"/>
  <c r="E27" i="10"/>
  <c r="F27" i="10"/>
  <c r="G27" i="10"/>
  <c r="H27" i="10"/>
  <c r="I27" i="10"/>
  <c r="J27" i="10"/>
  <c r="C28" i="10"/>
  <c r="D28" i="10"/>
  <c r="E28" i="10"/>
  <c r="F28" i="10"/>
  <c r="G28" i="10"/>
  <c r="H28" i="10"/>
  <c r="I28" i="10"/>
  <c r="J28" i="10"/>
  <c r="C29" i="10"/>
  <c r="D29" i="10"/>
  <c r="E29" i="10"/>
  <c r="F29" i="10"/>
  <c r="G29" i="10"/>
  <c r="H29" i="10"/>
  <c r="I29" i="10"/>
  <c r="J29" i="10"/>
  <c r="C30" i="10"/>
  <c r="D30" i="10"/>
  <c r="E30" i="10"/>
  <c r="F30" i="10"/>
  <c r="G30" i="10"/>
  <c r="H30" i="10"/>
  <c r="I30" i="10"/>
  <c r="J30" i="10"/>
  <c r="C31" i="10"/>
  <c r="D31" i="10"/>
  <c r="E31" i="10"/>
  <c r="F31" i="10"/>
  <c r="G31" i="10"/>
  <c r="H31" i="10"/>
  <c r="I31" i="10"/>
  <c r="J31" i="10"/>
  <c r="C32" i="10"/>
  <c r="D32" i="10"/>
  <c r="E32" i="10"/>
  <c r="F32" i="10"/>
  <c r="G32" i="10"/>
  <c r="H32" i="10"/>
  <c r="I32" i="10"/>
  <c r="J32" i="10"/>
  <c r="C33" i="10"/>
  <c r="D33" i="10"/>
  <c r="E33" i="10"/>
  <c r="F33" i="10"/>
  <c r="G33" i="10"/>
  <c r="H33" i="10"/>
  <c r="I33" i="10"/>
  <c r="J33" i="10"/>
  <c r="C34" i="10"/>
  <c r="D34" i="10"/>
  <c r="E34" i="10"/>
  <c r="F34" i="10"/>
  <c r="G34" i="10"/>
  <c r="H34" i="10"/>
  <c r="I34" i="10"/>
  <c r="J34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J38" i="10"/>
  <c r="C39" i="10"/>
  <c r="D39" i="10"/>
  <c r="E39" i="10"/>
  <c r="F39" i="10"/>
  <c r="G39" i="10"/>
  <c r="H39" i="10"/>
  <c r="I39" i="10"/>
  <c r="J39" i="10"/>
  <c r="J3" i="10"/>
  <c r="I3" i="10"/>
  <c r="H3" i="10"/>
  <c r="G3" i="10"/>
  <c r="F3" i="10"/>
  <c r="E3" i="10"/>
  <c r="D3" i="10"/>
  <c r="C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3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2" i="9" l="1"/>
  <c r="K3" i="9"/>
  <c r="K4" i="9"/>
  <c r="K5" i="9"/>
  <c r="K6" i="9"/>
  <c r="G15" i="8"/>
  <c r="E18" i="8" s="1"/>
  <c r="E13" i="8"/>
  <c r="E12" i="8"/>
  <c r="E11" i="8"/>
  <c r="E10" i="8"/>
  <c r="E9" i="8"/>
  <c r="E8" i="8"/>
  <c r="E7" i="8"/>
  <c r="E6" i="8"/>
  <c r="F5" i="8"/>
  <c r="E5" i="8"/>
  <c r="E13" i="7"/>
  <c r="K57" i="4"/>
  <c r="K56" i="4"/>
  <c r="G15" i="7"/>
  <c r="E18" i="7" s="1"/>
  <c r="E9" i="7"/>
  <c r="E8" i="7"/>
  <c r="E7" i="7"/>
  <c r="E6" i="7"/>
  <c r="F5" i="7"/>
  <c r="B298" i="3"/>
  <c r="C298" i="3"/>
  <c r="D298" i="3"/>
  <c r="E298" i="3"/>
  <c r="F298" i="3"/>
  <c r="G298" i="3"/>
  <c r="H298" i="3"/>
  <c r="I298" i="3"/>
  <c r="J298" i="3"/>
  <c r="B297" i="3"/>
  <c r="C297" i="3"/>
  <c r="D297" i="3"/>
  <c r="E297" i="3"/>
  <c r="F297" i="3"/>
  <c r="G297" i="3"/>
  <c r="H297" i="3"/>
  <c r="I297" i="3"/>
  <c r="J297" i="3"/>
  <c r="B296" i="3"/>
  <c r="C296" i="3"/>
  <c r="D296" i="3"/>
  <c r="E296" i="3"/>
  <c r="F296" i="3"/>
  <c r="G296" i="3"/>
  <c r="H296" i="3"/>
  <c r="I296" i="3"/>
  <c r="J296" i="3"/>
  <c r="B295" i="3"/>
  <c r="C295" i="3"/>
  <c r="D295" i="3"/>
  <c r="E295" i="3"/>
  <c r="F295" i="3"/>
  <c r="G295" i="3"/>
  <c r="H295" i="3"/>
  <c r="I295" i="3"/>
  <c r="J295" i="3"/>
  <c r="B294" i="3"/>
  <c r="C294" i="3"/>
  <c r="D294" i="3"/>
  <c r="E294" i="3"/>
  <c r="F294" i="3"/>
  <c r="G294" i="3"/>
  <c r="H294" i="3"/>
  <c r="I294" i="3"/>
  <c r="J294" i="3"/>
  <c r="B293" i="3"/>
  <c r="C293" i="3"/>
  <c r="D293" i="3"/>
  <c r="E293" i="3"/>
  <c r="F293" i="3"/>
  <c r="G293" i="3"/>
  <c r="H293" i="3"/>
  <c r="I293" i="3"/>
  <c r="J293" i="3"/>
  <c r="B292" i="3"/>
  <c r="C292" i="3"/>
  <c r="D292" i="3"/>
  <c r="E292" i="3"/>
  <c r="F292" i="3"/>
  <c r="G292" i="3"/>
  <c r="H292" i="3"/>
  <c r="I292" i="3"/>
  <c r="J292" i="3"/>
  <c r="B291" i="3"/>
  <c r="C291" i="3"/>
  <c r="D291" i="3"/>
  <c r="E291" i="3"/>
  <c r="F291" i="3"/>
  <c r="G291" i="3"/>
  <c r="H291" i="3"/>
  <c r="I291" i="3"/>
  <c r="J291" i="3"/>
  <c r="B290" i="3"/>
  <c r="C290" i="3"/>
  <c r="D290" i="3"/>
  <c r="E290" i="3"/>
  <c r="F290" i="3"/>
  <c r="G290" i="3"/>
  <c r="H290" i="3"/>
  <c r="I290" i="3"/>
  <c r="J290" i="3"/>
  <c r="B289" i="3"/>
  <c r="C289" i="3"/>
  <c r="D289" i="3"/>
  <c r="E289" i="3"/>
  <c r="F289" i="3"/>
  <c r="G289" i="3"/>
  <c r="H289" i="3"/>
  <c r="I289" i="3"/>
  <c r="J289" i="3"/>
  <c r="B288" i="3"/>
  <c r="C288" i="3"/>
  <c r="D288" i="3"/>
  <c r="E288" i="3"/>
  <c r="F288" i="3"/>
  <c r="G288" i="3"/>
  <c r="H288" i="3"/>
  <c r="I288" i="3"/>
  <c r="J288" i="3"/>
  <c r="B287" i="3"/>
  <c r="C287" i="3"/>
  <c r="D287" i="3"/>
  <c r="E287" i="3"/>
  <c r="F287" i="3"/>
  <c r="G287" i="3"/>
  <c r="H287" i="3"/>
  <c r="I287" i="3"/>
  <c r="J287" i="3"/>
  <c r="B286" i="3"/>
  <c r="C286" i="3"/>
  <c r="D286" i="3"/>
  <c r="E286" i="3"/>
  <c r="F286" i="3"/>
  <c r="G286" i="3"/>
  <c r="H286" i="3"/>
  <c r="I286" i="3"/>
  <c r="J286" i="3"/>
  <c r="B285" i="3"/>
  <c r="C285" i="3"/>
  <c r="D285" i="3"/>
  <c r="E285" i="3"/>
  <c r="F285" i="3"/>
  <c r="G285" i="3"/>
  <c r="H285" i="3"/>
  <c r="I285" i="3"/>
  <c r="J285" i="3"/>
  <c r="B284" i="3"/>
  <c r="C284" i="3"/>
  <c r="D284" i="3"/>
  <c r="E284" i="3"/>
  <c r="F284" i="3"/>
  <c r="G284" i="3"/>
  <c r="H284" i="3"/>
  <c r="I284" i="3"/>
  <c r="J284" i="3"/>
  <c r="B283" i="3"/>
  <c r="C283" i="3"/>
  <c r="D283" i="3"/>
  <c r="E283" i="3"/>
  <c r="F283" i="3"/>
  <c r="G283" i="3"/>
  <c r="H283" i="3"/>
  <c r="I283" i="3"/>
  <c r="J283" i="3"/>
  <c r="B282" i="3"/>
  <c r="C282" i="3"/>
  <c r="D282" i="3"/>
  <c r="E282" i="3"/>
  <c r="F282" i="3"/>
  <c r="G282" i="3"/>
  <c r="H282" i="3"/>
  <c r="I282" i="3"/>
  <c r="J282" i="3"/>
  <c r="B281" i="3"/>
  <c r="C281" i="3"/>
  <c r="D281" i="3"/>
  <c r="E281" i="3"/>
  <c r="F281" i="3"/>
  <c r="G281" i="3"/>
  <c r="H281" i="3"/>
  <c r="I281" i="3"/>
  <c r="J281" i="3"/>
  <c r="B280" i="3"/>
  <c r="C280" i="3"/>
  <c r="D280" i="3"/>
  <c r="E280" i="3"/>
  <c r="F280" i="3"/>
  <c r="G280" i="3"/>
  <c r="H280" i="3"/>
  <c r="I280" i="3"/>
  <c r="J280" i="3"/>
  <c r="B279" i="3"/>
  <c r="C279" i="3"/>
  <c r="D279" i="3"/>
  <c r="E279" i="3"/>
  <c r="F279" i="3"/>
  <c r="G279" i="3"/>
  <c r="H279" i="3"/>
  <c r="I279" i="3"/>
  <c r="J279" i="3"/>
  <c r="B278" i="3"/>
  <c r="C278" i="3"/>
  <c r="D278" i="3"/>
  <c r="E278" i="3"/>
  <c r="F278" i="3"/>
  <c r="G278" i="3"/>
  <c r="H278" i="3"/>
  <c r="I278" i="3"/>
  <c r="J278" i="3"/>
  <c r="B277" i="3"/>
  <c r="C277" i="3"/>
  <c r="D277" i="3"/>
  <c r="E277" i="3"/>
  <c r="F277" i="3"/>
  <c r="G277" i="3"/>
  <c r="H277" i="3"/>
  <c r="I277" i="3"/>
  <c r="J277" i="3"/>
  <c r="B276" i="3"/>
  <c r="C276" i="3"/>
  <c r="D276" i="3"/>
  <c r="E276" i="3"/>
  <c r="F276" i="3"/>
  <c r="G276" i="3"/>
  <c r="H276" i="3"/>
  <c r="I276" i="3"/>
  <c r="J276" i="3"/>
  <c r="B275" i="3"/>
  <c r="C275" i="3"/>
  <c r="D275" i="3"/>
  <c r="E275" i="3"/>
  <c r="F275" i="3"/>
  <c r="G275" i="3"/>
  <c r="H275" i="3"/>
  <c r="I275" i="3"/>
  <c r="J275" i="3"/>
  <c r="B274" i="3"/>
  <c r="C274" i="3"/>
  <c r="D274" i="3"/>
  <c r="E274" i="3"/>
  <c r="F274" i="3"/>
  <c r="G274" i="3"/>
  <c r="H274" i="3"/>
  <c r="I274" i="3"/>
  <c r="J274" i="3"/>
  <c r="B273" i="3"/>
  <c r="C273" i="3"/>
  <c r="D273" i="3"/>
  <c r="E273" i="3"/>
  <c r="F273" i="3"/>
  <c r="G273" i="3"/>
  <c r="H273" i="3"/>
  <c r="I273" i="3"/>
  <c r="J273" i="3"/>
  <c r="B272" i="3"/>
  <c r="C272" i="3"/>
  <c r="D272" i="3"/>
  <c r="E272" i="3"/>
  <c r="F272" i="3"/>
  <c r="G272" i="3"/>
  <c r="H272" i="3"/>
  <c r="I272" i="3"/>
  <c r="J272" i="3"/>
  <c r="B271" i="3"/>
  <c r="C271" i="3"/>
  <c r="D271" i="3"/>
  <c r="E271" i="3"/>
  <c r="F271" i="3"/>
  <c r="G271" i="3"/>
  <c r="H271" i="3"/>
  <c r="I271" i="3"/>
  <c r="J271" i="3"/>
  <c r="B270" i="3"/>
  <c r="C270" i="3"/>
  <c r="D270" i="3"/>
  <c r="E270" i="3"/>
  <c r="F270" i="3"/>
  <c r="G270" i="3"/>
  <c r="H270" i="3"/>
  <c r="I270" i="3"/>
  <c r="J270" i="3"/>
  <c r="B269" i="3"/>
  <c r="C269" i="3"/>
  <c r="D269" i="3"/>
  <c r="E269" i="3"/>
  <c r="F269" i="3"/>
  <c r="G269" i="3"/>
  <c r="H269" i="3"/>
  <c r="I269" i="3"/>
  <c r="J269" i="3"/>
  <c r="B268" i="3"/>
  <c r="C268" i="3"/>
  <c r="D268" i="3"/>
  <c r="E268" i="3"/>
  <c r="F268" i="3"/>
  <c r="G268" i="3"/>
  <c r="H268" i="3"/>
  <c r="I268" i="3"/>
  <c r="J268" i="3"/>
  <c r="B267" i="3"/>
  <c r="C267" i="3"/>
  <c r="D267" i="3"/>
  <c r="E267" i="3"/>
  <c r="F267" i="3"/>
  <c r="G267" i="3"/>
  <c r="H267" i="3"/>
  <c r="I267" i="3"/>
  <c r="J267" i="3"/>
  <c r="B266" i="3"/>
  <c r="C266" i="3"/>
  <c r="D266" i="3"/>
  <c r="E266" i="3"/>
  <c r="F266" i="3"/>
  <c r="G266" i="3"/>
  <c r="H266" i="3"/>
  <c r="I266" i="3"/>
  <c r="J266" i="3"/>
  <c r="B265" i="3"/>
  <c r="C265" i="3"/>
  <c r="D265" i="3"/>
  <c r="E265" i="3"/>
  <c r="F265" i="3"/>
  <c r="G265" i="3"/>
  <c r="H265" i="3"/>
  <c r="I265" i="3"/>
  <c r="J265" i="3"/>
  <c r="B264" i="3"/>
  <c r="C264" i="3"/>
  <c r="D264" i="3"/>
  <c r="E264" i="3"/>
  <c r="F264" i="3"/>
  <c r="G264" i="3"/>
  <c r="H264" i="3"/>
  <c r="I264" i="3"/>
  <c r="J264" i="3"/>
  <c r="B263" i="3"/>
  <c r="C263" i="3"/>
  <c r="D263" i="3"/>
  <c r="E263" i="3"/>
  <c r="F263" i="3"/>
  <c r="G263" i="3"/>
  <c r="H263" i="3"/>
  <c r="I263" i="3"/>
  <c r="J263" i="3"/>
  <c r="B262" i="3"/>
  <c r="C262" i="3"/>
  <c r="D262" i="3"/>
  <c r="E262" i="3"/>
  <c r="F262" i="3"/>
  <c r="G262" i="3"/>
  <c r="H262" i="3"/>
  <c r="I262" i="3"/>
  <c r="J262" i="3"/>
  <c r="B261" i="3"/>
  <c r="C261" i="3"/>
  <c r="D261" i="3"/>
  <c r="E261" i="3"/>
  <c r="F261" i="3"/>
  <c r="G261" i="3"/>
  <c r="H261" i="3"/>
  <c r="I261" i="3"/>
  <c r="J261" i="3"/>
  <c r="B260" i="3"/>
  <c r="C260" i="3"/>
  <c r="D260" i="3"/>
  <c r="E260" i="3"/>
  <c r="F260" i="3"/>
  <c r="G260" i="3"/>
  <c r="H260" i="3"/>
  <c r="I260" i="3"/>
  <c r="J260" i="3"/>
  <c r="B259" i="3"/>
  <c r="C259" i="3"/>
  <c r="D259" i="3"/>
  <c r="E259" i="3"/>
  <c r="F259" i="3"/>
  <c r="G259" i="3"/>
  <c r="H259" i="3"/>
  <c r="I259" i="3"/>
  <c r="J259" i="3"/>
  <c r="B258" i="3"/>
  <c r="C258" i="3"/>
  <c r="D258" i="3"/>
  <c r="E258" i="3"/>
  <c r="F258" i="3"/>
  <c r="G258" i="3"/>
  <c r="H258" i="3"/>
  <c r="I258" i="3"/>
  <c r="J258" i="3"/>
  <c r="B257" i="3"/>
  <c r="C257" i="3"/>
  <c r="D257" i="3"/>
  <c r="E257" i="3"/>
  <c r="F257" i="3"/>
  <c r="G257" i="3"/>
  <c r="H257" i="3"/>
  <c r="I257" i="3"/>
  <c r="J257" i="3"/>
  <c r="B256" i="3"/>
  <c r="C256" i="3"/>
  <c r="D256" i="3"/>
  <c r="E256" i="3"/>
  <c r="F256" i="3"/>
  <c r="G256" i="3"/>
  <c r="H256" i="3"/>
  <c r="I256" i="3"/>
  <c r="J256" i="3"/>
  <c r="B255" i="3"/>
  <c r="C255" i="3"/>
  <c r="D255" i="3"/>
  <c r="E255" i="3"/>
  <c r="F255" i="3"/>
  <c r="G255" i="3"/>
  <c r="H255" i="3"/>
  <c r="I255" i="3"/>
  <c r="J255" i="3"/>
  <c r="B254" i="3"/>
  <c r="C254" i="3"/>
  <c r="D254" i="3"/>
  <c r="E254" i="3"/>
  <c r="F254" i="3"/>
  <c r="G254" i="3"/>
  <c r="H254" i="3"/>
  <c r="I254" i="3"/>
  <c r="J254" i="3"/>
  <c r="B253" i="3"/>
  <c r="C253" i="3"/>
  <c r="D253" i="3"/>
  <c r="E253" i="3"/>
  <c r="F253" i="3"/>
  <c r="G253" i="3"/>
  <c r="H253" i="3"/>
  <c r="I253" i="3"/>
  <c r="J253" i="3"/>
  <c r="B252" i="3"/>
  <c r="C252" i="3"/>
  <c r="D252" i="3"/>
  <c r="E252" i="3"/>
  <c r="F252" i="3"/>
  <c r="G252" i="3"/>
  <c r="H252" i="3"/>
  <c r="I252" i="3"/>
  <c r="J252" i="3"/>
  <c r="B251" i="3"/>
  <c r="C251" i="3"/>
  <c r="D251" i="3"/>
  <c r="E251" i="3"/>
  <c r="F251" i="3"/>
  <c r="G251" i="3"/>
  <c r="H251" i="3"/>
  <c r="I251" i="3"/>
  <c r="J251" i="3"/>
  <c r="B250" i="3"/>
  <c r="C250" i="3"/>
  <c r="D250" i="3"/>
  <c r="E250" i="3"/>
  <c r="F250" i="3"/>
  <c r="G250" i="3"/>
  <c r="H250" i="3"/>
  <c r="I250" i="3"/>
  <c r="J250" i="3"/>
  <c r="B249" i="3"/>
  <c r="C249" i="3"/>
  <c r="D249" i="3"/>
  <c r="E249" i="3"/>
  <c r="F249" i="3"/>
  <c r="G249" i="3"/>
  <c r="H249" i="3"/>
  <c r="I249" i="3"/>
  <c r="J249" i="3"/>
  <c r="B248" i="3"/>
  <c r="C248" i="3"/>
  <c r="D248" i="3"/>
  <c r="E248" i="3"/>
  <c r="F248" i="3"/>
  <c r="G248" i="3"/>
  <c r="H248" i="3"/>
  <c r="I248" i="3"/>
  <c r="J248" i="3"/>
  <c r="B247" i="3"/>
  <c r="C247" i="3"/>
  <c r="D247" i="3"/>
  <c r="E247" i="3"/>
  <c r="F247" i="3"/>
  <c r="G247" i="3"/>
  <c r="H247" i="3"/>
  <c r="I247" i="3"/>
  <c r="J247" i="3"/>
  <c r="B246" i="3"/>
  <c r="C246" i="3"/>
  <c r="D246" i="3"/>
  <c r="E246" i="3"/>
  <c r="F246" i="3"/>
  <c r="G246" i="3"/>
  <c r="H246" i="3"/>
  <c r="I246" i="3"/>
  <c r="J246" i="3"/>
  <c r="B245" i="3"/>
  <c r="C245" i="3"/>
  <c r="D245" i="3"/>
  <c r="E245" i="3"/>
  <c r="F245" i="3"/>
  <c r="G245" i="3"/>
  <c r="H245" i="3"/>
  <c r="I245" i="3"/>
  <c r="J245" i="3"/>
  <c r="B244" i="3"/>
  <c r="C244" i="3"/>
  <c r="D244" i="3"/>
  <c r="E244" i="3"/>
  <c r="F244" i="3"/>
  <c r="G244" i="3"/>
  <c r="H244" i="3"/>
  <c r="I244" i="3"/>
  <c r="J244" i="3"/>
  <c r="B243" i="3"/>
  <c r="C243" i="3"/>
  <c r="D243" i="3"/>
  <c r="E243" i="3"/>
  <c r="F243" i="3"/>
  <c r="G243" i="3"/>
  <c r="H243" i="3"/>
  <c r="I243" i="3"/>
  <c r="J243" i="3"/>
  <c r="B242" i="3"/>
  <c r="C242" i="3"/>
  <c r="D242" i="3"/>
  <c r="E242" i="3"/>
  <c r="F242" i="3"/>
  <c r="G242" i="3"/>
  <c r="H242" i="3"/>
  <c r="I242" i="3"/>
  <c r="J242" i="3"/>
  <c r="B241" i="3"/>
  <c r="C241" i="3"/>
  <c r="D241" i="3"/>
  <c r="E241" i="3"/>
  <c r="F241" i="3"/>
  <c r="G241" i="3"/>
  <c r="H241" i="3"/>
  <c r="I241" i="3"/>
  <c r="J241" i="3"/>
  <c r="B240" i="3"/>
  <c r="C240" i="3"/>
  <c r="D240" i="3"/>
  <c r="E240" i="3"/>
  <c r="F240" i="3"/>
  <c r="G240" i="3"/>
  <c r="H240" i="3"/>
  <c r="I240" i="3"/>
  <c r="J240" i="3"/>
  <c r="B239" i="3"/>
  <c r="C239" i="3"/>
  <c r="D239" i="3"/>
  <c r="E239" i="3"/>
  <c r="F239" i="3"/>
  <c r="G239" i="3"/>
  <c r="H239" i="3"/>
  <c r="I239" i="3"/>
  <c r="J239" i="3"/>
  <c r="B238" i="3"/>
  <c r="C238" i="3"/>
  <c r="D238" i="3"/>
  <c r="E238" i="3"/>
  <c r="F238" i="3"/>
  <c r="G238" i="3"/>
  <c r="H238" i="3"/>
  <c r="I238" i="3"/>
  <c r="J238" i="3"/>
  <c r="B237" i="3"/>
  <c r="C237" i="3"/>
  <c r="D237" i="3"/>
  <c r="E237" i="3"/>
  <c r="F237" i="3"/>
  <c r="G237" i="3"/>
  <c r="H237" i="3"/>
  <c r="I237" i="3"/>
  <c r="J237" i="3"/>
  <c r="B236" i="3"/>
  <c r="C236" i="3"/>
  <c r="D236" i="3"/>
  <c r="E236" i="3"/>
  <c r="F236" i="3"/>
  <c r="G236" i="3"/>
  <c r="H236" i="3"/>
  <c r="I236" i="3"/>
  <c r="J236" i="3"/>
  <c r="B235" i="3"/>
  <c r="C235" i="3"/>
  <c r="D235" i="3"/>
  <c r="E235" i="3"/>
  <c r="F235" i="3"/>
  <c r="G235" i="3"/>
  <c r="H235" i="3"/>
  <c r="I235" i="3"/>
  <c r="J235" i="3"/>
  <c r="B234" i="3"/>
  <c r="C234" i="3"/>
  <c r="D234" i="3"/>
  <c r="E234" i="3"/>
  <c r="F234" i="3"/>
  <c r="G234" i="3"/>
  <c r="H234" i="3"/>
  <c r="I234" i="3"/>
  <c r="J234" i="3"/>
  <c r="B233" i="3"/>
  <c r="C233" i="3"/>
  <c r="D233" i="3"/>
  <c r="E233" i="3"/>
  <c r="F233" i="3"/>
  <c r="G233" i="3"/>
  <c r="H233" i="3"/>
  <c r="I233" i="3"/>
  <c r="J233" i="3"/>
  <c r="B232" i="3"/>
  <c r="C232" i="3"/>
  <c r="D232" i="3"/>
  <c r="E232" i="3"/>
  <c r="F232" i="3"/>
  <c r="G232" i="3"/>
  <c r="H232" i="3"/>
  <c r="I232" i="3"/>
  <c r="J232" i="3"/>
  <c r="B231" i="3"/>
  <c r="C231" i="3"/>
  <c r="D231" i="3"/>
  <c r="E231" i="3"/>
  <c r="F231" i="3"/>
  <c r="G231" i="3"/>
  <c r="H231" i="3"/>
  <c r="I231" i="3"/>
  <c r="J231" i="3"/>
  <c r="B230" i="3"/>
  <c r="C230" i="3"/>
  <c r="D230" i="3"/>
  <c r="E230" i="3"/>
  <c r="F230" i="3"/>
  <c r="G230" i="3"/>
  <c r="H230" i="3"/>
  <c r="I230" i="3"/>
  <c r="J230" i="3"/>
  <c r="B229" i="3"/>
  <c r="C229" i="3"/>
  <c r="D229" i="3"/>
  <c r="E229" i="3"/>
  <c r="F229" i="3"/>
  <c r="G229" i="3"/>
  <c r="H229" i="3"/>
  <c r="I229" i="3"/>
  <c r="J229" i="3"/>
  <c r="B228" i="3"/>
  <c r="C228" i="3"/>
  <c r="D228" i="3"/>
  <c r="E228" i="3"/>
  <c r="F228" i="3"/>
  <c r="G228" i="3"/>
  <c r="H228" i="3"/>
  <c r="I228" i="3"/>
  <c r="J228" i="3"/>
  <c r="B227" i="3"/>
  <c r="C227" i="3"/>
  <c r="D227" i="3"/>
  <c r="E227" i="3"/>
  <c r="F227" i="3"/>
  <c r="G227" i="3"/>
  <c r="H227" i="3"/>
  <c r="I227" i="3"/>
  <c r="J227" i="3"/>
  <c r="B226" i="3"/>
  <c r="C226" i="3"/>
  <c r="D226" i="3"/>
  <c r="E226" i="3"/>
  <c r="F226" i="3"/>
  <c r="G226" i="3"/>
  <c r="H226" i="3"/>
  <c r="I226" i="3"/>
  <c r="J226" i="3"/>
  <c r="B225" i="3"/>
  <c r="C225" i="3"/>
  <c r="D225" i="3"/>
  <c r="E225" i="3"/>
  <c r="F225" i="3"/>
  <c r="G225" i="3"/>
  <c r="H225" i="3"/>
  <c r="I225" i="3"/>
  <c r="J225" i="3"/>
  <c r="B224" i="3"/>
  <c r="C224" i="3"/>
  <c r="D224" i="3"/>
  <c r="E224" i="3"/>
  <c r="F224" i="3"/>
  <c r="G224" i="3"/>
  <c r="H224" i="3"/>
  <c r="I224" i="3"/>
  <c r="J224" i="3"/>
  <c r="B223" i="3"/>
  <c r="C223" i="3"/>
  <c r="D223" i="3"/>
  <c r="E223" i="3"/>
  <c r="F223" i="3"/>
  <c r="G223" i="3"/>
  <c r="H223" i="3"/>
  <c r="I223" i="3"/>
  <c r="J223" i="3"/>
  <c r="B222" i="3"/>
  <c r="C222" i="3"/>
  <c r="D222" i="3"/>
  <c r="E222" i="3"/>
  <c r="F222" i="3"/>
  <c r="G222" i="3"/>
  <c r="H222" i="3"/>
  <c r="I222" i="3"/>
  <c r="J222" i="3"/>
  <c r="B221" i="3"/>
  <c r="C221" i="3"/>
  <c r="D221" i="3"/>
  <c r="E221" i="3"/>
  <c r="F221" i="3"/>
  <c r="G221" i="3"/>
  <c r="H221" i="3"/>
  <c r="I221" i="3"/>
  <c r="J221" i="3"/>
  <c r="B220" i="3"/>
  <c r="C220" i="3"/>
  <c r="D220" i="3"/>
  <c r="E220" i="3"/>
  <c r="F220" i="3"/>
  <c r="G220" i="3"/>
  <c r="H220" i="3"/>
  <c r="I220" i="3"/>
  <c r="J220" i="3"/>
  <c r="B219" i="3"/>
  <c r="C219" i="3"/>
  <c r="D219" i="3"/>
  <c r="E219" i="3"/>
  <c r="F219" i="3"/>
  <c r="G219" i="3"/>
  <c r="H219" i="3"/>
  <c r="I219" i="3"/>
  <c r="J219" i="3"/>
  <c r="B218" i="3"/>
  <c r="C218" i="3"/>
  <c r="D218" i="3"/>
  <c r="E218" i="3"/>
  <c r="F218" i="3"/>
  <c r="G218" i="3"/>
  <c r="H218" i="3"/>
  <c r="I218" i="3"/>
  <c r="J218" i="3"/>
  <c r="B217" i="3"/>
  <c r="C217" i="3"/>
  <c r="D217" i="3"/>
  <c r="E217" i="3"/>
  <c r="F217" i="3"/>
  <c r="G217" i="3"/>
  <c r="H217" i="3"/>
  <c r="I217" i="3"/>
  <c r="J217" i="3"/>
  <c r="B216" i="3"/>
  <c r="C216" i="3"/>
  <c r="D216" i="3"/>
  <c r="E216" i="3"/>
  <c r="F216" i="3"/>
  <c r="G216" i="3"/>
  <c r="H216" i="3"/>
  <c r="I216" i="3"/>
  <c r="J216" i="3"/>
  <c r="B215" i="3"/>
  <c r="C215" i="3"/>
  <c r="D215" i="3"/>
  <c r="E215" i="3"/>
  <c r="F215" i="3"/>
  <c r="G215" i="3"/>
  <c r="H215" i="3"/>
  <c r="I215" i="3"/>
  <c r="J215" i="3"/>
  <c r="B214" i="3"/>
  <c r="C214" i="3"/>
  <c r="D214" i="3"/>
  <c r="E214" i="3"/>
  <c r="F214" i="3"/>
  <c r="G214" i="3"/>
  <c r="H214" i="3"/>
  <c r="I214" i="3"/>
  <c r="J214" i="3"/>
  <c r="B213" i="3"/>
  <c r="C213" i="3"/>
  <c r="D213" i="3"/>
  <c r="E213" i="3"/>
  <c r="F213" i="3"/>
  <c r="G213" i="3"/>
  <c r="H213" i="3"/>
  <c r="I213" i="3"/>
  <c r="J213" i="3"/>
  <c r="B212" i="3"/>
  <c r="C212" i="3"/>
  <c r="D212" i="3"/>
  <c r="E212" i="3"/>
  <c r="F212" i="3"/>
  <c r="G212" i="3"/>
  <c r="H212" i="3"/>
  <c r="I212" i="3"/>
  <c r="J212" i="3"/>
  <c r="B211" i="3"/>
  <c r="C211" i="3"/>
  <c r="D211" i="3"/>
  <c r="E211" i="3"/>
  <c r="F211" i="3"/>
  <c r="G211" i="3"/>
  <c r="H211" i="3"/>
  <c r="I211" i="3"/>
  <c r="J211" i="3"/>
  <c r="B210" i="3"/>
  <c r="C210" i="3"/>
  <c r="D210" i="3"/>
  <c r="E210" i="3"/>
  <c r="F210" i="3"/>
  <c r="G210" i="3"/>
  <c r="H210" i="3"/>
  <c r="I210" i="3"/>
  <c r="J210" i="3"/>
  <c r="B209" i="3"/>
  <c r="C209" i="3"/>
  <c r="D209" i="3"/>
  <c r="E209" i="3"/>
  <c r="F209" i="3"/>
  <c r="G209" i="3"/>
  <c r="H209" i="3"/>
  <c r="I209" i="3"/>
  <c r="J209" i="3"/>
  <c r="B208" i="3"/>
  <c r="C208" i="3"/>
  <c r="D208" i="3"/>
  <c r="E208" i="3"/>
  <c r="F208" i="3"/>
  <c r="G208" i="3"/>
  <c r="H208" i="3"/>
  <c r="I208" i="3"/>
  <c r="J208" i="3"/>
  <c r="B207" i="3"/>
  <c r="C207" i="3"/>
  <c r="D207" i="3"/>
  <c r="E207" i="3"/>
  <c r="F207" i="3"/>
  <c r="G207" i="3"/>
  <c r="H207" i="3"/>
  <c r="I207" i="3"/>
  <c r="J207" i="3"/>
  <c r="B206" i="3"/>
  <c r="C206" i="3"/>
  <c r="D206" i="3"/>
  <c r="E206" i="3"/>
  <c r="F206" i="3"/>
  <c r="G206" i="3"/>
  <c r="H206" i="3"/>
  <c r="I206" i="3"/>
  <c r="J206" i="3"/>
  <c r="B205" i="3"/>
  <c r="C205" i="3"/>
  <c r="D205" i="3"/>
  <c r="E205" i="3"/>
  <c r="F205" i="3"/>
  <c r="G205" i="3"/>
  <c r="H205" i="3"/>
  <c r="I205" i="3"/>
  <c r="J205" i="3"/>
  <c r="B204" i="3"/>
  <c r="C204" i="3"/>
  <c r="D204" i="3"/>
  <c r="E204" i="3"/>
  <c r="F204" i="3"/>
  <c r="G204" i="3"/>
  <c r="H204" i="3"/>
  <c r="I204" i="3"/>
  <c r="J204" i="3"/>
  <c r="B203" i="3"/>
  <c r="C203" i="3"/>
  <c r="D203" i="3"/>
  <c r="E203" i="3"/>
  <c r="F203" i="3"/>
  <c r="G203" i="3"/>
  <c r="H203" i="3"/>
  <c r="I203" i="3"/>
  <c r="J203" i="3"/>
  <c r="B202" i="3"/>
  <c r="C202" i="3"/>
  <c r="D202" i="3"/>
  <c r="E202" i="3"/>
  <c r="F202" i="3"/>
  <c r="G202" i="3"/>
  <c r="H202" i="3"/>
  <c r="I202" i="3"/>
  <c r="J202" i="3"/>
  <c r="B201" i="3"/>
  <c r="C201" i="3"/>
  <c r="D201" i="3"/>
  <c r="E201" i="3"/>
  <c r="F201" i="3"/>
  <c r="G201" i="3"/>
  <c r="H201" i="3"/>
  <c r="I201" i="3"/>
  <c r="J201" i="3"/>
  <c r="B200" i="3"/>
  <c r="C200" i="3"/>
  <c r="D200" i="3"/>
  <c r="E200" i="3"/>
  <c r="F200" i="3"/>
  <c r="G200" i="3"/>
  <c r="H200" i="3"/>
  <c r="I200" i="3"/>
  <c r="J200" i="3"/>
  <c r="B199" i="3"/>
  <c r="C199" i="3"/>
  <c r="D199" i="3"/>
  <c r="E199" i="3"/>
  <c r="F199" i="3"/>
  <c r="G199" i="3"/>
  <c r="H199" i="3"/>
  <c r="I199" i="3"/>
  <c r="J199" i="3"/>
  <c r="B198" i="3"/>
  <c r="C198" i="3"/>
  <c r="D198" i="3"/>
  <c r="E198" i="3"/>
  <c r="F198" i="3"/>
  <c r="G198" i="3"/>
  <c r="H198" i="3"/>
  <c r="I198" i="3"/>
  <c r="J198" i="3"/>
  <c r="B197" i="3"/>
  <c r="C197" i="3"/>
  <c r="D197" i="3"/>
  <c r="E197" i="3"/>
  <c r="F197" i="3"/>
  <c r="G197" i="3"/>
  <c r="H197" i="3"/>
  <c r="I197" i="3"/>
  <c r="J197" i="3"/>
  <c r="B196" i="3"/>
  <c r="C196" i="3"/>
  <c r="D196" i="3"/>
  <c r="E196" i="3"/>
  <c r="F196" i="3"/>
  <c r="G196" i="3"/>
  <c r="H196" i="3"/>
  <c r="I196" i="3"/>
  <c r="J196" i="3"/>
  <c r="B195" i="3"/>
  <c r="C195" i="3"/>
  <c r="D195" i="3"/>
  <c r="E195" i="3"/>
  <c r="F195" i="3"/>
  <c r="G195" i="3"/>
  <c r="H195" i="3"/>
  <c r="I195" i="3"/>
  <c r="J195" i="3"/>
  <c r="B194" i="3"/>
  <c r="C194" i="3"/>
  <c r="D194" i="3"/>
  <c r="E194" i="3"/>
  <c r="F194" i="3"/>
  <c r="G194" i="3"/>
  <c r="H194" i="3"/>
  <c r="I194" i="3"/>
  <c r="J194" i="3"/>
  <c r="B193" i="3"/>
  <c r="C193" i="3"/>
  <c r="D193" i="3"/>
  <c r="E193" i="3"/>
  <c r="F193" i="3"/>
  <c r="G193" i="3"/>
  <c r="H193" i="3"/>
  <c r="I193" i="3"/>
  <c r="J193" i="3"/>
  <c r="B192" i="3"/>
  <c r="C192" i="3"/>
  <c r="D192" i="3"/>
  <c r="E192" i="3"/>
  <c r="F192" i="3"/>
  <c r="G192" i="3"/>
  <c r="H192" i="3"/>
  <c r="I192" i="3"/>
  <c r="J192" i="3"/>
  <c r="B191" i="3"/>
  <c r="C191" i="3"/>
  <c r="D191" i="3"/>
  <c r="E191" i="3"/>
  <c r="F191" i="3"/>
  <c r="G191" i="3"/>
  <c r="H191" i="3"/>
  <c r="I191" i="3"/>
  <c r="J191" i="3"/>
  <c r="B190" i="3"/>
  <c r="C190" i="3"/>
  <c r="D190" i="3"/>
  <c r="E190" i="3"/>
  <c r="F190" i="3"/>
  <c r="G190" i="3"/>
  <c r="H190" i="3"/>
  <c r="I190" i="3"/>
  <c r="J190" i="3"/>
  <c r="B189" i="3"/>
  <c r="C189" i="3"/>
  <c r="D189" i="3"/>
  <c r="E189" i="3"/>
  <c r="F189" i="3"/>
  <c r="G189" i="3"/>
  <c r="H189" i="3"/>
  <c r="I189" i="3"/>
  <c r="J189" i="3"/>
  <c r="B188" i="3"/>
  <c r="C188" i="3"/>
  <c r="D188" i="3"/>
  <c r="E188" i="3"/>
  <c r="F188" i="3"/>
  <c r="G188" i="3"/>
  <c r="H188" i="3"/>
  <c r="I188" i="3"/>
  <c r="J188" i="3"/>
  <c r="B187" i="3"/>
  <c r="C187" i="3"/>
  <c r="D187" i="3"/>
  <c r="E187" i="3"/>
  <c r="F187" i="3"/>
  <c r="G187" i="3"/>
  <c r="H187" i="3"/>
  <c r="I187" i="3"/>
  <c r="J187" i="3"/>
  <c r="B186" i="3"/>
  <c r="C186" i="3"/>
  <c r="D186" i="3"/>
  <c r="E186" i="3"/>
  <c r="F186" i="3"/>
  <c r="G186" i="3"/>
  <c r="H186" i="3"/>
  <c r="I186" i="3"/>
  <c r="J186" i="3"/>
  <c r="B185" i="3"/>
  <c r="C185" i="3"/>
  <c r="D185" i="3"/>
  <c r="E185" i="3"/>
  <c r="F185" i="3"/>
  <c r="G185" i="3"/>
  <c r="H185" i="3"/>
  <c r="I185" i="3"/>
  <c r="J185" i="3"/>
  <c r="B184" i="3"/>
  <c r="C184" i="3"/>
  <c r="D184" i="3"/>
  <c r="E184" i="3"/>
  <c r="F184" i="3"/>
  <c r="G184" i="3"/>
  <c r="H184" i="3"/>
  <c r="I184" i="3"/>
  <c r="J184" i="3"/>
  <c r="B183" i="3"/>
  <c r="C183" i="3"/>
  <c r="D183" i="3"/>
  <c r="E183" i="3"/>
  <c r="F183" i="3"/>
  <c r="G183" i="3"/>
  <c r="H183" i="3"/>
  <c r="I183" i="3"/>
  <c r="J183" i="3"/>
  <c r="B182" i="3"/>
  <c r="C182" i="3"/>
  <c r="D182" i="3"/>
  <c r="E182" i="3"/>
  <c r="F182" i="3"/>
  <c r="G182" i="3"/>
  <c r="H182" i="3"/>
  <c r="I182" i="3"/>
  <c r="J182" i="3"/>
  <c r="B181" i="3"/>
  <c r="C181" i="3"/>
  <c r="D181" i="3"/>
  <c r="E181" i="3"/>
  <c r="F181" i="3"/>
  <c r="G181" i="3"/>
  <c r="H181" i="3"/>
  <c r="I181" i="3"/>
  <c r="J181" i="3"/>
  <c r="B180" i="3"/>
  <c r="C180" i="3"/>
  <c r="D180" i="3"/>
  <c r="E180" i="3"/>
  <c r="F180" i="3"/>
  <c r="G180" i="3"/>
  <c r="H180" i="3"/>
  <c r="I180" i="3"/>
  <c r="J180" i="3"/>
  <c r="B179" i="3"/>
  <c r="C179" i="3"/>
  <c r="D179" i="3"/>
  <c r="E179" i="3"/>
  <c r="F179" i="3"/>
  <c r="G179" i="3"/>
  <c r="H179" i="3"/>
  <c r="I179" i="3"/>
  <c r="J179" i="3"/>
  <c r="B178" i="3"/>
  <c r="C178" i="3"/>
  <c r="D178" i="3"/>
  <c r="E178" i="3"/>
  <c r="F178" i="3"/>
  <c r="G178" i="3"/>
  <c r="H178" i="3"/>
  <c r="I178" i="3"/>
  <c r="J178" i="3"/>
  <c r="B177" i="3"/>
  <c r="C177" i="3"/>
  <c r="D177" i="3"/>
  <c r="E177" i="3"/>
  <c r="F177" i="3"/>
  <c r="G177" i="3"/>
  <c r="H177" i="3"/>
  <c r="I177" i="3"/>
  <c r="J177" i="3"/>
  <c r="B176" i="3"/>
  <c r="C176" i="3"/>
  <c r="D176" i="3"/>
  <c r="E176" i="3"/>
  <c r="F176" i="3"/>
  <c r="G176" i="3"/>
  <c r="H176" i="3"/>
  <c r="I176" i="3"/>
  <c r="J176" i="3"/>
  <c r="B175" i="3"/>
  <c r="C175" i="3"/>
  <c r="D175" i="3"/>
  <c r="E175" i="3"/>
  <c r="F175" i="3"/>
  <c r="G175" i="3"/>
  <c r="H175" i="3"/>
  <c r="I175" i="3"/>
  <c r="J175" i="3"/>
  <c r="B174" i="3"/>
  <c r="C174" i="3"/>
  <c r="D174" i="3"/>
  <c r="E174" i="3"/>
  <c r="F174" i="3"/>
  <c r="G174" i="3"/>
  <c r="H174" i="3"/>
  <c r="I174" i="3"/>
  <c r="J174" i="3"/>
  <c r="B173" i="3"/>
  <c r="C173" i="3"/>
  <c r="D173" i="3"/>
  <c r="E173" i="3"/>
  <c r="F173" i="3"/>
  <c r="G173" i="3"/>
  <c r="H173" i="3"/>
  <c r="I173" i="3"/>
  <c r="J173" i="3"/>
  <c r="B172" i="3"/>
  <c r="C172" i="3"/>
  <c r="D172" i="3"/>
  <c r="E172" i="3"/>
  <c r="F172" i="3"/>
  <c r="G172" i="3"/>
  <c r="H172" i="3"/>
  <c r="I172" i="3"/>
  <c r="J172" i="3"/>
  <c r="B171" i="3"/>
  <c r="C171" i="3"/>
  <c r="D171" i="3"/>
  <c r="E171" i="3"/>
  <c r="F171" i="3"/>
  <c r="G171" i="3"/>
  <c r="H171" i="3"/>
  <c r="I171" i="3"/>
  <c r="J171" i="3"/>
  <c r="B170" i="3"/>
  <c r="C170" i="3"/>
  <c r="D170" i="3"/>
  <c r="E170" i="3"/>
  <c r="F170" i="3"/>
  <c r="G170" i="3"/>
  <c r="H170" i="3"/>
  <c r="I170" i="3"/>
  <c r="J170" i="3"/>
  <c r="B169" i="3"/>
  <c r="C169" i="3"/>
  <c r="D169" i="3"/>
  <c r="E169" i="3"/>
  <c r="F169" i="3"/>
  <c r="G169" i="3"/>
  <c r="H169" i="3"/>
  <c r="I169" i="3"/>
  <c r="J169" i="3"/>
  <c r="B168" i="3"/>
  <c r="C168" i="3"/>
  <c r="D168" i="3"/>
  <c r="E168" i="3"/>
  <c r="F168" i="3"/>
  <c r="G168" i="3"/>
  <c r="H168" i="3"/>
  <c r="I168" i="3"/>
  <c r="J168" i="3"/>
  <c r="B167" i="3"/>
  <c r="C167" i="3"/>
  <c r="D167" i="3"/>
  <c r="E167" i="3"/>
  <c r="F167" i="3"/>
  <c r="G167" i="3"/>
  <c r="H167" i="3"/>
  <c r="I167" i="3"/>
  <c r="J167" i="3"/>
  <c r="B166" i="3"/>
  <c r="C166" i="3"/>
  <c r="D166" i="3"/>
  <c r="E166" i="3"/>
  <c r="F166" i="3"/>
  <c r="G166" i="3"/>
  <c r="H166" i="3"/>
  <c r="I166" i="3"/>
  <c r="J166" i="3"/>
  <c r="B165" i="3"/>
  <c r="C165" i="3"/>
  <c r="D165" i="3"/>
  <c r="E165" i="3"/>
  <c r="F165" i="3"/>
  <c r="G165" i="3"/>
  <c r="H165" i="3"/>
  <c r="I165" i="3"/>
  <c r="J165" i="3"/>
  <c r="B164" i="3"/>
  <c r="C164" i="3"/>
  <c r="D164" i="3"/>
  <c r="E164" i="3"/>
  <c r="F164" i="3"/>
  <c r="G164" i="3"/>
  <c r="H164" i="3"/>
  <c r="I164" i="3"/>
  <c r="J164" i="3"/>
  <c r="B163" i="3"/>
  <c r="C163" i="3"/>
  <c r="D163" i="3"/>
  <c r="E163" i="3"/>
  <c r="F163" i="3"/>
  <c r="G163" i="3"/>
  <c r="H163" i="3"/>
  <c r="I163" i="3"/>
  <c r="J163" i="3"/>
  <c r="B162" i="3"/>
  <c r="C162" i="3"/>
  <c r="D162" i="3"/>
  <c r="E162" i="3"/>
  <c r="F162" i="3"/>
  <c r="G162" i="3"/>
  <c r="H162" i="3"/>
  <c r="I162" i="3"/>
  <c r="J162" i="3"/>
  <c r="B161" i="3"/>
  <c r="C161" i="3"/>
  <c r="D161" i="3"/>
  <c r="E161" i="3"/>
  <c r="F161" i="3"/>
  <c r="G161" i="3"/>
  <c r="H161" i="3"/>
  <c r="I161" i="3"/>
  <c r="J161" i="3"/>
  <c r="B160" i="3"/>
  <c r="C160" i="3"/>
  <c r="D160" i="3"/>
  <c r="E160" i="3"/>
  <c r="F160" i="3"/>
  <c r="G160" i="3"/>
  <c r="H160" i="3"/>
  <c r="I160" i="3"/>
  <c r="J160" i="3"/>
  <c r="B159" i="3"/>
  <c r="C159" i="3"/>
  <c r="D159" i="3"/>
  <c r="E159" i="3"/>
  <c r="F159" i="3"/>
  <c r="G159" i="3"/>
  <c r="H159" i="3"/>
  <c r="I159" i="3"/>
  <c r="J159" i="3"/>
  <c r="B158" i="3"/>
  <c r="C158" i="3"/>
  <c r="D158" i="3"/>
  <c r="E158" i="3"/>
  <c r="F158" i="3"/>
  <c r="G158" i="3"/>
  <c r="H158" i="3"/>
  <c r="I158" i="3"/>
  <c r="J158" i="3"/>
  <c r="B157" i="3"/>
  <c r="C157" i="3"/>
  <c r="D157" i="3"/>
  <c r="E157" i="3"/>
  <c r="F157" i="3"/>
  <c r="G157" i="3"/>
  <c r="H157" i="3"/>
  <c r="I157" i="3"/>
  <c r="J157" i="3"/>
  <c r="B156" i="3"/>
  <c r="C156" i="3"/>
  <c r="D156" i="3"/>
  <c r="E156" i="3"/>
  <c r="F156" i="3"/>
  <c r="G156" i="3"/>
  <c r="H156" i="3"/>
  <c r="I156" i="3"/>
  <c r="J156" i="3"/>
  <c r="B155" i="3"/>
  <c r="C155" i="3"/>
  <c r="D155" i="3"/>
  <c r="E155" i="3"/>
  <c r="F155" i="3"/>
  <c r="G155" i="3"/>
  <c r="H155" i="3"/>
  <c r="I155" i="3"/>
  <c r="J155" i="3"/>
  <c r="B154" i="3"/>
  <c r="C154" i="3"/>
  <c r="D154" i="3"/>
  <c r="E154" i="3"/>
  <c r="F154" i="3"/>
  <c r="G154" i="3"/>
  <c r="H154" i="3"/>
  <c r="I154" i="3"/>
  <c r="J154" i="3"/>
  <c r="B153" i="3"/>
  <c r="C153" i="3"/>
  <c r="D153" i="3"/>
  <c r="E153" i="3"/>
  <c r="F153" i="3"/>
  <c r="G153" i="3"/>
  <c r="H153" i="3"/>
  <c r="I153" i="3"/>
  <c r="J153" i="3"/>
  <c r="B152" i="3"/>
  <c r="C152" i="3"/>
  <c r="D152" i="3"/>
  <c r="E152" i="3"/>
  <c r="F152" i="3"/>
  <c r="G152" i="3"/>
  <c r="H152" i="3"/>
  <c r="I152" i="3"/>
  <c r="J152" i="3"/>
  <c r="B151" i="3"/>
  <c r="C151" i="3"/>
  <c r="D151" i="3"/>
  <c r="E151" i="3"/>
  <c r="F151" i="3"/>
  <c r="G151" i="3"/>
  <c r="H151" i="3"/>
  <c r="I151" i="3"/>
  <c r="J151" i="3"/>
  <c r="B150" i="3"/>
  <c r="C150" i="3"/>
  <c r="D150" i="3"/>
  <c r="E150" i="3"/>
  <c r="F150" i="3"/>
  <c r="G150" i="3"/>
  <c r="H150" i="3"/>
  <c r="I150" i="3"/>
  <c r="J150" i="3"/>
  <c r="B149" i="3"/>
  <c r="C149" i="3"/>
  <c r="D149" i="3"/>
  <c r="E149" i="3"/>
  <c r="F149" i="3"/>
  <c r="G149" i="3"/>
  <c r="H149" i="3"/>
  <c r="I149" i="3"/>
  <c r="J149" i="3"/>
  <c r="B148" i="3"/>
  <c r="C148" i="3"/>
  <c r="D148" i="3"/>
  <c r="E148" i="3"/>
  <c r="F148" i="3"/>
  <c r="G148" i="3"/>
  <c r="H148" i="3"/>
  <c r="I148" i="3"/>
  <c r="J148" i="3"/>
  <c r="B147" i="3"/>
  <c r="C147" i="3"/>
  <c r="D147" i="3"/>
  <c r="E147" i="3"/>
  <c r="F147" i="3"/>
  <c r="G147" i="3"/>
  <c r="H147" i="3"/>
  <c r="I147" i="3"/>
  <c r="J147" i="3"/>
  <c r="B146" i="3"/>
  <c r="C146" i="3"/>
  <c r="D146" i="3"/>
  <c r="E146" i="3"/>
  <c r="F146" i="3"/>
  <c r="G146" i="3"/>
  <c r="H146" i="3"/>
  <c r="I146" i="3"/>
  <c r="J146" i="3"/>
  <c r="B145" i="3"/>
  <c r="C145" i="3"/>
  <c r="D145" i="3"/>
  <c r="E145" i="3"/>
  <c r="F145" i="3"/>
  <c r="G145" i="3"/>
  <c r="H145" i="3"/>
  <c r="I145" i="3"/>
  <c r="J145" i="3"/>
  <c r="B144" i="3"/>
  <c r="C144" i="3"/>
  <c r="D144" i="3"/>
  <c r="E144" i="3"/>
  <c r="F144" i="3"/>
  <c r="G144" i="3"/>
  <c r="H144" i="3"/>
  <c r="I144" i="3"/>
  <c r="J144" i="3"/>
  <c r="B143" i="3"/>
  <c r="C143" i="3"/>
  <c r="D143" i="3"/>
  <c r="E143" i="3"/>
  <c r="F143" i="3"/>
  <c r="G143" i="3"/>
  <c r="H143" i="3"/>
  <c r="I143" i="3"/>
  <c r="J143" i="3"/>
  <c r="B142" i="3"/>
  <c r="C142" i="3"/>
  <c r="D142" i="3"/>
  <c r="E142" i="3"/>
  <c r="F142" i="3"/>
  <c r="G142" i="3"/>
  <c r="H142" i="3"/>
  <c r="I142" i="3"/>
  <c r="J142" i="3"/>
  <c r="B141" i="3"/>
  <c r="C141" i="3"/>
  <c r="D141" i="3"/>
  <c r="E141" i="3"/>
  <c r="F141" i="3"/>
  <c r="G141" i="3"/>
  <c r="H141" i="3"/>
  <c r="I141" i="3"/>
  <c r="J141" i="3"/>
  <c r="B140" i="3"/>
  <c r="C140" i="3"/>
  <c r="D140" i="3"/>
  <c r="E140" i="3"/>
  <c r="F140" i="3"/>
  <c r="G140" i="3"/>
  <c r="H140" i="3"/>
  <c r="I140" i="3"/>
  <c r="J140" i="3"/>
  <c r="B139" i="3"/>
  <c r="C139" i="3"/>
  <c r="D139" i="3"/>
  <c r="E139" i="3"/>
  <c r="F139" i="3"/>
  <c r="G139" i="3"/>
  <c r="H139" i="3"/>
  <c r="I139" i="3"/>
  <c r="J139" i="3"/>
  <c r="B138" i="3"/>
  <c r="C138" i="3"/>
  <c r="D138" i="3"/>
  <c r="E138" i="3"/>
  <c r="F138" i="3"/>
  <c r="G138" i="3"/>
  <c r="H138" i="3"/>
  <c r="I138" i="3"/>
  <c r="J138" i="3"/>
  <c r="B137" i="3"/>
  <c r="C137" i="3"/>
  <c r="D137" i="3"/>
  <c r="E137" i="3"/>
  <c r="F137" i="3"/>
  <c r="G137" i="3"/>
  <c r="H137" i="3"/>
  <c r="I137" i="3"/>
  <c r="J137" i="3"/>
  <c r="B136" i="3"/>
  <c r="C136" i="3"/>
  <c r="D136" i="3"/>
  <c r="E136" i="3"/>
  <c r="F136" i="3"/>
  <c r="G136" i="3"/>
  <c r="H136" i="3"/>
  <c r="I136" i="3"/>
  <c r="J136" i="3"/>
  <c r="B135" i="3"/>
  <c r="C135" i="3"/>
  <c r="D135" i="3"/>
  <c r="E135" i="3"/>
  <c r="F135" i="3"/>
  <c r="G135" i="3"/>
  <c r="H135" i="3"/>
  <c r="I135" i="3"/>
  <c r="J135" i="3"/>
  <c r="B134" i="3"/>
  <c r="C134" i="3"/>
  <c r="D134" i="3"/>
  <c r="E134" i="3"/>
  <c r="F134" i="3"/>
  <c r="G134" i="3"/>
  <c r="H134" i="3"/>
  <c r="I134" i="3"/>
  <c r="J134" i="3"/>
  <c r="B133" i="3"/>
  <c r="C133" i="3"/>
  <c r="D133" i="3"/>
  <c r="E133" i="3"/>
  <c r="F133" i="3"/>
  <c r="G133" i="3"/>
  <c r="H133" i="3"/>
  <c r="I133" i="3"/>
  <c r="J133" i="3"/>
  <c r="B132" i="3"/>
  <c r="C132" i="3"/>
  <c r="D132" i="3"/>
  <c r="E132" i="3"/>
  <c r="F132" i="3"/>
  <c r="G132" i="3"/>
  <c r="H132" i="3"/>
  <c r="I132" i="3"/>
  <c r="J132" i="3"/>
  <c r="B131" i="3"/>
  <c r="C131" i="3"/>
  <c r="D131" i="3"/>
  <c r="E131" i="3"/>
  <c r="F131" i="3"/>
  <c r="G131" i="3"/>
  <c r="H131" i="3"/>
  <c r="I131" i="3"/>
  <c r="J131" i="3"/>
  <c r="B130" i="3"/>
  <c r="C130" i="3"/>
  <c r="D130" i="3"/>
  <c r="E130" i="3"/>
  <c r="F130" i="3"/>
  <c r="G130" i="3"/>
  <c r="H130" i="3"/>
  <c r="I130" i="3"/>
  <c r="J130" i="3"/>
  <c r="B129" i="3"/>
  <c r="C129" i="3"/>
  <c r="D129" i="3"/>
  <c r="E129" i="3"/>
  <c r="F129" i="3"/>
  <c r="G129" i="3"/>
  <c r="H129" i="3"/>
  <c r="I129" i="3"/>
  <c r="J129" i="3"/>
  <c r="B128" i="3"/>
  <c r="C128" i="3"/>
  <c r="D128" i="3"/>
  <c r="E128" i="3"/>
  <c r="F128" i="3"/>
  <c r="G128" i="3"/>
  <c r="H128" i="3"/>
  <c r="I128" i="3"/>
  <c r="J128" i="3"/>
  <c r="B127" i="3"/>
  <c r="C127" i="3"/>
  <c r="D127" i="3"/>
  <c r="E127" i="3"/>
  <c r="F127" i="3"/>
  <c r="G127" i="3"/>
  <c r="H127" i="3"/>
  <c r="I127" i="3"/>
  <c r="J127" i="3"/>
  <c r="B126" i="3"/>
  <c r="C126" i="3"/>
  <c r="D126" i="3"/>
  <c r="E126" i="3"/>
  <c r="F126" i="3"/>
  <c r="G126" i="3"/>
  <c r="H126" i="3"/>
  <c r="I126" i="3"/>
  <c r="J126" i="3"/>
  <c r="B125" i="3"/>
  <c r="C125" i="3"/>
  <c r="D125" i="3"/>
  <c r="E125" i="3"/>
  <c r="F125" i="3"/>
  <c r="G125" i="3"/>
  <c r="H125" i="3"/>
  <c r="I125" i="3"/>
  <c r="J125" i="3"/>
  <c r="B124" i="3"/>
  <c r="C124" i="3"/>
  <c r="D124" i="3"/>
  <c r="E124" i="3"/>
  <c r="F124" i="3"/>
  <c r="G124" i="3"/>
  <c r="H124" i="3"/>
  <c r="I124" i="3"/>
  <c r="J124" i="3"/>
  <c r="B123" i="3"/>
  <c r="C123" i="3"/>
  <c r="D123" i="3"/>
  <c r="E123" i="3"/>
  <c r="F123" i="3"/>
  <c r="G123" i="3"/>
  <c r="H123" i="3"/>
  <c r="I123" i="3"/>
  <c r="J123" i="3"/>
  <c r="B122" i="3"/>
  <c r="C122" i="3"/>
  <c r="D122" i="3"/>
  <c r="E122" i="3"/>
  <c r="F122" i="3"/>
  <c r="G122" i="3"/>
  <c r="H122" i="3"/>
  <c r="I122" i="3"/>
  <c r="J122" i="3"/>
  <c r="B121" i="3"/>
  <c r="C121" i="3"/>
  <c r="D121" i="3"/>
  <c r="E121" i="3"/>
  <c r="F121" i="3"/>
  <c r="G121" i="3"/>
  <c r="H121" i="3"/>
  <c r="I121" i="3"/>
  <c r="J121" i="3"/>
  <c r="B120" i="3"/>
  <c r="C120" i="3"/>
  <c r="D120" i="3"/>
  <c r="E120" i="3"/>
  <c r="F120" i="3"/>
  <c r="G120" i="3"/>
  <c r="H120" i="3"/>
  <c r="I120" i="3"/>
  <c r="J120" i="3"/>
  <c r="B119" i="3"/>
  <c r="C119" i="3"/>
  <c r="D119" i="3"/>
  <c r="E119" i="3"/>
  <c r="F119" i="3"/>
  <c r="G119" i="3"/>
  <c r="H119" i="3"/>
  <c r="I119" i="3"/>
  <c r="J119" i="3"/>
  <c r="B118" i="3"/>
  <c r="C118" i="3"/>
  <c r="D118" i="3"/>
  <c r="E118" i="3"/>
  <c r="F118" i="3"/>
  <c r="G118" i="3"/>
  <c r="H118" i="3"/>
  <c r="I118" i="3"/>
  <c r="J118" i="3"/>
  <c r="B117" i="3"/>
  <c r="C117" i="3"/>
  <c r="D117" i="3"/>
  <c r="E117" i="3"/>
  <c r="F117" i="3"/>
  <c r="G117" i="3"/>
  <c r="H117" i="3"/>
  <c r="I117" i="3"/>
  <c r="J117" i="3"/>
  <c r="B116" i="3"/>
  <c r="C116" i="3"/>
  <c r="D116" i="3"/>
  <c r="E116" i="3"/>
  <c r="F116" i="3"/>
  <c r="G116" i="3"/>
  <c r="H116" i="3"/>
  <c r="I116" i="3"/>
  <c r="J116" i="3"/>
  <c r="B115" i="3"/>
  <c r="C115" i="3"/>
  <c r="D115" i="3"/>
  <c r="E115" i="3"/>
  <c r="F115" i="3"/>
  <c r="G115" i="3"/>
  <c r="H115" i="3"/>
  <c r="I115" i="3"/>
  <c r="J115" i="3"/>
  <c r="B114" i="3"/>
  <c r="C114" i="3"/>
  <c r="D114" i="3"/>
  <c r="E114" i="3"/>
  <c r="F114" i="3"/>
  <c r="G114" i="3"/>
  <c r="H114" i="3"/>
  <c r="I114" i="3"/>
  <c r="J114" i="3"/>
  <c r="B113" i="3"/>
  <c r="C113" i="3"/>
  <c r="D113" i="3"/>
  <c r="E113" i="3"/>
  <c r="F113" i="3"/>
  <c r="G113" i="3"/>
  <c r="H113" i="3"/>
  <c r="I113" i="3"/>
  <c r="J113" i="3"/>
  <c r="B112" i="3"/>
  <c r="C112" i="3"/>
  <c r="D112" i="3"/>
  <c r="E112" i="3"/>
  <c r="F112" i="3"/>
  <c r="G112" i="3"/>
  <c r="H112" i="3"/>
  <c r="I112" i="3"/>
  <c r="J112" i="3"/>
  <c r="B111" i="3"/>
  <c r="C111" i="3"/>
  <c r="D111" i="3"/>
  <c r="E111" i="3"/>
  <c r="F111" i="3"/>
  <c r="G111" i="3"/>
  <c r="H111" i="3"/>
  <c r="I111" i="3"/>
  <c r="J111" i="3"/>
  <c r="B110" i="3"/>
  <c r="C110" i="3"/>
  <c r="D110" i="3"/>
  <c r="E110" i="3"/>
  <c r="F110" i="3"/>
  <c r="G110" i="3"/>
  <c r="H110" i="3"/>
  <c r="I110" i="3"/>
  <c r="J110" i="3"/>
  <c r="B109" i="3"/>
  <c r="C109" i="3"/>
  <c r="D109" i="3"/>
  <c r="E109" i="3"/>
  <c r="F109" i="3"/>
  <c r="G109" i="3"/>
  <c r="H109" i="3"/>
  <c r="I109" i="3"/>
  <c r="J109" i="3"/>
  <c r="B108" i="3"/>
  <c r="C108" i="3"/>
  <c r="D108" i="3"/>
  <c r="E108" i="3"/>
  <c r="F108" i="3"/>
  <c r="G108" i="3"/>
  <c r="H108" i="3"/>
  <c r="I108" i="3"/>
  <c r="J108" i="3"/>
  <c r="B107" i="3"/>
  <c r="C107" i="3"/>
  <c r="D107" i="3"/>
  <c r="E107" i="3"/>
  <c r="F107" i="3"/>
  <c r="G107" i="3"/>
  <c r="H107" i="3"/>
  <c r="I107" i="3"/>
  <c r="J107" i="3"/>
  <c r="B106" i="3"/>
  <c r="C106" i="3"/>
  <c r="D106" i="3"/>
  <c r="E106" i="3"/>
  <c r="F106" i="3"/>
  <c r="G106" i="3"/>
  <c r="H106" i="3"/>
  <c r="I106" i="3"/>
  <c r="J106" i="3"/>
  <c r="B105" i="3"/>
  <c r="C105" i="3"/>
  <c r="D105" i="3"/>
  <c r="E105" i="3"/>
  <c r="F105" i="3"/>
  <c r="G105" i="3"/>
  <c r="H105" i="3"/>
  <c r="I105" i="3"/>
  <c r="J105" i="3"/>
  <c r="B104" i="3"/>
  <c r="C104" i="3"/>
  <c r="D104" i="3"/>
  <c r="E104" i="3"/>
  <c r="F104" i="3"/>
  <c r="G104" i="3"/>
  <c r="H104" i="3"/>
  <c r="I104" i="3"/>
  <c r="J104" i="3"/>
  <c r="B103" i="3"/>
  <c r="C103" i="3"/>
  <c r="D103" i="3"/>
  <c r="E103" i="3"/>
  <c r="F103" i="3"/>
  <c r="G103" i="3"/>
  <c r="H103" i="3"/>
  <c r="I103" i="3"/>
  <c r="J103" i="3"/>
  <c r="B102" i="3"/>
  <c r="C102" i="3"/>
  <c r="D102" i="3"/>
  <c r="E102" i="3"/>
  <c r="F102" i="3"/>
  <c r="G102" i="3"/>
  <c r="H102" i="3"/>
  <c r="I102" i="3"/>
  <c r="J102" i="3"/>
  <c r="B101" i="3"/>
  <c r="C101" i="3"/>
  <c r="D101" i="3"/>
  <c r="E101" i="3"/>
  <c r="F101" i="3"/>
  <c r="G101" i="3"/>
  <c r="H101" i="3"/>
  <c r="I101" i="3"/>
  <c r="J101" i="3"/>
  <c r="B100" i="3"/>
  <c r="C100" i="3"/>
  <c r="D100" i="3"/>
  <c r="E100" i="3"/>
  <c r="F100" i="3"/>
  <c r="G100" i="3"/>
  <c r="H100" i="3"/>
  <c r="I100" i="3"/>
  <c r="J100" i="3"/>
  <c r="B99" i="3"/>
  <c r="C99" i="3"/>
  <c r="D99" i="3"/>
  <c r="E99" i="3"/>
  <c r="F99" i="3"/>
  <c r="G99" i="3"/>
  <c r="H99" i="3"/>
  <c r="I99" i="3"/>
  <c r="J99" i="3"/>
  <c r="B98" i="3"/>
  <c r="C98" i="3"/>
  <c r="D98" i="3"/>
  <c r="E98" i="3"/>
  <c r="F98" i="3"/>
  <c r="G98" i="3"/>
  <c r="H98" i="3"/>
  <c r="I98" i="3"/>
  <c r="J98" i="3"/>
  <c r="B97" i="3"/>
  <c r="C97" i="3"/>
  <c r="D97" i="3"/>
  <c r="E97" i="3"/>
  <c r="F97" i="3"/>
  <c r="G97" i="3"/>
  <c r="H97" i="3"/>
  <c r="I97" i="3"/>
  <c r="J97" i="3"/>
  <c r="B96" i="3"/>
  <c r="C96" i="3"/>
  <c r="D96" i="3"/>
  <c r="E96" i="3"/>
  <c r="F96" i="3"/>
  <c r="G96" i="3"/>
  <c r="H96" i="3"/>
  <c r="I96" i="3"/>
  <c r="J96" i="3"/>
  <c r="B95" i="3"/>
  <c r="C95" i="3"/>
  <c r="D95" i="3"/>
  <c r="E95" i="3"/>
  <c r="F95" i="3"/>
  <c r="G95" i="3"/>
  <c r="H95" i="3"/>
  <c r="I95" i="3"/>
  <c r="J95" i="3"/>
  <c r="B94" i="3"/>
  <c r="C94" i="3"/>
  <c r="D94" i="3"/>
  <c r="E94" i="3"/>
  <c r="F94" i="3"/>
  <c r="G94" i="3"/>
  <c r="H94" i="3"/>
  <c r="I94" i="3"/>
  <c r="J94" i="3"/>
  <c r="B93" i="3"/>
  <c r="C93" i="3"/>
  <c r="D93" i="3"/>
  <c r="E93" i="3"/>
  <c r="F93" i="3"/>
  <c r="G93" i="3"/>
  <c r="H93" i="3"/>
  <c r="I93" i="3"/>
  <c r="J93" i="3"/>
  <c r="B92" i="3"/>
  <c r="C92" i="3"/>
  <c r="D92" i="3"/>
  <c r="E92" i="3"/>
  <c r="F92" i="3"/>
  <c r="G92" i="3"/>
  <c r="H92" i="3"/>
  <c r="I92" i="3"/>
  <c r="J92" i="3"/>
  <c r="B91" i="3"/>
  <c r="C91" i="3"/>
  <c r="D91" i="3"/>
  <c r="E91" i="3"/>
  <c r="F91" i="3"/>
  <c r="G91" i="3"/>
  <c r="H91" i="3"/>
  <c r="I91" i="3"/>
  <c r="J91" i="3"/>
  <c r="B90" i="3"/>
  <c r="C90" i="3"/>
  <c r="D90" i="3"/>
  <c r="E90" i="3"/>
  <c r="F90" i="3"/>
  <c r="G90" i="3"/>
  <c r="H90" i="3"/>
  <c r="I90" i="3"/>
  <c r="J90" i="3"/>
  <c r="B89" i="3"/>
  <c r="C89" i="3"/>
  <c r="D89" i="3"/>
  <c r="E89" i="3"/>
  <c r="F89" i="3"/>
  <c r="G89" i="3"/>
  <c r="H89" i="3"/>
  <c r="I89" i="3"/>
  <c r="J89" i="3"/>
  <c r="B88" i="3"/>
  <c r="C88" i="3"/>
  <c r="D88" i="3"/>
  <c r="E88" i="3"/>
  <c r="F88" i="3"/>
  <c r="G88" i="3"/>
  <c r="H88" i="3"/>
  <c r="I88" i="3"/>
  <c r="J88" i="3"/>
  <c r="B87" i="3"/>
  <c r="C87" i="3"/>
  <c r="D87" i="3"/>
  <c r="E87" i="3"/>
  <c r="F87" i="3"/>
  <c r="G87" i="3"/>
  <c r="H87" i="3"/>
  <c r="I87" i="3"/>
  <c r="J87" i="3"/>
  <c r="B86" i="3"/>
  <c r="C86" i="3"/>
  <c r="D86" i="3"/>
  <c r="E86" i="3"/>
  <c r="F86" i="3"/>
  <c r="G86" i="3"/>
  <c r="H86" i="3"/>
  <c r="I86" i="3"/>
  <c r="J86" i="3"/>
  <c r="B85" i="3"/>
  <c r="C85" i="3"/>
  <c r="D85" i="3"/>
  <c r="E85" i="3"/>
  <c r="F85" i="3"/>
  <c r="G85" i="3"/>
  <c r="H85" i="3"/>
  <c r="I85" i="3"/>
  <c r="J85" i="3"/>
  <c r="B84" i="3"/>
  <c r="C84" i="3"/>
  <c r="D84" i="3"/>
  <c r="E84" i="3"/>
  <c r="F84" i="3"/>
  <c r="G84" i="3"/>
  <c r="H84" i="3"/>
  <c r="I84" i="3"/>
  <c r="J84" i="3"/>
  <c r="B83" i="3"/>
  <c r="C83" i="3"/>
  <c r="D83" i="3"/>
  <c r="E83" i="3"/>
  <c r="F83" i="3"/>
  <c r="G83" i="3"/>
  <c r="H83" i="3"/>
  <c r="I83" i="3"/>
  <c r="J83" i="3"/>
  <c r="B82" i="3"/>
  <c r="C82" i="3"/>
  <c r="D82" i="3"/>
  <c r="E82" i="3"/>
  <c r="F82" i="3"/>
  <c r="G82" i="3"/>
  <c r="H82" i="3"/>
  <c r="I82" i="3"/>
  <c r="J82" i="3"/>
  <c r="B81" i="3"/>
  <c r="C81" i="3"/>
  <c r="D81" i="3"/>
  <c r="E81" i="3"/>
  <c r="F81" i="3"/>
  <c r="G81" i="3"/>
  <c r="H81" i="3"/>
  <c r="I81" i="3"/>
  <c r="J81" i="3"/>
  <c r="B80" i="3"/>
  <c r="C80" i="3"/>
  <c r="D80" i="3"/>
  <c r="E80" i="3"/>
  <c r="F80" i="3"/>
  <c r="G80" i="3"/>
  <c r="H80" i="3"/>
  <c r="I80" i="3"/>
  <c r="J80" i="3"/>
  <c r="B79" i="3"/>
  <c r="C79" i="3"/>
  <c r="D79" i="3"/>
  <c r="E79" i="3"/>
  <c r="F79" i="3"/>
  <c r="G79" i="3"/>
  <c r="H79" i="3"/>
  <c r="I79" i="3"/>
  <c r="J79" i="3"/>
  <c r="B78" i="3"/>
  <c r="C78" i="3"/>
  <c r="D78" i="3"/>
  <c r="E78" i="3"/>
  <c r="F78" i="3"/>
  <c r="G78" i="3"/>
  <c r="H78" i="3"/>
  <c r="I78" i="3"/>
  <c r="J78" i="3"/>
  <c r="B77" i="3"/>
  <c r="C77" i="3"/>
  <c r="D77" i="3"/>
  <c r="E77" i="3"/>
  <c r="F77" i="3"/>
  <c r="G77" i="3"/>
  <c r="H77" i="3"/>
  <c r="I77" i="3"/>
  <c r="J77" i="3"/>
  <c r="B76" i="3"/>
  <c r="C76" i="3"/>
  <c r="D76" i="3"/>
  <c r="E76" i="3"/>
  <c r="F76" i="3"/>
  <c r="G76" i="3"/>
  <c r="H76" i="3"/>
  <c r="I76" i="3"/>
  <c r="J76" i="3"/>
  <c r="B75" i="3"/>
  <c r="C75" i="3"/>
  <c r="D75" i="3"/>
  <c r="E75" i="3"/>
  <c r="F75" i="3"/>
  <c r="G75" i="3"/>
  <c r="H75" i="3"/>
  <c r="I75" i="3"/>
  <c r="J75" i="3"/>
  <c r="B74" i="3"/>
  <c r="C74" i="3"/>
  <c r="D74" i="3"/>
  <c r="E74" i="3"/>
  <c r="F74" i="3"/>
  <c r="G74" i="3"/>
  <c r="H74" i="3"/>
  <c r="I74" i="3"/>
  <c r="J74" i="3"/>
  <c r="B73" i="3"/>
  <c r="C73" i="3"/>
  <c r="D73" i="3"/>
  <c r="E73" i="3"/>
  <c r="F73" i="3"/>
  <c r="G73" i="3"/>
  <c r="H73" i="3"/>
  <c r="I73" i="3"/>
  <c r="J73" i="3"/>
  <c r="B72" i="3"/>
  <c r="C72" i="3"/>
  <c r="D72" i="3"/>
  <c r="E72" i="3"/>
  <c r="F72" i="3"/>
  <c r="G72" i="3"/>
  <c r="H72" i="3"/>
  <c r="I72" i="3"/>
  <c r="J72" i="3"/>
  <c r="B71" i="3"/>
  <c r="C71" i="3"/>
  <c r="D71" i="3"/>
  <c r="E71" i="3"/>
  <c r="F71" i="3"/>
  <c r="G71" i="3"/>
  <c r="H71" i="3"/>
  <c r="I71" i="3"/>
  <c r="J71" i="3"/>
  <c r="B70" i="3"/>
  <c r="C70" i="3"/>
  <c r="D70" i="3"/>
  <c r="E70" i="3"/>
  <c r="F70" i="3"/>
  <c r="G70" i="3"/>
  <c r="H70" i="3"/>
  <c r="I70" i="3"/>
  <c r="J70" i="3"/>
  <c r="B69" i="3"/>
  <c r="C69" i="3"/>
  <c r="D69" i="3"/>
  <c r="E69" i="3"/>
  <c r="F69" i="3"/>
  <c r="G69" i="3"/>
  <c r="H69" i="3"/>
  <c r="I69" i="3"/>
  <c r="J69" i="3"/>
  <c r="B68" i="3"/>
  <c r="C68" i="3"/>
  <c r="D68" i="3"/>
  <c r="E68" i="3"/>
  <c r="F68" i="3"/>
  <c r="G68" i="3"/>
  <c r="H68" i="3"/>
  <c r="I68" i="3"/>
  <c r="J68" i="3"/>
  <c r="B67" i="3"/>
  <c r="C67" i="3"/>
  <c r="D67" i="3"/>
  <c r="E67" i="3"/>
  <c r="F67" i="3"/>
  <c r="G67" i="3"/>
  <c r="H67" i="3"/>
  <c r="I67" i="3"/>
  <c r="J67" i="3"/>
  <c r="B66" i="3"/>
  <c r="C66" i="3"/>
  <c r="D66" i="3"/>
  <c r="E66" i="3"/>
  <c r="F66" i="3"/>
  <c r="G66" i="3"/>
  <c r="H66" i="3"/>
  <c r="I66" i="3"/>
  <c r="J66" i="3"/>
  <c r="B65" i="3"/>
  <c r="C65" i="3"/>
  <c r="D65" i="3"/>
  <c r="E65" i="3"/>
  <c r="F65" i="3"/>
  <c r="G65" i="3"/>
  <c r="H65" i="3"/>
  <c r="I65" i="3"/>
  <c r="J65" i="3"/>
  <c r="B64" i="3"/>
  <c r="C64" i="3"/>
  <c r="D64" i="3"/>
  <c r="E64" i="3"/>
  <c r="F64" i="3"/>
  <c r="G64" i="3"/>
  <c r="H64" i="3"/>
  <c r="I64" i="3"/>
  <c r="J64" i="3"/>
  <c r="B63" i="3"/>
  <c r="C63" i="3"/>
  <c r="D63" i="3"/>
  <c r="E63" i="3"/>
  <c r="F63" i="3"/>
  <c r="G63" i="3"/>
  <c r="H63" i="3"/>
  <c r="I63" i="3"/>
  <c r="J63" i="3"/>
  <c r="B62" i="3"/>
  <c r="C62" i="3"/>
  <c r="D62" i="3"/>
  <c r="E62" i="3"/>
  <c r="F62" i="3"/>
  <c r="G62" i="3"/>
  <c r="H62" i="3"/>
  <c r="I62" i="3"/>
  <c r="J62" i="3"/>
  <c r="B61" i="3"/>
  <c r="C61" i="3"/>
  <c r="D61" i="3"/>
  <c r="E61" i="3"/>
  <c r="F61" i="3"/>
  <c r="G61" i="3"/>
  <c r="H61" i="3"/>
  <c r="I61" i="3"/>
  <c r="J61" i="3"/>
  <c r="B60" i="3"/>
  <c r="C60" i="3"/>
  <c r="D60" i="3"/>
  <c r="E60" i="3"/>
  <c r="F60" i="3"/>
  <c r="G60" i="3"/>
  <c r="H60" i="3"/>
  <c r="I60" i="3"/>
  <c r="J60" i="3"/>
  <c r="B59" i="3"/>
  <c r="C59" i="3"/>
  <c r="D59" i="3"/>
  <c r="E59" i="3"/>
  <c r="F59" i="3"/>
  <c r="G59" i="3"/>
  <c r="H59" i="3"/>
  <c r="I59" i="3"/>
  <c r="J59" i="3"/>
  <c r="B58" i="3"/>
  <c r="C58" i="3"/>
  <c r="D58" i="3"/>
  <c r="E58" i="3"/>
  <c r="F58" i="3"/>
  <c r="G58" i="3"/>
  <c r="H58" i="3"/>
  <c r="I58" i="3"/>
  <c r="J58" i="3"/>
  <c r="B57" i="3"/>
  <c r="C57" i="3"/>
  <c r="D57" i="3"/>
  <c r="E57" i="3"/>
  <c r="F57" i="3"/>
  <c r="G57" i="3"/>
  <c r="H57" i="3"/>
  <c r="I57" i="3"/>
  <c r="J57" i="3"/>
  <c r="B56" i="3"/>
  <c r="C56" i="3"/>
  <c r="D56" i="3"/>
  <c r="E56" i="3"/>
  <c r="F56" i="3"/>
  <c r="G56" i="3"/>
  <c r="H56" i="3"/>
  <c r="I56" i="3"/>
  <c r="J56" i="3"/>
  <c r="B55" i="3"/>
  <c r="C55" i="3"/>
  <c r="D55" i="3"/>
  <c r="E55" i="3"/>
  <c r="F55" i="3"/>
  <c r="G55" i="3"/>
  <c r="H55" i="3"/>
  <c r="I55" i="3"/>
  <c r="J55" i="3"/>
  <c r="B54" i="3"/>
  <c r="C54" i="3"/>
  <c r="D54" i="3"/>
  <c r="E54" i="3"/>
  <c r="F54" i="3"/>
  <c r="G54" i="3"/>
  <c r="H54" i="3"/>
  <c r="I54" i="3"/>
  <c r="J54" i="3"/>
  <c r="B53" i="3"/>
  <c r="C53" i="3"/>
  <c r="D53" i="3"/>
  <c r="E53" i="3"/>
  <c r="F53" i="3"/>
  <c r="G53" i="3"/>
  <c r="H53" i="3"/>
  <c r="I53" i="3"/>
  <c r="J53" i="3"/>
  <c r="B52" i="3"/>
  <c r="C52" i="3"/>
  <c r="D52" i="3"/>
  <c r="E52" i="3"/>
  <c r="F52" i="3"/>
  <c r="G52" i="3"/>
  <c r="H52" i="3"/>
  <c r="I52" i="3"/>
  <c r="J52" i="3"/>
  <c r="B51" i="3"/>
  <c r="C51" i="3"/>
  <c r="D51" i="3"/>
  <c r="E51" i="3"/>
  <c r="F51" i="3"/>
  <c r="G51" i="3"/>
  <c r="H51" i="3"/>
  <c r="I51" i="3"/>
  <c r="J51" i="3"/>
  <c r="B50" i="3"/>
  <c r="C50" i="3"/>
  <c r="D50" i="3"/>
  <c r="E50" i="3"/>
  <c r="F50" i="3"/>
  <c r="G50" i="3"/>
  <c r="H50" i="3"/>
  <c r="I50" i="3"/>
  <c r="J50" i="3"/>
  <c r="B49" i="3"/>
  <c r="C49" i="3"/>
  <c r="D49" i="3"/>
  <c r="E49" i="3"/>
  <c r="F49" i="3"/>
  <c r="G49" i="3"/>
  <c r="H49" i="3"/>
  <c r="I49" i="3"/>
  <c r="J49" i="3"/>
  <c r="B48" i="3"/>
  <c r="C48" i="3"/>
  <c r="D48" i="3"/>
  <c r="E48" i="3"/>
  <c r="F48" i="3"/>
  <c r="G48" i="3"/>
  <c r="H48" i="3"/>
  <c r="I48" i="3"/>
  <c r="J48" i="3"/>
  <c r="B47" i="3"/>
  <c r="C47" i="3"/>
  <c r="D47" i="3"/>
  <c r="E47" i="3"/>
  <c r="F47" i="3"/>
  <c r="G47" i="3"/>
  <c r="H47" i="3"/>
  <c r="I47" i="3"/>
  <c r="J47" i="3"/>
  <c r="B46" i="3"/>
  <c r="C46" i="3"/>
  <c r="D46" i="3"/>
  <c r="E46" i="3"/>
  <c r="F46" i="3"/>
  <c r="G46" i="3"/>
  <c r="H46" i="3"/>
  <c r="I46" i="3"/>
  <c r="J46" i="3"/>
  <c r="B45" i="3"/>
  <c r="C45" i="3"/>
  <c r="D45" i="3"/>
  <c r="E45" i="3"/>
  <c r="F45" i="3"/>
  <c r="G45" i="3"/>
  <c r="H45" i="3"/>
  <c r="I45" i="3"/>
  <c r="J45" i="3"/>
  <c r="B44" i="3"/>
  <c r="C44" i="3"/>
  <c r="D44" i="3"/>
  <c r="E44" i="3"/>
  <c r="F44" i="3"/>
  <c r="G44" i="3"/>
  <c r="H44" i="3"/>
  <c r="I44" i="3"/>
  <c r="J44" i="3"/>
  <c r="B43" i="3"/>
  <c r="C43" i="3"/>
  <c r="D43" i="3"/>
  <c r="E43" i="3"/>
  <c r="F43" i="3"/>
  <c r="G43" i="3"/>
  <c r="H43" i="3"/>
  <c r="I43" i="3"/>
  <c r="J43" i="3"/>
  <c r="B42" i="3"/>
  <c r="C42" i="3"/>
  <c r="D42" i="3"/>
  <c r="E42" i="3"/>
  <c r="F42" i="3"/>
  <c r="G42" i="3"/>
  <c r="H42" i="3"/>
  <c r="I42" i="3"/>
  <c r="J42" i="3"/>
  <c r="B41" i="3"/>
  <c r="C41" i="3"/>
  <c r="D41" i="3"/>
  <c r="E41" i="3"/>
  <c r="F41" i="3"/>
  <c r="G41" i="3"/>
  <c r="H41" i="3"/>
  <c r="I41" i="3"/>
  <c r="J41" i="3"/>
  <c r="B40" i="3"/>
  <c r="C40" i="3"/>
  <c r="D40" i="3"/>
  <c r="E40" i="3"/>
  <c r="F40" i="3"/>
  <c r="G40" i="3"/>
  <c r="H40" i="3"/>
  <c r="I40" i="3"/>
  <c r="J40" i="3"/>
  <c r="B39" i="3"/>
  <c r="C39" i="3"/>
  <c r="D39" i="3"/>
  <c r="E39" i="3"/>
  <c r="F39" i="3"/>
  <c r="G39" i="3"/>
  <c r="H39" i="3"/>
  <c r="I39" i="3"/>
  <c r="J39" i="3"/>
  <c r="B38" i="3"/>
  <c r="C38" i="3"/>
  <c r="D38" i="3"/>
  <c r="E38" i="3"/>
  <c r="F38" i="3"/>
  <c r="G38" i="3"/>
  <c r="H38" i="3"/>
  <c r="I38" i="3"/>
  <c r="J38" i="3"/>
  <c r="B37" i="3"/>
  <c r="C37" i="3"/>
  <c r="D37" i="3"/>
  <c r="E37" i="3"/>
  <c r="F37" i="3"/>
  <c r="G37" i="3"/>
  <c r="H37" i="3"/>
  <c r="I37" i="3"/>
  <c r="J37" i="3"/>
  <c r="B36" i="3"/>
  <c r="C36" i="3"/>
  <c r="D36" i="3"/>
  <c r="E36" i="3"/>
  <c r="F36" i="3"/>
  <c r="G36" i="3"/>
  <c r="H36" i="3"/>
  <c r="I36" i="3"/>
  <c r="J36" i="3"/>
  <c r="B35" i="3"/>
  <c r="C35" i="3"/>
  <c r="D35" i="3"/>
  <c r="E35" i="3"/>
  <c r="F35" i="3"/>
  <c r="G35" i="3"/>
  <c r="H35" i="3"/>
  <c r="I35" i="3"/>
  <c r="J35" i="3"/>
  <c r="B34" i="3"/>
  <c r="C34" i="3"/>
  <c r="D34" i="3"/>
  <c r="E34" i="3"/>
  <c r="F34" i="3"/>
  <c r="G34" i="3"/>
  <c r="H34" i="3"/>
  <c r="I34" i="3"/>
  <c r="J34" i="3"/>
  <c r="B33" i="3"/>
  <c r="C33" i="3"/>
  <c r="D33" i="3"/>
  <c r="E33" i="3"/>
  <c r="F33" i="3"/>
  <c r="G33" i="3"/>
  <c r="H33" i="3"/>
  <c r="I33" i="3"/>
  <c r="J33" i="3"/>
  <c r="B32" i="3"/>
  <c r="C32" i="3"/>
  <c r="D32" i="3"/>
  <c r="E32" i="3"/>
  <c r="F32" i="3"/>
  <c r="G32" i="3"/>
  <c r="H32" i="3"/>
  <c r="I32" i="3"/>
  <c r="J32" i="3"/>
  <c r="B31" i="3"/>
  <c r="C31" i="3"/>
  <c r="D31" i="3"/>
  <c r="E31" i="3"/>
  <c r="F31" i="3"/>
  <c r="G31" i="3"/>
  <c r="H31" i="3"/>
  <c r="I31" i="3"/>
  <c r="J31" i="3"/>
  <c r="B30" i="3"/>
  <c r="C30" i="3"/>
  <c r="D30" i="3"/>
  <c r="E30" i="3"/>
  <c r="F30" i="3"/>
  <c r="G30" i="3"/>
  <c r="H30" i="3"/>
  <c r="I30" i="3"/>
  <c r="J30" i="3"/>
  <c r="B29" i="3"/>
  <c r="C29" i="3"/>
  <c r="D29" i="3"/>
  <c r="E29" i="3"/>
  <c r="F29" i="3"/>
  <c r="G29" i="3"/>
  <c r="H29" i="3"/>
  <c r="I29" i="3"/>
  <c r="J29" i="3"/>
  <c r="B28" i="3"/>
  <c r="C28" i="3"/>
  <c r="D28" i="3"/>
  <c r="E28" i="3"/>
  <c r="F28" i="3"/>
  <c r="G28" i="3"/>
  <c r="H28" i="3"/>
  <c r="I28" i="3"/>
  <c r="J28" i="3"/>
  <c r="B27" i="3"/>
  <c r="C27" i="3"/>
  <c r="D27" i="3"/>
  <c r="E27" i="3"/>
  <c r="F27" i="3"/>
  <c r="G27" i="3"/>
  <c r="H27" i="3"/>
  <c r="I27" i="3"/>
  <c r="J27" i="3"/>
  <c r="B26" i="3"/>
  <c r="C26" i="3"/>
  <c r="D26" i="3"/>
  <c r="E26" i="3"/>
  <c r="F26" i="3"/>
  <c r="G26" i="3"/>
  <c r="H26" i="3"/>
  <c r="I26" i="3"/>
  <c r="J26" i="3"/>
  <c r="B25" i="3"/>
  <c r="C25" i="3"/>
  <c r="D25" i="3"/>
  <c r="E25" i="3"/>
  <c r="F25" i="3"/>
  <c r="G25" i="3"/>
  <c r="H25" i="3"/>
  <c r="I25" i="3"/>
  <c r="J25" i="3"/>
  <c r="B24" i="3"/>
  <c r="C24" i="3"/>
  <c r="D24" i="3"/>
  <c r="E24" i="3"/>
  <c r="F24" i="3"/>
  <c r="G24" i="3"/>
  <c r="H24" i="3"/>
  <c r="I24" i="3"/>
  <c r="J24" i="3"/>
  <c r="B23" i="3"/>
  <c r="C23" i="3"/>
  <c r="D23" i="3"/>
  <c r="E23" i="3"/>
  <c r="F23" i="3"/>
  <c r="G23" i="3"/>
  <c r="H23" i="3"/>
  <c r="I23" i="3"/>
  <c r="J23" i="3"/>
  <c r="B22" i="3"/>
  <c r="C22" i="3"/>
  <c r="D22" i="3"/>
  <c r="E22" i="3"/>
  <c r="F22" i="3"/>
  <c r="G22" i="3"/>
  <c r="H22" i="3"/>
  <c r="I22" i="3"/>
  <c r="J22" i="3"/>
  <c r="B21" i="3"/>
  <c r="C21" i="3"/>
  <c r="D21" i="3"/>
  <c r="E21" i="3"/>
  <c r="F21" i="3"/>
  <c r="G21" i="3"/>
  <c r="H21" i="3"/>
  <c r="I21" i="3"/>
  <c r="J21" i="3"/>
  <c r="B20" i="3"/>
  <c r="C20" i="3"/>
  <c r="D20" i="3"/>
  <c r="E20" i="3"/>
  <c r="F20" i="3"/>
  <c r="G20" i="3"/>
  <c r="H20" i="3"/>
  <c r="I20" i="3"/>
  <c r="J20" i="3"/>
  <c r="B19" i="3"/>
  <c r="C19" i="3"/>
  <c r="D19" i="3"/>
  <c r="E19" i="3"/>
  <c r="F19" i="3"/>
  <c r="G19" i="3"/>
  <c r="H19" i="3"/>
  <c r="I19" i="3"/>
  <c r="J19" i="3"/>
  <c r="B18" i="3"/>
  <c r="C18" i="3"/>
  <c r="D18" i="3"/>
  <c r="E18" i="3"/>
  <c r="F18" i="3"/>
  <c r="G18" i="3"/>
  <c r="H18" i="3"/>
  <c r="I18" i="3"/>
  <c r="J18" i="3"/>
  <c r="B17" i="3"/>
  <c r="C17" i="3"/>
  <c r="D17" i="3"/>
  <c r="E17" i="3"/>
  <c r="F17" i="3"/>
  <c r="G17" i="3"/>
  <c r="H17" i="3"/>
  <c r="I17" i="3"/>
  <c r="J17" i="3"/>
  <c r="B16" i="3"/>
  <c r="C16" i="3"/>
  <c r="D16" i="3"/>
  <c r="E16" i="3"/>
  <c r="F16" i="3"/>
  <c r="G16" i="3"/>
  <c r="H16" i="3"/>
  <c r="I16" i="3"/>
  <c r="J16" i="3"/>
  <c r="B15" i="3"/>
  <c r="C15" i="3"/>
  <c r="D15" i="3"/>
  <c r="E15" i="3"/>
  <c r="F15" i="3"/>
  <c r="G15" i="3"/>
  <c r="H15" i="3"/>
  <c r="I15" i="3"/>
  <c r="J15" i="3"/>
  <c r="B14" i="3"/>
  <c r="C14" i="3"/>
  <c r="D14" i="3"/>
  <c r="E14" i="3"/>
  <c r="F14" i="3"/>
  <c r="G14" i="3"/>
  <c r="H14" i="3"/>
  <c r="I14" i="3"/>
  <c r="J14" i="3"/>
  <c r="B13" i="3"/>
  <c r="C13" i="3"/>
  <c r="D13" i="3"/>
  <c r="E13" i="3"/>
  <c r="F13" i="3"/>
  <c r="G13" i="3"/>
  <c r="H13" i="3"/>
  <c r="I13" i="3"/>
  <c r="J13" i="3"/>
  <c r="B12" i="3"/>
  <c r="C12" i="3"/>
  <c r="D12" i="3"/>
  <c r="E12" i="3"/>
  <c r="F12" i="3"/>
  <c r="G12" i="3"/>
  <c r="H12" i="3"/>
  <c r="I12" i="3"/>
  <c r="J12" i="3"/>
  <c r="B11" i="3"/>
  <c r="C11" i="3"/>
  <c r="D11" i="3"/>
  <c r="E11" i="3"/>
  <c r="F11" i="3"/>
  <c r="G11" i="3"/>
  <c r="H11" i="3"/>
  <c r="I11" i="3"/>
  <c r="J11" i="3"/>
  <c r="B10" i="3"/>
  <c r="C10" i="3"/>
  <c r="D10" i="3"/>
  <c r="E10" i="3"/>
  <c r="F10" i="3"/>
  <c r="G10" i="3"/>
  <c r="H10" i="3"/>
  <c r="I10" i="3"/>
  <c r="J10" i="3"/>
  <c r="B9" i="3"/>
  <c r="C9" i="3"/>
  <c r="D9" i="3"/>
  <c r="E9" i="3"/>
  <c r="F9" i="3"/>
  <c r="G9" i="3"/>
  <c r="H9" i="3"/>
  <c r="I9" i="3"/>
  <c r="J9" i="3"/>
  <c r="B8" i="3"/>
  <c r="C8" i="3"/>
  <c r="D8" i="3"/>
  <c r="E8" i="3"/>
  <c r="F8" i="3"/>
  <c r="G8" i="3"/>
  <c r="H8" i="3"/>
  <c r="I8" i="3"/>
  <c r="J8" i="3"/>
  <c r="B7" i="3"/>
  <c r="C7" i="3"/>
  <c r="D7" i="3"/>
  <c r="E7" i="3"/>
  <c r="F7" i="3"/>
  <c r="G7" i="3"/>
  <c r="H7" i="3"/>
  <c r="I7" i="3"/>
  <c r="J7" i="3"/>
  <c r="B6" i="3"/>
  <c r="C6" i="3"/>
  <c r="D6" i="3"/>
  <c r="E6" i="3"/>
  <c r="F6" i="3"/>
  <c r="G6" i="3"/>
  <c r="H6" i="3"/>
  <c r="I6" i="3"/>
  <c r="J6" i="3"/>
  <c r="B5" i="3"/>
  <c r="C5" i="3"/>
  <c r="D5" i="3"/>
  <c r="E5" i="3"/>
  <c r="F5" i="3"/>
  <c r="G5" i="3"/>
  <c r="H5" i="3"/>
  <c r="I5" i="3"/>
  <c r="J5" i="3"/>
  <c r="B4" i="3"/>
  <c r="C4" i="3"/>
  <c r="D4" i="3"/>
  <c r="E4" i="3"/>
  <c r="F4" i="3"/>
  <c r="G4" i="3"/>
  <c r="H4" i="3"/>
  <c r="I4" i="3"/>
  <c r="J4" i="3"/>
  <c r="B3" i="3"/>
  <c r="C3" i="3"/>
  <c r="D3" i="3"/>
  <c r="E3" i="3"/>
  <c r="F3" i="3"/>
  <c r="G3" i="3"/>
  <c r="H3" i="3"/>
  <c r="I3" i="3"/>
  <c r="J3" i="3"/>
  <c r="L6" i="9" l="1"/>
  <c r="L5" i="9"/>
  <c r="L4" i="9"/>
  <c r="L3" i="9"/>
  <c r="L2" i="9"/>
  <c r="E21" i="8"/>
  <c r="E24" i="8"/>
  <c r="E19" i="8"/>
  <c r="E22" i="8"/>
  <c r="E17" i="8"/>
  <c r="G26" i="8"/>
  <c r="E20" i="8"/>
  <c r="E16" i="8"/>
  <c r="E23" i="8"/>
  <c r="F16" i="8"/>
  <c r="K58" i="4"/>
  <c r="E10" i="7"/>
  <c r="E11" i="7"/>
  <c r="E5" i="7"/>
  <c r="E12" i="7"/>
  <c r="E21" i="7"/>
  <c r="E24" i="7"/>
  <c r="E19" i="7"/>
  <c r="E22" i="7"/>
  <c r="E17" i="7"/>
  <c r="G26" i="7"/>
  <c r="E20" i="7"/>
  <c r="E16" i="7"/>
  <c r="E23" i="7"/>
  <c r="F16" i="7"/>
  <c r="G15" i="6"/>
  <c r="E18" i="6" s="1"/>
  <c r="E13" i="6"/>
  <c r="E12" i="6"/>
  <c r="E11" i="6"/>
  <c r="E10" i="6"/>
  <c r="E9" i="6"/>
  <c r="E8" i="6"/>
  <c r="E7" i="6"/>
  <c r="E6" i="6"/>
  <c r="F5" i="6"/>
  <c r="E5" i="6"/>
  <c r="G15" i="5"/>
  <c r="E18" i="5" s="1"/>
  <c r="E13" i="5"/>
  <c r="E12" i="5"/>
  <c r="E11" i="5"/>
  <c r="E10" i="5"/>
  <c r="E9" i="5"/>
  <c r="E8" i="5"/>
  <c r="E7" i="5"/>
  <c r="E6" i="5"/>
  <c r="F5" i="5"/>
  <c r="E5" i="5"/>
  <c r="AK4" i="1"/>
  <c r="AI12" i="1" s="1"/>
  <c r="T8" i="1"/>
  <c r="T19" i="1"/>
  <c r="T30" i="1"/>
  <c r="T41" i="1"/>
  <c r="T52" i="1"/>
  <c r="T63" i="1"/>
  <c r="E63" i="1"/>
  <c r="E52" i="1"/>
  <c r="E41" i="1"/>
  <c r="E30" i="1"/>
  <c r="E19" i="1"/>
  <c r="E8" i="1"/>
  <c r="V4" i="1"/>
  <c r="V15" i="1" s="1"/>
  <c r="T20" i="1" s="1"/>
  <c r="G59" i="1"/>
  <c r="E68" i="1" s="1"/>
  <c r="G48" i="1"/>
  <c r="G37" i="1"/>
  <c r="G26" i="1"/>
  <c r="E32" i="1" s="1"/>
  <c r="G15" i="1"/>
  <c r="E22" i="1" s="1"/>
  <c r="E13" i="1"/>
  <c r="E12" i="1"/>
  <c r="E11" i="1"/>
  <c r="E10" i="1"/>
  <c r="E9" i="1"/>
  <c r="E7" i="1"/>
  <c r="E6" i="1"/>
  <c r="E5" i="1"/>
  <c r="F5" i="1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Q2" i="4"/>
  <c r="K2" i="4"/>
  <c r="E34" i="8" l="1"/>
  <c r="E27" i="8"/>
  <c r="E31" i="8"/>
  <c r="G37" i="8"/>
  <c r="E28" i="8"/>
  <c r="E33" i="8"/>
  <c r="E30" i="8"/>
  <c r="E35" i="8"/>
  <c r="F27" i="8"/>
  <c r="E32" i="8"/>
  <c r="E29" i="8"/>
  <c r="K59" i="4"/>
  <c r="E34" i="7"/>
  <c r="E27" i="7"/>
  <c r="E31" i="7"/>
  <c r="E29" i="7"/>
  <c r="G37" i="7"/>
  <c r="E28" i="7"/>
  <c r="E33" i="7"/>
  <c r="E30" i="7"/>
  <c r="E35" i="7"/>
  <c r="E32" i="7"/>
  <c r="F27" i="7"/>
  <c r="L1" i="4"/>
  <c r="E21" i="6"/>
  <c r="E24" i="6"/>
  <c r="E19" i="6"/>
  <c r="E22" i="6"/>
  <c r="E17" i="6"/>
  <c r="G26" i="6"/>
  <c r="E20" i="6"/>
  <c r="E16" i="6"/>
  <c r="E23" i="6"/>
  <c r="F16" i="6"/>
  <c r="E22" i="5"/>
  <c r="E24" i="5"/>
  <c r="E17" i="5"/>
  <c r="G26" i="5"/>
  <c r="E19" i="5"/>
  <c r="E20" i="5"/>
  <c r="E16" i="5"/>
  <c r="E23" i="5"/>
  <c r="E21" i="5"/>
  <c r="F16" i="5"/>
  <c r="AI13" i="1"/>
  <c r="AI6" i="1"/>
  <c r="AI8" i="1"/>
  <c r="AI9" i="1"/>
  <c r="AI10" i="1"/>
  <c r="AI11" i="1"/>
  <c r="AJ5" i="1"/>
  <c r="AK15" i="1"/>
  <c r="AI7" i="1"/>
  <c r="AI5" i="1"/>
  <c r="T7" i="1"/>
  <c r="T9" i="1"/>
  <c r="T10" i="1"/>
  <c r="T11" i="1"/>
  <c r="T5" i="1"/>
  <c r="T12" i="1"/>
  <c r="T13" i="1"/>
  <c r="U5" i="1"/>
  <c r="T6" i="1"/>
  <c r="T16" i="1"/>
  <c r="T17" i="1"/>
  <c r="V26" i="1"/>
  <c r="T21" i="1"/>
  <c r="T22" i="1"/>
  <c r="T23" i="1"/>
  <c r="T18" i="1"/>
  <c r="U16" i="1"/>
  <c r="T24" i="1"/>
  <c r="E66" i="1"/>
  <c r="E61" i="1"/>
  <c r="E64" i="1"/>
  <c r="E60" i="1"/>
  <c r="E67" i="1"/>
  <c r="E62" i="1"/>
  <c r="E65" i="1"/>
  <c r="F60" i="1"/>
  <c r="E54" i="1"/>
  <c r="E49" i="1"/>
  <c r="E57" i="1"/>
  <c r="E50" i="1"/>
  <c r="F49" i="1"/>
  <c r="E51" i="1"/>
  <c r="E53" i="1"/>
  <c r="E55" i="1"/>
  <c r="E56" i="1"/>
  <c r="E42" i="1"/>
  <c r="E44" i="1"/>
  <c r="E45" i="1"/>
  <c r="E39" i="1"/>
  <c r="E43" i="1"/>
  <c r="F38" i="1"/>
  <c r="E40" i="1"/>
  <c r="E38" i="1"/>
  <c r="E46" i="1"/>
  <c r="E34" i="1"/>
  <c r="E28" i="1"/>
  <c r="F27" i="1"/>
  <c r="E31" i="1"/>
  <c r="E33" i="1"/>
  <c r="E27" i="1"/>
  <c r="E35" i="1"/>
  <c r="E29" i="1"/>
  <c r="E16" i="1"/>
  <c r="E23" i="1"/>
  <c r="F16" i="1"/>
  <c r="E18" i="1"/>
  <c r="E20" i="1"/>
  <c r="E21" i="1"/>
  <c r="E24" i="1"/>
  <c r="E17" i="1"/>
  <c r="E42" i="8" l="1"/>
  <c r="G48" i="8"/>
  <c r="E39" i="8"/>
  <c r="E44" i="8"/>
  <c r="E41" i="8"/>
  <c r="E46" i="8"/>
  <c r="E43" i="8"/>
  <c r="E40" i="8"/>
  <c r="F38" i="8"/>
  <c r="E45" i="8"/>
  <c r="E38" i="8"/>
  <c r="K60" i="4"/>
  <c r="E42" i="7"/>
  <c r="E45" i="7"/>
  <c r="E38" i="7"/>
  <c r="G48" i="7"/>
  <c r="E39" i="7"/>
  <c r="E44" i="7"/>
  <c r="E41" i="7"/>
  <c r="E46" i="7"/>
  <c r="E43" i="7"/>
  <c r="E40" i="7"/>
  <c r="F38" i="7"/>
  <c r="E34" i="6"/>
  <c r="E27" i="6"/>
  <c r="E31" i="6"/>
  <c r="G37" i="6"/>
  <c r="E28" i="6"/>
  <c r="E33" i="6"/>
  <c r="E30" i="6"/>
  <c r="E35" i="6"/>
  <c r="E32" i="6"/>
  <c r="E29" i="6"/>
  <c r="F27" i="6"/>
  <c r="E34" i="5"/>
  <c r="E27" i="5"/>
  <c r="E31" i="5"/>
  <c r="G37" i="5"/>
  <c r="E28" i="5"/>
  <c r="E29" i="5"/>
  <c r="E33" i="5"/>
  <c r="E35" i="5"/>
  <c r="E30" i="5"/>
  <c r="F27" i="5"/>
  <c r="E32" i="5"/>
  <c r="AI20" i="1"/>
  <c r="AI17" i="1"/>
  <c r="AI24" i="1"/>
  <c r="AI23" i="1"/>
  <c r="AI19" i="1"/>
  <c r="AI18" i="1"/>
  <c r="AK26" i="1"/>
  <c r="AJ16" i="1"/>
  <c r="AI16" i="1"/>
  <c r="AI22" i="1"/>
  <c r="AI21" i="1"/>
  <c r="V37" i="1"/>
  <c r="T28" i="1"/>
  <c r="T35" i="1"/>
  <c r="U27" i="1"/>
  <c r="T32" i="1"/>
  <c r="T31" i="1"/>
  <c r="T34" i="1"/>
  <c r="T27" i="1"/>
  <c r="T29" i="1"/>
  <c r="T33" i="1"/>
  <c r="G59" i="8" l="1"/>
  <c r="E50" i="8"/>
  <c r="E55" i="8"/>
  <c r="E52" i="8"/>
  <c r="E57" i="8"/>
  <c r="E54" i="8"/>
  <c r="E53" i="8"/>
  <c r="E51" i="8"/>
  <c r="F49" i="8"/>
  <c r="E56" i="8"/>
  <c r="E49" i="8"/>
  <c r="K61" i="4"/>
  <c r="G59" i="7"/>
  <c r="E50" i="7"/>
  <c r="E55" i="7"/>
  <c r="E52" i="7"/>
  <c r="E57" i="7"/>
  <c r="E54" i="7"/>
  <c r="E53" i="7"/>
  <c r="E51" i="7"/>
  <c r="F49" i="7"/>
  <c r="E56" i="7"/>
  <c r="E49" i="7"/>
  <c r="E42" i="6"/>
  <c r="G48" i="6"/>
  <c r="E39" i="6"/>
  <c r="E44" i="6"/>
  <c r="E41" i="6"/>
  <c r="E46" i="6"/>
  <c r="E43" i="6"/>
  <c r="E40" i="6"/>
  <c r="F38" i="6"/>
  <c r="E45" i="6"/>
  <c r="E38" i="6"/>
  <c r="E42" i="5"/>
  <c r="E38" i="5"/>
  <c r="G48" i="5"/>
  <c r="E39" i="5"/>
  <c r="E40" i="5"/>
  <c r="E45" i="5"/>
  <c r="E44" i="5"/>
  <c r="F38" i="5"/>
  <c r="E41" i="5"/>
  <c r="E43" i="5"/>
  <c r="E46" i="5"/>
  <c r="AK37" i="1"/>
  <c r="AI28" i="1"/>
  <c r="AI31" i="1"/>
  <c r="AI29" i="1"/>
  <c r="AI35" i="1"/>
  <c r="AJ27" i="1"/>
  <c r="AI34" i="1"/>
  <c r="AI27" i="1"/>
  <c r="AI33" i="1"/>
  <c r="AI32" i="1"/>
  <c r="AI30" i="1"/>
  <c r="T44" i="1"/>
  <c r="T40" i="1"/>
  <c r="T46" i="1"/>
  <c r="T43" i="1"/>
  <c r="T39" i="1"/>
  <c r="T45" i="1"/>
  <c r="T42" i="1"/>
  <c r="T38" i="1"/>
  <c r="V48" i="1"/>
  <c r="U38" i="1"/>
  <c r="E66" i="8" l="1"/>
  <c r="E63" i="8"/>
  <c r="E68" i="8"/>
  <c r="E65" i="8"/>
  <c r="V4" i="8"/>
  <c r="E61" i="8"/>
  <c r="E62" i="8"/>
  <c r="F60" i="8"/>
  <c r="E67" i="8"/>
  <c r="E60" i="8"/>
  <c r="E64" i="8"/>
  <c r="K62" i="4"/>
  <c r="E66" i="7"/>
  <c r="V4" i="7"/>
  <c r="E63" i="7"/>
  <c r="E68" i="7"/>
  <c r="E65" i="7"/>
  <c r="E62" i="7"/>
  <c r="F60" i="7"/>
  <c r="E67" i="7"/>
  <c r="E60" i="7"/>
  <c r="E64" i="7"/>
  <c r="E61" i="7"/>
  <c r="G59" i="6"/>
  <c r="E50" i="6"/>
  <c r="E55" i="6"/>
  <c r="E52" i="6"/>
  <c r="E57" i="6"/>
  <c r="E54" i="6"/>
  <c r="E51" i="6"/>
  <c r="F49" i="6"/>
  <c r="E56" i="6"/>
  <c r="E49" i="6"/>
  <c r="E53" i="6"/>
  <c r="G59" i="5"/>
  <c r="E50" i="5"/>
  <c r="E53" i="5"/>
  <c r="E55" i="5"/>
  <c r="E52" i="5"/>
  <c r="E51" i="5"/>
  <c r="E56" i="5"/>
  <c r="E57" i="5"/>
  <c r="F49" i="5"/>
  <c r="E54" i="5"/>
  <c r="E49" i="5"/>
  <c r="AI44" i="1"/>
  <c r="AI41" i="1"/>
  <c r="AK48" i="1"/>
  <c r="AJ38" i="1"/>
  <c r="AI45" i="1"/>
  <c r="AI43" i="1"/>
  <c r="AI42" i="1"/>
  <c r="AI40" i="1"/>
  <c r="AI39" i="1"/>
  <c r="AI46" i="1"/>
  <c r="AI38" i="1"/>
  <c r="T56" i="1"/>
  <c r="T51" i="1"/>
  <c r="T49" i="1"/>
  <c r="V59" i="1"/>
  <c r="T50" i="1"/>
  <c r="T55" i="1"/>
  <c r="T53" i="1"/>
  <c r="T57" i="1"/>
  <c r="U49" i="1"/>
  <c r="T54" i="1"/>
  <c r="T7" i="8" l="1"/>
  <c r="T5" i="8"/>
  <c r="T12" i="8"/>
  <c r="T9" i="8"/>
  <c r="V15" i="8"/>
  <c r="T6" i="8"/>
  <c r="U5" i="8"/>
  <c r="T11" i="8"/>
  <c r="T10" i="8"/>
  <c r="T8" i="8"/>
  <c r="T13" i="8"/>
  <c r="K63" i="4"/>
  <c r="T7" i="7"/>
  <c r="T5" i="7"/>
  <c r="T10" i="7"/>
  <c r="T12" i="7"/>
  <c r="T11" i="7"/>
  <c r="T9" i="7"/>
  <c r="V15" i="7"/>
  <c r="T6" i="7"/>
  <c r="T8" i="7"/>
  <c r="T13" i="7"/>
  <c r="U5" i="7"/>
  <c r="E66" i="6"/>
  <c r="V4" i="6"/>
  <c r="E63" i="6"/>
  <c r="E68" i="6"/>
  <c r="E65" i="6"/>
  <c r="E62" i="6"/>
  <c r="F60" i="6"/>
  <c r="E67" i="6"/>
  <c r="E60" i="6"/>
  <c r="E64" i="6"/>
  <c r="E61" i="6"/>
  <c r="E66" i="5"/>
  <c r="E64" i="5"/>
  <c r="E63" i="5"/>
  <c r="E68" i="5"/>
  <c r="E65" i="5"/>
  <c r="V4" i="5"/>
  <c r="E67" i="5"/>
  <c r="E60" i="5"/>
  <c r="E62" i="5"/>
  <c r="F60" i="5"/>
  <c r="E61" i="5"/>
  <c r="AI52" i="1"/>
  <c r="AI49" i="1"/>
  <c r="AI55" i="1"/>
  <c r="AI54" i="1"/>
  <c r="AI53" i="1"/>
  <c r="AI51" i="1"/>
  <c r="AK59" i="1"/>
  <c r="AI50" i="1"/>
  <c r="AI57" i="1"/>
  <c r="AJ49" i="1"/>
  <c r="AI56" i="1"/>
  <c r="T68" i="1"/>
  <c r="U60" i="1"/>
  <c r="T67" i="1"/>
  <c r="T60" i="1"/>
  <c r="T64" i="1"/>
  <c r="T66" i="1"/>
  <c r="T62" i="1"/>
  <c r="T61" i="1"/>
  <c r="T65" i="1"/>
  <c r="T23" i="8" l="1"/>
  <c r="T20" i="8"/>
  <c r="V26" i="8"/>
  <c r="T17" i="8"/>
  <c r="T22" i="8"/>
  <c r="T19" i="8"/>
  <c r="T24" i="8"/>
  <c r="T18" i="8"/>
  <c r="T16" i="8"/>
  <c r="T21" i="8"/>
  <c r="U16" i="8"/>
  <c r="K64" i="4"/>
  <c r="T23" i="7"/>
  <c r="T18" i="7"/>
  <c r="T20" i="7"/>
  <c r="V26" i="7"/>
  <c r="T17" i="7"/>
  <c r="T22" i="7"/>
  <c r="T19" i="7"/>
  <c r="T24" i="7"/>
  <c r="T21" i="7"/>
  <c r="U16" i="7"/>
  <c r="T16" i="7"/>
  <c r="T7" i="6"/>
  <c r="T5" i="6"/>
  <c r="T8" i="6"/>
  <c r="T12" i="6"/>
  <c r="T9" i="6"/>
  <c r="T6" i="6"/>
  <c r="T11" i="6"/>
  <c r="V15" i="6"/>
  <c r="T13" i="6"/>
  <c r="T10" i="6"/>
  <c r="U5" i="6"/>
  <c r="T7" i="5"/>
  <c r="T5" i="5"/>
  <c r="U5" i="5"/>
  <c r="T12" i="5"/>
  <c r="T9" i="5"/>
  <c r="T8" i="5"/>
  <c r="V15" i="5"/>
  <c r="T6" i="5"/>
  <c r="T11" i="5"/>
  <c r="T13" i="5"/>
  <c r="T10" i="5"/>
  <c r="AI68" i="1"/>
  <c r="AJ60" i="1"/>
  <c r="AI64" i="1"/>
  <c r="AI67" i="1"/>
  <c r="AI60" i="1"/>
  <c r="AI66" i="1"/>
  <c r="AI65" i="1"/>
  <c r="AI63" i="1"/>
  <c r="AI62" i="1"/>
  <c r="AI61" i="1"/>
  <c r="T31" i="8" l="1"/>
  <c r="V37" i="8"/>
  <c r="T28" i="8"/>
  <c r="T33" i="8"/>
  <c r="T30" i="8"/>
  <c r="T35" i="8"/>
  <c r="T32" i="8"/>
  <c r="U27" i="8"/>
  <c r="T34" i="8"/>
  <c r="T29" i="8"/>
  <c r="T27" i="8"/>
  <c r="K65" i="4"/>
  <c r="T31" i="7"/>
  <c r="V37" i="7"/>
  <c r="T28" i="7"/>
  <c r="T34" i="7"/>
  <c r="T33" i="7"/>
  <c r="T30" i="7"/>
  <c r="T35" i="7"/>
  <c r="T32" i="7"/>
  <c r="U27" i="7"/>
  <c r="T29" i="7"/>
  <c r="T27" i="7"/>
  <c r="T23" i="6"/>
  <c r="T20" i="6"/>
  <c r="V26" i="6"/>
  <c r="T17" i="6"/>
  <c r="T22" i="6"/>
  <c r="T19" i="6"/>
  <c r="T24" i="6"/>
  <c r="T21" i="6"/>
  <c r="U16" i="6"/>
  <c r="T18" i="6"/>
  <c r="T16" i="6"/>
  <c r="T23" i="5"/>
  <c r="T21" i="5"/>
  <c r="T20" i="5"/>
  <c r="T18" i="5"/>
  <c r="V26" i="5"/>
  <c r="T17" i="5"/>
  <c r="T22" i="5"/>
  <c r="T24" i="5"/>
  <c r="T19" i="5"/>
  <c r="U16" i="5"/>
  <c r="T16" i="5"/>
  <c r="V48" i="8" l="1"/>
  <c r="T39" i="8"/>
  <c r="T44" i="8"/>
  <c r="T41" i="8"/>
  <c r="T46" i="8"/>
  <c r="T43" i="8"/>
  <c r="U38" i="8"/>
  <c r="T40" i="8"/>
  <c r="T38" i="8"/>
  <c r="T45" i="8"/>
  <c r="T42" i="8"/>
  <c r="K66" i="4"/>
  <c r="V48" i="7"/>
  <c r="T39" i="7"/>
  <c r="T42" i="7"/>
  <c r="T44" i="7"/>
  <c r="T41" i="7"/>
  <c r="T46" i="7"/>
  <c r="T43" i="7"/>
  <c r="U38" i="7"/>
  <c r="T40" i="7"/>
  <c r="T38" i="7"/>
  <c r="T45" i="7"/>
  <c r="T31" i="6"/>
  <c r="V37" i="6"/>
  <c r="T28" i="6"/>
  <c r="T33" i="6"/>
  <c r="T30" i="6"/>
  <c r="T35" i="6"/>
  <c r="T32" i="6"/>
  <c r="U27" i="6"/>
  <c r="T29" i="6"/>
  <c r="T27" i="6"/>
  <c r="T34" i="6"/>
  <c r="T31" i="5"/>
  <c r="V37" i="5"/>
  <c r="T28" i="5"/>
  <c r="T34" i="5"/>
  <c r="T33" i="5"/>
  <c r="T32" i="5"/>
  <c r="U27" i="5"/>
  <c r="T27" i="5"/>
  <c r="T30" i="5"/>
  <c r="T35" i="5"/>
  <c r="T29" i="5"/>
  <c r="T55" i="8" l="1"/>
  <c r="V59" i="8"/>
  <c r="T52" i="8"/>
  <c r="T57" i="8"/>
  <c r="T50" i="8"/>
  <c r="T54" i="8"/>
  <c r="U49" i="8"/>
  <c r="T51" i="8"/>
  <c r="T49" i="8"/>
  <c r="T56" i="8"/>
  <c r="T53" i="8"/>
  <c r="K67" i="4"/>
  <c r="T55" i="7"/>
  <c r="T52" i="7"/>
  <c r="T57" i="7"/>
  <c r="V59" i="7"/>
  <c r="T54" i="7"/>
  <c r="U49" i="7"/>
  <c r="T51" i="7"/>
  <c r="T49" i="7"/>
  <c r="T56" i="7"/>
  <c r="T50" i="7"/>
  <c r="T53" i="7"/>
  <c r="V48" i="6"/>
  <c r="T39" i="6"/>
  <c r="T44" i="6"/>
  <c r="T41" i="6"/>
  <c r="T46" i="6"/>
  <c r="T43" i="6"/>
  <c r="U38" i="6"/>
  <c r="T40" i="6"/>
  <c r="T38" i="6"/>
  <c r="T45" i="6"/>
  <c r="T42" i="6"/>
  <c r="V48" i="5"/>
  <c r="T39" i="5"/>
  <c r="T44" i="5"/>
  <c r="T41" i="5"/>
  <c r="T38" i="5"/>
  <c r="T46" i="5"/>
  <c r="T40" i="5"/>
  <c r="T45" i="5"/>
  <c r="T42" i="5"/>
  <c r="T43" i="5"/>
  <c r="U38" i="5"/>
  <c r="T63" i="8" l="1"/>
  <c r="T68" i="8"/>
  <c r="T65" i="8"/>
  <c r="U60" i="8"/>
  <c r="T62" i="8"/>
  <c r="T60" i="8"/>
  <c r="AK4" i="8"/>
  <c r="T67" i="8"/>
  <c r="T64" i="8"/>
  <c r="T61" i="8"/>
  <c r="T66" i="8"/>
  <c r="K68" i="4"/>
  <c r="T63" i="7"/>
  <c r="T68" i="7"/>
  <c r="T66" i="7"/>
  <c r="T65" i="7"/>
  <c r="U60" i="7"/>
  <c r="T62" i="7"/>
  <c r="T60" i="7"/>
  <c r="AK4" i="7"/>
  <c r="T67" i="7"/>
  <c r="T64" i="7"/>
  <c r="T61" i="7"/>
  <c r="T55" i="6"/>
  <c r="T52" i="6"/>
  <c r="T57" i="6"/>
  <c r="T54" i="6"/>
  <c r="U49" i="6"/>
  <c r="T51" i="6"/>
  <c r="T49" i="6"/>
  <c r="T56" i="6"/>
  <c r="T53" i="6"/>
  <c r="V59" i="6"/>
  <c r="T50" i="6"/>
  <c r="T55" i="5"/>
  <c r="T53" i="5"/>
  <c r="T52" i="5"/>
  <c r="T50" i="5"/>
  <c r="T57" i="5"/>
  <c r="T56" i="5"/>
  <c r="T54" i="5"/>
  <c r="U49" i="5"/>
  <c r="T51" i="5"/>
  <c r="T49" i="5"/>
  <c r="V59" i="5"/>
  <c r="AI12" i="8" l="1"/>
  <c r="AI9" i="8"/>
  <c r="AI7" i="8"/>
  <c r="AK15" i="8"/>
  <c r="AI6" i="8"/>
  <c r="AI11" i="8"/>
  <c r="AI8" i="8"/>
  <c r="AI13" i="8"/>
  <c r="AJ5" i="8"/>
  <c r="AI10" i="8"/>
  <c r="AI5" i="8"/>
  <c r="K69" i="4"/>
  <c r="AI12" i="7"/>
  <c r="AI9" i="7"/>
  <c r="AK15" i="7"/>
  <c r="AI6" i="7"/>
  <c r="AI11" i="7"/>
  <c r="AI8" i="7"/>
  <c r="AI7" i="7"/>
  <c r="AI13" i="7"/>
  <c r="AJ5" i="7"/>
  <c r="AI10" i="7"/>
  <c r="AI5" i="7"/>
  <c r="T63" i="6"/>
  <c r="T68" i="6"/>
  <c r="AK4" i="6"/>
  <c r="T65" i="6"/>
  <c r="U60" i="6"/>
  <c r="T62" i="6"/>
  <c r="T60" i="6"/>
  <c r="T67" i="6"/>
  <c r="T64" i="6"/>
  <c r="T61" i="6"/>
  <c r="T66" i="6"/>
  <c r="T63" i="5"/>
  <c r="T66" i="5"/>
  <c r="T68" i="5"/>
  <c r="T65" i="5"/>
  <c r="U60" i="5"/>
  <c r="T64" i="5"/>
  <c r="T61" i="5"/>
  <c r="T62" i="5"/>
  <c r="T60" i="5"/>
  <c r="AK4" i="5"/>
  <c r="T67" i="5"/>
  <c r="AI20" i="8" l="1"/>
  <c r="AK26" i="8"/>
  <c r="AI17" i="8"/>
  <c r="AI22" i="8"/>
  <c r="AI19" i="8"/>
  <c r="AI24" i="8"/>
  <c r="AJ16" i="8"/>
  <c r="AI21" i="8"/>
  <c r="AI16" i="8"/>
  <c r="AI23" i="8"/>
  <c r="AI18" i="8"/>
  <c r="K70" i="4"/>
  <c r="AI20" i="7"/>
  <c r="AK26" i="7"/>
  <c r="AI17" i="7"/>
  <c r="AI22" i="7"/>
  <c r="AI19" i="7"/>
  <c r="AI23" i="7"/>
  <c r="AI24" i="7"/>
  <c r="AJ16" i="7"/>
  <c r="AI21" i="7"/>
  <c r="AI16" i="7"/>
  <c r="AI18" i="7"/>
  <c r="AI12" i="6"/>
  <c r="AI6" i="6"/>
  <c r="AI9" i="6"/>
  <c r="AI8" i="6"/>
  <c r="AJ5" i="6"/>
  <c r="AK15" i="6"/>
  <c r="AI11" i="6"/>
  <c r="AI13" i="6"/>
  <c r="AI10" i="6"/>
  <c r="AI5" i="6"/>
  <c r="AI7" i="6"/>
  <c r="AI12" i="5"/>
  <c r="AJ5" i="5"/>
  <c r="AI10" i="5"/>
  <c r="AI9" i="5"/>
  <c r="AI5" i="5"/>
  <c r="AK15" i="5"/>
  <c r="AI6" i="5"/>
  <c r="AI8" i="5"/>
  <c r="AI13" i="5"/>
  <c r="AI11" i="5"/>
  <c r="AI7" i="5"/>
  <c r="AK37" i="8" l="1"/>
  <c r="AI28" i="8"/>
  <c r="AI33" i="8"/>
  <c r="AI30" i="8"/>
  <c r="AI35" i="8"/>
  <c r="AJ27" i="8"/>
  <c r="AI32" i="8"/>
  <c r="AI27" i="8"/>
  <c r="AI29" i="8"/>
  <c r="AI34" i="8"/>
  <c r="AI31" i="8"/>
  <c r="K71" i="4"/>
  <c r="AK37" i="7"/>
  <c r="AI28" i="7"/>
  <c r="AI31" i="7"/>
  <c r="AI33" i="7"/>
  <c r="AI30" i="7"/>
  <c r="AI35" i="7"/>
  <c r="AJ27" i="7"/>
  <c r="AI32" i="7"/>
  <c r="AI27" i="7"/>
  <c r="AI29" i="7"/>
  <c r="AI34" i="7"/>
  <c r="AI20" i="6"/>
  <c r="AK26" i="6"/>
  <c r="AI17" i="6"/>
  <c r="AI22" i="6"/>
  <c r="AI19" i="6"/>
  <c r="AI24" i="6"/>
  <c r="AJ16" i="6"/>
  <c r="AI21" i="6"/>
  <c r="AI16" i="6"/>
  <c r="AI18" i="6"/>
  <c r="AI23" i="6"/>
  <c r="AI20" i="5"/>
  <c r="AI21" i="5"/>
  <c r="AK26" i="5"/>
  <c r="AI17" i="5"/>
  <c r="AI22" i="5"/>
  <c r="AI18" i="5"/>
  <c r="AI19" i="5"/>
  <c r="AI16" i="5"/>
  <c r="AI23" i="5"/>
  <c r="AI24" i="5"/>
  <c r="AJ16" i="5"/>
  <c r="AI44" i="8" l="1"/>
  <c r="AI41" i="8"/>
  <c r="AI46" i="8"/>
  <c r="AJ38" i="8"/>
  <c r="AI43" i="8"/>
  <c r="AI38" i="8"/>
  <c r="AI40" i="8"/>
  <c r="AI45" i="8"/>
  <c r="AK48" i="8"/>
  <c r="AI39" i="8"/>
  <c r="AI42" i="8"/>
  <c r="K72" i="4"/>
  <c r="AI44" i="7"/>
  <c r="AI41" i="7"/>
  <c r="AK48" i="7"/>
  <c r="AI39" i="7"/>
  <c r="AI46" i="7"/>
  <c r="AJ38" i="7"/>
  <c r="AI43" i="7"/>
  <c r="AI38" i="7"/>
  <c r="AI40" i="7"/>
  <c r="AI45" i="7"/>
  <c r="AI42" i="7"/>
  <c r="AK37" i="6"/>
  <c r="AI28" i="6"/>
  <c r="AI33" i="6"/>
  <c r="AI30" i="6"/>
  <c r="AI35" i="6"/>
  <c r="AJ27" i="6"/>
  <c r="AI32" i="6"/>
  <c r="AI27" i="6"/>
  <c r="AI29" i="6"/>
  <c r="AI34" i="6"/>
  <c r="AI31" i="6"/>
  <c r="AK37" i="5"/>
  <c r="AI28" i="5"/>
  <c r="AI34" i="5"/>
  <c r="AI33" i="5"/>
  <c r="AI30" i="5"/>
  <c r="AI35" i="5"/>
  <c r="AJ27" i="5"/>
  <c r="AI29" i="5"/>
  <c r="AI32" i="5"/>
  <c r="AI27" i="5"/>
  <c r="AI31" i="5"/>
  <c r="AI52" i="8" l="1"/>
  <c r="AI57" i="8"/>
  <c r="AJ49" i="8"/>
  <c r="AI55" i="8"/>
  <c r="AI54" i="8"/>
  <c r="AI49" i="8"/>
  <c r="AI51" i="8"/>
  <c r="AI56" i="8"/>
  <c r="AI53" i="8"/>
  <c r="AK59" i="8"/>
  <c r="AI50" i="8"/>
  <c r="K73" i="4"/>
  <c r="AI52" i="7"/>
  <c r="AI57" i="7"/>
  <c r="AJ49" i="7"/>
  <c r="AI54" i="7"/>
  <c r="AI49" i="7"/>
  <c r="AI51" i="7"/>
  <c r="AI55" i="7"/>
  <c r="AI56" i="7"/>
  <c r="AI53" i="7"/>
  <c r="AK59" i="7"/>
  <c r="AI50" i="7"/>
  <c r="AI44" i="6"/>
  <c r="AI41" i="6"/>
  <c r="AI46" i="6"/>
  <c r="AJ38" i="6"/>
  <c r="AI43" i="6"/>
  <c r="AI38" i="6"/>
  <c r="AI40" i="6"/>
  <c r="AI45" i="6"/>
  <c r="AI42" i="6"/>
  <c r="AK48" i="6"/>
  <c r="AI39" i="6"/>
  <c r="AI44" i="5"/>
  <c r="AI42" i="5"/>
  <c r="AI41" i="5"/>
  <c r="AI46" i="5"/>
  <c r="AJ38" i="5"/>
  <c r="AI45" i="5"/>
  <c r="AI43" i="5"/>
  <c r="AI38" i="5"/>
  <c r="AI40" i="5"/>
  <c r="AI39" i="5"/>
  <c r="AK48" i="5"/>
  <c r="AI68" i="8" l="1"/>
  <c r="AJ60" i="8"/>
  <c r="AI65" i="8"/>
  <c r="AI60" i="8"/>
  <c r="AI62" i="8"/>
  <c r="AI67" i="8"/>
  <c r="AI64" i="8"/>
  <c r="AI61" i="8"/>
  <c r="AI63" i="8"/>
  <c r="AI66" i="8"/>
  <c r="K74" i="4"/>
  <c r="AI68" i="7"/>
  <c r="AJ60" i="7"/>
  <c r="AI63" i="7"/>
  <c r="AI65" i="7"/>
  <c r="AI60" i="7"/>
  <c r="AI62" i="7"/>
  <c r="AI67" i="7"/>
  <c r="AI64" i="7"/>
  <c r="AI61" i="7"/>
  <c r="AI66" i="7"/>
  <c r="AI52" i="6"/>
  <c r="AI57" i="6"/>
  <c r="AJ49" i="6"/>
  <c r="AI54" i="6"/>
  <c r="AI49" i="6"/>
  <c r="AI51" i="6"/>
  <c r="AI56" i="6"/>
  <c r="AI53" i="6"/>
  <c r="AK59" i="6"/>
  <c r="AI50" i="6"/>
  <c r="AI55" i="6"/>
  <c r="AI52" i="5"/>
  <c r="AK59" i="5"/>
  <c r="AI57" i="5"/>
  <c r="AJ49" i="5"/>
  <c r="AI55" i="5"/>
  <c r="AI54" i="5"/>
  <c r="AI49" i="5"/>
  <c r="AI50" i="5"/>
  <c r="AI51" i="5"/>
  <c r="AI53" i="5"/>
  <c r="AI56" i="5"/>
  <c r="K75" i="4" l="1"/>
  <c r="AI68" i="6"/>
  <c r="AJ60" i="6"/>
  <c r="AI65" i="6"/>
  <c r="AI60" i="6"/>
  <c r="AI62" i="6"/>
  <c r="AI67" i="6"/>
  <c r="AI64" i="6"/>
  <c r="AI61" i="6"/>
  <c r="AI66" i="6"/>
  <c r="AI63" i="6"/>
  <c r="AI68" i="5"/>
  <c r="AJ60" i="5"/>
  <c r="AI65" i="5"/>
  <c r="AI60" i="5"/>
  <c r="AI62" i="5"/>
  <c r="AI67" i="5"/>
  <c r="AI61" i="5"/>
  <c r="AI63" i="5"/>
  <c r="AI64" i="5"/>
  <c r="AI66" i="5"/>
  <c r="K76" i="4" l="1"/>
  <c r="K77" i="4" l="1"/>
  <c r="K78" i="4" l="1"/>
  <c r="K79" i="4" l="1"/>
  <c r="K80" i="4" l="1"/>
  <c r="K81" i="4" l="1"/>
  <c r="K82" i="4" l="1"/>
  <c r="K83" i="4" l="1"/>
  <c r="K84" i="4" l="1"/>
  <c r="K85" i="4" l="1"/>
  <c r="K86" i="4" l="1"/>
  <c r="K87" i="4" l="1"/>
  <c r="K88" i="4" l="1"/>
  <c r="K89" i="4" l="1"/>
  <c r="K90" i="4" l="1"/>
  <c r="K91" i="4" l="1"/>
  <c r="G2" i="3"/>
  <c r="I2" i="3"/>
  <c r="D2" i="3"/>
  <c r="C2" i="3"/>
  <c r="F2" i="3"/>
  <c r="B2" i="3"/>
  <c r="H2" i="3"/>
  <c r="E2" i="3"/>
  <c r="J2" i="3"/>
</calcChain>
</file>

<file path=xl/sharedStrings.xml><?xml version="1.0" encoding="utf-8"?>
<sst xmlns="http://schemas.openxmlformats.org/spreadsheetml/2006/main" count="5466" uniqueCount="267">
  <si>
    <t>test_id</t>
  </si>
  <si>
    <t>genus_tags</t>
  </si>
  <si>
    <t>genus_hypo_depth</t>
  </si>
  <si>
    <t>genus_hyper_hypo_depth</t>
  </si>
  <si>
    <t>lesk_on_genus</t>
  </si>
  <si>
    <t>definition_similarity</t>
  </si>
  <si>
    <t>examples_similarity</t>
  </si>
  <si>
    <t>lemmas_similarity</t>
  </si>
  <si>
    <t>score_type</t>
  </si>
  <si>
    <t>lesk_only_n</t>
  </si>
  <si>
    <t>test_01</t>
  </si>
  <si>
    <t>json_string</t>
  </si>
  <si>
    <t>patience.n.01</t>
  </si>
  <si>
    <t>greedy.s.03</t>
  </si>
  <si>
    <t>politics.n.05</t>
  </si>
  <si>
    <t>food.n.01</t>
  </si>
  <si>
    <t>radiator.n.03</t>
  </si>
  <si>
    <t>vehicle.n.03</t>
  </si>
  <si>
    <t>screw.n.02</t>
  </si>
  <si>
    <t>department_of_justice.n.01</t>
  </si>
  <si>
    <t>concept.n.01, concept.n.01</t>
  </si>
  <si>
    <t>abstraction.n.01, rule.n.01</t>
  </si>
  <si>
    <t>see.v.05</t>
  </si>
  <si>
    <t>subsume.v.02</t>
  </si>
  <si>
    <t>ability.n.01</t>
  </si>
  <si>
    <t>penetration.n.04</t>
  </si>
  <si>
    <t>quality.n.01</t>
  </si>
  <si>
    <t>desire.n.02</t>
  </si>
  <si>
    <t>greed.n.01</t>
  </si>
  <si>
    <t>None</t>
  </si>
  <si>
    <t>tendency.n.03</t>
  </si>
  <si>
    <t>area.n.01</t>
  </si>
  <si>
    <t>section.n.03</t>
  </si>
  <si>
    <t>region.n.03</t>
  </si>
  <si>
    <t>animation.n.01</t>
  </si>
  <si>
    <t>eternal_life.n.01</t>
  </si>
  <si>
    <t>being.n.01, being.n.01</t>
  </si>
  <si>
    <t>animation.n.01, eternal_life.n.01</t>
  </si>
  <si>
    <t>heating_system.n.01</t>
  </si>
  <si>
    <t>central_heating.n.01</t>
  </si>
  <si>
    <t>supply.v.01, supply.v.01</t>
  </si>
  <si>
    <t>heat.v.02, water.v.02</t>
  </si>
  <si>
    <t>transportation.n.02</t>
  </si>
  <si>
    <t>airlift.n.01</t>
  </si>
  <si>
    <t>artifact.n.01</t>
  </si>
  <si>
    <t>landing.n.02</t>
  </si>
  <si>
    <t>alloy.n.01</t>
  </si>
  <si>
    <t>solder.n.01</t>
  </si>
  <si>
    <t>mixture.n.01</t>
  </si>
  <si>
    <t>abstraction.n.01</t>
  </si>
  <si>
    <t>concept.n.01</t>
  </si>
  <si>
    <t>ability.n.01, ability.n.02</t>
  </si>
  <si>
    <t>penetration.n.04, capacity.n.08</t>
  </si>
  <si>
    <t>time_period.n.01</t>
  </si>
  <si>
    <t>duration.n.01</t>
  </si>
  <si>
    <t>administrative_district.n.01</t>
  </si>
  <si>
    <t>kingdom.n.02</t>
  </si>
  <si>
    <t>being.n.01</t>
  </si>
  <si>
    <t>heat.v.02, accouter.v.01</t>
  </si>
  <si>
    <t>right.n.01</t>
  </si>
  <si>
    <t>legal_right.n.01</t>
  </si>
  <si>
    <t>change.v.01</t>
  </si>
  <si>
    <t>liberalize.v.01</t>
  </si>
  <si>
    <t>permit.v.01</t>
  </si>
  <si>
    <t>stand_for.v.04</t>
  </si>
  <si>
    <t>sustain.v.04</t>
  </si>
  <si>
    <t>reseed.v.02</t>
  </si>
  <si>
    <t>have.v.01, have.v.01</t>
  </si>
  <si>
    <t>harbor.v.03, reseed.v.02</t>
  </si>
  <si>
    <t>load.v.02</t>
  </si>
  <si>
    <t>change.n.03</t>
  </si>
  <si>
    <t>shift.n.05</t>
  </si>
  <si>
    <t>tabulate.v.02</t>
  </si>
  <si>
    <t>digest.v.03</t>
  </si>
  <si>
    <t>get.v.01</t>
  </si>
  <si>
    <t>receive.v.01</t>
  </si>
  <si>
    <t>social_control.n.01</t>
  </si>
  <si>
    <t>bossism.n.01</t>
  </si>
  <si>
    <t>consume.v.02, consume.v.02</t>
  </si>
  <si>
    <t>cannibalize.v.01, fill_up.v.04</t>
  </si>
  <si>
    <t>move.v.02</t>
  </si>
  <si>
    <t>transfer.v.02</t>
  </si>
  <si>
    <t>desire.v.01</t>
  </si>
  <si>
    <t>itch.v.04</t>
  </si>
  <si>
    <t>wealth.n.04</t>
  </si>
  <si>
    <t>money.n.02</t>
  </si>
  <si>
    <t>state.n.02, government.n.01</t>
  </si>
  <si>
    <t>relationship.n.03, authoritarian_state.n.01</t>
  </si>
  <si>
    <t>attribute.n.02, polity.n.02</t>
  </si>
  <si>
    <t>water.n.06</t>
  </si>
  <si>
    <t>heat.n.01</t>
  </si>
  <si>
    <t>latent_heat.n.01</t>
  </si>
  <si>
    <t>energy.n.01</t>
  </si>
  <si>
    <t>transportation_system.n.01, transportation_system.n.01</t>
  </si>
  <si>
    <t>air_transportation_system.n.01, highway_system.n.01</t>
  </si>
  <si>
    <t>facility.n.01, facility.n.01</t>
  </si>
  <si>
    <t>metallic_element.n.01</t>
  </si>
  <si>
    <t>titanium.n.01</t>
  </si>
  <si>
    <t>chemical_element.n.01</t>
  </si>
  <si>
    <t>idea.n.01</t>
  </si>
  <si>
    <t>generalization.n.02</t>
  </si>
  <si>
    <t>desire.n.03</t>
  </si>
  <si>
    <t>materialism.n.01</t>
  </si>
  <si>
    <t>wealth.n.04, arousal.n.02</t>
  </si>
  <si>
    <t>money.n.02, materialism.n.01</t>
  </si>
  <si>
    <t>have.v.01</t>
  </si>
  <si>
    <t>harbor.v.03</t>
  </si>
  <si>
    <t>teleport.v.01</t>
  </si>
  <si>
    <t>consume.v.02</t>
  </si>
  <si>
    <t>cannibalize.v.01</t>
  </si>
  <si>
    <t>heat.v.01</t>
  </si>
  <si>
    <t>move.v.03</t>
  </si>
  <si>
    <t>hop.v.02</t>
  </si>
  <si>
    <t>be.v.01</t>
  </si>
  <si>
    <t>accept.v.08</t>
  </si>
  <si>
    <t>quality.n.01, quality.n.01</t>
  </si>
  <si>
    <t>counterfactuality.n.01, disagreeableness.n.01</t>
  </si>
  <si>
    <t>ambition.v.01</t>
  </si>
  <si>
    <t>keep.v.01</t>
  </si>
  <si>
    <t>distance.v.01</t>
  </si>
  <si>
    <t>arousal.n.02</t>
  </si>
  <si>
    <t>target</t>
  </si>
  <si>
    <t>genus_met_a</t>
  </si>
  <si>
    <t>hypo_met_a</t>
  </si>
  <si>
    <t>hype_met_b</t>
  </si>
  <si>
    <t>hypo_met_b</t>
  </si>
  <si>
    <t>score_met_a</t>
  </si>
  <si>
    <t>score_met_b</t>
  </si>
  <si>
    <t>NN</t>
  </si>
  <si>
    <t>False</t>
  </si>
  <si>
    <t>True</t>
  </si>
  <si>
    <t>wup_similarity</t>
  </si>
  <si>
    <t>test_02</t>
  </si>
  <si>
    <t>NN,JJ</t>
  </si>
  <si>
    <t>test_03</t>
  </si>
  <si>
    <t>NN,VB</t>
  </si>
  <si>
    <t>test_04</t>
  </si>
  <si>
    <t>NN,VB,VBD,VBG,VBN,VBP,VBZ</t>
  </si>
  <si>
    <t>test_05</t>
  </si>
  <si>
    <t>NN,RB</t>
  </si>
  <si>
    <t>test_06</t>
  </si>
  <si>
    <t>NN,JJ,VB,VBD,VBG,VBN,VBP,VBZ</t>
  </si>
  <si>
    <t>test_07</t>
  </si>
  <si>
    <t>test_08</t>
  </si>
  <si>
    <t>test_09</t>
  </si>
  <si>
    <t>test_10</t>
  </si>
  <si>
    <t>test_11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</si>
  <si>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</si>
  <si>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</si>
  <si>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</si>
  <si>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</si>
  <si>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</si>
  <si>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</si>
  <si>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</si>
  <si>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</si>
  <si>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</si>
  <si>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</si>
  <si>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</si>
  <si>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</si>
  <si>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</si>
  <si>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</si>
  <si>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</si>
  <si>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</si>
  <si>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</si>
  <si>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</si>
  <si>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</si>
  <si>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</si>
  <si>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</si>
  <si>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</si>
  <si>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</si>
  <si>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</si>
  <si>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test_36</t>
  </si>
  <si>
    <t>test_37</t>
  </si>
  <si>
    <t>test_38</t>
  </si>
  <si>
    <t>test_39</t>
  </si>
  <si>
    <t>test_40</t>
  </si>
  <si>
    <t>test_41</t>
  </si>
  <si>
    <t>test_42</t>
  </si>
  <si>
    <t>test_43</t>
  </si>
  <si>
    <t>test_44</t>
  </si>
  <si>
    <t>test_45</t>
  </si>
  <si>
    <t>test_46</t>
  </si>
  <si>
    <t>test_47</t>
  </si>
  <si>
    <t>test_48</t>
  </si>
  <si>
    <t>test_49</t>
  </si>
  <si>
    <t>test_50</t>
  </si>
  <si>
    <t>test_51</t>
  </si>
  <si>
    <t>test_52</t>
  </si>
  <si>
    <t>test_53</t>
  </si>
  <si>
    <t>test_54</t>
  </si>
  <si>
    <t>TARGET</t>
  </si>
  <si>
    <t>Genus</t>
  </si>
  <si>
    <t>Hyponym</t>
  </si>
  <si>
    <t>Score</t>
  </si>
  <si>
    <t>Hyperym</t>
  </si>
  <si>
    <t>MET_B: genuses-&gt; hypernyms -&gt; hyponym</t>
  </si>
  <si>
    <t>MET_A: genuses-&gt;hyponym</t>
  </si>
  <si>
    <t>TEST_01</t>
  </si>
  <si>
    <t>PARAMETERS:</t>
  </si>
  <si>
    <t>WITHOUT LESK</t>
  </si>
  <si>
    <t>WITH LESK</t>
  </si>
  <si>
    <t>WITH LESK getting only noun from disambiguation</t>
  </si>
  <si>
    <t>TEST_19</t>
  </si>
  <si>
    <t>TEST_37</t>
  </si>
  <si>
    <t>,</t>
  </si>
  <si>
    <t>ability.n.02</t>
  </si>
  <si>
    <t>capacity.n.08</t>
  </si>
  <si>
    <t>asperity.n.01</t>
  </si>
  <si>
    <t>money.n.01</t>
  </si>
  <si>
    <t>boodle.n.01</t>
  </si>
  <si>
    <t>medium_of_exchange.n.01</t>
  </si>
  <si>
    <t>country.n.02</t>
  </si>
  <si>
    <t>fatherland.n.01</t>
  </si>
  <si>
    <t>gas_heat.n.01</t>
  </si>
  <si>
    <t>supply.v.01</t>
  </si>
  <si>
    <t>equip.v.01</t>
  </si>
  <si>
    <t>physical_entity.n.01</t>
  </si>
  <si>
    <t>person.n.01</t>
  </si>
  <si>
    <t>seaborgium.n.01</t>
  </si>
  <si>
    <t>TEST_55</t>
  </si>
  <si>
    <t>test_55</t>
  </si>
  <si>
    <t>test_56</t>
  </si>
  <si>
    <t>test_57</t>
  </si>
  <si>
    <t>test_58</t>
  </si>
  <si>
    <t>test_59</t>
  </si>
  <si>
    <t>test_60</t>
  </si>
  <si>
    <t>test_61</t>
  </si>
  <si>
    <t>test_62</t>
  </si>
  <si>
    <t>test_63</t>
  </si>
  <si>
    <t>test_64</t>
  </si>
  <si>
    <t>test_65</t>
  </si>
  <si>
    <t>test_66</t>
  </si>
  <si>
    <t>test_67</t>
  </si>
  <si>
    <t>test_68</t>
  </si>
  <si>
    <t>test_69</t>
  </si>
  <si>
    <t>test_70</t>
  </si>
  <si>
    <t>test_71</t>
  </si>
  <si>
    <t>test_72</t>
  </si>
  <si>
    <t>test_73</t>
  </si>
  <si>
    <t>test_74</t>
  </si>
  <si>
    <t>test_75</t>
  </si>
  <si>
    <t>test_76</t>
  </si>
  <si>
    <t>test_77</t>
  </si>
  <si>
    <t>test_78</t>
  </si>
  <si>
    <t>test_79</t>
  </si>
  <si>
    <t>test_80</t>
  </si>
  <si>
    <t>test_81</t>
  </si>
  <si>
    <t>test_82</t>
  </si>
  <si>
    <t>test_83</t>
  </si>
  <si>
    <t>test_84</t>
  </si>
  <si>
    <t>test_85</t>
  </si>
  <si>
    <t>test_86</t>
  </si>
  <si>
    <t>test_87</t>
  </si>
  <si>
    <t>test_88</t>
  </si>
  <si>
    <t>test_89</t>
  </si>
  <si>
    <t>test_90</t>
  </si>
  <si>
    <t>TEST_73</t>
  </si>
  <si>
    <t>met_a</t>
  </si>
  <si>
    <t>met_b</t>
  </si>
  <si>
    <t>BEST TEST</t>
  </si>
  <si>
    <t>definition</t>
  </si>
  <si>
    <t>examples</t>
  </si>
  <si>
    <t>lemmas</t>
  </si>
  <si>
    <t>met_a_depth</t>
  </si>
  <si>
    <t>met_b_depth</t>
  </si>
  <si>
    <t>lesk</t>
  </si>
  <si>
    <t>lesk_on_n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</si>
</sst>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4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5" borderId="12" xfId="0" applyFill="1" applyBorder="1" applyAlignment="1">
      <alignment horizontal="center"/>
    </xf>
    <xf numFmtId="0" fontId="1" fillId="10" borderId="11" xfId="0" applyFont="1" applyFill="1" applyBorder="1"/>
    <xf numFmtId="0" fontId="2" fillId="10" borderId="11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11" borderId="0" xfId="0" applyFill="1" applyAlignment="1">
      <alignment horizontal="center" vertical="center"/>
    </xf>
    <xf numFmtId="0" fontId="1" fillId="10" borderId="13" xfId="0" applyFont="1" applyFill="1" applyBorder="1"/>
    <xf numFmtId="0" fontId="1" fillId="10" borderId="14" xfId="0" applyFont="1" applyFill="1" applyBorder="1" applyAlignment="1">
      <alignment horizontal="center"/>
    </xf>
    <xf numFmtId="0" fontId="1" fillId="0" borderId="0" xfId="0" applyFont="1"/>
    <xf numFmtId="0" fontId="0" fillId="12" borderId="0" xfId="0" applyFill="1"/>
    <xf numFmtId="0" fontId="0" fillId="7" borderId="3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/>
    </xf>
    <xf numFmtId="0" fontId="0" fillId="7" borderId="9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0" fontId="0" fillId="7" borderId="3" xfId="0" applyFill="1" applyBorder="1" applyAlignment="1">
      <alignment horizontal="right" vertical="center"/>
    </xf>
    <xf numFmtId="0" fontId="0" fillId="7" borderId="6" xfId="0" applyFill="1" applyBorder="1" applyAlignment="1">
      <alignment horizontal="right" vertical="center"/>
    </xf>
    <xf numFmtId="0" fontId="0" fillId="7" borderId="9" xfId="0" applyFill="1" applyBorder="1" applyAlignment="1">
      <alignment horizontal="right" vertical="center"/>
    </xf>
    <xf numFmtId="0" fontId="0" fillId="4" borderId="4" xfId="0" applyFill="1" applyBorder="1" applyAlignment="1">
      <alignment horizontal="right" vertical="center"/>
    </xf>
    <xf numFmtId="0" fontId="0" fillId="4" borderId="7" xfId="0" applyFill="1" applyBorder="1" applyAlignment="1">
      <alignment horizontal="right" vertical="center"/>
    </xf>
    <xf numFmtId="0" fontId="0" fillId="4" borderId="10" xfId="0" applyFill="1" applyBorder="1" applyAlignment="1">
      <alignment horizontal="right" vertical="center"/>
    </xf>
    <xf numFmtId="164" fontId="0" fillId="0" borderId="0" xfId="0" applyNumberFormat="1" applyAlignment="1">
      <alignment vertical="top" wrapText="1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top" shrinkToFit="1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1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e" xfId="0" builtinId="0"/>
  </cellStyles>
  <dxfs count="11">
    <dxf>
      <numFmt numFmtId="164" formatCode="0.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79867-5B53-9F4C-A944-828065649D3B}" name="Tabella1" displayName="Tabella1" ref="A1:Q298" totalsRowShown="0" headerRowDxfId="10">
  <autoFilter ref="A1:Q298" xr:uid="{B2D09A11-1C0B-7342-9B91-50019EB9845F}"/>
  <tableColumns count="17">
    <tableColumn id="1" xr3:uid="{4B140DCF-39F1-C044-A650-BE5C83BF9536}" name="test_id"/>
    <tableColumn id="2" xr3:uid="{6B160DD1-DD54-184B-90DA-47EBF897FCE3}" name="genus_tags" dataDxfId="9">
      <calculatedColumnFormula>VLOOKUP(Tabella1[[#This Row],[test_id]],experiments_specs!A:J,2,FALSE)</calculatedColumnFormula>
    </tableColumn>
    <tableColumn id="3" xr3:uid="{B26E9C8A-9F7E-324E-8EAC-7077531F3492}" name="genus_hypo_depth" dataDxfId="8">
      <calculatedColumnFormula>VLOOKUP(Tabella1[[#This Row],[test_id]],experiments_specs!A:J,3,FALSE)</calculatedColumnFormula>
    </tableColumn>
    <tableColumn id="4" xr3:uid="{5EA56011-EE6D-5D48-B913-8B4E542C917D}" name="genus_hyper_hypo_depth" dataDxfId="7">
      <calculatedColumnFormula>VLOOKUP(Tabella1[[#This Row],[test_id]],experiments_specs!A:J,4,FALSE)</calculatedColumnFormula>
    </tableColumn>
    <tableColumn id="5" xr3:uid="{3A70B891-8CE3-7B43-8F5D-6843A59D4944}" name="lesk_on_genus" dataDxfId="6">
      <calculatedColumnFormula>VLOOKUP(Tabella1[[#This Row],[test_id]],experiments_specs!A:J,5,FALSE)</calculatedColumnFormula>
    </tableColumn>
    <tableColumn id="6" xr3:uid="{F62A712B-565E-8844-A4A1-A9AD00585391}" name="definition_similarity" dataDxfId="5">
      <calculatedColumnFormula>VLOOKUP(Tabella1[[#This Row],[test_id]],experiments_specs!A:J,6,FALSE)</calculatedColumnFormula>
    </tableColumn>
    <tableColumn id="7" xr3:uid="{77D743F9-5DD6-9C47-B75D-323891FC6613}" name="examples_similarity" dataDxfId="4">
      <calculatedColumnFormula>VLOOKUP(Tabella1[[#This Row],[test_id]],experiments_specs!A:J,7,FALSE)</calculatedColumnFormula>
    </tableColumn>
    <tableColumn id="8" xr3:uid="{AF6677BC-F922-E14A-9B13-F62D5A385D58}" name="lemmas_similarity" dataDxfId="3">
      <calculatedColumnFormula>VLOOKUP(Tabella1[[#This Row],[test_id]],experiments_specs!A:J,8,FALSE)</calculatedColumnFormula>
    </tableColumn>
    <tableColumn id="9" xr3:uid="{0B594DC0-56E0-BB49-9617-CFAD50EFE3C6}" name="score_type" dataDxfId="2">
      <calculatedColumnFormula>VLOOKUP(Tabella1[[#This Row],[test_id]],experiments_specs!A:J,9,FALSE)</calculatedColumnFormula>
    </tableColumn>
    <tableColumn id="10" xr3:uid="{4BACF42C-33B4-9A4A-B277-A666E38B9365}" name="lesk_only_n" dataDxfId="1">
      <calculatedColumnFormula>VLOOKUP(Tabella1[[#This Row],[test_id]],experiments_specs!A:J,10,FALSE)</calculatedColumnFormula>
    </tableColumn>
    <tableColumn id="11" xr3:uid="{B375A257-58BE-A544-82CF-089A40DC6A50}" name="target"/>
    <tableColumn id="12" xr3:uid="{5EE819B0-448D-6140-8018-F2E4708692A4}" name="genus_met_a"/>
    <tableColumn id="13" xr3:uid="{E22B3B13-13F0-794E-B5BB-097001FE788B}" name="hypo_met_a"/>
    <tableColumn id="14" xr3:uid="{7F05D52A-ACB7-DE4F-9401-5CF9D482290D}" name="score_met_a"/>
    <tableColumn id="15" xr3:uid="{FBD10BBC-F6B9-A44C-9031-992921C4BCF6}" name="hype_met_b"/>
    <tableColumn id="16" xr3:uid="{6C79431A-E027-F340-9F42-C25DE38F3640}" name="hypo_met_b"/>
    <tableColumn id="17" xr3:uid="{07719745-F828-8E49-A057-8832BB365244}" name="score_met_b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94C0-0C14-3846-ACDB-64C9B1276165}">
  <sheetPr codeName="Foglio1"/>
  <dimension ref="B2:AS70"/>
  <sheetViews>
    <sheetView topLeftCell="AA37" workbookViewId="0">
      <selection activeCell="AK61" sqref="AK61:AQ68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9" width="25.83203125" customWidth="1"/>
    <col min="10" max="10" width="12.1640625" bestFit="1" customWidth="1"/>
    <col min="11" max="12" width="25.83203125" customWidth="1"/>
    <col min="13" max="13" width="12.1640625" bestFit="1" customWidth="1"/>
    <col min="14" max="18" width="3.1640625" customWidth="1"/>
    <col min="19" max="19" width="22.33203125" bestFit="1" customWidth="1"/>
    <col min="20" max="20" width="29" bestFit="1" customWidth="1"/>
    <col min="21" max="21" width="1.83203125" customWidth="1"/>
    <col min="22" max="22" width="24.1640625" bestFit="1" customWidth="1"/>
    <col min="23" max="24" width="25.83203125" customWidth="1"/>
    <col min="25" max="25" width="12.1640625" bestFit="1" customWidth="1"/>
    <col min="26" max="27" width="25.83203125" customWidth="1"/>
    <col min="28" max="28" width="12.1640625" bestFit="1" customWidth="1"/>
    <col min="29" max="33" width="3.1640625" customWidth="1"/>
    <col min="34" max="34" width="22.33203125" bestFit="1" customWidth="1"/>
    <col min="35" max="35" width="29" bestFit="1" customWidth="1"/>
    <col min="36" max="36" width="1.83203125" customWidth="1"/>
    <col min="37" max="37" width="24.1640625" bestFit="1" customWidth="1"/>
    <col min="38" max="39" width="25.83203125" customWidth="1"/>
    <col min="40" max="40" width="12.1640625" bestFit="1" customWidth="1"/>
    <col min="41" max="42" width="25.83203125" customWidth="1"/>
    <col min="43" max="43" width="12.1640625" bestFit="1" customWidth="1"/>
    <col min="44" max="45" width="3.1640625" customWidth="1"/>
  </cols>
  <sheetData>
    <row r="2" spans="2:45" ht="19" x14ac:dyDescent="0.25">
      <c r="B2" s="17"/>
      <c r="C2" s="17"/>
      <c r="D2" s="38" t="s">
        <v>199</v>
      </c>
      <c r="E2" s="38"/>
      <c r="F2" s="38"/>
      <c r="G2" s="38"/>
      <c r="H2" s="38"/>
      <c r="I2" s="38"/>
      <c r="J2" s="38"/>
      <c r="K2" s="38"/>
      <c r="L2" s="38"/>
      <c r="M2" s="38"/>
      <c r="N2" s="17"/>
      <c r="O2" s="17"/>
      <c r="Q2" s="17"/>
      <c r="R2" s="17"/>
      <c r="S2" s="38" t="s">
        <v>200</v>
      </c>
      <c r="T2" s="38"/>
      <c r="U2" s="38"/>
      <c r="V2" s="38"/>
      <c r="W2" s="38"/>
      <c r="X2" s="38"/>
      <c r="Y2" s="38"/>
      <c r="Z2" s="38"/>
      <c r="AA2" s="38"/>
      <c r="AB2" s="38"/>
      <c r="AC2" s="17"/>
      <c r="AD2" s="17"/>
      <c r="AF2" s="17"/>
      <c r="AG2" s="17"/>
      <c r="AH2" s="38" t="s">
        <v>201</v>
      </c>
      <c r="AI2" s="38"/>
      <c r="AJ2" s="38"/>
      <c r="AK2" s="38"/>
      <c r="AL2" s="38"/>
      <c r="AM2" s="38"/>
      <c r="AN2" s="38"/>
      <c r="AO2" s="38"/>
      <c r="AP2" s="38"/>
      <c r="AQ2" s="38"/>
      <c r="AR2" s="17"/>
      <c r="AS2" s="17"/>
    </row>
    <row r="3" spans="2:45" ht="17" thickBot="1" x14ac:dyDescent="0.25">
      <c r="B3" s="17"/>
      <c r="O3" s="17"/>
      <c r="Q3" s="17"/>
      <c r="AD3" s="17"/>
      <c r="AF3" s="17"/>
      <c r="AS3" s="17"/>
    </row>
    <row r="4" spans="2:45" ht="20" thickBot="1" x14ac:dyDescent="0.3">
      <c r="B4" s="17"/>
      <c r="D4" s="14" t="s">
        <v>198</v>
      </c>
      <c r="E4" s="15"/>
      <c r="F4" s="10"/>
      <c r="G4" s="11" t="s">
        <v>197</v>
      </c>
      <c r="H4" s="36" t="s">
        <v>196</v>
      </c>
      <c r="I4" s="36"/>
      <c r="J4" s="36"/>
      <c r="K4" s="37" t="s">
        <v>195</v>
      </c>
      <c r="L4" s="37"/>
      <c r="M4" s="37"/>
      <c r="N4" s="3"/>
      <c r="O4" s="17"/>
      <c r="Q4" s="17"/>
      <c r="S4" s="14" t="s">
        <v>198</v>
      </c>
      <c r="T4" s="15"/>
      <c r="U4" s="10"/>
      <c r="V4" s="11" t="str">
        <f>"TEST_"&amp;TEXT(RIGHT(G59,2)+1, "00")</f>
        <v>TEST_07</v>
      </c>
      <c r="W4" s="36" t="s">
        <v>196</v>
      </c>
      <c r="X4" s="36"/>
      <c r="Y4" s="36"/>
      <c r="Z4" s="37" t="s">
        <v>195</v>
      </c>
      <c r="AA4" s="37"/>
      <c r="AB4" s="37"/>
      <c r="AC4" s="3"/>
      <c r="AD4" s="17"/>
      <c r="AF4" s="17"/>
      <c r="AH4" s="14" t="s">
        <v>198</v>
      </c>
      <c r="AI4" s="15"/>
      <c r="AJ4" s="10"/>
      <c r="AK4" s="11" t="str">
        <f>"TEST_"&amp;TEXT(RIGHT(V59,2)+1, "00")</f>
        <v>TEST_13</v>
      </c>
      <c r="AL4" s="36" t="s">
        <v>196</v>
      </c>
      <c r="AM4" s="36"/>
      <c r="AN4" s="36"/>
      <c r="AO4" s="37" t="s">
        <v>195</v>
      </c>
      <c r="AP4" s="37"/>
      <c r="AQ4" s="37"/>
      <c r="AR4" s="3"/>
      <c r="AS4" s="17"/>
    </row>
    <row r="5" spans="2:45" x14ac:dyDescent="0.2">
      <c r="B5" s="17"/>
      <c r="D5" s="12" t="s">
        <v>1</v>
      </c>
      <c r="E5" s="13" t="str">
        <f>VLOOKUP(LOWER(G4),experiments_specs!$A:$J,2,FALSE)</f>
        <v>NN</v>
      </c>
      <c r="F5" s="16" t="str">
        <f>"{"&amp;LOWER(G4)&amp;".csv}"</f>
        <v>{test_01.csv}</v>
      </c>
      <c r="G5" s="9" t="s">
        <v>190</v>
      </c>
      <c r="H5" s="4" t="s">
        <v>191</v>
      </c>
      <c r="I5" s="4" t="s">
        <v>192</v>
      </c>
      <c r="J5" s="4" t="s">
        <v>193</v>
      </c>
      <c r="K5" s="5" t="s">
        <v>194</v>
      </c>
      <c r="L5" s="5" t="s">
        <v>192</v>
      </c>
      <c r="M5" s="5" t="s">
        <v>193</v>
      </c>
      <c r="O5" s="17"/>
      <c r="Q5" s="17"/>
      <c r="S5" s="12" t="s">
        <v>1</v>
      </c>
      <c r="T5" s="13" t="str">
        <f>VLOOKUP(LOWER(V4),experiments_specs!$A:$J,2,FALSE)</f>
        <v>NN</v>
      </c>
      <c r="U5" s="16" t="str">
        <f>"{"&amp;LOWER(V4)&amp;".csv}"</f>
        <v>{test_07.csv}</v>
      </c>
      <c r="V5" s="9" t="s">
        <v>190</v>
      </c>
      <c r="W5" s="4" t="s">
        <v>191</v>
      </c>
      <c r="X5" s="4" t="s">
        <v>192</v>
      </c>
      <c r="Y5" s="4" t="s">
        <v>193</v>
      </c>
      <c r="Z5" s="5" t="s">
        <v>194</v>
      </c>
      <c r="AA5" s="5" t="s">
        <v>192</v>
      </c>
      <c r="AB5" s="5" t="s">
        <v>193</v>
      </c>
      <c r="AD5" s="17"/>
      <c r="AF5" s="17"/>
      <c r="AH5" s="12" t="s">
        <v>1</v>
      </c>
      <c r="AI5" s="13" t="str">
        <f>VLOOKUP(LOWER(AK4),experiments_specs!$A:$J,2,FALSE)</f>
        <v>NN</v>
      </c>
      <c r="AJ5" s="16" t="str">
        <f>"{"&amp;LOWER(AK4)&amp;".csv}"</f>
        <v>{test_13.csv}</v>
      </c>
      <c r="AK5" s="9" t="s">
        <v>190</v>
      </c>
      <c r="AL5" s="4" t="s">
        <v>191</v>
      </c>
      <c r="AM5" s="4" t="s">
        <v>192</v>
      </c>
      <c r="AN5" s="4" t="s">
        <v>193</v>
      </c>
      <c r="AO5" s="5" t="s">
        <v>194</v>
      </c>
      <c r="AP5" s="5" t="s">
        <v>192</v>
      </c>
      <c r="AQ5" s="5" t="s">
        <v>193</v>
      </c>
      <c r="AS5" s="17"/>
    </row>
    <row r="6" spans="2:45" x14ac:dyDescent="0.2">
      <c r="B6" s="17"/>
      <c r="D6" s="12" t="s">
        <v>2</v>
      </c>
      <c r="E6" s="13">
        <f>VLOOKUP(LOWER(G4),experiments_specs!$A:$J,3,FALSE)</f>
        <v>1</v>
      </c>
      <c r="F6" s="16" t="s">
        <v>10</v>
      </c>
      <c r="G6" s="6"/>
      <c r="H6" s="18"/>
      <c r="I6" s="18"/>
      <c r="J6" s="26"/>
      <c r="K6" s="22"/>
      <c r="L6" s="22"/>
      <c r="M6" s="29"/>
      <c r="O6" s="17"/>
      <c r="Q6" s="17"/>
      <c r="S6" s="12" t="s">
        <v>2</v>
      </c>
      <c r="T6" s="13">
        <f>VLOOKUP(LOWER(V4),experiments_specs!$A:$J,3,FALSE)</f>
        <v>1</v>
      </c>
      <c r="U6" s="16" t="s">
        <v>142</v>
      </c>
      <c r="V6" s="6" t="s">
        <v>19</v>
      </c>
      <c r="W6" s="18"/>
      <c r="X6" s="18"/>
      <c r="Y6" s="26"/>
      <c r="Z6" s="22"/>
      <c r="AA6" s="22"/>
      <c r="AB6" s="29"/>
      <c r="AD6" s="17"/>
      <c r="AF6" s="17"/>
      <c r="AH6" s="12" t="s">
        <v>2</v>
      </c>
      <c r="AI6" s="13">
        <f>VLOOKUP(LOWER(AK4),experiments_specs!$A:$J,3,FALSE)</f>
        <v>1</v>
      </c>
      <c r="AJ6" s="16" t="s">
        <v>148</v>
      </c>
      <c r="AK6" s="6"/>
      <c r="AL6" s="18"/>
      <c r="AM6" s="18"/>
      <c r="AN6" s="26"/>
      <c r="AO6" s="22"/>
      <c r="AP6" s="22"/>
      <c r="AQ6" s="29"/>
      <c r="AS6" s="17"/>
    </row>
    <row r="7" spans="2:45" x14ac:dyDescent="0.2">
      <c r="B7" s="17"/>
      <c r="D7" s="12" t="s">
        <v>3</v>
      </c>
      <c r="E7" s="13">
        <f>VLOOKUP(LOWER(G4),experiments_specs!$A:$J,4,FALSE)</f>
        <v>2</v>
      </c>
      <c r="F7" s="16" t="s">
        <v>10</v>
      </c>
      <c r="G7" s="7"/>
      <c r="H7" s="20"/>
      <c r="I7" s="20"/>
      <c r="J7" s="27"/>
      <c r="K7" s="23"/>
      <c r="L7" s="23"/>
      <c r="M7" s="30"/>
      <c r="O7" s="17"/>
      <c r="Q7" s="17"/>
      <c r="S7" s="12" t="s">
        <v>3</v>
      </c>
      <c r="T7" s="13">
        <f>VLOOKUP(LOWER(V4),experiments_specs!$A:$J,4,FALSE)</f>
        <v>2</v>
      </c>
      <c r="U7" s="16" t="s">
        <v>142</v>
      </c>
      <c r="V7" s="7" t="s">
        <v>12</v>
      </c>
      <c r="W7" s="20"/>
      <c r="X7" s="20"/>
      <c r="Y7" s="27"/>
      <c r="Z7" s="23"/>
      <c r="AA7" s="23"/>
      <c r="AB7" s="30"/>
      <c r="AD7" s="17"/>
      <c r="AF7" s="17"/>
      <c r="AH7" s="12" t="s">
        <v>3</v>
      </c>
      <c r="AI7" s="13">
        <f>VLOOKUP(LOWER(AK4),experiments_specs!$A:$J,4,FALSE)</f>
        <v>2</v>
      </c>
      <c r="AJ7" s="16" t="s">
        <v>148</v>
      </c>
      <c r="AK7" s="7"/>
      <c r="AL7" s="20"/>
      <c r="AM7" s="20"/>
      <c r="AN7" s="27"/>
      <c r="AO7" s="23"/>
      <c r="AP7" s="23"/>
      <c r="AQ7" s="30"/>
      <c r="AS7" s="17"/>
    </row>
    <row r="8" spans="2:45" x14ac:dyDescent="0.2">
      <c r="B8" s="17"/>
      <c r="D8" s="12" t="s">
        <v>4</v>
      </c>
      <c r="E8" s="13" t="str">
        <f>VLOOKUP(LOWER(G4),experiments_specs!$A:$J,5,FALSE)</f>
        <v>False</v>
      </c>
      <c r="F8" s="16" t="s">
        <v>10</v>
      </c>
      <c r="G8" s="7"/>
      <c r="H8" s="20"/>
      <c r="I8" s="20"/>
      <c r="J8" s="27"/>
      <c r="K8" s="23"/>
      <c r="L8" s="23"/>
      <c r="M8" s="30"/>
      <c r="O8" s="17"/>
      <c r="Q8" s="17"/>
      <c r="S8" s="12" t="s">
        <v>4</v>
      </c>
      <c r="T8" s="13" t="str">
        <f>VLOOKUP(LOWER(V4),experiments_specs!$A:$J,5,FALSE)</f>
        <v>True</v>
      </c>
      <c r="U8" s="16" t="s">
        <v>142</v>
      </c>
      <c r="V8" s="7" t="s">
        <v>13</v>
      </c>
      <c r="W8" s="20"/>
      <c r="X8" s="20"/>
      <c r="Y8" s="27"/>
      <c r="Z8" s="23"/>
      <c r="AA8" s="23"/>
      <c r="AB8" s="30"/>
      <c r="AD8" s="17"/>
      <c r="AF8" s="17"/>
      <c r="AH8" s="12" t="s">
        <v>4</v>
      </c>
      <c r="AI8" s="13" t="str">
        <f>VLOOKUP(LOWER(AK4),experiments_specs!$A:$J,5,FALSE)</f>
        <v>False</v>
      </c>
      <c r="AJ8" s="16" t="s">
        <v>148</v>
      </c>
      <c r="AK8" s="7"/>
      <c r="AL8" s="20"/>
      <c r="AM8" s="20"/>
      <c r="AN8" s="27"/>
      <c r="AO8" s="23"/>
      <c r="AP8" s="23"/>
      <c r="AQ8" s="30"/>
      <c r="AS8" s="17"/>
    </row>
    <row r="9" spans="2:45" x14ac:dyDescent="0.2">
      <c r="B9" s="17"/>
      <c r="D9" s="12" t="s">
        <v>5</v>
      </c>
      <c r="E9" s="13" t="str">
        <f>VLOOKUP(LOWER(G4),experiments_specs!$A:$J,6,FALSE)</f>
        <v>True</v>
      </c>
      <c r="F9" s="16" t="s">
        <v>10</v>
      </c>
      <c r="G9" s="7"/>
      <c r="H9" s="20"/>
      <c r="I9" s="20"/>
      <c r="J9" s="27"/>
      <c r="K9" s="23"/>
      <c r="L9" s="23"/>
      <c r="M9" s="30"/>
      <c r="O9" s="17"/>
      <c r="Q9" s="17"/>
      <c r="S9" s="12" t="s">
        <v>5</v>
      </c>
      <c r="T9" s="13" t="str">
        <f>VLOOKUP(LOWER(V4),experiments_specs!$A:$J,6,FALSE)</f>
        <v>True</v>
      </c>
      <c r="U9" s="16" t="s">
        <v>142</v>
      </c>
      <c r="V9" s="7" t="s">
        <v>14</v>
      </c>
      <c r="W9" s="20"/>
      <c r="X9" s="20"/>
      <c r="Y9" s="27"/>
      <c r="Z9" s="23"/>
      <c r="AA9" s="23"/>
      <c r="AB9" s="30"/>
      <c r="AD9" s="17"/>
      <c r="AF9" s="17"/>
      <c r="AH9" s="12" t="s">
        <v>5</v>
      </c>
      <c r="AI9" s="13" t="str">
        <f>VLOOKUP(LOWER(AK4),experiments_specs!$A:$J,6,FALSE)</f>
        <v>True</v>
      </c>
      <c r="AJ9" s="16" t="s">
        <v>148</v>
      </c>
      <c r="AK9" s="7"/>
      <c r="AL9" s="20"/>
      <c r="AM9" s="20"/>
      <c r="AN9" s="27"/>
      <c r="AO9" s="23"/>
      <c r="AP9" s="23"/>
      <c r="AQ9" s="30"/>
      <c r="AS9" s="17"/>
    </row>
    <row r="10" spans="2:45" x14ac:dyDescent="0.2">
      <c r="B10" s="17"/>
      <c r="D10" s="12" t="s">
        <v>6</v>
      </c>
      <c r="E10" s="13" t="str">
        <f>VLOOKUP(LOWER(G4),experiments_specs!$A:$J,7,FALSE)</f>
        <v>False</v>
      </c>
      <c r="F10" s="16" t="s">
        <v>10</v>
      </c>
      <c r="G10" s="7"/>
      <c r="H10" s="20"/>
      <c r="I10" s="20"/>
      <c r="J10" s="27"/>
      <c r="K10" s="24"/>
      <c r="L10" s="24"/>
      <c r="M10" s="30"/>
      <c r="O10" s="17"/>
      <c r="Q10" s="17"/>
      <c r="S10" s="12" t="s">
        <v>6</v>
      </c>
      <c r="T10" s="13" t="str">
        <f>VLOOKUP(LOWER(V4),experiments_specs!$A:$J,7,FALSE)</f>
        <v>False</v>
      </c>
      <c r="U10" s="16" t="s">
        <v>142</v>
      </c>
      <c r="V10" s="7" t="s">
        <v>15</v>
      </c>
      <c r="W10" s="20"/>
      <c r="X10" s="20"/>
      <c r="Y10" s="27"/>
      <c r="Z10" s="24"/>
      <c r="AA10" s="24"/>
      <c r="AB10" s="30"/>
      <c r="AD10" s="17"/>
      <c r="AF10" s="17"/>
      <c r="AH10" s="12" t="s">
        <v>6</v>
      </c>
      <c r="AI10" s="13" t="str">
        <f>VLOOKUP(LOWER(AK4),experiments_specs!$A:$J,7,FALSE)</f>
        <v>False</v>
      </c>
      <c r="AJ10" s="16" t="s">
        <v>148</v>
      </c>
      <c r="AK10" s="7"/>
      <c r="AL10" s="20"/>
      <c r="AM10" s="20"/>
      <c r="AN10" s="27"/>
      <c r="AO10" s="24"/>
      <c r="AP10" s="24"/>
      <c r="AQ10" s="30"/>
      <c r="AS10" s="17"/>
    </row>
    <row r="11" spans="2:45" x14ac:dyDescent="0.2">
      <c r="B11" s="17"/>
      <c r="D11" s="12" t="s">
        <v>7</v>
      </c>
      <c r="E11" s="13" t="str">
        <f>VLOOKUP(LOWER(G4),experiments_specs!$A:$J,8,FALSE)</f>
        <v>False</v>
      </c>
      <c r="F11" s="16" t="s">
        <v>10</v>
      </c>
      <c r="G11" s="7"/>
      <c r="H11" s="20"/>
      <c r="I11" s="20"/>
      <c r="J11" s="27"/>
      <c r="K11" s="24"/>
      <c r="L11" s="24"/>
      <c r="M11" s="30"/>
      <c r="O11" s="17"/>
      <c r="Q11" s="17"/>
      <c r="S11" s="12" t="s">
        <v>7</v>
      </c>
      <c r="T11" s="13" t="str">
        <f>VLOOKUP(LOWER(V4),experiments_specs!$A:$J,8,FALSE)</f>
        <v>False</v>
      </c>
      <c r="U11" s="16" t="s">
        <v>142</v>
      </c>
      <c r="V11" s="7" t="s">
        <v>16</v>
      </c>
      <c r="W11" s="20"/>
      <c r="X11" s="20"/>
      <c r="Y11" s="27"/>
      <c r="Z11" s="24"/>
      <c r="AA11" s="24"/>
      <c r="AB11" s="30"/>
      <c r="AD11" s="17"/>
      <c r="AF11" s="17"/>
      <c r="AH11" s="12" t="s">
        <v>7</v>
      </c>
      <c r="AI11" s="13" t="str">
        <f>VLOOKUP(LOWER(AK4),experiments_specs!$A:$J,8,FALSE)</f>
        <v>False</v>
      </c>
      <c r="AJ11" s="16" t="s">
        <v>148</v>
      </c>
      <c r="AK11" s="7"/>
      <c r="AL11" s="20"/>
      <c r="AM11" s="20"/>
      <c r="AN11" s="27"/>
      <c r="AO11" s="24"/>
      <c r="AP11" s="24"/>
      <c r="AQ11" s="30"/>
      <c r="AS11" s="17"/>
    </row>
    <row r="12" spans="2:45" x14ac:dyDescent="0.2">
      <c r="B12" s="17"/>
      <c r="D12" s="12" t="s">
        <v>8</v>
      </c>
      <c r="E12" s="13" t="str">
        <f>VLOOKUP(LOWER(G4),experiments_specs!$A:$J,9,FALSE)</f>
        <v>wup_similarity</v>
      </c>
      <c r="F12" s="16" t="s">
        <v>10</v>
      </c>
      <c r="G12" s="7"/>
      <c r="H12" s="20"/>
      <c r="I12" s="20"/>
      <c r="J12" s="27"/>
      <c r="K12" s="23"/>
      <c r="L12" s="23"/>
      <c r="M12" s="30"/>
      <c r="O12" s="17"/>
      <c r="Q12" s="17"/>
      <c r="S12" s="12" t="s">
        <v>8</v>
      </c>
      <c r="T12" s="13" t="str">
        <f>VLOOKUP(LOWER(V4),experiments_specs!$A:$J,9,FALSE)</f>
        <v>wup_similarity</v>
      </c>
      <c r="U12" s="16" t="s">
        <v>142</v>
      </c>
      <c r="V12" s="7" t="s">
        <v>17</v>
      </c>
      <c r="W12" s="20"/>
      <c r="X12" s="20"/>
      <c r="Y12" s="27"/>
      <c r="Z12" s="23"/>
      <c r="AA12" s="23"/>
      <c r="AB12" s="30"/>
      <c r="AD12" s="17"/>
      <c r="AF12" s="17"/>
      <c r="AH12" s="12" t="s">
        <v>8</v>
      </c>
      <c r="AI12" s="13" t="str">
        <f>VLOOKUP(LOWER(AK4),experiments_specs!$A:$J,9,FALSE)</f>
        <v>wup_similarity</v>
      </c>
      <c r="AJ12" s="16" t="s">
        <v>148</v>
      </c>
      <c r="AK12" s="7"/>
      <c r="AL12" s="20"/>
      <c r="AM12" s="20"/>
      <c r="AN12" s="27"/>
      <c r="AO12" s="23"/>
      <c r="AP12" s="23"/>
      <c r="AQ12" s="30"/>
      <c r="AS12" s="17"/>
    </row>
    <row r="13" spans="2:45" x14ac:dyDescent="0.2">
      <c r="B13" s="17"/>
      <c r="D13" s="12" t="s">
        <v>9</v>
      </c>
      <c r="E13" s="13" t="str">
        <f>VLOOKUP(LOWER(G4),experiments_specs!$A:$J,10,FALSE)</f>
        <v>False</v>
      </c>
      <c r="F13" s="16" t="s">
        <v>10</v>
      </c>
      <c r="G13" s="8"/>
      <c r="H13" s="21"/>
      <c r="I13" s="21"/>
      <c r="J13" s="28"/>
      <c r="K13" s="25"/>
      <c r="L13" s="25"/>
      <c r="M13" s="31"/>
      <c r="O13" s="17"/>
      <c r="Q13" s="17"/>
      <c r="S13" s="12" t="s">
        <v>9</v>
      </c>
      <c r="T13" s="13" t="str">
        <f>VLOOKUP(LOWER(V4),experiments_specs!$A:$J,10,FALSE)</f>
        <v>False</v>
      </c>
      <c r="U13" s="16" t="s">
        <v>142</v>
      </c>
      <c r="V13" s="8" t="s">
        <v>18</v>
      </c>
      <c r="W13" s="21"/>
      <c r="X13" s="21"/>
      <c r="Y13" s="28"/>
      <c r="Z13" s="25"/>
      <c r="AA13" s="25"/>
      <c r="AB13" s="31"/>
      <c r="AD13" s="17"/>
      <c r="AF13" s="17"/>
      <c r="AH13" s="12" t="s">
        <v>9</v>
      </c>
      <c r="AI13" s="13" t="str">
        <f>VLOOKUP(LOWER(AK4),experiments_specs!$A:$J,10,FALSE)</f>
        <v>True</v>
      </c>
      <c r="AJ13" s="16" t="s">
        <v>148</v>
      </c>
      <c r="AK13" s="8"/>
      <c r="AL13" s="21"/>
      <c r="AM13" s="21"/>
      <c r="AN13" s="28"/>
      <c r="AO13" s="25"/>
      <c r="AP13" s="25"/>
      <c r="AQ13" s="31"/>
      <c r="AS13" s="17"/>
    </row>
    <row r="14" spans="2:45" ht="17" thickBot="1" x14ac:dyDescent="0.25">
      <c r="B14" s="17"/>
      <c r="O14" s="17"/>
      <c r="Q14" s="17"/>
      <c r="AD14" s="17"/>
      <c r="AF14" s="17"/>
      <c r="AS14" s="17"/>
    </row>
    <row r="15" spans="2:45" ht="20" thickBot="1" x14ac:dyDescent="0.3">
      <c r="B15" s="17"/>
      <c r="D15" s="14" t="s">
        <v>198</v>
      </c>
      <c r="E15" s="15"/>
      <c r="F15" s="10"/>
      <c r="G15" s="11" t="str">
        <f>"TEST_"&amp;TEXT(RIGHT(G4,2)+1, "00")</f>
        <v>TEST_02</v>
      </c>
      <c r="H15" s="36" t="s">
        <v>196</v>
      </c>
      <c r="I15" s="36"/>
      <c r="J15" s="36"/>
      <c r="K15" s="37" t="s">
        <v>195</v>
      </c>
      <c r="L15" s="37"/>
      <c r="M15" s="37"/>
      <c r="N15" s="3"/>
      <c r="O15" s="17"/>
      <c r="Q15" s="17"/>
      <c r="S15" s="14" t="s">
        <v>198</v>
      </c>
      <c r="T15" s="15"/>
      <c r="U15" s="10"/>
      <c r="V15" s="11" t="str">
        <f>"TEST_"&amp;TEXT(RIGHT(V4,2)+1, "00")</f>
        <v>TEST_08</v>
      </c>
      <c r="W15" s="36" t="s">
        <v>196</v>
      </c>
      <c r="X15" s="36"/>
      <c r="Y15" s="36"/>
      <c r="Z15" s="37" t="s">
        <v>195</v>
      </c>
      <c r="AA15" s="37"/>
      <c r="AB15" s="37"/>
      <c r="AC15" s="3"/>
      <c r="AD15" s="17"/>
      <c r="AF15" s="17"/>
      <c r="AH15" s="14" t="s">
        <v>198</v>
      </c>
      <c r="AI15" s="15"/>
      <c r="AJ15" s="10"/>
      <c r="AK15" s="11" t="str">
        <f>"TEST_"&amp;TEXT(RIGHT(AK4,2)+1, "00")</f>
        <v>TEST_14</v>
      </c>
      <c r="AL15" s="36" t="s">
        <v>196</v>
      </c>
      <c r="AM15" s="36"/>
      <c r="AN15" s="36"/>
      <c r="AO15" s="37" t="s">
        <v>195</v>
      </c>
      <c r="AP15" s="37"/>
      <c r="AQ15" s="37"/>
      <c r="AR15" s="3"/>
      <c r="AS15" s="17"/>
    </row>
    <row r="16" spans="2:45" x14ac:dyDescent="0.2">
      <c r="B16" s="17"/>
      <c r="D16" s="12" t="s">
        <v>1</v>
      </c>
      <c r="E16" s="13" t="str">
        <f>VLOOKUP(LOWER(G15),experiments_specs!$A:$J,2,FALSE)</f>
        <v>NN,JJ</v>
      </c>
      <c r="F16" s="16" t="str">
        <f>"{"&amp;LOWER(G15)&amp;".csv}"</f>
        <v>{test_02.csv}</v>
      </c>
      <c r="G16" s="9" t="s">
        <v>190</v>
      </c>
      <c r="H16" s="4" t="s">
        <v>191</v>
      </c>
      <c r="I16" s="4" t="s">
        <v>192</v>
      </c>
      <c r="J16" s="4" t="s">
        <v>193</v>
      </c>
      <c r="K16" s="5" t="s">
        <v>194</v>
      </c>
      <c r="L16" s="5" t="s">
        <v>192</v>
      </c>
      <c r="M16" s="5" t="s">
        <v>193</v>
      </c>
      <c r="O16" s="17"/>
      <c r="Q16" s="17"/>
      <c r="S16" s="12" t="s">
        <v>1</v>
      </c>
      <c r="T16" s="13" t="str">
        <f>VLOOKUP(LOWER(V15),experiments_specs!$A:$J,2,FALSE)</f>
        <v>NN,JJ</v>
      </c>
      <c r="U16" s="16" t="str">
        <f>"{"&amp;LOWER(V15)&amp;".csv}"</f>
        <v>{test_08.csv}</v>
      </c>
      <c r="V16" s="9" t="s">
        <v>190</v>
      </c>
      <c r="W16" s="4" t="s">
        <v>191</v>
      </c>
      <c r="X16" s="4" t="s">
        <v>192</v>
      </c>
      <c r="Y16" s="4" t="s">
        <v>193</v>
      </c>
      <c r="Z16" s="5" t="s">
        <v>194</v>
      </c>
      <c r="AA16" s="5" t="s">
        <v>192</v>
      </c>
      <c r="AB16" s="5" t="s">
        <v>193</v>
      </c>
      <c r="AD16" s="17"/>
      <c r="AF16" s="17"/>
      <c r="AH16" s="12" t="s">
        <v>1</v>
      </c>
      <c r="AI16" s="13" t="str">
        <f>VLOOKUP(LOWER(AK15),experiments_specs!$A:$J,2,FALSE)</f>
        <v>NN,JJ</v>
      </c>
      <c r="AJ16" s="16" t="str">
        <f>"{"&amp;LOWER(AK15)&amp;".csv}"</f>
        <v>{test_14.csv}</v>
      </c>
      <c r="AK16" s="9" t="s">
        <v>190</v>
      </c>
      <c r="AL16" s="4" t="s">
        <v>191</v>
      </c>
      <c r="AM16" s="4" t="s">
        <v>192</v>
      </c>
      <c r="AN16" s="4" t="s">
        <v>193</v>
      </c>
      <c r="AO16" s="5" t="s">
        <v>194</v>
      </c>
      <c r="AP16" s="5" t="s">
        <v>192</v>
      </c>
      <c r="AQ16" s="5" t="s">
        <v>193</v>
      </c>
      <c r="AS16" s="17"/>
    </row>
    <row r="17" spans="2:45" x14ac:dyDescent="0.2">
      <c r="B17" s="17"/>
      <c r="D17" s="12" t="s">
        <v>2</v>
      </c>
      <c r="E17" s="13">
        <f>VLOOKUP(LOWER(G15),experiments_specs!$A:$J,3,FALSE)</f>
        <v>1</v>
      </c>
      <c r="F17" s="16" t="s">
        <v>132</v>
      </c>
      <c r="G17" s="6"/>
      <c r="H17" s="18"/>
      <c r="I17" s="18"/>
      <c r="J17" s="26"/>
      <c r="K17" s="22"/>
      <c r="L17" s="22"/>
      <c r="M17" s="29"/>
      <c r="O17" s="17"/>
      <c r="Q17" s="17"/>
      <c r="S17" s="12" t="s">
        <v>2</v>
      </c>
      <c r="T17" s="13">
        <f>VLOOKUP(LOWER(V15),experiments_specs!$A:$J,3,FALSE)</f>
        <v>1</v>
      </c>
      <c r="U17" s="16" t="s">
        <v>143</v>
      </c>
      <c r="V17" s="6" t="s">
        <v>19</v>
      </c>
      <c r="W17" s="18"/>
      <c r="X17" s="18"/>
      <c r="Y17" s="26"/>
      <c r="Z17" s="22"/>
      <c r="AA17" s="22"/>
      <c r="AB17" s="29"/>
      <c r="AD17" s="17"/>
      <c r="AF17" s="17"/>
      <c r="AH17" s="12" t="s">
        <v>2</v>
      </c>
      <c r="AI17" s="13">
        <f>VLOOKUP(LOWER(AK15),experiments_specs!$A:$J,3,FALSE)</f>
        <v>1</v>
      </c>
      <c r="AJ17" s="16" t="s">
        <v>149</v>
      </c>
      <c r="AK17" s="6"/>
      <c r="AL17" s="18"/>
      <c r="AM17" s="18"/>
      <c r="AN17" s="26"/>
      <c r="AO17" s="22"/>
      <c r="AP17" s="22"/>
      <c r="AQ17" s="29"/>
      <c r="AS17" s="17"/>
    </row>
    <row r="18" spans="2:45" x14ac:dyDescent="0.2">
      <c r="B18" s="17"/>
      <c r="D18" s="12" t="s">
        <v>3</v>
      </c>
      <c r="E18" s="13">
        <f>VLOOKUP(LOWER(G15),experiments_specs!$A:$J,4,FALSE)</f>
        <v>2</v>
      </c>
      <c r="F18" s="16" t="s">
        <v>132</v>
      </c>
      <c r="G18" s="7"/>
      <c r="H18" s="20"/>
      <c r="I18" s="20"/>
      <c r="J18" s="27"/>
      <c r="K18" s="23"/>
      <c r="L18" s="23"/>
      <c r="M18" s="30"/>
      <c r="O18" s="17"/>
      <c r="Q18" s="17"/>
      <c r="S18" s="12" t="s">
        <v>3</v>
      </c>
      <c r="T18" s="13">
        <f>VLOOKUP(LOWER(V15),experiments_specs!$A:$J,4,FALSE)</f>
        <v>2</v>
      </c>
      <c r="U18" s="16" t="s">
        <v>143</v>
      </c>
      <c r="V18" s="7" t="s">
        <v>12</v>
      </c>
      <c r="W18" s="20"/>
      <c r="X18" s="20"/>
      <c r="Y18" s="27"/>
      <c r="Z18" s="23"/>
      <c r="AA18" s="23"/>
      <c r="AB18" s="30"/>
      <c r="AD18" s="17"/>
      <c r="AF18" s="17"/>
      <c r="AH18" s="12" t="s">
        <v>3</v>
      </c>
      <c r="AI18" s="13">
        <f>VLOOKUP(LOWER(AK15),experiments_specs!$A:$J,4,FALSE)</f>
        <v>2</v>
      </c>
      <c r="AJ18" s="16" t="s">
        <v>149</v>
      </c>
      <c r="AK18" s="7"/>
      <c r="AL18" s="20"/>
      <c r="AM18" s="20"/>
      <c r="AN18" s="27"/>
      <c r="AO18" s="23"/>
      <c r="AP18" s="23"/>
      <c r="AQ18" s="30"/>
      <c r="AS18" s="17"/>
    </row>
    <row r="19" spans="2:45" x14ac:dyDescent="0.2">
      <c r="B19" s="17"/>
      <c r="D19" s="12" t="s">
        <v>4</v>
      </c>
      <c r="E19" s="13" t="str">
        <f>VLOOKUP(LOWER(G15),experiments_specs!$A:$J,5,FALSE)</f>
        <v>False</v>
      </c>
      <c r="F19" s="16" t="s">
        <v>132</v>
      </c>
      <c r="G19" s="7"/>
      <c r="H19" s="20"/>
      <c r="I19" s="20"/>
      <c r="J19" s="27"/>
      <c r="K19" s="23"/>
      <c r="L19" s="23"/>
      <c r="M19" s="30"/>
      <c r="O19" s="17"/>
      <c r="Q19" s="17"/>
      <c r="S19" s="12" t="s">
        <v>4</v>
      </c>
      <c r="T19" s="13" t="str">
        <f>VLOOKUP(LOWER(V15),experiments_specs!$A:$J,5,FALSE)</f>
        <v>True</v>
      </c>
      <c r="U19" s="16" t="s">
        <v>143</v>
      </c>
      <c r="V19" s="7" t="s">
        <v>13</v>
      </c>
      <c r="W19" s="20"/>
      <c r="X19" s="20"/>
      <c r="Y19" s="27"/>
      <c r="Z19" s="23"/>
      <c r="AA19" s="23"/>
      <c r="AB19" s="30"/>
      <c r="AD19" s="17"/>
      <c r="AF19" s="17"/>
      <c r="AH19" s="12" t="s">
        <v>4</v>
      </c>
      <c r="AI19" s="13" t="str">
        <f>VLOOKUP(LOWER(AK15),experiments_specs!$A:$J,5,FALSE)</f>
        <v>True</v>
      </c>
      <c r="AJ19" s="16" t="s">
        <v>149</v>
      </c>
      <c r="AK19" s="7"/>
      <c r="AL19" s="20"/>
      <c r="AM19" s="20"/>
      <c r="AN19" s="27"/>
      <c r="AO19" s="23"/>
      <c r="AP19" s="23"/>
      <c r="AQ19" s="30"/>
      <c r="AS19" s="17"/>
    </row>
    <row r="20" spans="2:45" x14ac:dyDescent="0.2">
      <c r="B20" s="17"/>
      <c r="D20" s="12" t="s">
        <v>5</v>
      </c>
      <c r="E20" s="13" t="str">
        <f>VLOOKUP(LOWER(G15),experiments_specs!$A:$J,6,FALSE)</f>
        <v>True</v>
      </c>
      <c r="F20" s="16" t="s">
        <v>132</v>
      </c>
      <c r="G20" s="7"/>
      <c r="H20" s="20"/>
      <c r="I20" s="20"/>
      <c r="J20" s="27"/>
      <c r="K20" s="23"/>
      <c r="L20" s="23"/>
      <c r="M20" s="30"/>
      <c r="O20" s="17"/>
      <c r="Q20" s="17"/>
      <c r="S20" s="12" t="s">
        <v>5</v>
      </c>
      <c r="T20" s="13" t="str">
        <f>VLOOKUP(LOWER(V15),experiments_specs!$A:$J,6,FALSE)</f>
        <v>True</v>
      </c>
      <c r="U20" s="16" t="s">
        <v>143</v>
      </c>
      <c r="V20" s="7" t="s">
        <v>14</v>
      </c>
      <c r="W20" s="19"/>
      <c r="X20" s="19"/>
      <c r="Y20" s="27"/>
      <c r="Z20" s="24"/>
      <c r="AA20" s="24"/>
      <c r="AB20" s="30"/>
      <c r="AD20" s="17"/>
      <c r="AF20" s="17"/>
      <c r="AH20" s="12" t="s">
        <v>5</v>
      </c>
      <c r="AI20" s="13" t="str">
        <f>VLOOKUP(LOWER(AK15),experiments_specs!$A:$J,6,FALSE)</f>
        <v>True</v>
      </c>
      <c r="AJ20" s="16" t="s">
        <v>149</v>
      </c>
      <c r="AK20" s="7"/>
      <c r="AL20" s="19"/>
      <c r="AM20" s="19"/>
      <c r="AN20" s="27"/>
      <c r="AO20" s="24"/>
      <c r="AP20" s="24"/>
      <c r="AQ20" s="30"/>
      <c r="AS20" s="17"/>
    </row>
    <row r="21" spans="2:45" x14ac:dyDescent="0.2">
      <c r="B21" s="17"/>
      <c r="D21" s="12" t="s">
        <v>6</v>
      </c>
      <c r="E21" s="13" t="str">
        <f>VLOOKUP(LOWER(G15),experiments_specs!$A:$J,7,FALSE)</f>
        <v>False</v>
      </c>
      <c r="F21" s="16" t="s">
        <v>132</v>
      </c>
      <c r="G21" s="7"/>
      <c r="H21" s="20"/>
      <c r="I21" s="20"/>
      <c r="J21" s="27"/>
      <c r="K21" s="24"/>
      <c r="L21" s="24"/>
      <c r="M21" s="30"/>
      <c r="O21" s="17"/>
      <c r="Q21" s="17"/>
      <c r="S21" s="12" t="s">
        <v>6</v>
      </c>
      <c r="T21" s="13" t="str">
        <f>VLOOKUP(LOWER(V15),experiments_specs!$A:$J,7,FALSE)</f>
        <v>False</v>
      </c>
      <c r="U21" s="16" t="s">
        <v>143</v>
      </c>
      <c r="V21" s="7" t="s">
        <v>15</v>
      </c>
      <c r="W21" s="20"/>
      <c r="X21" s="20"/>
      <c r="Y21" s="27"/>
      <c r="Z21" s="24"/>
      <c r="AA21" s="24"/>
      <c r="AB21" s="30"/>
      <c r="AD21" s="17"/>
      <c r="AF21" s="17"/>
      <c r="AH21" s="12" t="s">
        <v>6</v>
      </c>
      <c r="AI21" s="13" t="str">
        <f>VLOOKUP(LOWER(AK15),experiments_specs!$A:$J,7,FALSE)</f>
        <v>False</v>
      </c>
      <c r="AJ21" s="16" t="s">
        <v>149</v>
      </c>
      <c r="AK21" s="7"/>
      <c r="AL21" s="20"/>
      <c r="AM21" s="20"/>
      <c r="AN21" s="27"/>
      <c r="AO21" s="24"/>
      <c r="AP21" s="24"/>
      <c r="AQ21" s="30"/>
      <c r="AS21" s="17"/>
    </row>
    <row r="22" spans="2:45" x14ac:dyDescent="0.2">
      <c r="B22" s="17"/>
      <c r="D22" s="12" t="s">
        <v>7</v>
      </c>
      <c r="E22" s="13" t="str">
        <f>VLOOKUP(LOWER(G15),experiments_specs!$A:$J,8,FALSE)</f>
        <v>False</v>
      </c>
      <c r="F22" s="16" t="s">
        <v>132</v>
      </c>
      <c r="G22" s="7"/>
      <c r="H22" s="20"/>
      <c r="I22" s="20"/>
      <c r="J22" s="27"/>
      <c r="K22" s="24"/>
      <c r="L22" s="24"/>
      <c r="M22" s="30"/>
      <c r="O22" s="17"/>
      <c r="Q22" s="17"/>
      <c r="S22" s="12" t="s">
        <v>7</v>
      </c>
      <c r="T22" s="13" t="str">
        <f>VLOOKUP(LOWER(V15),experiments_specs!$A:$J,8,FALSE)</f>
        <v>False</v>
      </c>
      <c r="U22" s="16" t="s">
        <v>143</v>
      </c>
      <c r="V22" s="7" t="s">
        <v>16</v>
      </c>
      <c r="W22" s="20"/>
      <c r="X22" s="20"/>
      <c r="Y22" s="27"/>
      <c r="Z22" s="24"/>
      <c r="AA22" s="24"/>
      <c r="AB22" s="30"/>
      <c r="AD22" s="17"/>
      <c r="AF22" s="17"/>
      <c r="AH22" s="12" t="s">
        <v>7</v>
      </c>
      <c r="AI22" s="13" t="str">
        <f>VLOOKUP(LOWER(AK15),experiments_specs!$A:$J,8,FALSE)</f>
        <v>False</v>
      </c>
      <c r="AJ22" s="16" t="s">
        <v>149</v>
      </c>
      <c r="AK22" s="7"/>
      <c r="AL22" s="20"/>
      <c r="AM22" s="20"/>
      <c r="AN22" s="27"/>
      <c r="AO22" s="24"/>
      <c r="AP22" s="24"/>
      <c r="AQ22" s="30"/>
      <c r="AS22" s="17"/>
    </row>
    <row r="23" spans="2:45" x14ac:dyDescent="0.2">
      <c r="B23" s="17"/>
      <c r="D23" s="12" t="s">
        <v>8</v>
      </c>
      <c r="E23" s="13" t="str">
        <f>VLOOKUP(LOWER(G15),experiments_specs!$A:$J,9,FALSE)</f>
        <v>wup_similarity</v>
      </c>
      <c r="F23" s="16" t="s">
        <v>132</v>
      </c>
      <c r="G23" s="7"/>
      <c r="H23" s="20"/>
      <c r="I23" s="20"/>
      <c r="J23" s="27"/>
      <c r="K23" s="23"/>
      <c r="L23" s="23"/>
      <c r="M23" s="30"/>
      <c r="O23" s="17"/>
      <c r="Q23" s="17"/>
      <c r="S23" s="12" t="s">
        <v>8</v>
      </c>
      <c r="T23" s="13" t="str">
        <f>VLOOKUP(LOWER(V15),experiments_specs!$A:$J,9,FALSE)</f>
        <v>wup_similarity</v>
      </c>
      <c r="U23" s="16" t="s">
        <v>143</v>
      </c>
      <c r="V23" s="7" t="s">
        <v>17</v>
      </c>
      <c r="W23" s="19"/>
      <c r="X23" s="19"/>
      <c r="Y23" s="27"/>
      <c r="Z23" s="24"/>
      <c r="AA23" s="24"/>
      <c r="AB23" s="30"/>
      <c r="AD23" s="17"/>
      <c r="AF23" s="17"/>
      <c r="AH23" s="12" t="s">
        <v>8</v>
      </c>
      <c r="AI23" s="13" t="str">
        <f>VLOOKUP(LOWER(AK15),experiments_specs!$A:$J,9,FALSE)</f>
        <v>wup_similarity</v>
      </c>
      <c r="AJ23" s="16" t="s">
        <v>149</v>
      </c>
      <c r="AK23" s="7"/>
      <c r="AL23" s="19"/>
      <c r="AM23" s="19"/>
      <c r="AN23" s="27"/>
      <c r="AO23" s="24"/>
      <c r="AP23" s="24"/>
      <c r="AQ23" s="30"/>
      <c r="AS23" s="17"/>
    </row>
    <row r="24" spans="2:45" x14ac:dyDescent="0.2">
      <c r="B24" s="17"/>
      <c r="D24" s="12" t="s">
        <v>9</v>
      </c>
      <c r="E24" s="13" t="str">
        <f>VLOOKUP(LOWER(G15),experiments_specs!$A:$J,10,FALSE)</f>
        <v>False</v>
      </c>
      <c r="F24" s="16" t="s">
        <v>132</v>
      </c>
      <c r="G24" s="8"/>
      <c r="H24" s="21"/>
      <c r="I24" s="21"/>
      <c r="J24" s="28"/>
      <c r="K24" s="25"/>
      <c r="L24" s="25"/>
      <c r="M24" s="31"/>
      <c r="O24" s="17"/>
      <c r="Q24" s="17"/>
      <c r="S24" s="12" t="s">
        <v>9</v>
      </c>
      <c r="T24" s="13" t="str">
        <f>VLOOKUP(LOWER(V15),experiments_specs!$A:$J,10,FALSE)</f>
        <v>False</v>
      </c>
      <c r="U24" s="16" t="s">
        <v>143</v>
      </c>
      <c r="V24" s="8" t="s">
        <v>18</v>
      </c>
      <c r="W24" s="21"/>
      <c r="X24" s="21"/>
      <c r="Y24" s="28"/>
      <c r="Z24" s="25"/>
      <c r="AA24" s="25"/>
      <c r="AB24" s="31"/>
      <c r="AD24" s="17"/>
      <c r="AF24" s="17"/>
      <c r="AH24" s="12" t="s">
        <v>9</v>
      </c>
      <c r="AI24" s="13" t="str">
        <f>VLOOKUP(LOWER(AK15),experiments_specs!$A:$J,10,FALSE)</f>
        <v>True</v>
      </c>
      <c r="AJ24" s="16" t="s">
        <v>149</v>
      </c>
      <c r="AK24" s="8"/>
      <c r="AL24" s="21"/>
      <c r="AM24" s="21"/>
      <c r="AN24" s="28"/>
      <c r="AO24" s="25"/>
      <c r="AP24" s="25"/>
      <c r="AQ24" s="31"/>
      <c r="AS24" s="17"/>
    </row>
    <row r="25" spans="2:45" ht="17" thickBot="1" x14ac:dyDescent="0.25">
      <c r="B25" s="17"/>
      <c r="O25" s="17"/>
      <c r="Q25" s="17"/>
      <c r="AD25" s="17"/>
      <c r="AF25" s="17"/>
      <c r="AS25" s="17"/>
    </row>
    <row r="26" spans="2:45" ht="20" thickBot="1" x14ac:dyDescent="0.3">
      <c r="B26" s="17"/>
      <c r="D26" s="14" t="s">
        <v>198</v>
      </c>
      <c r="E26" s="15"/>
      <c r="F26" s="10"/>
      <c r="G26" s="11" t="str">
        <f>"TEST_"&amp;TEXT(RIGHT(G15,2)+1, "00")</f>
        <v>TEST_03</v>
      </c>
      <c r="H26" s="36" t="s">
        <v>196</v>
      </c>
      <c r="I26" s="36"/>
      <c r="J26" s="36"/>
      <c r="K26" s="37" t="s">
        <v>195</v>
      </c>
      <c r="L26" s="37"/>
      <c r="M26" s="37"/>
      <c r="N26" s="3"/>
      <c r="O26" s="17"/>
      <c r="Q26" s="17"/>
      <c r="S26" s="14" t="s">
        <v>198</v>
      </c>
      <c r="T26" s="15"/>
      <c r="U26" s="10"/>
      <c r="V26" s="11" t="str">
        <f>"TEST_"&amp;TEXT(RIGHT(V15,2)+1, "00")</f>
        <v>TEST_09</v>
      </c>
      <c r="W26" s="36" t="s">
        <v>196</v>
      </c>
      <c r="X26" s="36"/>
      <c r="Y26" s="36"/>
      <c r="Z26" s="37" t="s">
        <v>195</v>
      </c>
      <c r="AA26" s="37"/>
      <c r="AB26" s="37"/>
      <c r="AC26" s="3"/>
      <c r="AD26" s="17"/>
      <c r="AF26" s="17"/>
      <c r="AH26" s="14" t="s">
        <v>198</v>
      </c>
      <c r="AI26" s="15"/>
      <c r="AJ26" s="10"/>
      <c r="AK26" s="11" t="str">
        <f>"TEST_"&amp;TEXT(RIGHT(AK15,2)+1, "00")</f>
        <v>TEST_15</v>
      </c>
      <c r="AL26" s="36" t="s">
        <v>196</v>
      </c>
      <c r="AM26" s="36"/>
      <c r="AN26" s="36"/>
      <c r="AO26" s="37" t="s">
        <v>195</v>
      </c>
      <c r="AP26" s="37"/>
      <c r="AQ26" s="37"/>
      <c r="AR26" s="3"/>
      <c r="AS26" s="17"/>
    </row>
    <row r="27" spans="2:45" x14ac:dyDescent="0.2">
      <c r="B27" s="17"/>
      <c r="D27" s="12" t="s">
        <v>1</v>
      </c>
      <c r="E27" s="13" t="str">
        <f>VLOOKUP(LOWER(G26),experiments_specs!$A:$J,2,FALSE)</f>
        <v>NN,VB</v>
      </c>
      <c r="F27" s="16" t="str">
        <f>"{"&amp;LOWER(G26)&amp;".csv}"</f>
        <v>{test_03.csv}</v>
      </c>
      <c r="G27" s="9" t="s">
        <v>190</v>
      </c>
      <c r="H27" s="4" t="s">
        <v>191</v>
      </c>
      <c r="I27" s="4" t="s">
        <v>192</v>
      </c>
      <c r="J27" s="4" t="s">
        <v>193</v>
      </c>
      <c r="K27" s="5" t="s">
        <v>194</v>
      </c>
      <c r="L27" s="5" t="s">
        <v>192</v>
      </c>
      <c r="M27" s="5" t="s">
        <v>193</v>
      </c>
      <c r="O27" s="17"/>
      <c r="Q27" s="17"/>
      <c r="S27" s="12" t="s">
        <v>1</v>
      </c>
      <c r="T27" s="13" t="str">
        <f>VLOOKUP(LOWER(V26),experiments_specs!$A:$J,2,FALSE)</f>
        <v>NN,VB</v>
      </c>
      <c r="U27" s="16" t="str">
        <f>"{"&amp;LOWER(V26)&amp;".csv}"</f>
        <v>{test_09.csv}</v>
      </c>
      <c r="V27" s="9" t="s">
        <v>190</v>
      </c>
      <c r="W27" s="4" t="s">
        <v>191</v>
      </c>
      <c r="X27" s="4" t="s">
        <v>192</v>
      </c>
      <c r="Y27" s="4" t="s">
        <v>193</v>
      </c>
      <c r="Z27" s="5" t="s">
        <v>194</v>
      </c>
      <c r="AA27" s="5" t="s">
        <v>192</v>
      </c>
      <c r="AB27" s="5" t="s">
        <v>193</v>
      </c>
      <c r="AD27" s="17"/>
      <c r="AF27" s="17"/>
      <c r="AH27" s="12" t="s">
        <v>1</v>
      </c>
      <c r="AI27" s="13" t="str">
        <f>VLOOKUP(LOWER(AK26),experiments_specs!$A:$J,2,FALSE)</f>
        <v>NN,VB</v>
      </c>
      <c r="AJ27" s="16" t="str">
        <f>"{"&amp;LOWER(AK26)&amp;".csv}"</f>
        <v>{test_15.csv}</v>
      </c>
      <c r="AK27" s="9" t="s">
        <v>190</v>
      </c>
      <c r="AL27" s="4" t="s">
        <v>191</v>
      </c>
      <c r="AM27" s="4" t="s">
        <v>192</v>
      </c>
      <c r="AN27" s="4" t="s">
        <v>193</v>
      </c>
      <c r="AO27" s="5" t="s">
        <v>194</v>
      </c>
      <c r="AP27" s="5" t="s">
        <v>192</v>
      </c>
      <c r="AQ27" s="5" t="s">
        <v>193</v>
      </c>
      <c r="AS27" s="17"/>
    </row>
    <row r="28" spans="2:45" x14ac:dyDescent="0.2">
      <c r="B28" s="17"/>
      <c r="D28" s="12" t="s">
        <v>2</v>
      </c>
      <c r="E28" s="13">
        <f>VLOOKUP(LOWER(G26),experiments_specs!$A:$J,3,FALSE)</f>
        <v>1</v>
      </c>
      <c r="F28" s="16" t="s">
        <v>134</v>
      </c>
      <c r="G28" s="6"/>
      <c r="H28" s="18"/>
      <c r="I28" s="18"/>
      <c r="J28" s="26"/>
      <c r="K28" s="22"/>
      <c r="L28" s="22"/>
      <c r="M28" s="29"/>
      <c r="O28" s="17"/>
      <c r="Q28" s="17"/>
      <c r="S28" s="12" t="s">
        <v>2</v>
      </c>
      <c r="T28" s="13">
        <f>VLOOKUP(LOWER(V26),experiments_specs!$A:$J,3,FALSE)</f>
        <v>1</v>
      </c>
      <c r="U28" s="16" t="s">
        <v>144</v>
      </c>
      <c r="V28" s="6" t="s">
        <v>19</v>
      </c>
      <c r="W28" s="18"/>
      <c r="X28" s="18"/>
      <c r="Y28" s="26"/>
      <c r="Z28" s="22"/>
      <c r="AA28" s="22"/>
      <c r="AB28" s="29"/>
      <c r="AD28" s="17"/>
      <c r="AF28" s="17"/>
      <c r="AH28" s="12" t="s">
        <v>2</v>
      </c>
      <c r="AI28" s="13">
        <f>VLOOKUP(LOWER(AK26),experiments_specs!$A:$J,3,FALSE)</f>
        <v>1</v>
      </c>
      <c r="AJ28" s="16" t="s">
        <v>150</v>
      </c>
      <c r="AK28" s="6"/>
      <c r="AL28" s="18"/>
      <c r="AM28" s="18"/>
      <c r="AN28" s="26"/>
      <c r="AO28" s="22"/>
      <c r="AP28" s="22"/>
      <c r="AQ28" s="29"/>
      <c r="AS28" s="17"/>
    </row>
    <row r="29" spans="2:45" x14ac:dyDescent="0.2">
      <c r="B29" s="17"/>
      <c r="D29" s="12" t="s">
        <v>3</v>
      </c>
      <c r="E29" s="13">
        <f>VLOOKUP(LOWER(G26),experiments_specs!$A:$J,4,FALSE)</f>
        <v>2</v>
      </c>
      <c r="F29" s="16" t="s">
        <v>134</v>
      </c>
      <c r="G29" s="7"/>
      <c r="H29" s="20"/>
      <c r="I29" s="20"/>
      <c r="J29" s="27"/>
      <c r="K29" s="23"/>
      <c r="L29" s="23"/>
      <c r="M29" s="30"/>
      <c r="O29" s="17"/>
      <c r="Q29" s="17"/>
      <c r="S29" s="12" t="s">
        <v>3</v>
      </c>
      <c r="T29" s="13">
        <f>VLOOKUP(LOWER(V26),experiments_specs!$A:$J,4,FALSE)</f>
        <v>2</v>
      </c>
      <c r="U29" s="16" t="s">
        <v>144</v>
      </c>
      <c r="V29" s="7" t="s">
        <v>12</v>
      </c>
      <c r="W29" s="20"/>
      <c r="X29" s="20"/>
      <c r="Y29" s="27"/>
      <c r="Z29" s="23"/>
      <c r="AA29" s="23"/>
      <c r="AB29" s="30"/>
      <c r="AD29" s="17"/>
      <c r="AF29" s="17"/>
      <c r="AH29" s="12" t="s">
        <v>3</v>
      </c>
      <c r="AI29" s="13">
        <f>VLOOKUP(LOWER(AK26),experiments_specs!$A:$J,4,FALSE)</f>
        <v>2</v>
      </c>
      <c r="AJ29" s="16" t="s">
        <v>150</v>
      </c>
      <c r="AK29" s="7"/>
      <c r="AL29" s="20"/>
      <c r="AM29" s="20"/>
      <c r="AN29" s="27"/>
      <c r="AO29" s="23"/>
      <c r="AP29" s="23"/>
      <c r="AQ29" s="30"/>
      <c r="AS29" s="17"/>
    </row>
    <row r="30" spans="2:45" x14ac:dyDescent="0.2">
      <c r="B30" s="17"/>
      <c r="D30" s="12" t="s">
        <v>4</v>
      </c>
      <c r="E30" s="13" t="str">
        <f>VLOOKUP(LOWER(G26),experiments_specs!$A:$J,5,FALSE)</f>
        <v>False</v>
      </c>
      <c r="F30" s="16" t="s">
        <v>134</v>
      </c>
      <c r="G30" s="7"/>
      <c r="H30" s="20"/>
      <c r="I30" s="20"/>
      <c r="J30" s="27"/>
      <c r="K30" s="23"/>
      <c r="L30" s="23"/>
      <c r="M30" s="30"/>
      <c r="O30" s="17"/>
      <c r="Q30" s="17"/>
      <c r="S30" s="12" t="s">
        <v>4</v>
      </c>
      <c r="T30" s="13" t="str">
        <f>VLOOKUP(LOWER(V26),experiments_specs!$A:$J,5,FALSE)</f>
        <v>True</v>
      </c>
      <c r="U30" s="16" t="s">
        <v>144</v>
      </c>
      <c r="V30" s="7" t="s">
        <v>13</v>
      </c>
      <c r="W30" s="20"/>
      <c r="X30" s="20"/>
      <c r="Y30" s="27"/>
      <c r="Z30" s="23"/>
      <c r="AA30" s="23"/>
      <c r="AB30" s="30"/>
      <c r="AD30" s="17"/>
      <c r="AF30" s="17"/>
      <c r="AH30" s="12" t="s">
        <v>4</v>
      </c>
      <c r="AI30" s="13" t="str">
        <f>VLOOKUP(LOWER(AK26),experiments_specs!$A:$J,5,FALSE)</f>
        <v>True</v>
      </c>
      <c r="AJ30" s="16" t="s">
        <v>150</v>
      </c>
      <c r="AK30" s="7"/>
      <c r="AL30" s="20"/>
      <c r="AM30" s="20"/>
      <c r="AN30" s="27"/>
      <c r="AO30" s="24"/>
      <c r="AP30" s="24"/>
      <c r="AQ30" s="30"/>
      <c r="AS30" s="17"/>
    </row>
    <row r="31" spans="2:45" x14ac:dyDescent="0.2">
      <c r="B31" s="17"/>
      <c r="D31" s="12" t="s">
        <v>5</v>
      </c>
      <c r="E31" s="13" t="str">
        <f>VLOOKUP(LOWER(G26),experiments_specs!$A:$J,6,FALSE)</f>
        <v>True</v>
      </c>
      <c r="F31" s="16" t="s">
        <v>134</v>
      </c>
      <c r="G31" s="7"/>
      <c r="H31" s="20"/>
      <c r="I31" s="20"/>
      <c r="J31" s="27"/>
      <c r="K31" s="23"/>
      <c r="L31" s="23"/>
      <c r="M31" s="30"/>
      <c r="O31" s="17"/>
      <c r="Q31" s="17"/>
      <c r="S31" s="12" t="s">
        <v>5</v>
      </c>
      <c r="T31" s="13" t="str">
        <f>VLOOKUP(LOWER(V26),experiments_specs!$A:$J,6,FALSE)</f>
        <v>True</v>
      </c>
      <c r="U31" s="16" t="s">
        <v>144</v>
      </c>
      <c r="V31" s="7" t="s">
        <v>14</v>
      </c>
      <c r="W31" s="19"/>
      <c r="X31" s="19"/>
      <c r="Y31" s="27"/>
      <c r="Z31" s="24"/>
      <c r="AA31" s="24"/>
      <c r="AB31" s="30"/>
      <c r="AD31" s="17"/>
      <c r="AF31" s="17"/>
      <c r="AH31" s="12" t="s">
        <v>5</v>
      </c>
      <c r="AI31" s="13" t="str">
        <f>VLOOKUP(LOWER(AK26),experiments_specs!$A:$J,6,FALSE)</f>
        <v>True</v>
      </c>
      <c r="AJ31" s="16" t="s">
        <v>150</v>
      </c>
      <c r="AK31" s="7"/>
      <c r="AL31" s="19"/>
      <c r="AM31" s="19"/>
      <c r="AN31" s="27"/>
      <c r="AO31" s="24"/>
      <c r="AP31" s="24"/>
      <c r="AQ31" s="30"/>
      <c r="AS31" s="17"/>
    </row>
    <row r="32" spans="2:45" x14ac:dyDescent="0.2">
      <c r="B32" s="17"/>
      <c r="D32" s="12" t="s">
        <v>6</v>
      </c>
      <c r="E32" s="13" t="str">
        <f>VLOOKUP(LOWER(G26),experiments_specs!$A:$J,7,FALSE)</f>
        <v>False</v>
      </c>
      <c r="F32" s="16" t="s">
        <v>134</v>
      </c>
      <c r="G32" s="7"/>
      <c r="H32" s="20"/>
      <c r="I32" s="20"/>
      <c r="J32" s="27"/>
      <c r="K32" s="24"/>
      <c r="L32" s="24"/>
      <c r="M32" s="30"/>
      <c r="O32" s="17"/>
      <c r="Q32" s="17"/>
      <c r="S32" s="12" t="s">
        <v>6</v>
      </c>
      <c r="T32" s="13" t="str">
        <f>VLOOKUP(LOWER(V26),experiments_specs!$A:$J,7,FALSE)</f>
        <v>False</v>
      </c>
      <c r="U32" s="16" t="s">
        <v>144</v>
      </c>
      <c r="V32" s="7" t="s">
        <v>15</v>
      </c>
      <c r="W32" s="20"/>
      <c r="X32" s="20"/>
      <c r="Y32" s="27"/>
      <c r="Z32" s="24"/>
      <c r="AA32" s="24"/>
      <c r="AB32" s="30"/>
      <c r="AD32" s="17"/>
      <c r="AF32" s="17"/>
      <c r="AH32" s="12" t="s">
        <v>6</v>
      </c>
      <c r="AI32" s="13" t="str">
        <f>VLOOKUP(LOWER(AK26),experiments_specs!$A:$J,7,FALSE)</f>
        <v>False</v>
      </c>
      <c r="AJ32" s="16" t="s">
        <v>150</v>
      </c>
      <c r="AK32" s="7"/>
      <c r="AL32" s="20"/>
      <c r="AM32" s="20"/>
      <c r="AN32" s="27"/>
      <c r="AO32" s="24"/>
      <c r="AP32" s="24"/>
      <c r="AQ32" s="30"/>
      <c r="AS32" s="17"/>
    </row>
    <row r="33" spans="2:45" x14ac:dyDescent="0.2">
      <c r="B33" s="17"/>
      <c r="D33" s="12" t="s">
        <v>7</v>
      </c>
      <c r="E33" s="13" t="str">
        <f>VLOOKUP(LOWER(G26),experiments_specs!$A:$J,8,FALSE)</f>
        <v>False</v>
      </c>
      <c r="F33" s="16" t="s">
        <v>134</v>
      </c>
      <c r="G33" s="7"/>
      <c r="H33" s="20"/>
      <c r="I33" s="20"/>
      <c r="J33" s="27"/>
      <c r="K33" s="24"/>
      <c r="L33" s="24"/>
      <c r="M33" s="30"/>
      <c r="O33" s="17"/>
      <c r="Q33" s="17"/>
      <c r="S33" s="12" t="s">
        <v>7</v>
      </c>
      <c r="T33" s="13" t="str">
        <f>VLOOKUP(LOWER(V26),experiments_specs!$A:$J,8,FALSE)</f>
        <v>False</v>
      </c>
      <c r="U33" s="16" t="s">
        <v>144</v>
      </c>
      <c r="V33" s="7" t="s">
        <v>16</v>
      </c>
      <c r="W33" s="20"/>
      <c r="X33" s="20"/>
      <c r="Y33" s="27"/>
      <c r="Z33" s="24"/>
      <c r="AA33" s="24"/>
      <c r="AB33" s="30"/>
      <c r="AD33" s="17"/>
      <c r="AF33" s="17"/>
      <c r="AH33" s="12" t="s">
        <v>7</v>
      </c>
      <c r="AI33" s="13" t="str">
        <f>VLOOKUP(LOWER(AK26),experiments_specs!$A:$J,8,FALSE)</f>
        <v>False</v>
      </c>
      <c r="AJ33" s="16" t="s">
        <v>150</v>
      </c>
      <c r="AK33" s="7"/>
      <c r="AL33" s="20"/>
      <c r="AM33" s="20"/>
      <c r="AN33" s="27"/>
      <c r="AO33" s="24"/>
      <c r="AP33" s="24"/>
      <c r="AQ33" s="30"/>
      <c r="AS33" s="17"/>
    </row>
    <row r="34" spans="2:45" x14ac:dyDescent="0.2">
      <c r="B34" s="17"/>
      <c r="D34" s="12" t="s">
        <v>8</v>
      </c>
      <c r="E34" s="13" t="str">
        <f>VLOOKUP(LOWER(G26),experiments_specs!$A:$J,9,FALSE)</f>
        <v>wup_similarity</v>
      </c>
      <c r="F34" s="16" t="s">
        <v>134</v>
      </c>
      <c r="G34" s="7"/>
      <c r="H34" s="20"/>
      <c r="I34" s="20"/>
      <c r="J34" s="27"/>
      <c r="K34" s="23"/>
      <c r="L34" s="23"/>
      <c r="M34" s="30"/>
      <c r="O34" s="17"/>
      <c r="Q34" s="17"/>
      <c r="S34" s="12" t="s">
        <v>8</v>
      </c>
      <c r="T34" s="13" t="str">
        <f>VLOOKUP(LOWER(V26),experiments_specs!$A:$J,9,FALSE)</f>
        <v>wup_similarity</v>
      </c>
      <c r="U34" s="16" t="s">
        <v>144</v>
      </c>
      <c r="V34" s="7" t="s">
        <v>17</v>
      </c>
      <c r="W34" s="20"/>
      <c r="X34" s="20"/>
      <c r="Y34" s="27"/>
      <c r="Z34" s="24"/>
      <c r="AA34" s="24"/>
      <c r="AB34" s="30"/>
      <c r="AD34" s="17"/>
      <c r="AF34" s="17"/>
      <c r="AH34" s="12" t="s">
        <v>8</v>
      </c>
      <c r="AI34" s="13" t="str">
        <f>VLOOKUP(LOWER(AK26),experiments_specs!$A:$J,9,FALSE)</f>
        <v>wup_similarity</v>
      </c>
      <c r="AJ34" s="16" t="s">
        <v>150</v>
      </c>
      <c r="AK34" s="7"/>
      <c r="AL34" s="19"/>
      <c r="AM34" s="19"/>
      <c r="AN34" s="27"/>
      <c r="AO34" s="24"/>
      <c r="AP34" s="24"/>
      <c r="AQ34" s="30"/>
      <c r="AS34" s="17"/>
    </row>
    <row r="35" spans="2:45" x14ac:dyDescent="0.2">
      <c r="B35" s="17"/>
      <c r="D35" s="12" t="s">
        <v>9</v>
      </c>
      <c r="E35" s="13" t="str">
        <f>VLOOKUP(LOWER(G26),experiments_specs!$A:$J,10,FALSE)</f>
        <v>False</v>
      </c>
      <c r="F35" s="16" t="s">
        <v>134</v>
      </c>
      <c r="G35" s="8"/>
      <c r="H35" s="21"/>
      <c r="I35" s="21"/>
      <c r="J35" s="28"/>
      <c r="K35" s="25"/>
      <c r="L35" s="25"/>
      <c r="M35" s="31"/>
      <c r="O35" s="17"/>
      <c r="Q35" s="17"/>
      <c r="S35" s="12" t="s">
        <v>9</v>
      </c>
      <c r="T35" s="13" t="str">
        <f>VLOOKUP(LOWER(V26),experiments_specs!$A:$J,10,FALSE)</f>
        <v>False</v>
      </c>
      <c r="U35" s="16" t="s">
        <v>144</v>
      </c>
      <c r="V35" s="8" t="s">
        <v>18</v>
      </c>
      <c r="W35" s="21"/>
      <c r="X35" s="21"/>
      <c r="Y35" s="28"/>
      <c r="Z35" s="25"/>
      <c r="AA35" s="25"/>
      <c r="AB35" s="31"/>
      <c r="AD35" s="17"/>
      <c r="AF35" s="17"/>
      <c r="AH35" s="12" t="s">
        <v>9</v>
      </c>
      <c r="AI35" s="13" t="str">
        <f>VLOOKUP(LOWER(AK26),experiments_specs!$A:$J,10,FALSE)</f>
        <v>True</v>
      </c>
      <c r="AJ35" s="16" t="s">
        <v>150</v>
      </c>
      <c r="AK35" s="8"/>
      <c r="AL35" s="21"/>
      <c r="AM35" s="21"/>
      <c r="AN35" s="28"/>
      <c r="AO35" s="25"/>
      <c r="AP35" s="25"/>
      <c r="AQ35" s="31"/>
      <c r="AS35" s="17"/>
    </row>
    <row r="36" spans="2:45" ht="17" thickBot="1" x14ac:dyDescent="0.25">
      <c r="B36" s="17"/>
      <c r="O36" s="17"/>
      <c r="Q36" s="17"/>
      <c r="AD36" s="17"/>
      <c r="AF36" s="17"/>
      <c r="AS36" s="17"/>
    </row>
    <row r="37" spans="2:45" ht="20" thickBot="1" x14ac:dyDescent="0.3">
      <c r="B37" s="17"/>
      <c r="D37" s="14" t="s">
        <v>198</v>
      </c>
      <c r="E37" s="15"/>
      <c r="F37" s="10"/>
      <c r="G37" s="11" t="str">
        <f>"TEST_"&amp;TEXT(RIGHT(G26,2)+1, "00")</f>
        <v>TEST_04</v>
      </c>
      <c r="H37" s="36" t="s">
        <v>196</v>
      </c>
      <c r="I37" s="36"/>
      <c r="J37" s="36"/>
      <c r="K37" s="37" t="s">
        <v>195</v>
      </c>
      <c r="L37" s="37"/>
      <c r="M37" s="37"/>
      <c r="N37" s="3"/>
      <c r="O37" s="17"/>
      <c r="Q37" s="17"/>
      <c r="S37" s="14" t="s">
        <v>198</v>
      </c>
      <c r="T37" s="15"/>
      <c r="U37" s="10"/>
      <c r="V37" s="11" t="str">
        <f>"TEST_"&amp;TEXT(RIGHT(V26,2)+1, "00")</f>
        <v>TEST_10</v>
      </c>
      <c r="W37" s="36" t="s">
        <v>196</v>
      </c>
      <c r="X37" s="36"/>
      <c r="Y37" s="36"/>
      <c r="Z37" s="37" t="s">
        <v>195</v>
      </c>
      <c r="AA37" s="37"/>
      <c r="AB37" s="37"/>
      <c r="AC37" s="3"/>
      <c r="AD37" s="17"/>
      <c r="AF37" s="17"/>
      <c r="AH37" s="14" t="s">
        <v>198</v>
      </c>
      <c r="AI37" s="15"/>
      <c r="AJ37" s="10"/>
      <c r="AK37" s="11" t="str">
        <f>"TEST_"&amp;TEXT(RIGHT(AK26,2)+1, "00")</f>
        <v>TEST_16</v>
      </c>
      <c r="AL37" s="36" t="s">
        <v>196</v>
      </c>
      <c r="AM37" s="36"/>
      <c r="AN37" s="36"/>
      <c r="AO37" s="37" t="s">
        <v>195</v>
      </c>
      <c r="AP37" s="37"/>
      <c r="AQ37" s="37"/>
      <c r="AR37" s="3"/>
      <c r="AS37" s="17"/>
    </row>
    <row r="38" spans="2:45" x14ac:dyDescent="0.2">
      <c r="B38" s="17"/>
      <c r="D38" s="12" t="s">
        <v>1</v>
      </c>
      <c r="E38" s="13" t="str">
        <f>VLOOKUP(LOWER(G37),experiments_specs!$A:$J,2,FALSE)</f>
        <v>NN,VB,VBD,VBG,VBN,VBP,VBZ</v>
      </c>
      <c r="F38" s="16" t="str">
        <f>"{"&amp;LOWER(G37)&amp;".csv}"</f>
        <v>{test_04.csv}</v>
      </c>
      <c r="G38" s="9" t="s">
        <v>190</v>
      </c>
      <c r="H38" s="4" t="s">
        <v>191</v>
      </c>
      <c r="I38" s="4" t="s">
        <v>192</v>
      </c>
      <c r="J38" s="4" t="s">
        <v>193</v>
      </c>
      <c r="K38" s="5" t="s">
        <v>194</v>
      </c>
      <c r="L38" s="5" t="s">
        <v>192</v>
      </c>
      <c r="M38" s="5" t="s">
        <v>193</v>
      </c>
      <c r="O38" s="17"/>
      <c r="Q38" s="17"/>
      <c r="S38" s="12" t="s">
        <v>1</v>
      </c>
      <c r="T38" s="13" t="str">
        <f>VLOOKUP(LOWER(V37),experiments_specs!$A:$J,2,FALSE)</f>
        <v>NN,VB,VBD,VBG,VBN,VBP,VBZ</v>
      </c>
      <c r="U38" s="16" t="str">
        <f>"{"&amp;LOWER(V37)&amp;".csv}"</f>
        <v>{test_10.csv}</v>
      </c>
      <c r="V38" s="9" t="s">
        <v>190</v>
      </c>
      <c r="W38" s="4" t="s">
        <v>191</v>
      </c>
      <c r="X38" s="4" t="s">
        <v>192</v>
      </c>
      <c r="Y38" s="4" t="s">
        <v>193</v>
      </c>
      <c r="Z38" s="5" t="s">
        <v>194</v>
      </c>
      <c r="AA38" s="5" t="s">
        <v>192</v>
      </c>
      <c r="AB38" s="5" t="s">
        <v>193</v>
      </c>
      <c r="AD38" s="17"/>
      <c r="AF38" s="17"/>
      <c r="AH38" s="12" t="s">
        <v>1</v>
      </c>
      <c r="AI38" s="13" t="str">
        <f>VLOOKUP(LOWER(AK37),experiments_specs!$A:$J,2,FALSE)</f>
        <v>NN,VB,VBD,VBG,VBN,VBP,VBZ</v>
      </c>
      <c r="AJ38" s="16" t="str">
        <f>"{"&amp;LOWER(AK37)&amp;".csv}"</f>
        <v>{test_16.csv}</v>
      </c>
      <c r="AK38" s="9" t="s">
        <v>190</v>
      </c>
      <c r="AL38" s="4" t="s">
        <v>191</v>
      </c>
      <c r="AM38" s="4" t="s">
        <v>192</v>
      </c>
      <c r="AN38" s="4" t="s">
        <v>193</v>
      </c>
      <c r="AO38" s="5" t="s">
        <v>194</v>
      </c>
      <c r="AP38" s="5" t="s">
        <v>192</v>
      </c>
      <c r="AQ38" s="5" t="s">
        <v>193</v>
      </c>
      <c r="AS38" s="17"/>
    </row>
    <row r="39" spans="2:45" x14ac:dyDescent="0.2">
      <c r="B39" s="17"/>
      <c r="D39" s="12" t="s">
        <v>2</v>
      </c>
      <c r="E39" s="13">
        <f>VLOOKUP(LOWER(G37),experiments_specs!$A:$J,3,FALSE)</f>
        <v>1</v>
      </c>
      <c r="F39" s="16" t="s">
        <v>136</v>
      </c>
      <c r="G39" s="6"/>
      <c r="H39" s="18"/>
      <c r="I39" s="18"/>
      <c r="J39" s="26"/>
      <c r="K39" s="22"/>
      <c r="L39" s="22"/>
      <c r="M39" s="29"/>
      <c r="O39" s="17"/>
      <c r="Q39" s="17"/>
      <c r="S39" s="12" t="s">
        <v>2</v>
      </c>
      <c r="T39" s="13">
        <f>VLOOKUP(LOWER(V37),experiments_specs!$A:$J,3,FALSE)</f>
        <v>1</v>
      </c>
      <c r="U39" s="16" t="s">
        <v>145</v>
      </c>
      <c r="V39" s="6" t="s">
        <v>19</v>
      </c>
      <c r="W39" s="18"/>
      <c r="X39" s="18"/>
      <c r="Y39" s="26"/>
      <c r="Z39" s="22"/>
      <c r="AA39" s="22"/>
      <c r="AB39" s="29"/>
      <c r="AD39" s="17"/>
      <c r="AF39" s="17"/>
      <c r="AH39" s="12" t="s">
        <v>2</v>
      </c>
      <c r="AI39" s="13">
        <f>VLOOKUP(LOWER(AK37),experiments_specs!$A:$J,3,FALSE)</f>
        <v>1</v>
      </c>
      <c r="AJ39" s="16" t="s">
        <v>151</v>
      </c>
      <c r="AK39" s="6"/>
      <c r="AL39" s="18"/>
      <c r="AM39" s="18"/>
      <c r="AN39" s="26"/>
      <c r="AO39" s="22"/>
      <c r="AP39" s="22"/>
      <c r="AQ39" s="29"/>
      <c r="AS39" s="17"/>
    </row>
    <row r="40" spans="2:45" x14ac:dyDescent="0.2">
      <c r="B40" s="17"/>
      <c r="D40" s="12" t="s">
        <v>3</v>
      </c>
      <c r="E40" s="13">
        <f>VLOOKUP(LOWER(G37),experiments_specs!$A:$J,4,FALSE)</f>
        <v>2</v>
      </c>
      <c r="F40" s="16" t="s">
        <v>136</v>
      </c>
      <c r="G40" s="7"/>
      <c r="H40" s="20"/>
      <c r="I40" s="20"/>
      <c r="J40" s="27"/>
      <c r="K40" s="23"/>
      <c r="L40" s="23"/>
      <c r="M40" s="30"/>
      <c r="O40" s="17"/>
      <c r="Q40" s="17"/>
      <c r="S40" s="12" t="s">
        <v>3</v>
      </c>
      <c r="T40" s="13">
        <f>VLOOKUP(LOWER(V37),experiments_specs!$A:$J,4,FALSE)</f>
        <v>2</v>
      </c>
      <c r="U40" s="16" t="s">
        <v>145</v>
      </c>
      <c r="V40" s="7" t="s">
        <v>12</v>
      </c>
      <c r="W40" s="20"/>
      <c r="X40" s="20"/>
      <c r="Y40" s="27"/>
      <c r="Z40" s="23"/>
      <c r="AA40" s="23"/>
      <c r="AB40" s="30"/>
      <c r="AD40" s="17"/>
      <c r="AF40" s="17"/>
      <c r="AH40" s="12" t="s">
        <v>3</v>
      </c>
      <c r="AI40" s="13">
        <f>VLOOKUP(LOWER(AK37),experiments_specs!$A:$J,4,FALSE)</f>
        <v>2</v>
      </c>
      <c r="AJ40" s="16" t="s">
        <v>151</v>
      </c>
      <c r="AK40" s="7"/>
      <c r="AL40" s="20"/>
      <c r="AM40" s="20"/>
      <c r="AN40" s="27"/>
      <c r="AO40" s="23"/>
      <c r="AP40" s="23"/>
      <c r="AQ40" s="30"/>
      <c r="AS40" s="17"/>
    </row>
    <row r="41" spans="2:45" x14ac:dyDescent="0.2">
      <c r="B41" s="17"/>
      <c r="D41" s="12" t="s">
        <v>4</v>
      </c>
      <c r="E41" s="13" t="str">
        <f>VLOOKUP(LOWER(G37),experiments_specs!$A:$J,5,FALSE)</f>
        <v>False</v>
      </c>
      <c r="F41" s="16" t="s">
        <v>136</v>
      </c>
      <c r="G41" s="7"/>
      <c r="H41" s="20"/>
      <c r="I41" s="20"/>
      <c r="J41" s="27"/>
      <c r="K41" s="23"/>
      <c r="L41" s="23"/>
      <c r="M41" s="30"/>
      <c r="O41" s="17"/>
      <c r="Q41" s="17"/>
      <c r="S41" s="12" t="s">
        <v>4</v>
      </c>
      <c r="T41" s="13" t="str">
        <f>VLOOKUP(LOWER(V37),experiments_specs!$A:$J,5,FALSE)</f>
        <v>True</v>
      </c>
      <c r="U41" s="16" t="s">
        <v>145</v>
      </c>
      <c r="V41" s="7" t="s">
        <v>13</v>
      </c>
      <c r="W41" s="20"/>
      <c r="X41" s="20"/>
      <c r="Y41" s="27"/>
      <c r="Z41" s="23"/>
      <c r="AA41" s="23"/>
      <c r="AB41" s="30"/>
      <c r="AD41" s="17"/>
      <c r="AF41" s="17"/>
      <c r="AH41" s="12" t="s">
        <v>4</v>
      </c>
      <c r="AI41" s="13" t="str">
        <f>VLOOKUP(LOWER(AK37),experiments_specs!$A:$J,5,FALSE)</f>
        <v>True</v>
      </c>
      <c r="AJ41" s="16" t="s">
        <v>151</v>
      </c>
      <c r="AK41" s="7"/>
      <c r="AL41" s="20"/>
      <c r="AM41" s="20"/>
      <c r="AN41" s="27"/>
      <c r="AO41" s="24"/>
      <c r="AP41" s="24"/>
      <c r="AQ41" s="30"/>
      <c r="AS41" s="17"/>
    </row>
    <row r="42" spans="2:45" x14ac:dyDescent="0.2">
      <c r="B42" s="17"/>
      <c r="D42" s="12" t="s">
        <v>5</v>
      </c>
      <c r="E42" s="13" t="str">
        <f>VLOOKUP(LOWER(G37),experiments_specs!$A:$J,6,FALSE)</f>
        <v>True</v>
      </c>
      <c r="F42" s="16" t="s">
        <v>136</v>
      </c>
      <c r="G42" s="7"/>
      <c r="H42" s="20"/>
      <c r="I42" s="20"/>
      <c r="J42" s="27"/>
      <c r="K42" s="23"/>
      <c r="L42" s="23"/>
      <c r="M42" s="30"/>
      <c r="O42" s="17"/>
      <c r="Q42" s="17"/>
      <c r="S42" s="12" t="s">
        <v>5</v>
      </c>
      <c r="T42" s="13" t="str">
        <f>VLOOKUP(LOWER(V37),experiments_specs!$A:$J,6,FALSE)</f>
        <v>True</v>
      </c>
      <c r="U42" s="16" t="s">
        <v>145</v>
      </c>
      <c r="V42" s="7" t="s">
        <v>14</v>
      </c>
      <c r="W42" s="19"/>
      <c r="X42" s="19"/>
      <c r="Y42" s="27"/>
      <c r="Z42" s="24"/>
      <c r="AA42" s="24"/>
      <c r="AB42" s="30"/>
      <c r="AD42" s="17"/>
      <c r="AF42" s="17"/>
      <c r="AH42" s="12" t="s">
        <v>5</v>
      </c>
      <c r="AI42" s="13" t="str">
        <f>VLOOKUP(LOWER(AK37),experiments_specs!$A:$J,6,FALSE)</f>
        <v>True</v>
      </c>
      <c r="AJ42" s="16" t="s">
        <v>151</v>
      </c>
      <c r="AK42" s="7"/>
      <c r="AL42" s="19"/>
      <c r="AM42" s="19"/>
      <c r="AN42" s="27"/>
      <c r="AO42" s="24"/>
      <c r="AP42" s="24"/>
      <c r="AQ42" s="30"/>
      <c r="AS42" s="17"/>
    </row>
    <row r="43" spans="2:45" x14ac:dyDescent="0.2">
      <c r="B43" s="17"/>
      <c r="D43" s="12" t="s">
        <v>6</v>
      </c>
      <c r="E43" s="13" t="str">
        <f>VLOOKUP(LOWER(G37),experiments_specs!$A:$J,7,FALSE)</f>
        <v>False</v>
      </c>
      <c r="F43" s="16" t="s">
        <v>136</v>
      </c>
      <c r="G43" s="7"/>
      <c r="H43" s="20"/>
      <c r="I43" s="20"/>
      <c r="J43" s="27"/>
      <c r="K43" s="24"/>
      <c r="L43" s="24"/>
      <c r="M43" s="30"/>
      <c r="O43" s="17"/>
      <c r="Q43" s="17"/>
      <c r="S43" s="12" t="s">
        <v>6</v>
      </c>
      <c r="T43" s="13" t="str">
        <f>VLOOKUP(LOWER(V37),experiments_specs!$A:$J,7,FALSE)</f>
        <v>False</v>
      </c>
      <c r="U43" s="16" t="s">
        <v>145</v>
      </c>
      <c r="V43" s="7" t="s">
        <v>15</v>
      </c>
      <c r="W43" s="20"/>
      <c r="X43" s="20"/>
      <c r="Y43" s="27"/>
      <c r="Z43" s="24"/>
      <c r="AA43" s="24"/>
      <c r="AB43" s="30"/>
      <c r="AD43" s="17"/>
      <c r="AF43" s="17"/>
      <c r="AH43" s="12" t="s">
        <v>6</v>
      </c>
      <c r="AI43" s="13" t="str">
        <f>VLOOKUP(LOWER(AK37),experiments_specs!$A:$J,7,FALSE)</f>
        <v>False</v>
      </c>
      <c r="AJ43" s="16" t="s">
        <v>151</v>
      </c>
      <c r="AK43" s="7"/>
      <c r="AL43" s="20"/>
      <c r="AM43" s="20"/>
      <c r="AN43" s="27"/>
      <c r="AO43" s="24"/>
      <c r="AP43" s="24"/>
      <c r="AQ43" s="30"/>
      <c r="AS43" s="17"/>
    </row>
    <row r="44" spans="2:45" x14ac:dyDescent="0.2">
      <c r="B44" s="17"/>
      <c r="D44" s="12" t="s">
        <v>7</v>
      </c>
      <c r="E44" s="13" t="str">
        <f>VLOOKUP(LOWER(G37),experiments_specs!$A:$J,8,FALSE)</f>
        <v>False</v>
      </c>
      <c r="F44" s="16" t="s">
        <v>136</v>
      </c>
      <c r="G44" s="7"/>
      <c r="H44" s="20"/>
      <c r="I44" s="20"/>
      <c r="J44" s="27"/>
      <c r="K44" s="24"/>
      <c r="L44" s="24"/>
      <c r="M44" s="30"/>
      <c r="O44" s="17"/>
      <c r="Q44" s="17"/>
      <c r="S44" s="12" t="s">
        <v>7</v>
      </c>
      <c r="T44" s="13" t="str">
        <f>VLOOKUP(LOWER(V37),experiments_specs!$A:$J,8,FALSE)</f>
        <v>False</v>
      </c>
      <c r="U44" s="16" t="s">
        <v>145</v>
      </c>
      <c r="V44" s="7" t="s">
        <v>16</v>
      </c>
      <c r="W44" s="20"/>
      <c r="X44" s="20"/>
      <c r="Y44" s="27"/>
      <c r="Z44" s="24"/>
      <c r="AA44" s="24"/>
      <c r="AB44" s="30"/>
      <c r="AD44" s="17"/>
      <c r="AF44" s="17"/>
      <c r="AH44" s="12" t="s">
        <v>7</v>
      </c>
      <c r="AI44" s="13" t="str">
        <f>VLOOKUP(LOWER(AK37),experiments_specs!$A:$J,8,FALSE)</f>
        <v>False</v>
      </c>
      <c r="AJ44" s="16" t="s">
        <v>151</v>
      </c>
      <c r="AK44" s="7"/>
      <c r="AL44" s="20"/>
      <c r="AM44" s="20"/>
      <c r="AN44" s="27"/>
      <c r="AO44" s="24"/>
      <c r="AP44" s="24"/>
      <c r="AQ44" s="30"/>
      <c r="AS44" s="17"/>
    </row>
    <row r="45" spans="2:45" x14ac:dyDescent="0.2">
      <c r="B45" s="17"/>
      <c r="D45" s="12" t="s">
        <v>8</v>
      </c>
      <c r="E45" s="13" t="str">
        <f>VLOOKUP(LOWER(G37),experiments_specs!$A:$J,9,FALSE)</f>
        <v>wup_similarity</v>
      </c>
      <c r="F45" s="16" t="s">
        <v>136</v>
      </c>
      <c r="G45" s="7"/>
      <c r="H45" s="20"/>
      <c r="I45" s="20"/>
      <c r="J45" s="27"/>
      <c r="K45" s="23"/>
      <c r="L45" s="23"/>
      <c r="M45" s="30"/>
      <c r="O45" s="17"/>
      <c r="Q45" s="17"/>
      <c r="S45" s="12" t="s">
        <v>8</v>
      </c>
      <c r="T45" s="13" t="str">
        <f>VLOOKUP(LOWER(V37),experiments_specs!$A:$J,9,FALSE)</f>
        <v>wup_similarity</v>
      </c>
      <c r="U45" s="16" t="s">
        <v>145</v>
      </c>
      <c r="V45" s="7" t="s">
        <v>17</v>
      </c>
      <c r="W45" s="20"/>
      <c r="X45" s="20"/>
      <c r="Y45" s="27"/>
      <c r="Z45" s="23"/>
      <c r="AA45" s="23"/>
      <c r="AB45" s="30"/>
      <c r="AD45" s="17"/>
      <c r="AF45" s="17"/>
      <c r="AH45" s="12" t="s">
        <v>8</v>
      </c>
      <c r="AI45" s="13" t="str">
        <f>VLOOKUP(LOWER(AK37),experiments_specs!$A:$J,9,FALSE)</f>
        <v>wup_similarity</v>
      </c>
      <c r="AJ45" s="16" t="s">
        <v>151</v>
      </c>
      <c r="AK45" s="7"/>
      <c r="AL45" s="19"/>
      <c r="AM45" s="19"/>
      <c r="AN45" s="27"/>
      <c r="AO45" s="24"/>
      <c r="AP45" s="24"/>
      <c r="AQ45" s="30"/>
      <c r="AS45" s="17"/>
    </row>
    <row r="46" spans="2:45" x14ac:dyDescent="0.2">
      <c r="B46" s="17"/>
      <c r="D46" s="12" t="s">
        <v>9</v>
      </c>
      <c r="E46" s="13" t="str">
        <f>VLOOKUP(LOWER(G37),experiments_specs!$A:$J,10,FALSE)</f>
        <v>False</v>
      </c>
      <c r="F46" s="16" t="s">
        <v>136</v>
      </c>
      <c r="G46" s="8"/>
      <c r="H46" s="21"/>
      <c r="I46" s="21"/>
      <c r="J46" s="28"/>
      <c r="K46" s="25"/>
      <c r="L46" s="25"/>
      <c r="M46" s="31"/>
      <c r="O46" s="17"/>
      <c r="Q46" s="17"/>
      <c r="S46" s="12" t="s">
        <v>9</v>
      </c>
      <c r="T46" s="13" t="str">
        <f>VLOOKUP(LOWER(V37),experiments_specs!$A:$J,10,FALSE)</f>
        <v>False</v>
      </c>
      <c r="U46" s="16" t="s">
        <v>145</v>
      </c>
      <c r="V46" s="8" t="s">
        <v>18</v>
      </c>
      <c r="W46" s="21"/>
      <c r="X46" s="21"/>
      <c r="Y46" s="28"/>
      <c r="Z46" s="25"/>
      <c r="AA46" s="25"/>
      <c r="AB46" s="31"/>
      <c r="AD46" s="17"/>
      <c r="AF46" s="17"/>
      <c r="AH46" s="12" t="s">
        <v>9</v>
      </c>
      <c r="AI46" s="13" t="str">
        <f>VLOOKUP(LOWER(AK37),experiments_specs!$A:$J,10,FALSE)</f>
        <v>True</v>
      </c>
      <c r="AJ46" s="16" t="s">
        <v>151</v>
      </c>
      <c r="AK46" s="8"/>
      <c r="AL46" s="21"/>
      <c r="AM46" s="21"/>
      <c r="AN46" s="28"/>
      <c r="AO46" s="25"/>
      <c r="AP46" s="25"/>
      <c r="AQ46" s="31"/>
      <c r="AS46" s="17"/>
    </row>
    <row r="47" spans="2:45" ht="17" thickBot="1" x14ac:dyDescent="0.25">
      <c r="B47" s="17"/>
      <c r="O47" s="17"/>
      <c r="Q47" s="17"/>
      <c r="AD47" s="17"/>
      <c r="AF47" s="17"/>
      <c r="AS47" s="17"/>
    </row>
    <row r="48" spans="2:45" ht="20" thickBot="1" x14ac:dyDescent="0.3">
      <c r="B48" s="17"/>
      <c r="D48" s="14" t="s">
        <v>198</v>
      </c>
      <c r="E48" s="15"/>
      <c r="F48" s="10"/>
      <c r="G48" s="11" t="str">
        <f>"TEST_"&amp;TEXT(RIGHT(G37,2)+1, "00")</f>
        <v>TEST_05</v>
      </c>
      <c r="H48" s="36" t="s">
        <v>196</v>
      </c>
      <c r="I48" s="36"/>
      <c r="J48" s="36"/>
      <c r="K48" s="37" t="s">
        <v>195</v>
      </c>
      <c r="L48" s="37"/>
      <c r="M48" s="37"/>
      <c r="N48" s="3"/>
      <c r="O48" s="17"/>
      <c r="Q48" s="17"/>
      <c r="S48" s="14" t="s">
        <v>198</v>
      </c>
      <c r="T48" s="15"/>
      <c r="U48" s="10"/>
      <c r="V48" s="11" t="str">
        <f>"TEST_"&amp;TEXT(RIGHT(V37,2)+1, "00")</f>
        <v>TEST_11</v>
      </c>
      <c r="W48" s="36" t="s">
        <v>196</v>
      </c>
      <c r="X48" s="36"/>
      <c r="Y48" s="36"/>
      <c r="Z48" s="37" t="s">
        <v>195</v>
      </c>
      <c r="AA48" s="37"/>
      <c r="AB48" s="37"/>
      <c r="AC48" s="3"/>
      <c r="AD48" s="17"/>
      <c r="AF48" s="17"/>
      <c r="AH48" s="14" t="s">
        <v>198</v>
      </c>
      <c r="AI48" s="15"/>
      <c r="AJ48" s="10"/>
      <c r="AK48" s="11" t="str">
        <f>"TEST_"&amp;TEXT(RIGHT(AK37,2)+1, "00")</f>
        <v>TEST_17</v>
      </c>
      <c r="AL48" s="36" t="s">
        <v>196</v>
      </c>
      <c r="AM48" s="36"/>
      <c r="AN48" s="36"/>
      <c r="AO48" s="37" t="s">
        <v>195</v>
      </c>
      <c r="AP48" s="37"/>
      <c r="AQ48" s="37"/>
      <c r="AR48" s="3"/>
      <c r="AS48" s="17"/>
    </row>
    <row r="49" spans="2:45" x14ac:dyDescent="0.2">
      <c r="B49" s="17"/>
      <c r="D49" s="12" t="s">
        <v>1</v>
      </c>
      <c r="E49" s="13" t="str">
        <f>VLOOKUP(LOWER(G48),experiments_specs!$A:$J,2,FALSE)</f>
        <v>NN,RB</v>
      </c>
      <c r="F49" s="16" t="str">
        <f>"{"&amp;LOWER(G48)&amp;".csv}"</f>
        <v>{test_05.csv}</v>
      </c>
      <c r="G49" s="9" t="s">
        <v>190</v>
      </c>
      <c r="H49" s="4" t="s">
        <v>191</v>
      </c>
      <c r="I49" s="4" t="s">
        <v>192</v>
      </c>
      <c r="J49" s="4" t="s">
        <v>193</v>
      </c>
      <c r="K49" s="5" t="s">
        <v>194</v>
      </c>
      <c r="L49" s="5" t="s">
        <v>192</v>
      </c>
      <c r="M49" s="5" t="s">
        <v>193</v>
      </c>
      <c r="O49" s="17"/>
      <c r="Q49" s="17"/>
      <c r="S49" s="12" t="s">
        <v>1</v>
      </c>
      <c r="T49" s="13" t="str">
        <f>VLOOKUP(LOWER(V48),experiments_specs!$A:$J,2,FALSE)</f>
        <v>NN,RB</v>
      </c>
      <c r="U49" s="16" t="str">
        <f>"{"&amp;LOWER(V48)&amp;".csv}"</f>
        <v>{test_11.csv}</v>
      </c>
      <c r="V49" s="9" t="s">
        <v>190</v>
      </c>
      <c r="W49" s="4" t="s">
        <v>191</v>
      </c>
      <c r="X49" s="4" t="s">
        <v>192</v>
      </c>
      <c r="Y49" s="4" t="s">
        <v>193</v>
      </c>
      <c r="Z49" s="5" t="s">
        <v>194</v>
      </c>
      <c r="AA49" s="5" t="s">
        <v>192</v>
      </c>
      <c r="AB49" s="5" t="s">
        <v>193</v>
      </c>
      <c r="AD49" s="17"/>
      <c r="AF49" s="17"/>
      <c r="AH49" s="12" t="s">
        <v>1</v>
      </c>
      <c r="AI49" s="13" t="str">
        <f>VLOOKUP(LOWER(AK48),experiments_specs!$A:$J,2,FALSE)</f>
        <v>NN,RB</v>
      </c>
      <c r="AJ49" s="16" t="str">
        <f>"{"&amp;LOWER(AK48)&amp;".csv}"</f>
        <v>{test_17.csv}</v>
      </c>
      <c r="AK49" s="9" t="s">
        <v>190</v>
      </c>
      <c r="AL49" s="4" t="s">
        <v>191</v>
      </c>
      <c r="AM49" s="4" t="s">
        <v>192</v>
      </c>
      <c r="AN49" s="4" t="s">
        <v>193</v>
      </c>
      <c r="AO49" s="5" t="s">
        <v>194</v>
      </c>
      <c r="AP49" s="5" t="s">
        <v>192</v>
      </c>
      <c r="AQ49" s="5" t="s">
        <v>193</v>
      </c>
      <c r="AS49" s="17"/>
    </row>
    <row r="50" spans="2:45" x14ac:dyDescent="0.2">
      <c r="B50" s="17"/>
      <c r="D50" s="12" t="s">
        <v>2</v>
      </c>
      <c r="E50" s="13">
        <f>VLOOKUP(LOWER(G48),experiments_specs!$A:$J,3,FALSE)</f>
        <v>1</v>
      </c>
      <c r="F50" s="16" t="s">
        <v>138</v>
      </c>
      <c r="G50" s="6"/>
      <c r="H50" s="18"/>
      <c r="I50" s="18"/>
      <c r="J50" s="26"/>
      <c r="K50" s="22"/>
      <c r="L50" s="22"/>
      <c r="M50" s="29"/>
      <c r="O50" s="17"/>
      <c r="Q50" s="17"/>
      <c r="S50" s="12" t="s">
        <v>2</v>
      </c>
      <c r="T50" s="13">
        <f>VLOOKUP(LOWER(V48),experiments_specs!$A:$J,3,FALSE)</f>
        <v>1</v>
      </c>
      <c r="U50" s="16" t="s">
        <v>146</v>
      </c>
      <c r="V50" s="6" t="s">
        <v>19</v>
      </c>
      <c r="W50" s="18"/>
      <c r="X50" s="18"/>
      <c r="Y50" s="26"/>
      <c r="Z50" s="22"/>
      <c r="AA50" s="22"/>
      <c r="AB50" s="29"/>
      <c r="AD50" s="17"/>
      <c r="AF50" s="17"/>
      <c r="AH50" s="12" t="s">
        <v>2</v>
      </c>
      <c r="AI50" s="13">
        <f>VLOOKUP(LOWER(AK48),experiments_specs!$A:$J,3,FALSE)</f>
        <v>1</v>
      </c>
      <c r="AJ50" s="16" t="s">
        <v>152</v>
      </c>
      <c r="AK50" s="6"/>
      <c r="AL50" s="18"/>
      <c r="AM50" s="18"/>
      <c r="AN50" s="26"/>
      <c r="AO50" s="22"/>
      <c r="AP50" s="22"/>
      <c r="AQ50" s="29"/>
      <c r="AS50" s="17"/>
    </row>
    <row r="51" spans="2:45" x14ac:dyDescent="0.2">
      <c r="B51" s="17"/>
      <c r="D51" s="12" t="s">
        <v>3</v>
      </c>
      <c r="E51" s="13">
        <f>VLOOKUP(LOWER(G48),experiments_specs!$A:$J,4,FALSE)</f>
        <v>2</v>
      </c>
      <c r="F51" s="16" t="s">
        <v>138</v>
      </c>
      <c r="G51" s="7"/>
      <c r="H51" s="20"/>
      <c r="I51" s="20"/>
      <c r="J51" s="27"/>
      <c r="K51" s="23"/>
      <c r="L51" s="23"/>
      <c r="M51" s="30"/>
      <c r="O51" s="17"/>
      <c r="Q51" s="17"/>
      <c r="S51" s="12" t="s">
        <v>3</v>
      </c>
      <c r="T51" s="13">
        <f>VLOOKUP(LOWER(V48),experiments_specs!$A:$J,4,FALSE)</f>
        <v>2</v>
      </c>
      <c r="U51" s="16" t="s">
        <v>146</v>
      </c>
      <c r="V51" s="7" t="s">
        <v>12</v>
      </c>
      <c r="W51" s="20"/>
      <c r="X51" s="20"/>
      <c r="Y51" s="27"/>
      <c r="Z51" s="23"/>
      <c r="AA51" s="23"/>
      <c r="AB51" s="30"/>
      <c r="AD51" s="17"/>
      <c r="AF51" s="17"/>
      <c r="AH51" s="12" t="s">
        <v>3</v>
      </c>
      <c r="AI51" s="13">
        <f>VLOOKUP(LOWER(AK48),experiments_specs!$A:$J,4,FALSE)</f>
        <v>2</v>
      </c>
      <c r="AJ51" s="16" t="s">
        <v>152</v>
      </c>
      <c r="AK51" s="7"/>
      <c r="AL51" s="20"/>
      <c r="AM51" s="20"/>
      <c r="AN51" s="27"/>
      <c r="AO51" s="23"/>
      <c r="AP51" s="23"/>
      <c r="AQ51" s="30"/>
      <c r="AS51" s="17"/>
    </row>
    <row r="52" spans="2:45" x14ac:dyDescent="0.2">
      <c r="B52" s="17"/>
      <c r="D52" s="12" t="s">
        <v>4</v>
      </c>
      <c r="E52" s="13" t="str">
        <f>VLOOKUP(LOWER(G48),experiments_specs!$A:$J,5,FALSE)</f>
        <v>False</v>
      </c>
      <c r="F52" s="16" t="s">
        <v>138</v>
      </c>
      <c r="G52" s="7"/>
      <c r="H52" s="20"/>
      <c r="I52" s="20"/>
      <c r="J52" s="27"/>
      <c r="K52" s="23"/>
      <c r="L52" s="23"/>
      <c r="M52" s="30"/>
      <c r="O52" s="17"/>
      <c r="Q52" s="17"/>
      <c r="S52" s="12" t="s">
        <v>4</v>
      </c>
      <c r="T52" s="13" t="str">
        <f>VLOOKUP(LOWER(V48),experiments_specs!$A:$J,5,FALSE)</f>
        <v>True</v>
      </c>
      <c r="U52" s="16" t="s">
        <v>146</v>
      </c>
      <c r="V52" s="7" t="s">
        <v>13</v>
      </c>
      <c r="W52" s="20"/>
      <c r="X52" s="20"/>
      <c r="Y52" s="27"/>
      <c r="Z52" s="23"/>
      <c r="AA52" s="23"/>
      <c r="AB52" s="30"/>
      <c r="AD52" s="17"/>
      <c r="AF52" s="17"/>
      <c r="AH52" s="12" t="s">
        <v>4</v>
      </c>
      <c r="AI52" s="13" t="str">
        <f>VLOOKUP(LOWER(AK48),experiments_specs!$A:$J,5,FALSE)</f>
        <v>True</v>
      </c>
      <c r="AJ52" s="16" t="s">
        <v>152</v>
      </c>
      <c r="AK52" s="7"/>
      <c r="AL52" s="20"/>
      <c r="AM52" s="20"/>
      <c r="AN52" s="27"/>
      <c r="AO52" s="23"/>
      <c r="AP52" s="23"/>
      <c r="AQ52" s="30"/>
      <c r="AS52" s="17"/>
    </row>
    <row r="53" spans="2:45" x14ac:dyDescent="0.2">
      <c r="B53" s="17"/>
      <c r="D53" s="12" t="s">
        <v>5</v>
      </c>
      <c r="E53" s="13" t="str">
        <f>VLOOKUP(LOWER(G48),experiments_specs!$A:$J,6,FALSE)</f>
        <v>True</v>
      </c>
      <c r="F53" s="16" t="s">
        <v>138</v>
      </c>
      <c r="G53" s="7"/>
      <c r="H53" s="20"/>
      <c r="I53" s="20"/>
      <c r="J53" s="27"/>
      <c r="K53" s="23"/>
      <c r="L53" s="23"/>
      <c r="M53" s="30"/>
      <c r="O53" s="17"/>
      <c r="Q53" s="17"/>
      <c r="S53" s="12" t="s">
        <v>5</v>
      </c>
      <c r="T53" s="13" t="str">
        <f>VLOOKUP(LOWER(V48),experiments_specs!$A:$J,6,FALSE)</f>
        <v>True</v>
      </c>
      <c r="U53" s="16" t="s">
        <v>146</v>
      </c>
      <c r="V53" s="7" t="s">
        <v>14</v>
      </c>
      <c r="W53" s="19"/>
      <c r="X53" s="19"/>
      <c r="Y53" s="27"/>
      <c r="Z53" s="24"/>
      <c r="AA53" s="24"/>
      <c r="AB53" s="30"/>
      <c r="AD53" s="17"/>
      <c r="AF53" s="17"/>
      <c r="AH53" s="12" t="s">
        <v>5</v>
      </c>
      <c r="AI53" s="13" t="str">
        <f>VLOOKUP(LOWER(AK48),experiments_specs!$A:$J,6,FALSE)</f>
        <v>True</v>
      </c>
      <c r="AJ53" s="16" t="s">
        <v>152</v>
      </c>
      <c r="AK53" s="7"/>
      <c r="AL53" s="19"/>
      <c r="AM53" s="19"/>
      <c r="AN53" s="27"/>
      <c r="AO53" s="24"/>
      <c r="AP53" s="24"/>
      <c r="AQ53" s="30"/>
      <c r="AS53" s="17"/>
    </row>
    <row r="54" spans="2:45" x14ac:dyDescent="0.2">
      <c r="B54" s="17"/>
      <c r="D54" s="12" t="s">
        <v>6</v>
      </c>
      <c r="E54" s="13" t="str">
        <f>VLOOKUP(LOWER(G48),experiments_specs!$A:$J,7,FALSE)</f>
        <v>False</v>
      </c>
      <c r="F54" s="16" t="s">
        <v>138</v>
      </c>
      <c r="G54" s="7"/>
      <c r="H54" s="20"/>
      <c r="I54" s="20"/>
      <c r="J54" s="27"/>
      <c r="K54" s="24"/>
      <c r="L54" s="24"/>
      <c r="M54" s="30"/>
      <c r="O54" s="17"/>
      <c r="Q54" s="17"/>
      <c r="S54" s="12" t="s">
        <v>6</v>
      </c>
      <c r="T54" s="13" t="str">
        <f>VLOOKUP(LOWER(V48),experiments_specs!$A:$J,7,FALSE)</f>
        <v>False</v>
      </c>
      <c r="U54" s="16" t="s">
        <v>146</v>
      </c>
      <c r="V54" s="7" t="s">
        <v>15</v>
      </c>
      <c r="W54" s="20"/>
      <c r="X54" s="20"/>
      <c r="Y54" s="27"/>
      <c r="Z54" s="24"/>
      <c r="AA54" s="24"/>
      <c r="AB54" s="30"/>
      <c r="AD54" s="17"/>
      <c r="AF54" s="17"/>
      <c r="AH54" s="12" t="s">
        <v>6</v>
      </c>
      <c r="AI54" s="13" t="str">
        <f>VLOOKUP(LOWER(AK48),experiments_specs!$A:$J,7,FALSE)</f>
        <v>False</v>
      </c>
      <c r="AJ54" s="16" t="s">
        <v>152</v>
      </c>
      <c r="AK54" s="7"/>
      <c r="AL54" s="20"/>
      <c r="AM54" s="20"/>
      <c r="AN54" s="27"/>
      <c r="AO54" s="24"/>
      <c r="AP54" s="24"/>
      <c r="AQ54" s="30"/>
      <c r="AS54" s="17"/>
    </row>
    <row r="55" spans="2:45" x14ac:dyDescent="0.2">
      <c r="B55" s="17"/>
      <c r="D55" s="12" t="s">
        <v>7</v>
      </c>
      <c r="E55" s="13" t="str">
        <f>VLOOKUP(LOWER(G48),experiments_specs!$A:$J,8,FALSE)</f>
        <v>False</v>
      </c>
      <c r="F55" s="16" t="s">
        <v>138</v>
      </c>
      <c r="G55" s="7"/>
      <c r="H55" s="20"/>
      <c r="I55" s="20"/>
      <c r="J55" s="27"/>
      <c r="K55" s="24"/>
      <c r="L55" s="24"/>
      <c r="M55" s="30"/>
      <c r="O55" s="17"/>
      <c r="Q55" s="17"/>
      <c r="S55" s="12" t="s">
        <v>7</v>
      </c>
      <c r="T55" s="13" t="str">
        <f>VLOOKUP(LOWER(V48),experiments_specs!$A:$J,8,FALSE)</f>
        <v>False</v>
      </c>
      <c r="U55" s="16" t="s">
        <v>146</v>
      </c>
      <c r="V55" s="7" t="s">
        <v>16</v>
      </c>
      <c r="W55" s="20"/>
      <c r="X55" s="20"/>
      <c r="Y55" s="27"/>
      <c r="Z55" s="24"/>
      <c r="AA55" s="24"/>
      <c r="AB55" s="30"/>
      <c r="AD55" s="17"/>
      <c r="AF55" s="17"/>
      <c r="AH55" s="12" t="s">
        <v>7</v>
      </c>
      <c r="AI55" s="13" t="str">
        <f>VLOOKUP(LOWER(AK48),experiments_specs!$A:$J,8,FALSE)</f>
        <v>False</v>
      </c>
      <c r="AJ55" s="16" t="s">
        <v>152</v>
      </c>
      <c r="AK55" s="7"/>
      <c r="AL55" s="20"/>
      <c r="AM55" s="20"/>
      <c r="AN55" s="27"/>
      <c r="AO55" s="24"/>
      <c r="AP55" s="24"/>
      <c r="AQ55" s="30"/>
      <c r="AS55" s="17"/>
    </row>
    <row r="56" spans="2:45" x14ac:dyDescent="0.2">
      <c r="B56" s="17"/>
      <c r="D56" s="12" t="s">
        <v>8</v>
      </c>
      <c r="E56" s="13" t="str">
        <f>VLOOKUP(LOWER(G48),experiments_specs!$A:$J,9,FALSE)</f>
        <v>wup_similarity</v>
      </c>
      <c r="F56" s="16" t="s">
        <v>138</v>
      </c>
      <c r="G56" s="7"/>
      <c r="H56" s="20"/>
      <c r="I56" s="20"/>
      <c r="J56" s="27"/>
      <c r="K56" s="23"/>
      <c r="L56" s="23"/>
      <c r="M56" s="30"/>
      <c r="O56" s="17"/>
      <c r="Q56" s="17"/>
      <c r="S56" s="12" t="s">
        <v>8</v>
      </c>
      <c r="T56" s="13" t="str">
        <f>VLOOKUP(LOWER(V48),experiments_specs!$A:$J,9,FALSE)</f>
        <v>wup_similarity</v>
      </c>
      <c r="U56" s="16" t="s">
        <v>146</v>
      </c>
      <c r="V56" s="7" t="s">
        <v>17</v>
      </c>
      <c r="W56" s="19"/>
      <c r="X56" s="19"/>
      <c r="Y56" s="27"/>
      <c r="Z56" s="24"/>
      <c r="AA56" s="24"/>
      <c r="AB56" s="30"/>
      <c r="AD56" s="17"/>
      <c r="AF56" s="17"/>
      <c r="AH56" s="12" t="s">
        <v>8</v>
      </c>
      <c r="AI56" s="13" t="str">
        <f>VLOOKUP(LOWER(AK48),experiments_specs!$A:$J,9,FALSE)</f>
        <v>wup_similarity</v>
      </c>
      <c r="AJ56" s="16" t="s">
        <v>152</v>
      </c>
      <c r="AK56" s="7"/>
      <c r="AL56" s="19"/>
      <c r="AM56" s="19"/>
      <c r="AN56" s="27"/>
      <c r="AO56" s="24"/>
      <c r="AP56" s="24"/>
      <c r="AQ56" s="30"/>
      <c r="AS56" s="17"/>
    </row>
    <row r="57" spans="2:45" x14ac:dyDescent="0.2">
      <c r="B57" s="17"/>
      <c r="D57" s="12" t="s">
        <v>9</v>
      </c>
      <c r="E57" s="13" t="str">
        <f>VLOOKUP(LOWER(G48),experiments_specs!$A:$J,10,FALSE)</f>
        <v>False</v>
      </c>
      <c r="F57" s="16" t="s">
        <v>138</v>
      </c>
      <c r="G57" s="8"/>
      <c r="H57" s="21"/>
      <c r="I57" s="21"/>
      <c r="J57" s="28"/>
      <c r="K57" s="25"/>
      <c r="L57" s="25"/>
      <c r="M57" s="31"/>
      <c r="O57" s="17"/>
      <c r="Q57" s="17"/>
      <c r="S57" s="12" t="s">
        <v>9</v>
      </c>
      <c r="T57" s="13" t="str">
        <f>VLOOKUP(LOWER(V48),experiments_specs!$A:$J,10,FALSE)</f>
        <v>False</v>
      </c>
      <c r="U57" s="16" t="s">
        <v>146</v>
      </c>
      <c r="V57" s="8" t="s">
        <v>18</v>
      </c>
      <c r="W57" s="21"/>
      <c r="X57" s="21"/>
      <c r="Y57" s="28"/>
      <c r="Z57" s="25"/>
      <c r="AA57" s="25"/>
      <c r="AB57" s="31"/>
      <c r="AD57" s="17"/>
      <c r="AF57" s="17"/>
      <c r="AH57" s="12" t="s">
        <v>9</v>
      </c>
      <c r="AI57" s="13" t="str">
        <f>VLOOKUP(LOWER(AK48),experiments_specs!$A:$J,10,FALSE)</f>
        <v>True</v>
      </c>
      <c r="AJ57" s="16" t="s">
        <v>152</v>
      </c>
      <c r="AK57" s="8"/>
      <c r="AL57" s="21"/>
      <c r="AM57" s="21"/>
      <c r="AN57" s="28"/>
      <c r="AO57" s="25"/>
      <c r="AP57" s="25"/>
      <c r="AQ57" s="31"/>
      <c r="AS57" s="17"/>
    </row>
    <row r="58" spans="2:45" ht="17" thickBot="1" x14ac:dyDescent="0.25">
      <c r="B58" s="17"/>
      <c r="O58" s="17"/>
      <c r="Q58" s="17"/>
      <c r="AD58" s="17"/>
      <c r="AF58" s="17"/>
      <c r="AS58" s="17"/>
    </row>
    <row r="59" spans="2:45" ht="20" thickBot="1" x14ac:dyDescent="0.3">
      <c r="B59" s="17"/>
      <c r="D59" s="14" t="s">
        <v>198</v>
      </c>
      <c r="E59" s="15"/>
      <c r="F59" s="10"/>
      <c r="G59" s="11" t="str">
        <f>"TEST_"&amp;TEXT(RIGHT(G48,2)+1, "00")</f>
        <v>TEST_06</v>
      </c>
      <c r="H59" s="36" t="s">
        <v>196</v>
      </c>
      <c r="I59" s="36"/>
      <c r="J59" s="36"/>
      <c r="K59" s="37" t="s">
        <v>195</v>
      </c>
      <c r="L59" s="37"/>
      <c r="M59" s="37"/>
      <c r="N59" s="3"/>
      <c r="O59" s="17"/>
      <c r="Q59" s="17"/>
      <c r="S59" s="14" t="s">
        <v>198</v>
      </c>
      <c r="T59" s="15"/>
      <c r="U59" s="10"/>
      <c r="V59" s="11" t="str">
        <f>"TEST_"&amp;TEXT(RIGHT(V48,2)+1, "00")</f>
        <v>TEST_12</v>
      </c>
      <c r="W59" s="36" t="s">
        <v>196</v>
      </c>
      <c r="X59" s="36"/>
      <c r="Y59" s="36"/>
      <c r="Z59" s="37" t="s">
        <v>195</v>
      </c>
      <c r="AA59" s="37"/>
      <c r="AB59" s="37"/>
      <c r="AC59" s="3"/>
      <c r="AD59" s="17"/>
      <c r="AF59" s="17"/>
      <c r="AH59" s="14" t="s">
        <v>198</v>
      </c>
      <c r="AI59" s="15"/>
      <c r="AJ59" s="10"/>
      <c r="AK59" s="11" t="str">
        <f>"TEST_"&amp;TEXT(RIGHT(AK48,2)+1, "00")</f>
        <v>TEST_18</v>
      </c>
      <c r="AL59" s="36" t="s">
        <v>196</v>
      </c>
      <c r="AM59" s="36"/>
      <c r="AN59" s="36"/>
      <c r="AO59" s="37" t="s">
        <v>195</v>
      </c>
      <c r="AP59" s="37"/>
      <c r="AQ59" s="37"/>
      <c r="AR59" s="3"/>
      <c r="AS59" s="17"/>
    </row>
    <row r="60" spans="2:45" x14ac:dyDescent="0.2">
      <c r="B60" s="17"/>
      <c r="D60" s="12" t="s">
        <v>1</v>
      </c>
      <c r="E60" s="13" t="str">
        <f>VLOOKUP(LOWER(G59),experiments_specs!$A:$J,2,FALSE)</f>
        <v>NN,JJ,VB,VBD,VBG,VBN,VBP,VBZ</v>
      </c>
      <c r="F60" s="16" t="str">
        <f>"{"&amp;LOWER(G59)&amp;".csv}"</f>
        <v>{test_06.csv}</v>
      </c>
      <c r="G60" s="9" t="s">
        <v>190</v>
      </c>
      <c r="H60" s="4" t="s">
        <v>191</v>
      </c>
      <c r="I60" s="4" t="s">
        <v>192</v>
      </c>
      <c r="J60" s="4" t="s">
        <v>193</v>
      </c>
      <c r="K60" s="5" t="s">
        <v>194</v>
      </c>
      <c r="L60" s="5" t="s">
        <v>192</v>
      </c>
      <c r="M60" s="5" t="s">
        <v>193</v>
      </c>
      <c r="O60" s="17"/>
      <c r="Q60" s="17"/>
      <c r="S60" s="12" t="s">
        <v>1</v>
      </c>
      <c r="T60" s="13" t="str">
        <f>VLOOKUP(LOWER(V59),experiments_specs!$A:$J,2,FALSE)</f>
        <v>NN,JJ,VB,VBD,VBG,VBN,VBP,VBZ</v>
      </c>
      <c r="U60" s="16" t="str">
        <f>"{"&amp;LOWER(V59)&amp;".csv}"</f>
        <v>{test_12.csv}</v>
      </c>
      <c r="V60" s="9" t="s">
        <v>190</v>
      </c>
      <c r="W60" s="4" t="s">
        <v>191</v>
      </c>
      <c r="X60" s="4" t="s">
        <v>192</v>
      </c>
      <c r="Y60" s="4" t="s">
        <v>193</v>
      </c>
      <c r="Z60" s="5" t="s">
        <v>194</v>
      </c>
      <c r="AA60" s="5" t="s">
        <v>192</v>
      </c>
      <c r="AB60" s="5" t="s">
        <v>193</v>
      </c>
      <c r="AD60" s="17"/>
      <c r="AF60" s="17"/>
      <c r="AH60" s="12" t="s">
        <v>1</v>
      </c>
      <c r="AI60" s="13" t="str">
        <f>VLOOKUP(LOWER(AK59),experiments_specs!$A:$J,2,FALSE)</f>
        <v>NN,JJ,VB,VBD,VBG,VBN,VBP,VBZ</v>
      </c>
      <c r="AJ60" s="16" t="str">
        <f>"{"&amp;LOWER(AK59)&amp;".csv}"</f>
        <v>{test_18.csv}</v>
      </c>
      <c r="AK60" s="9" t="s">
        <v>190</v>
      </c>
      <c r="AL60" s="4" t="s">
        <v>191</v>
      </c>
      <c r="AM60" s="4" t="s">
        <v>192</v>
      </c>
      <c r="AN60" s="4" t="s">
        <v>193</v>
      </c>
      <c r="AO60" s="5" t="s">
        <v>194</v>
      </c>
      <c r="AP60" s="5" t="s">
        <v>192</v>
      </c>
      <c r="AQ60" s="5" t="s">
        <v>193</v>
      </c>
      <c r="AS60" s="17"/>
    </row>
    <row r="61" spans="2:45" x14ac:dyDescent="0.2">
      <c r="B61" s="17"/>
      <c r="D61" s="12" t="s">
        <v>2</v>
      </c>
      <c r="E61" s="13">
        <f>VLOOKUP(LOWER(G59),experiments_specs!$A:$J,3,FALSE)</f>
        <v>1</v>
      </c>
      <c r="F61" s="16" t="s">
        <v>140</v>
      </c>
      <c r="G61" s="6"/>
      <c r="H61" s="18"/>
      <c r="I61" s="18"/>
      <c r="J61" s="26"/>
      <c r="K61" s="22"/>
      <c r="L61" s="22"/>
      <c r="M61" s="29"/>
      <c r="O61" s="17"/>
      <c r="Q61" s="17"/>
      <c r="S61" s="12" t="s">
        <v>2</v>
      </c>
      <c r="T61" s="13">
        <f>VLOOKUP(LOWER(V59),experiments_specs!$A:$J,3,FALSE)</f>
        <v>1</v>
      </c>
      <c r="U61" s="16" t="s">
        <v>147</v>
      </c>
      <c r="V61" s="6" t="s">
        <v>19</v>
      </c>
      <c r="W61" s="18"/>
      <c r="X61" s="18"/>
      <c r="Y61" s="26"/>
      <c r="Z61" s="22"/>
      <c r="AA61" s="22"/>
      <c r="AB61" s="29"/>
      <c r="AD61" s="17"/>
      <c r="AF61" s="17"/>
      <c r="AH61" s="12" t="s">
        <v>2</v>
      </c>
      <c r="AI61" s="13">
        <f>VLOOKUP(LOWER(AK59),experiments_specs!$A:$J,3,FALSE)</f>
        <v>1</v>
      </c>
      <c r="AJ61" s="16" t="s">
        <v>153</v>
      </c>
      <c r="AK61" s="6"/>
      <c r="AL61" s="18"/>
      <c r="AM61" s="18"/>
      <c r="AN61" s="26"/>
      <c r="AO61" s="22"/>
      <c r="AP61" s="22"/>
      <c r="AQ61" s="29"/>
      <c r="AS61" s="17"/>
    </row>
    <row r="62" spans="2:45" x14ac:dyDescent="0.2">
      <c r="B62" s="17"/>
      <c r="D62" s="12" t="s">
        <v>3</v>
      </c>
      <c r="E62" s="13">
        <f>VLOOKUP(LOWER(G59),experiments_specs!$A:$J,4,FALSE)</f>
        <v>2</v>
      </c>
      <c r="F62" s="16" t="s">
        <v>140</v>
      </c>
      <c r="G62" s="7"/>
      <c r="H62" s="20"/>
      <c r="I62" s="20"/>
      <c r="J62" s="27"/>
      <c r="K62" s="23"/>
      <c r="L62" s="23"/>
      <c r="M62" s="30"/>
      <c r="O62" s="17"/>
      <c r="Q62" s="17"/>
      <c r="S62" s="12" t="s">
        <v>3</v>
      </c>
      <c r="T62" s="13">
        <f>VLOOKUP(LOWER(V59),experiments_specs!$A:$J,4,FALSE)</f>
        <v>2</v>
      </c>
      <c r="U62" s="16" t="s">
        <v>147</v>
      </c>
      <c r="V62" s="7" t="s">
        <v>12</v>
      </c>
      <c r="W62" s="20"/>
      <c r="X62" s="20"/>
      <c r="Y62" s="27"/>
      <c r="Z62" s="23"/>
      <c r="AA62" s="23"/>
      <c r="AB62" s="30"/>
      <c r="AD62" s="17"/>
      <c r="AF62" s="17"/>
      <c r="AH62" s="12" t="s">
        <v>3</v>
      </c>
      <c r="AI62" s="13">
        <f>VLOOKUP(LOWER(AK59),experiments_specs!$A:$J,4,FALSE)</f>
        <v>2</v>
      </c>
      <c r="AJ62" s="16" t="s">
        <v>153</v>
      </c>
      <c r="AK62" s="7"/>
      <c r="AL62" s="20"/>
      <c r="AM62" s="20"/>
      <c r="AN62" s="27"/>
      <c r="AO62" s="23"/>
      <c r="AP62" s="23"/>
      <c r="AQ62" s="30"/>
      <c r="AS62" s="17"/>
    </row>
    <row r="63" spans="2:45" x14ac:dyDescent="0.2">
      <c r="B63" s="17"/>
      <c r="D63" s="12" t="s">
        <v>4</v>
      </c>
      <c r="E63" s="13" t="str">
        <f>VLOOKUP(LOWER(G59),experiments_specs!$A:$J,5,FALSE)</f>
        <v>False</v>
      </c>
      <c r="F63" s="16" t="s">
        <v>140</v>
      </c>
      <c r="G63" s="7"/>
      <c r="H63" s="20"/>
      <c r="I63" s="20"/>
      <c r="J63" s="27"/>
      <c r="K63" s="23"/>
      <c r="L63" s="23"/>
      <c r="M63" s="30"/>
      <c r="O63" s="17"/>
      <c r="Q63" s="17"/>
      <c r="S63" s="12" t="s">
        <v>4</v>
      </c>
      <c r="T63" s="13" t="str">
        <f>VLOOKUP(LOWER(V59),experiments_specs!$A:$J,5,FALSE)</f>
        <v>True</v>
      </c>
      <c r="U63" s="16" t="s">
        <v>147</v>
      </c>
      <c r="V63" s="7" t="s">
        <v>13</v>
      </c>
      <c r="W63" s="20"/>
      <c r="X63" s="20"/>
      <c r="Y63" s="27"/>
      <c r="Z63" s="23"/>
      <c r="AA63" s="23"/>
      <c r="AB63" s="30"/>
      <c r="AD63" s="17"/>
      <c r="AF63" s="17"/>
      <c r="AH63" s="12" t="s">
        <v>4</v>
      </c>
      <c r="AI63" s="13" t="str">
        <f>VLOOKUP(LOWER(AK59),experiments_specs!$A:$J,5,FALSE)</f>
        <v>True</v>
      </c>
      <c r="AJ63" s="16" t="s">
        <v>153</v>
      </c>
      <c r="AK63" s="7"/>
      <c r="AL63" s="20"/>
      <c r="AM63" s="20"/>
      <c r="AN63" s="27"/>
      <c r="AO63" s="24"/>
      <c r="AP63" s="24"/>
      <c r="AQ63" s="30"/>
      <c r="AS63" s="17"/>
    </row>
    <row r="64" spans="2:45" x14ac:dyDescent="0.2">
      <c r="B64" s="17"/>
      <c r="D64" s="12" t="s">
        <v>5</v>
      </c>
      <c r="E64" s="13" t="str">
        <f>VLOOKUP(LOWER(G59),experiments_specs!$A:$J,6,FALSE)</f>
        <v>True</v>
      </c>
      <c r="F64" s="16" t="s">
        <v>140</v>
      </c>
      <c r="G64" s="7"/>
      <c r="H64" s="20"/>
      <c r="I64" s="20"/>
      <c r="J64" s="27"/>
      <c r="K64" s="23"/>
      <c r="L64" s="23"/>
      <c r="M64" s="30"/>
      <c r="O64" s="17"/>
      <c r="Q64" s="17"/>
      <c r="S64" s="12" t="s">
        <v>5</v>
      </c>
      <c r="T64" s="13" t="str">
        <f>VLOOKUP(LOWER(V59),experiments_specs!$A:$J,6,FALSE)</f>
        <v>True</v>
      </c>
      <c r="U64" s="16" t="s">
        <v>147</v>
      </c>
      <c r="V64" s="7" t="s">
        <v>14</v>
      </c>
      <c r="W64" s="19"/>
      <c r="X64" s="19"/>
      <c r="Y64" s="27"/>
      <c r="Z64" s="24"/>
      <c r="AA64" s="24"/>
      <c r="AB64" s="30"/>
      <c r="AD64" s="17"/>
      <c r="AF64" s="17"/>
      <c r="AH64" s="12" t="s">
        <v>5</v>
      </c>
      <c r="AI64" s="13" t="str">
        <f>VLOOKUP(LOWER(AK59),experiments_specs!$A:$J,6,FALSE)</f>
        <v>True</v>
      </c>
      <c r="AJ64" s="16" t="s">
        <v>153</v>
      </c>
      <c r="AK64" s="7"/>
      <c r="AL64" s="19"/>
      <c r="AM64" s="19"/>
      <c r="AN64" s="27"/>
      <c r="AO64" s="24"/>
      <c r="AP64" s="24"/>
      <c r="AQ64" s="30"/>
      <c r="AS64" s="17"/>
    </row>
    <row r="65" spans="2:45" x14ac:dyDescent="0.2">
      <c r="B65" s="17"/>
      <c r="D65" s="12" t="s">
        <v>6</v>
      </c>
      <c r="E65" s="13" t="str">
        <f>VLOOKUP(LOWER(G59),experiments_specs!$A:$J,7,FALSE)</f>
        <v>False</v>
      </c>
      <c r="F65" s="16" t="s">
        <v>140</v>
      </c>
      <c r="G65" s="7"/>
      <c r="H65" s="20"/>
      <c r="I65" s="20"/>
      <c r="J65" s="27"/>
      <c r="K65" s="24"/>
      <c r="L65" s="24"/>
      <c r="M65" s="30"/>
      <c r="O65" s="17"/>
      <c r="Q65" s="17"/>
      <c r="S65" s="12" t="s">
        <v>6</v>
      </c>
      <c r="T65" s="13" t="str">
        <f>VLOOKUP(LOWER(V59),experiments_specs!$A:$J,7,FALSE)</f>
        <v>False</v>
      </c>
      <c r="U65" s="16" t="s">
        <v>147</v>
      </c>
      <c r="V65" s="7" t="s">
        <v>15</v>
      </c>
      <c r="W65" s="20"/>
      <c r="X65" s="20"/>
      <c r="Y65" s="27"/>
      <c r="Z65" s="24"/>
      <c r="AA65" s="24"/>
      <c r="AB65" s="30"/>
      <c r="AD65" s="17"/>
      <c r="AF65" s="17"/>
      <c r="AH65" s="12" t="s">
        <v>6</v>
      </c>
      <c r="AI65" s="13" t="str">
        <f>VLOOKUP(LOWER(AK59),experiments_specs!$A:$J,7,FALSE)</f>
        <v>False</v>
      </c>
      <c r="AJ65" s="16" t="s">
        <v>153</v>
      </c>
      <c r="AK65" s="7"/>
      <c r="AL65" s="20"/>
      <c r="AM65" s="20"/>
      <c r="AN65" s="27"/>
      <c r="AO65" s="24"/>
      <c r="AP65" s="24"/>
      <c r="AQ65" s="30"/>
      <c r="AS65" s="17"/>
    </row>
    <row r="66" spans="2:45" x14ac:dyDescent="0.2">
      <c r="B66" s="17"/>
      <c r="D66" s="12" t="s">
        <v>7</v>
      </c>
      <c r="E66" s="13" t="str">
        <f>VLOOKUP(LOWER(G59),experiments_specs!$A:$J,8,FALSE)</f>
        <v>False</v>
      </c>
      <c r="F66" s="16" t="s">
        <v>140</v>
      </c>
      <c r="G66" s="7"/>
      <c r="H66" s="20"/>
      <c r="I66" s="20"/>
      <c r="J66" s="27"/>
      <c r="K66" s="24"/>
      <c r="L66" s="24"/>
      <c r="M66" s="30"/>
      <c r="O66" s="17"/>
      <c r="Q66" s="17"/>
      <c r="S66" s="12" t="s">
        <v>7</v>
      </c>
      <c r="T66" s="13" t="str">
        <f>VLOOKUP(LOWER(V59),experiments_specs!$A:$J,8,FALSE)</f>
        <v>False</v>
      </c>
      <c r="U66" s="16" t="s">
        <v>147</v>
      </c>
      <c r="V66" s="7" t="s">
        <v>16</v>
      </c>
      <c r="W66" s="20"/>
      <c r="X66" s="20"/>
      <c r="Y66" s="27"/>
      <c r="Z66" s="24"/>
      <c r="AA66" s="24"/>
      <c r="AB66" s="30"/>
      <c r="AD66" s="17"/>
      <c r="AF66" s="17"/>
      <c r="AH66" s="12" t="s">
        <v>7</v>
      </c>
      <c r="AI66" s="13" t="str">
        <f>VLOOKUP(LOWER(AK59),experiments_specs!$A:$J,8,FALSE)</f>
        <v>False</v>
      </c>
      <c r="AJ66" s="16" t="s">
        <v>153</v>
      </c>
      <c r="AK66" s="7"/>
      <c r="AL66" s="20"/>
      <c r="AM66" s="20"/>
      <c r="AN66" s="27"/>
      <c r="AO66" s="24"/>
      <c r="AP66" s="24"/>
      <c r="AQ66" s="30"/>
      <c r="AS66" s="17"/>
    </row>
    <row r="67" spans="2:45" x14ac:dyDescent="0.2">
      <c r="B67" s="17"/>
      <c r="D67" s="12" t="s">
        <v>8</v>
      </c>
      <c r="E67" s="13" t="str">
        <f>VLOOKUP(LOWER(G59),experiments_specs!$A:$J,9,FALSE)</f>
        <v>wup_similarity</v>
      </c>
      <c r="F67" s="16" t="s">
        <v>140</v>
      </c>
      <c r="G67" s="7"/>
      <c r="H67" s="20"/>
      <c r="I67" s="20"/>
      <c r="J67" s="27"/>
      <c r="K67" s="23"/>
      <c r="L67" s="23"/>
      <c r="M67" s="30"/>
      <c r="O67" s="17"/>
      <c r="Q67" s="17"/>
      <c r="S67" s="12" t="s">
        <v>8</v>
      </c>
      <c r="T67" s="13" t="str">
        <f>VLOOKUP(LOWER(V59),experiments_specs!$A:$J,9,FALSE)</f>
        <v>wup_similarity</v>
      </c>
      <c r="U67" s="16" t="s">
        <v>147</v>
      </c>
      <c r="V67" s="7" t="s">
        <v>17</v>
      </c>
      <c r="W67" s="20"/>
      <c r="X67" s="20"/>
      <c r="Y67" s="27"/>
      <c r="Z67" s="23"/>
      <c r="AA67" s="23"/>
      <c r="AB67" s="30"/>
      <c r="AD67" s="17"/>
      <c r="AF67" s="17"/>
      <c r="AH67" s="12" t="s">
        <v>8</v>
      </c>
      <c r="AI67" s="13" t="str">
        <f>VLOOKUP(LOWER(AK59),experiments_specs!$A:$J,9,FALSE)</f>
        <v>wup_similarity</v>
      </c>
      <c r="AJ67" s="16" t="s">
        <v>153</v>
      </c>
      <c r="AK67" s="7"/>
      <c r="AL67" s="19"/>
      <c r="AM67" s="19"/>
      <c r="AN67" s="27"/>
      <c r="AO67" s="24"/>
      <c r="AP67" s="24"/>
      <c r="AQ67" s="30"/>
      <c r="AS67" s="17"/>
    </row>
    <row r="68" spans="2:45" x14ac:dyDescent="0.2">
      <c r="B68" s="17"/>
      <c r="D68" s="12" t="s">
        <v>9</v>
      </c>
      <c r="E68" s="13" t="str">
        <f>VLOOKUP(LOWER(G59),experiments_specs!$A:$J,10,FALSE)</f>
        <v>False</v>
      </c>
      <c r="F68" s="16" t="s">
        <v>140</v>
      </c>
      <c r="G68" s="8"/>
      <c r="H68" s="21"/>
      <c r="I68" s="21"/>
      <c r="J68" s="28"/>
      <c r="K68" s="25"/>
      <c r="L68" s="25"/>
      <c r="M68" s="31"/>
      <c r="O68" s="17"/>
      <c r="Q68" s="17"/>
      <c r="S68" s="12" t="s">
        <v>9</v>
      </c>
      <c r="T68" s="13" t="str">
        <f>VLOOKUP(LOWER(V59),experiments_specs!$A:$J,10,FALSE)</f>
        <v>False</v>
      </c>
      <c r="U68" s="16" t="s">
        <v>147</v>
      </c>
      <c r="V68" s="8" t="s">
        <v>18</v>
      </c>
      <c r="W68" s="21"/>
      <c r="X68" s="21"/>
      <c r="Y68" s="28"/>
      <c r="Z68" s="25"/>
      <c r="AA68" s="25"/>
      <c r="AB68" s="31"/>
      <c r="AD68" s="17"/>
      <c r="AF68" s="17"/>
      <c r="AH68" s="12" t="s">
        <v>9</v>
      </c>
      <c r="AI68" s="13" t="str">
        <f>VLOOKUP(LOWER(AK59),experiments_specs!$A:$J,10,FALSE)</f>
        <v>True</v>
      </c>
      <c r="AJ68" s="16" t="s">
        <v>153</v>
      </c>
      <c r="AK68" s="8"/>
      <c r="AL68" s="21"/>
      <c r="AM68" s="21"/>
      <c r="AN68" s="28"/>
      <c r="AO68" s="25"/>
      <c r="AP68" s="25"/>
      <c r="AQ68" s="31"/>
      <c r="AS68" s="17"/>
    </row>
    <row r="69" spans="2:45" x14ac:dyDescent="0.2">
      <c r="B69" s="17"/>
      <c r="O69" s="17"/>
      <c r="Q69" s="17"/>
      <c r="AD69" s="17"/>
      <c r="AF69" s="17"/>
      <c r="AS69" s="17"/>
    </row>
    <row r="70" spans="2:45" x14ac:dyDescent="0.2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</sheetData>
  <mergeCells count="39">
    <mergeCell ref="H4:J4"/>
    <mergeCell ref="K4:M4"/>
    <mergeCell ref="D2:M2"/>
    <mergeCell ref="H15:J15"/>
    <mergeCell ref="K15:M15"/>
    <mergeCell ref="H59:J59"/>
    <mergeCell ref="K59:M59"/>
    <mergeCell ref="S2:AB2"/>
    <mergeCell ref="W4:Y4"/>
    <mergeCell ref="Z4:AB4"/>
    <mergeCell ref="W15:Y15"/>
    <mergeCell ref="Z15:AB15"/>
    <mergeCell ref="W26:Y26"/>
    <mergeCell ref="Z26:AB26"/>
    <mergeCell ref="W37:Y37"/>
    <mergeCell ref="H26:J26"/>
    <mergeCell ref="K26:M26"/>
    <mergeCell ref="H37:J37"/>
    <mergeCell ref="K37:M37"/>
    <mergeCell ref="H48:J48"/>
    <mergeCell ref="K48:M48"/>
    <mergeCell ref="AH2:AQ2"/>
    <mergeCell ref="AL4:AN4"/>
    <mergeCell ref="AO4:AQ4"/>
    <mergeCell ref="AL15:AN15"/>
    <mergeCell ref="AO15:AQ15"/>
    <mergeCell ref="Z37:AB37"/>
    <mergeCell ref="W48:Y48"/>
    <mergeCell ref="Z48:AB48"/>
    <mergeCell ref="W59:Y59"/>
    <mergeCell ref="Z59:AB59"/>
    <mergeCell ref="AL59:AN59"/>
    <mergeCell ref="AO59:AQ59"/>
    <mergeCell ref="AL26:AN26"/>
    <mergeCell ref="AO26:AQ26"/>
    <mergeCell ref="AL37:AN37"/>
    <mergeCell ref="AO37:AQ37"/>
    <mergeCell ref="AL48:AN48"/>
    <mergeCell ref="AO48:AQ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10B0-6814-9E4C-AC5E-B60E23007B5A}">
  <sheetPr codeName="Foglio4"/>
  <dimension ref="B2:AS70"/>
  <sheetViews>
    <sheetView topLeftCell="N1" workbookViewId="0">
      <selection activeCell="AK61" sqref="AK61:AQ68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9" width="25.83203125" customWidth="1"/>
    <col min="10" max="10" width="12.1640625" bestFit="1" customWidth="1"/>
    <col min="11" max="12" width="25.83203125" customWidth="1"/>
    <col min="13" max="13" width="12.1640625" bestFit="1" customWidth="1"/>
    <col min="14" max="18" width="3.1640625" customWidth="1"/>
    <col min="19" max="19" width="22.33203125" bestFit="1" customWidth="1"/>
    <col min="20" max="20" width="29" bestFit="1" customWidth="1"/>
    <col min="21" max="21" width="1.83203125" customWidth="1"/>
    <col min="22" max="22" width="24.1640625" bestFit="1" customWidth="1"/>
    <col min="23" max="24" width="25.83203125" customWidth="1"/>
    <col min="25" max="25" width="12.1640625" bestFit="1" customWidth="1"/>
    <col min="26" max="27" width="25.83203125" customWidth="1"/>
    <col min="28" max="28" width="12.1640625" bestFit="1" customWidth="1"/>
    <col min="29" max="33" width="3.1640625" customWidth="1"/>
    <col min="34" max="34" width="22.33203125" bestFit="1" customWidth="1"/>
    <col min="35" max="35" width="29" bestFit="1" customWidth="1"/>
    <col min="36" max="36" width="1.83203125" customWidth="1"/>
    <col min="37" max="37" width="24.1640625" bestFit="1" customWidth="1"/>
    <col min="38" max="39" width="25.83203125" customWidth="1"/>
    <col min="40" max="40" width="12.1640625" bestFit="1" customWidth="1"/>
    <col min="41" max="42" width="25.83203125" customWidth="1"/>
    <col min="43" max="43" width="12.1640625" bestFit="1" customWidth="1"/>
    <col min="44" max="45" width="3.1640625" customWidth="1"/>
  </cols>
  <sheetData>
    <row r="2" spans="2:45" ht="19" x14ac:dyDescent="0.25">
      <c r="B2" s="17"/>
      <c r="C2" s="17"/>
      <c r="D2" s="38" t="s">
        <v>199</v>
      </c>
      <c r="E2" s="38"/>
      <c r="F2" s="38"/>
      <c r="G2" s="38"/>
      <c r="H2" s="38"/>
      <c r="I2" s="38"/>
      <c r="J2" s="38"/>
      <c r="K2" s="38"/>
      <c r="L2" s="38"/>
      <c r="M2" s="38"/>
      <c r="N2" s="17"/>
      <c r="O2" s="17"/>
      <c r="Q2" s="17"/>
      <c r="R2" s="17"/>
      <c r="S2" s="38" t="s">
        <v>200</v>
      </c>
      <c r="T2" s="38"/>
      <c r="U2" s="38"/>
      <c r="V2" s="38"/>
      <c r="W2" s="38"/>
      <c r="X2" s="38"/>
      <c r="Y2" s="38"/>
      <c r="Z2" s="38"/>
      <c r="AA2" s="38"/>
      <c r="AB2" s="38"/>
      <c r="AC2" s="17"/>
      <c r="AD2" s="17"/>
      <c r="AF2" s="17"/>
      <c r="AG2" s="17"/>
      <c r="AH2" s="38" t="s">
        <v>201</v>
      </c>
      <c r="AI2" s="38"/>
      <c r="AJ2" s="38"/>
      <c r="AK2" s="38"/>
      <c r="AL2" s="38"/>
      <c r="AM2" s="38"/>
      <c r="AN2" s="38"/>
      <c r="AO2" s="38"/>
      <c r="AP2" s="38"/>
      <c r="AQ2" s="38"/>
      <c r="AR2" s="17"/>
      <c r="AS2" s="17"/>
    </row>
    <row r="3" spans="2:45" ht="17" thickBot="1" x14ac:dyDescent="0.25">
      <c r="B3" s="17"/>
      <c r="O3" s="17"/>
      <c r="Q3" s="17"/>
      <c r="AD3" s="17"/>
      <c r="AF3" s="17"/>
      <c r="AS3" s="17"/>
    </row>
    <row r="4" spans="2:45" ht="20" thickBot="1" x14ac:dyDescent="0.3">
      <c r="B4" s="17"/>
      <c r="D4" s="14" t="s">
        <v>198</v>
      </c>
      <c r="E4" s="15"/>
      <c r="F4" s="10"/>
      <c r="G4" s="11" t="s">
        <v>202</v>
      </c>
      <c r="H4" s="36" t="s">
        <v>196</v>
      </c>
      <c r="I4" s="36"/>
      <c r="J4" s="36"/>
      <c r="K4" s="37" t="s">
        <v>195</v>
      </c>
      <c r="L4" s="37"/>
      <c r="M4" s="37"/>
      <c r="N4" s="3"/>
      <c r="O4" s="17"/>
      <c r="Q4" s="17"/>
      <c r="S4" s="14" t="s">
        <v>198</v>
      </c>
      <c r="T4" s="15"/>
      <c r="U4" s="10"/>
      <c r="V4" s="11" t="str">
        <f>"TEST_"&amp;TEXT(RIGHT(G59,2)+1, "00")</f>
        <v>TEST_25</v>
      </c>
      <c r="W4" s="36" t="s">
        <v>196</v>
      </c>
      <c r="X4" s="36"/>
      <c r="Y4" s="36"/>
      <c r="Z4" s="37" t="s">
        <v>195</v>
      </c>
      <c r="AA4" s="37"/>
      <c r="AB4" s="37"/>
      <c r="AC4" s="3"/>
      <c r="AD4" s="17"/>
      <c r="AF4" s="17"/>
      <c r="AH4" s="14" t="s">
        <v>198</v>
      </c>
      <c r="AI4" s="15"/>
      <c r="AJ4" s="10"/>
      <c r="AK4" s="11" t="str">
        <f>"TEST_"&amp;TEXT(RIGHT(V59,2)+1, "00")</f>
        <v>TEST_31</v>
      </c>
      <c r="AL4" s="36" t="s">
        <v>196</v>
      </c>
      <c r="AM4" s="36"/>
      <c r="AN4" s="36"/>
      <c r="AO4" s="37" t="s">
        <v>195</v>
      </c>
      <c r="AP4" s="37"/>
      <c r="AQ4" s="37"/>
      <c r="AR4" s="3"/>
      <c r="AS4" s="17"/>
    </row>
    <row r="5" spans="2:45" x14ac:dyDescent="0.2">
      <c r="B5" s="17"/>
      <c r="D5" s="12" t="s">
        <v>1</v>
      </c>
      <c r="E5" s="13" t="str">
        <f>VLOOKUP(LOWER(G4),experiments_specs!$A:$J,2,FALSE)</f>
        <v>NN</v>
      </c>
      <c r="F5" s="16" t="str">
        <f>"{"&amp;LOWER(G4)&amp;".csv}"</f>
        <v>{test_19.csv}</v>
      </c>
      <c r="G5" s="9" t="s">
        <v>190</v>
      </c>
      <c r="H5" s="4" t="s">
        <v>191</v>
      </c>
      <c r="I5" s="4" t="s">
        <v>192</v>
      </c>
      <c r="J5" s="4" t="s">
        <v>193</v>
      </c>
      <c r="K5" s="5" t="s">
        <v>194</v>
      </c>
      <c r="L5" s="5" t="s">
        <v>192</v>
      </c>
      <c r="M5" s="5" t="s">
        <v>193</v>
      </c>
      <c r="O5" s="17"/>
      <c r="Q5" s="17"/>
      <c r="S5" s="12" t="s">
        <v>1</v>
      </c>
      <c r="T5" s="13" t="str">
        <f>VLOOKUP(LOWER(V4),experiments_specs!$A:$J,2,FALSE)</f>
        <v>NN</v>
      </c>
      <c r="U5" s="16" t="str">
        <f>"{"&amp;LOWER(V4)&amp;".csv}"</f>
        <v>{test_25.csv}</v>
      </c>
      <c r="V5" s="9" t="s">
        <v>190</v>
      </c>
      <c r="W5" s="4" t="s">
        <v>191</v>
      </c>
      <c r="X5" s="4" t="s">
        <v>192</v>
      </c>
      <c r="Y5" s="4" t="s">
        <v>193</v>
      </c>
      <c r="Z5" s="5" t="s">
        <v>194</v>
      </c>
      <c r="AA5" s="5" t="s">
        <v>192</v>
      </c>
      <c r="AB5" s="5" t="s">
        <v>193</v>
      </c>
      <c r="AD5" s="17"/>
      <c r="AF5" s="17"/>
      <c r="AH5" s="12" t="s">
        <v>1</v>
      </c>
      <c r="AI5" s="13" t="str">
        <f>VLOOKUP(LOWER(AK4),experiments_specs!$A:$J,2,FALSE)</f>
        <v>NN</v>
      </c>
      <c r="AJ5" s="16" t="str">
        <f>"{"&amp;LOWER(AK4)&amp;".csv}"</f>
        <v>{test_31.csv}</v>
      </c>
      <c r="AK5" s="9" t="s">
        <v>190</v>
      </c>
      <c r="AL5" s="4" t="s">
        <v>191</v>
      </c>
      <c r="AM5" s="4" t="s">
        <v>192</v>
      </c>
      <c r="AN5" s="4" t="s">
        <v>193</v>
      </c>
      <c r="AO5" s="5" t="s">
        <v>194</v>
      </c>
      <c r="AP5" s="5" t="s">
        <v>192</v>
      </c>
      <c r="AQ5" s="5" t="s">
        <v>193</v>
      </c>
      <c r="AS5" s="17"/>
    </row>
    <row r="6" spans="2:45" x14ac:dyDescent="0.2">
      <c r="B6" s="17"/>
      <c r="D6" s="12" t="s">
        <v>2</v>
      </c>
      <c r="E6" s="13">
        <f>VLOOKUP(LOWER(G4),experiments_specs!$A:$J,3,FALSE)</f>
        <v>1</v>
      </c>
      <c r="F6" s="16" t="s">
        <v>154</v>
      </c>
      <c r="G6" s="6"/>
      <c r="H6" s="18"/>
      <c r="I6" s="18"/>
      <c r="J6" s="26"/>
      <c r="K6" s="22"/>
      <c r="L6" s="22"/>
      <c r="M6" s="29"/>
      <c r="O6" s="17"/>
      <c r="Q6" s="17"/>
      <c r="S6" s="12" t="s">
        <v>2</v>
      </c>
      <c r="T6" s="13">
        <f>VLOOKUP(LOWER(V4),experiments_specs!$A:$J,3,FALSE)</f>
        <v>1</v>
      </c>
      <c r="U6" s="16" t="s">
        <v>160</v>
      </c>
      <c r="V6" s="6" t="s">
        <v>19</v>
      </c>
      <c r="W6" s="18"/>
      <c r="X6" s="18"/>
      <c r="Y6" s="26"/>
      <c r="Z6" s="22"/>
      <c r="AA6" s="22"/>
      <c r="AB6" s="29"/>
      <c r="AD6" s="17"/>
      <c r="AF6" s="17"/>
      <c r="AH6" s="12" t="s">
        <v>2</v>
      </c>
      <c r="AI6" s="13">
        <f>VLOOKUP(LOWER(AK4),experiments_specs!$A:$J,3,FALSE)</f>
        <v>1</v>
      </c>
      <c r="AJ6" s="16" t="s">
        <v>166</v>
      </c>
      <c r="AK6" s="6"/>
      <c r="AL6" s="18"/>
      <c r="AM6" s="18"/>
      <c r="AN6" s="26"/>
      <c r="AO6" s="22"/>
      <c r="AP6" s="22"/>
      <c r="AQ6" s="29"/>
      <c r="AS6" s="17"/>
    </row>
    <row r="7" spans="2:45" x14ac:dyDescent="0.2">
      <c r="B7" s="17"/>
      <c r="D7" s="12" t="s">
        <v>3</v>
      </c>
      <c r="E7" s="13">
        <f>VLOOKUP(LOWER(G4),experiments_specs!$A:$J,4,FALSE)</f>
        <v>2</v>
      </c>
      <c r="F7" s="16" t="s">
        <v>154</v>
      </c>
      <c r="G7" s="7"/>
      <c r="H7" s="19"/>
      <c r="I7" s="19"/>
      <c r="J7" s="27"/>
      <c r="K7" s="23"/>
      <c r="L7" s="23"/>
      <c r="M7" s="30"/>
      <c r="O7" s="17"/>
      <c r="Q7" s="17"/>
      <c r="S7" s="12" t="s">
        <v>3</v>
      </c>
      <c r="T7" s="13">
        <f>VLOOKUP(LOWER(V4),experiments_specs!$A:$J,4,FALSE)</f>
        <v>2</v>
      </c>
      <c r="U7" s="16" t="s">
        <v>160</v>
      </c>
      <c r="V7" s="7" t="s">
        <v>12</v>
      </c>
      <c r="W7" s="19"/>
      <c r="X7" s="19"/>
      <c r="Y7" s="27"/>
      <c r="Z7" s="23"/>
      <c r="AA7" s="23"/>
      <c r="AB7" s="30"/>
      <c r="AD7" s="17"/>
      <c r="AF7" s="17"/>
      <c r="AH7" s="12" t="s">
        <v>3</v>
      </c>
      <c r="AI7" s="13">
        <f>VLOOKUP(LOWER(AK4),experiments_specs!$A:$J,4,FALSE)</f>
        <v>2</v>
      </c>
      <c r="AJ7" s="16" t="s">
        <v>166</v>
      </c>
      <c r="AK7" s="7"/>
      <c r="AL7" s="19"/>
      <c r="AM7" s="19"/>
      <c r="AN7" s="27"/>
      <c r="AO7" s="23"/>
      <c r="AP7" s="23"/>
      <c r="AQ7" s="30"/>
      <c r="AS7" s="17"/>
    </row>
    <row r="8" spans="2:45" x14ac:dyDescent="0.2">
      <c r="B8" s="17"/>
      <c r="D8" s="12" t="s">
        <v>4</v>
      </c>
      <c r="E8" s="13" t="str">
        <f>VLOOKUP(LOWER(G4),experiments_specs!$A:$J,5,FALSE)</f>
        <v>False</v>
      </c>
      <c r="F8" s="16" t="s">
        <v>154</v>
      </c>
      <c r="G8" s="7"/>
      <c r="H8" s="20"/>
      <c r="I8" s="20"/>
      <c r="J8" s="27"/>
      <c r="K8" s="23"/>
      <c r="L8" s="23"/>
      <c r="M8" s="30"/>
      <c r="O8" s="17"/>
      <c r="Q8" s="17"/>
      <c r="S8" s="12" t="s">
        <v>4</v>
      </c>
      <c r="T8" s="13" t="str">
        <f>VLOOKUP(LOWER(V4),experiments_specs!$A:$J,5,FALSE)</f>
        <v>True</v>
      </c>
      <c r="U8" s="16" t="s">
        <v>160</v>
      </c>
      <c r="V8" s="7" t="s">
        <v>13</v>
      </c>
      <c r="W8" s="20"/>
      <c r="X8" s="20"/>
      <c r="Y8" s="27"/>
      <c r="Z8" s="23"/>
      <c r="AA8" s="23"/>
      <c r="AB8" s="30"/>
      <c r="AD8" s="17"/>
      <c r="AF8" s="17"/>
      <c r="AH8" s="12" t="s">
        <v>4</v>
      </c>
      <c r="AI8" s="13" t="str">
        <f>VLOOKUP(LOWER(AK4),experiments_specs!$A:$J,5,FALSE)</f>
        <v>False</v>
      </c>
      <c r="AJ8" s="16" t="s">
        <v>166</v>
      </c>
      <c r="AK8" s="7"/>
      <c r="AL8" s="20"/>
      <c r="AM8" s="20"/>
      <c r="AN8" s="27"/>
      <c r="AO8" s="23"/>
      <c r="AP8" s="23"/>
      <c r="AQ8" s="30"/>
      <c r="AS8" s="17"/>
    </row>
    <row r="9" spans="2:45" x14ac:dyDescent="0.2">
      <c r="B9" s="17"/>
      <c r="D9" s="12" t="s">
        <v>5</v>
      </c>
      <c r="E9" s="13" t="str">
        <f>VLOOKUP(LOWER(G4),experiments_specs!$A:$J,6,FALSE)</f>
        <v>True</v>
      </c>
      <c r="F9" s="16" t="s">
        <v>154</v>
      </c>
      <c r="G9" s="7"/>
      <c r="H9" s="20"/>
      <c r="I9" s="20"/>
      <c r="J9" s="27"/>
      <c r="K9" s="23"/>
      <c r="L9" s="23"/>
      <c r="M9" s="30"/>
      <c r="O9" s="17"/>
      <c r="Q9" s="17"/>
      <c r="S9" s="12" t="s">
        <v>5</v>
      </c>
      <c r="T9" s="13" t="str">
        <f>VLOOKUP(LOWER(V4),experiments_specs!$A:$J,6,FALSE)</f>
        <v>True</v>
      </c>
      <c r="U9" s="16" t="s">
        <v>160</v>
      </c>
      <c r="V9" s="7" t="s">
        <v>14</v>
      </c>
      <c r="W9" s="20"/>
      <c r="X9" s="20"/>
      <c r="Y9" s="27"/>
      <c r="Z9" s="23"/>
      <c r="AA9" s="23"/>
      <c r="AB9" s="30"/>
      <c r="AD9" s="17"/>
      <c r="AF9" s="17"/>
      <c r="AH9" s="12" t="s">
        <v>5</v>
      </c>
      <c r="AI9" s="13" t="str">
        <f>VLOOKUP(LOWER(AK4),experiments_specs!$A:$J,6,FALSE)</f>
        <v>True</v>
      </c>
      <c r="AJ9" s="16" t="s">
        <v>166</v>
      </c>
      <c r="AK9" s="7"/>
      <c r="AL9" s="20"/>
      <c r="AM9" s="20"/>
      <c r="AN9" s="27"/>
      <c r="AO9" s="23"/>
      <c r="AP9" s="23"/>
      <c r="AQ9" s="30"/>
      <c r="AS9" s="17"/>
    </row>
    <row r="10" spans="2:45" x14ac:dyDescent="0.2">
      <c r="B10" s="17"/>
      <c r="D10" s="12" t="s">
        <v>6</v>
      </c>
      <c r="E10" s="13" t="str">
        <f>VLOOKUP(LOWER(G4),experiments_specs!$A:$J,7,FALSE)</f>
        <v>True</v>
      </c>
      <c r="F10" s="16" t="s">
        <v>154</v>
      </c>
      <c r="G10" s="7"/>
      <c r="H10" s="20"/>
      <c r="I10" s="20"/>
      <c r="J10" s="27"/>
      <c r="K10" s="24"/>
      <c r="L10" s="24"/>
      <c r="M10" s="30"/>
      <c r="O10" s="17"/>
      <c r="Q10" s="17"/>
      <c r="S10" s="12" t="s">
        <v>6</v>
      </c>
      <c r="T10" s="13" t="str">
        <f>VLOOKUP(LOWER(V4),experiments_specs!$A:$J,7,FALSE)</f>
        <v>True</v>
      </c>
      <c r="U10" s="16" t="s">
        <v>160</v>
      </c>
      <c r="V10" s="7" t="s">
        <v>15</v>
      </c>
      <c r="W10" s="20"/>
      <c r="X10" s="20"/>
      <c r="Y10" s="27"/>
      <c r="Z10" s="24"/>
      <c r="AA10" s="24"/>
      <c r="AB10" s="30"/>
      <c r="AD10" s="17"/>
      <c r="AF10" s="17"/>
      <c r="AH10" s="12" t="s">
        <v>6</v>
      </c>
      <c r="AI10" s="13" t="str">
        <f>VLOOKUP(LOWER(AK4),experiments_specs!$A:$J,7,FALSE)</f>
        <v>True</v>
      </c>
      <c r="AJ10" s="16" t="s">
        <v>166</v>
      </c>
      <c r="AK10" s="7"/>
      <c r="AL10" s="20"/>
      <c r="AM10" s="20"/>
      <c r="AN10" s="27"/>
      <c r="AO10" s="24"/>
      <c r="AP10" s="24"/>
      <c r="AQ10" s="30"/>
      <c r="AS10" s="17"/>
    </row>
    <row r="11" spans="2:45" x14ac:dyDescent="0.2">
      <c r="B11" s="17"/>
      <c r="D11" s="12" t="s">
        <v>7</v>
      </c>
      <c r="E11" s="13" t="str">
        <f>VLOOKUP(LOWER(G4),experiments_specs!$A:$J,8,FALSE)</f>
        <v>False</v>
      </c>
      <c r="F11" s="16" t="s">
        <v>154</v>
      </c>
      <c r="G11" s="7"/>
      <c r="H11" s="20"/>
      <c r="I11" s="20"/>
      <c r="J11" s="27"/>
      <c r="K11" s="24"/>
      <c r="L11" s="24"/>
      <c r="M11" s="30"/>
      <c r="O11" s="17"/>
      <c r="Q11" s="17"/>
      <c r="S11" s="12" t="s">
        <v>7</v>
      </c>
      <c r="T11" s="13" t="str">
        <f>VLOOKUP(LOWER(V4),experiments_specs!$A:$J,8,FALSE)</f>
        <v>False</v>
      </c>
      <c r="U11" s="16" t="s">
        <v>160</v>
      </c>
      <c r="V11" s="7" t="s">
        <v>16</v>
      </c>
      <c r="W11" s="20"/>
      <c r="X11" s="20"/>
      <c r="Y11" s="27"/>
      <c r="Z11" s="24"/>
      <c r="AA11" s="24"/>
      <c r="AB11" s="30"/>
      <c r="AD11" s="17"/>
      <c r="AF11" s="17"/>
      <c r="AH11" s="12" t="s">
        <v>7</v>
      </c>
      <c r="AI11" s="13" t="str">
        <f>VLOOKUP(LOWER(AK4),experiments_specs!$A:$J,8,FALSE)</f>
        <v>False</v>
      </c>
      <c r="AJ11" s="16" t="s">
        <v>166</v>
      </c>
      <c r="AK11" s="7"/>
      <c r="AL11" s="20"/>
      <c r="AM11" s="20"/>
      <c r="AN11" s="27"/>
      <c r="AO11" s="24"/>
      <c r="AP11" s="24"/>
      <c r="AQ11" s="30"/>
      <c r="AS11" s="17"/>
    </row>
    <row r="12" spans="2:45" x14ac:dyDescent="0.2">
      <c r="B12" s="17"/>
      <c r="D12" s="12" t="s">
        <v>8</v>
      </c>
      <c r="E12" s="13" t="str">
        <f>VLOOKUP(LOWER(G4),experiments_specs!$A:$J,9,FALSE)</f>
        <v>wup_similarity</v>
      </c>
      <c r="F12" s="16" t="s">
        <v>154</v>
      </c>
      <c r="G12" s="7"/>
      <c r="H12" s="20"/>
      <c r="I12" s="20"/>
      <c r="J12" s="27"/>
      <c r="K12" s="23"/>
      <c r="L12" s="23"/>
      <c r="M12" s="30"/>
      <c r="O12" s="17"/>
      <c r="Q12" s="17"/>
      <c r="S12" s="12" t="s">
        <v>8</v>
      </c>
      <c r="T12" s="13" t="str">
        <f>VLOOKUP(LOWER(V4),experiments_specs!$A:$J,9,FALSE)</f>
        <v>wup_similarity</v>
      </c>
      <c r="U12" s="16" t="s">
        <v>160</v>
      </c>
      <c r="V12" s="7" t="s">
        <v>17</v>
      </c>
      <c r="W12" s="20"/>
      <c r="X12" s="20"/>
      <c r="Y12" s="27"/>
      <c r="Z12" s="23"/>
      <c r="AA12" s="23"/>
      <c r="AB12" s="30"/>
      <c r="AD12" s="17"/>
      <c r="AF12" s="17"/>
      <c r="AH12" s="12" t="s">
        <v>8</v>
      </c>
      <c r="AI12" s="13" t="str">
        <f>VLOOKUP(LOWER(AK4),experiments_specs!$A:$J,9,FALSE)</f>
        <v>wup_similarity</v>
      </c>
      <c r="AJ12" s="16" t="s">
        <v>166</v>
      </c>
      <c r="AK12" s="7"/>
      <c r="AL12" s="20"/>
      <c r="AM12" s="20"/>
      <c r="AN12" s="27"/>
      <c r="AO12" s="23"/>
      <c r="AP12" s="23"/>
      <c r="AQ12" s="30"/>
      <c r="AS12" s="17"/>
    </row>
    <row r="13" spans="2:45" x14ac:dyDescent="0.2">
      <c r="B13" s="17"/>
      <c r="D13" s="12" t="s">
        <v>9</v>
      </c>
      <c r="E13" s="13" t="str">
        <f>VLOOKUP(LOWER(G4),experiments_specs!$A:$J,10,FALSE)</f>
        <v>False</v>
      </c>
      <c r="F13" s="16" t="s">
        <v>154</v>
      </c>
      <c r="G13" s="8"/>
      <c r="H13" s="21"/>
      <c r="I13" s="21"/>
      <c r="J13" s="28"/>
      <c r="K13" s="25"/>
      <c r="L13" s="25"/>
      <c r="M13" s="31"/>
      <c r="O13" s="17"/>
      <c r="Q13" s="17"/>
      <c r="S13" s="12" t="s">
        <v>9</v>
      </c>
      <c r="T13" s="13" t="str">
        <f>VLOOKUP(LOWER(V4),experiments_specs!$A:$J,10,FALSE)</f>
        <v>False</v>
      </c>
      <c r="U13" s="16" t="s">
        <v>160</v>
      </c>
      <c r="V13" s="8" t="s">
        <v>18</v>
      </c>
      <c r="W13" s="21"/>
      <c r="X13" s="21"/>
      <c r="Y13" s="28"/>
      <c r="Z13" s="25"/>
      <c r="AA13" s="25"/>
      <c r="AB13" s="31"/>
      <c r="AD13" s="17"/>
      <c r="AF13" s="17"/>
      <c r="AH13" s="12" t="s">
        <v>9</v>
      </c>
      <c r="AI13" s="13" t="str">
        <f>VLOOKUP(LOWER(AK4),experiments_specs!$A:$J,10,FALSE)</f>
        <v>True</v>
      </c>
      <c r="AJ13" s="16" t="s">
        <v>166</v>
      </c>
      <c r="AK13" s="8"/>
      <c r="AL13" s="21"/>
      <c r="AM13" s="21"/>
      <c r="AN13" s="28"/>
      <c r="AO13" s="25"/>
      <c r="AP13" s="25"/>
      <c r="AQ13" s="31"/>
      <c r="AS13" s="17"/>
    </row>
    <row r="14" spans="2:45" ht="17" thickBot="1" x14ac:dyDescent="0.25">
      <c r="B14" s="17"/>
      <c r="O14" s="17"/>
      <c r="Q14" s="17"/>
      <c r="AD14" s="17"/>
      <c r="AF14" s="17"/>
      <c r="AS14" s="17"/>
    </row>
    <row r="15" spans="2:45" ht="20" thickBot="1" x14ac:dyDescent="0.3">
      <c r="B15" s="17"/>
      <c r="D15" s="14" t="s">
        <v>198</v>
      </c>
      <c r="E15" s="15"/>
      <c r="F15" s="10"/>
      <c r="G15" s="11" t="str">
        <f>"TEST_"&amp;TEXT(RIGHT(G4,2)+1, "00")</f>
        <v>TEST_20</v>
      </c>
      <c r="H15" s="36" t="s">
        <v>196</v>
      </c>
      <c r="I15" s="36"/>
      <c r="J15" s="36"/>
      <c r="K15" s="37" t="s">
        <v>195</v>
      </c>
      <c r="L15" s="37"/>
      <c r="M15" s="37"/>
      <c r="N15" s="3"/>
      <c r="O15" s="17"/>
      <c r="Q15" s="17"/>
      <c r="S15" s="14" t="s">
        <v>198</v>
      </c>
      <c r="T15" s="15"/>
      <c r="U15" s="10"/>
      <c r="V15" s="11" t="str">
        <f>"TEST_"&amp;TEXT(RIGHT(V4,2)+1, "00")</f>
        <v>TEST_26</v>
      </c>
      <c r="W15" s="36" t="s">
        <v>196</v>
      </c>
      <c r="X15" s="36"/>
      <c r="Y15" s="36"/>
      <c r="Z15" s="37" t="s">
        <v>195</v>
      </c>
      <c r="AA15" s="37"/>
      <c r="AB15" s="37"/>
      <c r="AC15" s="3"/>
      <c r="AD15" s="17"/>
      <c r="AF15" s="17"/>
      <c r="AH15" s="14" t="s">
        <v>198</v>
      </c>
      <c r="AI15" s="15"/>
      <c r="AJ15" s="10"/>
      <c r="AK15" s="11" t="str">
        <f>"TEST_"&amp;TEXT(RIGHT(AK4,2)+1, "00")</f>
        <v>TEST_32</v>
      </c>
      <c r="AL15" s="36" t="s">
        <v>196</v>
      </c>
      <c r="AM15" s="36"/>
      <c r="AN15" s="36"/>
      <c r="AO15" s="37" t="s">
        <v>195</v>
      </c>
      <c r="AP15" s="37"/>
      <c r="AQ15" s="37"/>
      <c r="AR15" s="3"/>
      <c r="AS15" s="17"/>
    </row>
    <row r="16" spans="2:45" x14ac:dyDescent="0.2">
      <c r="B16" s="17"/>
      <c r="D16" s="12" t="s">
        <v>1</v>
      </c>
      <c r="E16" s="13" t="str">
        <f>VLOOKUP(LOWER(G15),experiments_specs!$A:$J,2,FALSE)</f>
        <v>NN,JJ</v>
      </c>
      <c r="F16" s="16" t="str">
        <f>"{"&amp;LOWER(G15)&amp;".csv}"</f>
        <v>{test_20.csv}</v>
      </c>
      <c r="G16" s="9" t="s">
        <v>190</v>
      </c>
      <c r="H16" s="4" t="s">
        <v>191</v>
      </c>
      <c r="I16" s="4" t="s">
        <v>192</v>
      </c>
      <c r="J16" s="4" t="s">
        <v>193</v>
      </c>
      <c r="K16" s="5" t="s">
        <v>194</v>
      </c>
      <c r="L16" s="5" t="s">
        <v>192</v>
      </c>
      <c r="M16" s="5" t="s">
        <v>193</v>
      </c>
      <c r="O16" s="17"/>
      <c r="Q16" s="17"/>
      <c r="S16" s="12" t="s">
        <v>1</v>
      </c>
      <c r="T16" s="13" t="str">
        <f>VLOOKUP(LOWER(V15),experiments_specs!$A:$J,2,FALSE)</f>
        <v>NN,JJ</v>
      </c>
      <c r="U16" s="16" t="str">
        <f>"{"&amp;LOWER(V15)&amp;".csv}"</f>
        <v>{test_26.csv}</v>
      </c>
      <c r="V16" s="9" t="s">
        <v>190</v>
      </c>
      <c r="W16" s="4" t="s">
        <v>191</v>
      </c>
      <c r="X16" s="4" t="s">
        <v>192</v>
      </c>
      <c r="Y16" s="4" t="s">
        <v>193</v>
      </c>
      <c r="Z16" s="5" t="s">
        <v>194</v>
      </c>
      <c r="AA16" s="5" t="s">
        <v>192</v>
      </c>
      <c r="AB16" s="5" t="s">
        <v>193</v>
      </c>
      <c r="AD16" s="17"/>
      <c r="AF16" s="17"/>
      <c r="AH16" s="12" t="s">
        <v>1</v>
      </c>
      <c r="AI16" s="13" t="str">
        <f>VLOOKUP(LOWER(AK15),experiments_specs!$A:$J,2,FALSE)</f>
        <v>NN,JJ</v>
      </c>
      <c r="AJ16" s="16" t="str">
        <f>"{"&amp;LOWER(AK15)&amp;".csv}"</f>
        <v>{test_32.csv}</v>
      </c>
      <c r="AK16" s="9" t="s">
        <v>190</v>
      </c>
      <c r="AL16" s="4" t="s">
        <v>191</v>
      </c>
      <c r="AM16" s="4" t="s">
        <v>192</v>
      </c>
      <c r="AN16" s="4" t="s">
        <v>193</v>
      </c>
      <c r="AO16" s="5" t="s">
        <v>194</v>
      </c>
      <c r="AP16" s="5" t="s">
        <v>192</v>
      </c>
      <c r="AQ16" s="5" t="s">
        <v>193</v>
      </c>
      <c r="AS16" s="17"/>
    </row>
    <row r="17" spans="2:45" x14ac:dyDescent="0.2">
      <c r="B17" s="17"/>
      <c r="D17" s="12" t="s">
        <v>2</v>
      </c>
      <c r="E17" s="13">
        <f>VLOOKUP(LOWER(G15),experiments_specs!$A:$J,3,FALSE)</f>
        <v>1</v>
      </c>
      <c r="F17" s="16" t="s">
        <v>155</v>
      </c>
      <c r="G17" s="6"/>
      <c r="H17" s="18"/>
      <c r="I17" s="18"/>
      <c r="J17" s="26"/>
      <c r="K17" s="22"/>
      <c r="L17" s="22"/>
      <c r="M17" s="29"/>
      <c r="O17" s="17"/>
      <c r="Q17" s="17"/>
      <c r="S17" s="12" t="s">
        <v>2</v>
      </c>
      <c r="T17" s="13">
        <f>VLOOKUP(LOWER(V15),experiments_specs!$A:$J,3,FALSE)</f>
        <v>1</v>
      </c>
      <c r="U17" s="16" t="s">
        <v>161</v>
      </c>
      <c r="V17" s="6" t="s">
        <v>19</v>
      </c>
      <c r="W17" s="18"/>
      <c r="X17" s="18"/>
      <c r="Y17" s="26"/>
      <c r="Z17" s="22"/>
      <c r="AA17" s="22"/>
      <c r="AB17" s="29"/>
      <c r="AD17" s="17"/>
      <c r="AF17" s="17"/>
      <c r="AH17" s="12" t="s">
        <v>2</v>
      </c>
      <c r="AI17" s="13">
        <f>VLOOKUP(LOWER(AK15),experiments_specs!$A:$J,3,FALSE)</f>
        <v>1</v>
      </c>
      <c r="AJ17" s="16" t="s">
        <v>167</v>
      </c>
      <c r="AK17" s="6"/>
      <c r="AL17" s="18"/>
      <c r="AM17" s="18"/>
      <c r="AN17" s="26"/>
      <c r="AO17" s="22"/>
      <c r="AP17" s="22"/>
      <c r="AQ17" s="29"/>
      <c r="AS17" s="17"/>
    </row>
    <row r="18" spans="2:45" x14ac:dyDescent="0.2">
      <c r="B18" s="17"/>
      <c r="D18" s="12" t="s">
        <v>3</v>
      </c>
      <c r="E18" s="13">
        <f>VLOOKUP(LOWER(G15),experiments_specs!$A:$J,4,FALSE)</f>
        <v>2</v>
      </c>
      <c r="F18" s="16" t="s">
        <v>155</v>
      </c>
      <c r="G18" s="7"/>
      <c r="H18" s="19"/>
      <c r="I18" s="19"/>
      <c r="J18" s="27"/>
      <c r="K18" s="23"/>
      <c r="L18" s="23"/>
      <c r="M18" s="30"/>
      <c r="O18" s="17"/>
      <c r="Q18" s="17"/>
      <c r="S18" s="12" t="s">
        <v>3</v>
      </c>
      <c r="T18" s="13">
        <f>VLOOKUP(LOWER(V15),experiments_specs!$A:$J,4,FALSE)</f>
        <v>2</v>
      </c>
      <c r="U18" s="16" t="s">
        <v>161</v>
      </c>
      <c r="V18" s="7" t="s">
        <v>12</v>
      </c>
      <c r="W18" s="19"/>
      <c r="X18" s="19"/>
      <c r="Y18" s="27"/>
      <c r="Z18" s="24"/>
      <c r="AA18" s="24"/>
      <c r="AB18" s="30"/>
      <c r="AD18" s="17"/>
      <c r="AF18" s="17"/>
      <c r="AH18" s="12" t="s">
        <v>3</v>
      </c>
      <c r="AI18" s="13">
        <f>VLOOKUP(LOWER(AK15),experiments_specs!$A:$J,4,FALSE)</f>
        <v>2</v>
      </c>
      <c r="AJ18" s="16" t="s">
        <v>167</v>
      </c>
      <c r="AK18" s="7"/>
      <c r="AL18" s="19"/>
      <c r="AM18" s="19"/>
      <c r="AN18" s="27"/>
      <c r="AO18" s="24"/>
      <c r="AP18" s="24"/>
      <c r="AQ18" s="30"/>
      <c r="AS18" s="17"/>
    </row>
    <row r="19" spans="2:45" x14ac:dyDescent="0.2">
      <c r="B19" s="17"/>
      <c r="D19" s="12" t="s">
        <v>4</v>
      </c>
      <c r="E19" s="13" t="str">
        <f>VLOOKUP(LOWER(G15),experiments_specs!$A:$J,5,FALSE)</f>
        <v>False</v>
      </c>
      <c r="F19" s="16" t="s">
        <v>155</v>
      </c>
      <c r="G19" s="7"/>
      <c r="H19" s="20"/>
      <c r="I19" s="20"/>
      <c r="J19" s="27"/>
      <c r="K19" s="23"/>
      <c r="L19" s="23"/>
      <c r="M19" s="30"/>
      <c r="O19" s="17"/>
      <c r="Q19" s="17"/>
      <c r="S19" s="12" t="s">
        <v>4</v>
      </c>
      <c r="T19" s="13" t="str">
        <f>VLOOKUP(LOWER(V15),experiments_specs!$A:$J,5,FALSE)</f>
        <v>True</v>
      </c>
      <c r="U19" s="16" t="s">
        <v>161</v>
      </c>
      <c r="V19" s="7" t="s">
        <v>13</v>
      </c>
      <c r="W19" s="20"/>
      <c r="X19" s="20"/>
      <c r="Y19" s="27"/>
      <c r="Z19" s="23"/>
      <c r="AA19" s="23"/>
      <c r="AB19" s="30"/>
      <c r="AD19" s="17"/>
      <c r="AF19" s="17"/>
      <c r="AH19" s="12" t="s">
        <v>4</v>
      </c>
      <c r="AI19" s="13" t="str">
        <f>VLOOKUP(LOWER(AK15),experiments_specs!$A:$J,5,FALSE)</f>
        <v>True</v>
      </c>
      <c r="AJ19" s="16" t="s">
        <v>167</v>
      </c>
      <c r="AK19" s="7"/>
      <c r="AL19" s="20"/>
      <c r="AM19" s="20"/>
      <c r="AN19" s="27"/>
      <c r="AO19" s="23"/>
      <c r="AP19" s="23"/>
      <c r="AQ19" s="30"/>
      <c r="AS19" s="17"/>
    </row>
    <row r="20" spans="2:45" x14ac:dyDescent="0.2">
      <c r="B20" s="17"/>
      <c r="D20" s="12" t="s">
        <v>5</v>
      </c>
      <c r="E20" s="13" t="str">
        <f>VLOOKUP(LOWER(G15),experiments_specs!$A:$J,6,FALSE)</f>
        <v>True</v>
      </c>
      <c r="F20" s="16" t="s">
        <v>155</v>
      </c>
      <c r="G20" s="7"/>
      <c r="H20" s="20"/>
      <c r="I20" s="20"/>
      <c r="J20" s="27"/>
      <c r="K20" s="23"/>
      <c r="L20" s="23"/>
      <c r="M20" s="30"/>
      <c r="O20" s="17"/>
      <c r="Q20" s="17"/>
      <c r="S20" s="12" t="s">
        <v>5</v>
      </c>
      <c r="T20" s="13" t="str">
        <f>VLOOKUP(LOWER(V15),experiments_specs!$A:$J,6,FALSE)</f>
        <v>True</v>
      </c>
      <c r="U20" s="16" t="s">
        <v>161</v>
      </c>
      <c r="V20" s="7" t="s">
        <v>14</v>
      </c>
      <c r="W20" s="19"/>
      <c r="X20" s="19"/>
      <c r="Y20" s="27"/>
      <c r="Z20" s="24"/>
      <c r="AA20" s="24"/>
      <c r="AB20" s="30"/>
      <c r="AD20" s="17"/>
      <c r="AF20" s="17"/>
      <c r="AH20" s="12" t="s">
        <v>5</v>
      </c>
      <c r="AI20" s="13" t="str">
        <f>VLOOKUP(LOWER(AK15),experiments_specs!$A:$J,6,FALSE)</f>
        <v>True</v>
      </c>
      <c r="AJ20" s="16" t="s">
        <v>167</v>
      </c>
      <c r="AK20" s="7"/>
      <c r="AL20" s="19"/>
      <c r="AM20" s="19"/>
      <c r="AN20" s="27"/>
      <c r="AO20" s="24"/>
      <c r="AP20" s="24"/>
      <c r="AQ20" s="30"/>
      <c r="AS20" s="17"/>
    </row>
    <row r="21" spans="2:45" x14ac:dyDescent="0.2">
      <c r="B21" s="17"/>
      <c r="D21" s="12" t="s">
        <v>6</v>
      </c>
      <c r="E21" s="13" t="str">
        <f>VLOOKUP(LOWER(G15),experiments_specs!$A:$J,7,FALSE)</f>
        <v>True</v>
      </c>
      <c r="F21" s="16" t="s">
        <v>155</v>
      </c>
      <c r="G21" s="7"/>
      <c r="H21" s="20"/>
      <c r="I21" s="20"/>
      <c r="J21" s="27"/>
      <c r="K21" s="24"/>
      <c r="L21" s="24"/>
      <c r="M21" s="30"/>
      <c r="O21" s="17"/>
      <c r="Q21" s="17"/>
      <c r="S21" s="12" t="s">
        <v>6</v>
      </c>
      <c r="T21" s="13" t="str">
        <f>VLOOKUP(LOWER(V15),experiments_specs!$A:$J,7,FALSE)</f>
        <v>True</v>
      </c>
      <c r="U21" s="16" t="s">
        <v>161</v>
      </c>
      <c r="V21" s="7" t="s">
        <v>15</v>
      </c>
      <c r="W21" s="20"/>
      <c r="X21" s="20"/>
      <c r="Y21" s="27"/>
      <c r="Z21" s="24"/>
      <c r="AA21" s="24"/>
      <c r="AB21" s="30"/>
      <c r="AD21" s="17"/>
      <c r="AF21" s="17"/>
      <c r="AH21" s="12" t="s">
        <v>6</v>
      </c>
      <c r="AI21" s="13" t="str">
        <f>VLOOKUP(LOWER(AK15),experiments_specs!$A:$J,7,FALSE)</f>
        <v>True</v>
      </c>
      <c r="AJ21" s="16" t="s">
        <v>167</v>
      </c>
      <c r="AK21" s="7"/>
      <c r="AL21" s="20"/>
      <c r="AM21" s="20"/>
      <c r="AN21" s="27"/>
      <c r="AO21" s="24"/>
      <c r="AP21" s="24"/>
      <c r="AQ21" s="30"/>
      <c r="AS21" s="17"/>
    </row>
    <row r="22" spans="2:45" x14ac:dyDescent="0.2">
      <c r="B22" s="17"/>
      <c r="D22" s="12" t="s">
        <v>7</v>
      </c>
      <c r="E22" s="13" t="str">
        <f>VLOOKUP(LOWER(G15),experiments_specs!$A:$J,8,FALSE)</f>
        <v>False</v>
      </c>
      <c r="F22" s="16" t="s">
        <v>155</v>
      </c>
      <c r="G22" s="7"/>
      <c r="H22" s="20"/>
      <c r="I22" s="20"/>
      <c r="J22" s="27"/>
      <c r="K22" s="24"/>
      <c r="L22" s="24"/>
      <c r="M22" s="30"/>
      <c r="O22" s="17"/>
      <c r="Q22" s="17"/>
      <c r="S22" s="12" t="s">
        <v>7</v>
      </c>
      <c r="T22" s="13" t="str">
        <f>VLOOKUP(LOWER(V15),experiments_specs!$A:$J,8,FALSE)</f>
        <v>False</v>
      </c>
      <c r="U22" s="16" t="s">
        <v>161</v>
      </c>
      <c r="V22" s="7" t="s">
        <v>16</v>
      </c>
      <c r="W22" s="20"/>
      <c r="X22" s="20"/>
      <c r="Y22" s="27"/>
      <c r="Z22" s="24"/>
      <c r="AA22" s="24"/>
      <c r="AB22" s="30"/>
      <c r="AD22" s="17"/>
      <c r="AF22" s="17"/>
      <c r="AH22" s="12" t="s">
        <v>7</v>
      </c>
      <c r="AI22" s="13" t="str">
        <f>VLOOKUP(LOWER(AK15),experiments_specs!$A:$J,8,FALSE)</f>
        <v>False</v>
      </c>
      <c r="AJ22" s="16" t="s">
        <v>167</v>
      </c>
      <c r="AK22" s="7"/>
      <c r="AL22" s="20"/>
      <c r="AM22" s="20"/>
      <c r="AN22" s="27"/>
      <c r="AO22" s="24"/>
      <c r="AP22" s="24"/>
      <c r="AQ22" s="30"/>
      <c r="AS22" s="17"/>
    </row>
    <row r="23" spans="2:45" x14ac:dyDescent="0.2">
      <c r="B23" s="17"/>
      <c r="D23" s="12" t="s">
        <v>8</v>
      </c>
      <c r="E23" s="13" t="str">
        <f>VLOOKUP(LOWER(G15),experiments_specs!$A:$J,9,FALSE)</f>
        <v>wup_similarity</v>
      </c>
      <c r="F23" s="16" t="s">
        <v>155</v>
      </c>
      <c r="G23" s="7"/>
      <c r="H23" s="20"/>
      <c r="I23" s="20"/>
      <c r="J23" s="27"/>
      <c r="K23" s="23"/>
      <c r="L23" s="23"/>
      <c r="M23" s="30"/>
      <c r="O23" s="17"/>
      <c r="Q23" s="17"/>
      <c r="S23" s="12" t="s">
        <v>8</v>
      </c>
      <c r="T23" s="13" t="str">
        <f>VLOOKUP(LOWER(V15),experiments_specs!$A:$J,9,FALSE)</f>
        <v>wup_similarity</v>
      </c>
      <c r="U23" s="16" t="s">
        <v>161</v>
      </c>
      <c r="V23" s="7" t="s">
        <v>17</v>
      </c>
      <c r="W23" s="19"/>
      <c r="X23" s="19"/>
      <c r="Y23" s="27"/>
      <c r="Z23" s="24"/>
      <c r="AA23" s="24"/>
      <c r="AB23" s="30"/>
      <c r="AD23" s="17"/>
      <c r="AF23" s="17"/>
      <c r="AH23" s="12" t="s">
        <v>8</v>
      </c>
      <c r="AI23" s="13" t="str">
        <f>VLOOKUP(LOWER(AK15),experiments_specs!$A:$J,9,FALSE)</f>
        <v>wup_similarity</v>
      </c>
      <c r="AJ23" s="16" t="s">
        <v>167</v>
      </c>
      <c r="AK23" s="7"/>
      <c r="AL23" s="19"/>
      <c r="AM23" s="19"/>
      <c r="AN23" s="27"/>
      <c r="AO23" s="24"/>
      <c r="AP23" s="24"/>
      <c r="AQ23" s="30"/>
      <c r="AS23" s="17"/>
    </row>
    <row r="24" spans="2:45" x14ac:dyDescent="0.2">
      <c r="B24" s="17"/>
      <c r="D24" s="12" t="s">
        <v>9</v>
      </c>
      <c r="E24" s="13" t="str">
        <f>VLOOKUP(LOWER(G15),experiments_specs!$A:$J,10,FALSE)</f>
        <v>False</v>
      </c>
      <c r="F24" s="16" t="s">
        <v>155</v>
      </c>
      <c r="G24" s="8"/>
      <c r="H24" s="21"/>
      <c r="I24" s="21"/>
      <c r="J24" s="28"/>
      <c r="K24" s="25"/>
      <c r="L24" s="25"/>
      <c r="M24" s="31"/>
      <c r="O24" s="17"/>
      <c r="Q24" s="17"/>
      <c r="S24" s="12" t="s">
        <v>9</v>
      </c>
      <c r="T24" s="13" t="str">
        <f>VLOOKUP(LOWER(V15),experiments_specs!$A:$J,10,FALSE)</f>
        <v>False</v>
      </c>
      <c r="U24" s="16" t="s">
        <v>161</v>
      </c>
      <c r="V24" s="8" t="s">
        <v>18</v>
      </c>
      <c r="W24" s="21"/>
      <c r="X24" s="21"/>
      <c r="Y24" s="28"/>
      <c r="Z24" s="25"/>
      <c r="AA24" s="25"/>
      <c r="AB24" s="31"/>
      <c r="AD24" s="17"/>
      <c r="AF24" s="17"/>
      <c r="AH24" s="12" t="s">
        <v>9</v>
      </c>
      <c r="AI24" s="13" t="str">
        <f>VLOOKUP(LOWER(AK15),experiments_specs!$A:$J,10,FALSE)</f>
        <v>True</v>
      </c>
      <c r="AJ24" s="16" t="s">
        <v>167</v>
      </c>
      <c r="AK24" s="8"/>
      <c r="AL24" s="21"/>
      <c r="AM24" s="21"/>
      <c r="AN24" s="28"/>
      <c r="AO24" s="25"/>
      <c r="AP24" s="25"/>
      <c r="AQ24" s="31"/>
      <c r="AS24" s="17"/>
    </row>
    <row r="25" spans="2:45" ht="17" thickBot="1" x14ac:dyDescent="0.25">
      <c r="B25" s="17"/>
      <c r="O25" s="17"/>
      <c r="Q25" s="17"/>
      <c r="AD25" s="17"/>
      <c r="AF25" s="17"/>
      <c r="AS25" s="17"/>
    </row>
    <row r="26" spans="2:45" ht="20" thickBot="1" x14ac:dyDescent="0.3">
      <c r="B26" s="17"/>
      <c r="D26" s="14" t="s">
        <v>198</v>
      </c>
      <c r="E26" s="15"/>
      <c r="F26" s="10"/>
      <c r="G26" s="11" t="str">
        <f>"TEST_"&amp;TEXT(RIGHT(G15,2)+1, "00")</f>
        <v>TEST_21</v>
      </c>
      <c r="H26" s="36" t="s">
        <v>196</v>
      </c>
      <c r="I26" s="36"/>
      <c r="J26" s="36"/>
      <c r="K26" s="37" t="s">
        <v>195</v>
      </c>
      <c r="L26" s="37"/>
      <c r="M26" s="37"/>
      <c r="N26" s="3"/>
      <c r="O26" s="17"/>
      <c r="Q26" s="17"/>
      <c r="S26" s="14" t="s">
        <v>198</v>
      </c>
      <c r="T26" s="15"/>
      <c r="U26" s="10"/>
      <c r="V26" s="11" t="str">
        <f>"TEST_"&amp;TEXT(RIGHT(V15,2)+1, "00")</f>
        <v>TEST_27</v>
      </c>
      <c r="W26" s="36" t="s">
        <v>196</v>
      </c>
      <c r="X26" s="36"/>
      <c r="Y26" s="36"/>
      <c r="Z26" s="37" t="s">
        <v>195</v>
      </c>
      <c r="AA26" s="37"/>
      <c r="AB26" s="37"/>
      <c r="AC26" s="3"/>
      <c r="AD26" s="17"/>
      <c r="AF26" s="17"/>
      <c r="AH26" s="14" t="s">
        <v>198</v>
      </c>
      <c r="AI26" s="15"/>
      <c r="AJ26" s="10"/>
      <c r="AK26" s="11" t="str">
        <f>"TEST_"&amp;TEXT(RIGHT(AK15,2)+1, "00")</f>
        <v>TEST_33</v>
      </c>
      <c r="AL26" s="36" t="s">
        <v>196</v>
      </c>
      <c r="AM26" s="36"/>
      <c r="AN26" s="36"/>
      <c r="AO26" s="37" t="s">
        <v>195</v>
      </c>
      <c r="AP26" s="37"/>
      <c r="AQ26" s="37"/>
      <c r="AR26" s="3"/>
      <c r="AS26" s="17"/>
    </row>
    <row r="27" spans="2:45" x14ac:dyDescent="0.2">
      <c r="B27" s="17"/>
      <c r="D27" s="12" t="s">
        <v>1</v>
      </c>
      <c r="E27" s="13" t="str">
        <f>VLOOKUP(LOWER(G26),experiments_specs!$A:$J,2,FALSE)</f>
        <v>NN,VB</v>
      </c>
      <c r="F27" s="16" t="str">
        <f>"{"&amp;LOWER(G26)&amp;".csv}"</f>
        <v>{test_21.csv}</v>
      </c>
      <c r="G27" s="9" t="s">
        <v>190</v>
      </c>
      <c r="H27" s="4" t="s">
        <v>191</v>
      </c>
      <c r="I27" s="4" t="s">
        <v>192</v>
      </c>
      <c r="J27" s="4" t="s">
        <v>193</v>
      </c>
      <c r="K27" s="5" t="s">
        <v>194</v>
      </c>
      <c r="L27" s="5" t="s">
        <v>192</v>
      </c>
      <c r="M27" s="5" t="s">
        <v>193</v>
      </c>
      <c r="O27" s="17"/>
      <c r="Q27" s="17"/>
      <c r="S27" s="12" t="s">
        <v>1</v>
      </c>
      <c r="T27" s="13" t="str">
        <f>VLOOKUP(LOWER(V26),experiments_specs!$A:$J,2,FALSE)</f>
        <v>NN,VB</v>
      </c>
      <c r="U27" s="16" t="str">
        <f>"{"&amp;LOWER(V26)&amp;".csv}"</f>
        <v>{test_27.csv}</v>
      </c>
      <c r="V27" s="9" t="s">
        <v>190</v>
      </c>
      <c r="W27" s="4" t="s">
        <v>191</v>
      </c>
      <c r="X27" s="4" t="s">
        <v>192</v>
      </c>
      <c r="Y27" s="4" t="s">
        <v>193</v>
      </c>
      <c r="Z27" s="5" t="s">
        <v>194</v>
      </c>
      <c r="AA27" s="5" t="s">
        <v>192</v>
      </c>
      <c r="AB27" s="5" t="s">
        <v>193</v>
      </c>
      <c r="AD27" s="17"/>
      <c r="AF27" s="17"/>
      <c r="AH27" s="12" t="s">
        <v>1</v>
      </c>
      <c r="AI27" s="13" t="str">
        <f>VLOOKUP(LOWER(AK26),experiments_specs!$A:$J,2,FALSE)</f>
        <v>NN,VB</v>
      </c>
      <c r="AJ27" s="16" t="str">
        <f>"{"&amp;LOWER(AK26)&amp;".csv}"</f>
        <v>{test_33.csv}</v>
      </c>
      <c r="AK27" s="9" t="s">
        <v>190</v>
      </c>
      <c r="AL27" s="4" t="s">
        <v>191</v>
      </c>
      <c r="AM27" s="4" t="s">
        <v>192</v>
      </c>
      <c r="AN27" s="4" t="s">
        <v>193</v>
      </c>
      <c r="AO27" s="5" t="s">
        <v>194</v>
      </c>
      <c r="AP27" s="5" t="s">
        <v>192</v>
      </c>
      <c r="AQ27" s="5" t="s">
        <v>193</v>
      </c>
      <c r="AS27" s="17"/>
    </row>
    <row r="28" spans="2:45" x14ac:dyDescent="0.2">
      <c r="B28" s="17"/>
      <c r="D28" s="12" t="s">
        <v>2</v>
      </c>
      <c r="E28" s="13">
        <f>VLOOKUP(LOWER(G26),experiments_specs!$A:$J,3,FALSE)</f>
        <v>1</v>
      </c>
      <c r="F28" s="16" t="s">
        <v>156</v>
      </c>
      <c r="G28" s="6"/>
      <c r="H28" s="18"/>
      <c r="I28" s="18"/>
      <c r="J28" s="26"/>
      <c r="K28" s="22"/>
      <c r="L28" s="22"/>
      <c r="M28" s="29"/>
      <c r="O28" s="17"/>
      <c r="Q28" s="17"/>
      <c r="S28" s="12" t="s">
        <v>2</v>
      </c>
      <c r="T28" s="13">
        <f>VLOOKUP(LOWER(V26),experiments_specs!$A:$J,3,FALSE)</f>
        <v>1</v>
      </c>
      <c r="U28" s="16" t="s">
        <v>162</v>
      </c>
      <c r="V28" s="6" t="s">
        <v>19</v>
      </c>
      <c r="W28" s="18"/>
      <c r="X28" s="18"/>
      <c r="Y28" s="26"/>
      <c r="Z28" s="22"/>
      <c r="AA28" s="22"/>
      <c r="AB28" s="29"/>
      <c r="AD28" s="17"/>
      <c r="AF28" s="17"/>
      <c r="AH28" s="12" t="s">
        <v>2</v>
      </c>
      <c r="AI28" s="13">
        <f>VLOOKUP(LOWER(AK26),experiments_specs!$A:$J,3,FALSE)</f>
        <v>1</v>
      </c>
      <c r="AJ28" s="16" t="s">
        <v>168</v>
      </c>
      <c r="AK28" s="6"/>
      <c r="AL28" s="18"/>
      <c r="AM28" s="18"/>
      <c r="AN28" s="26"/>
      <c r="AO28" s="22"/>
      <c r="AP28" s="22"/>
      <c r="AQ28" s="29"/>
      <c r="AS28" s="17"/>
    </row>
    <row r="29" spans="2:45" x14ac:dyDescent="0.2">
      <c r="B29" s="17"/>
      <c r="D29" s="12" t="s">
        <v>3</v>
      </c>
      <c r="E29" s="13">
        <f>VLOOKUP(LOWER(G26),experiments_specs!$A:$J,4,FALSE)</f>
        <v>2</v>
      </c>
      <c r="F29" s="16" t="s">
        <v>156</v>
      </c>
      <c r="G29" s="7"/>
      <c r="H29" s="19"/>
      <c r="I29" s="19"/>
      <c r="J29" s="27"/>
      <c r="K29" s="23"/>
      <c r="L29" s="23"/>
      <c r="M29" s="30"/>
      <c r="O29" s="17"/>
      <c r="Q29" s="17"/>
      <c r="S29" s="12" t="s">
        <v>3</v>
      </c>
      <c r="T29" s="13">
        <f>VLOOKUP(LOWER(V26),experiments_specs!$A:$J,4,FALSE)</f>
        <v>2</v>
      </c>
      <c r="U29" s="16" t="s">
        <v>162</v>
      </c>
      <c r="V29" s="7" t="s">
        <v>12</v>
      </c>
      <c r="W29" s="19"/>
      <c r="X29" s="19"/>
      <c r="Y29" s="27"/>
      <c r="Z29" s="24"/>
      <c r="AA29" s="24"/>
      <c r="AB29" s="30"/>
      <c r="AD29" s="17"/>
      <c r="AF29" s="17"/>
      <c r="AH29" s="12" t="s">
        <v>3</v>
      </c>
      <c r="AI29" s="13">
        <f>VLOOKUP(LOWER(AK26),experiments_specs!$A:$J,4,FALSE)</f>
        <v>2</v>
      </c>
      <c r="AJ29" s="16" t="s">
        <v>168</v>
      </c>
      <c r="AK29" s="7"/>
      <c r="AL29" s="19"/>
      <c r="AM29" s="19"/>
      <c r="AN29" s="27"/>
      <c r="AO29" s="24"/>
      <c r="AP29" s="24"/>
      <c r="AQ29" s="30"/>
      <c r="AS29" s="17"/>
    </row>
    <row r="30" spans="2:45" x14ac:dyDescent="0.2">
      <c r="B30" s="17"/>
      <c r="D30" s="12" t="s">
        <v>4</v>
      </c>
      <c r="E30" s="13" t="str">
        <f>VLOOKUP(LOWER(G26),experiments_specs!$A:$J,5,FALSE)</f>
        <v>False</v>
      </c>
      <c r="F30" s="16" t="s">
        <v>156</v>
      </c>
      <c r="G30" s="7"/>
      <c r="H30" s="20"/>
      <c r="I30" s="20"/>
      <c r="J30" s="27"/>
      <c r="K30" s="23"/>
      <c r="L30" s="23"/>
      <c r="M30" s="30"/>
      <c r="O30" s="17"/>
      <c r="Q30" s="17"/>
      <c r="S30" s="12" t="s">
        <v>4</v>
      </c>
      <c r="T30" s="13" t="str">
        <f>VLOOKUP(LOWER(V26),experiments_specs!$A:$J,5,FALSE)</f>
        <v>True</v>
      </c>
      <c r="U30" s="16" t="s">
        <v>162</v>
      </c>
      <c r="V30" s="7" t="s">
        <v>13</v>
      </c>
      <c r="W30" s="20"/>
      <c r="X30" s="20"/>
      <c r="Y30" s="27"/>
      <c r="Z30" s="23"/>
      <c r="AA30" s="23"/>
      <c r="AB30" s="30"/>
      <c r="AD30" s="17"/>
      <c r="AF30" s="17"/>
      <c r="AH30" s="12" t="s">
        <v>4</v>
      </c>
      <c r="AI30" s="13" t="str">
        <f>VLOOKUP(LOWER(AK26),experiments_specs!$A:$J,5,FALSE)</f>
        <v>True</v>
      </c>
      <c r="AJ30" s="16" t="s">
        <v>168</v>
      </c>
      <c r="AK30" s="7"/>
      <c r="AL30" s="20"/>
      <c r="AM30" s="20"/>
      <c r="AN30" s="27"/>
      <c r="AO30" s="23"/>
      <c r="AP30" s="23"/>
      <c r="AQ30" s="30"/>
      <c r="AS30" s="17"/>
    </row>
    <row r="31" spans="2:45" x14ac:dyDescent="0.2">
      <c r="B31" s="17"/>
      <c r="D31" s="12" t="s">
        <v>5</v>
      </c>
      <c r="E31" s="13" t="str">
        <f>VLOOKUP(LOWER(G26),experiments_specs!$A:$J,6,FALSE)</f>
        <v>True</v>
      </c>
      <c r="F31" s="16" t="s">
        <v>156</v>
      </c>
      <c r="G31" s="7"/>
      <c r="H31" s="20"/>
      <c r="I31" s="20"/>
      <c r="J31" s="27"/>
      <c r="K31" s="23"/>
      <c r="L31" s="23"/>
      <c r="M31" s="30"/>
      <c r="O31" s="17"/>
      <c r="Q31" s="17"/>
      <c r="S31" s="12" t="s">
        <v>5</v>
      </c>
      <c r="T31" s="13" t="str">
        <f>VLOOKUP(LOWER(V26),experiments_specs!$A:$J,6,FALSE)</f>
        <v>True</v>
      </c>
      <c r="U31" s="16" t="s">
        <v>162</v>
      </c>
      <c r="V31" s="7" t="s">
        <v>14</v>
      </c>
      <c r="W31" s="19"/>
      <c r="X31" s="19"/>
      <c r="Y31" s="27"/>
      <c r="Z31" s="24"/>
      <c r="AA31" s="24"/>
      <c r="AB31" s="30"/>
      <c r="AD31" s="17"/>
      <c r="AF31" s="17"/>
      <c r="AH31" s="12" t="s">
        <v>5</v>
      </c>
      <c r="AI31" s="13" t="str">
        <f>VLOOKUP(LOWER(AK26),experiments_specs!$A:$J,6,FALSE)</f>
        <v>True</v>
      </c>
      <c r="AJ31" s="16" t="s">
        <v>168</v>
      </c>
      <c r="AK31" s="7"/>
      <c r="AL31" s="19"/>
      <c r="AM31" s="19"/>
      <c r="AN31" s="27"/>
      <c r="AO31" s="24"/>
      <c r="AP31" s="24"/>
      <c r="AQ31" s="30"/>
      <c r="AS31" s="17"/>
    </row>
    <row r="32" spans="2:45" x14ac:dyDescent="0.2">
      <c r="B32" s="17"/>
      <c r="D32" s="12" t="s">
        <v>6</v>
      </c>
      <c r="E32" s="13" t="str">
        <f>VLOOKUP(LOWER(G26),experiments_specs!$A:$J,7,FALSE)</f>
        <v>True</v>
      </c>
      <c r="F32" s="16" t="s">
        <v>156</v>
      </c>
      <c r="G32" s="7"/>
      <c r="H32" s="20"/>
      <c r="I32" s="20"/>
      <c r="J32" s="27"/>
      <c r="K32" s="24"/>
      <c r="L32" s="24"/>
      <c r="M32" s="30"/>
      <c r="O32" s="17"/>
      <c r="Q32" s="17"/>
      <c r="S32" s="12" t="s">
        <v>6</v>
      </c>
      <c r="T32" s="13" t="str">
        <f>VLOOKUP(LOWER(V26),experiments_specs!$A:$J,7,FALSE)</f>
        <v>True</v>
      </c>
      <c r="U32" s="16" t="s">
        <v>162</v>
      </c>
      <c r="V32" s="7" t="s">
        <v>15</v>
      </c>
      <c r="W32" s="20"/>
      <c r="X32" s="20"/>
      <c r="Y32" s="27"/>
      <c r="Z32" s="24"/>
      <c r="AA32" s="24"/>
      <c r="AB32" s="30"/>
      <c r="AD32" s="17"/>
      <c r="AF32" s="17"/>
      <c r="AH32" s="12" t="s">
        <v>6</v>
      </c>
      <c r="AI32" s="13" t="str">
        <f>VLOOKUP(LOWER(AK26),experiments_specs!$A:$J,7,FALSE)</f>
        <v>True</v>
      </c>
      <c r="AJ32" s="16" t="s">
        <v>168</v>
      </c>
      <c r="AK32" s="7"/>
      <c r="AL32" s="20"/>
      <c r="AM32" s="20"/>
      <c r="AN32" s="27"/>
      <c r="AO32" s="24"/>
      <c r="AP32" s="24"/>
      <c r="AQ32" s="30"/>
      <c r="AS32" s="17"/>
    </row>
    <row r="33" spans="2:45" x14ac:dyDescent="0.2">
      <c r="B33" s="17"/>
      <c r="D33" s="12" t="s">
        <v>7</v>
      </c>
      <c r="E33" s="13" t="str">
        <f>VLOOKUP(LOWER(G26),experiments_specs!$A:$J,8,FALSE)</f>
        <v>False</v>
      </c>
      <c r="F33" s="16" t="s">
        <v>156</v>
      </c>
      <c r="G33" s="7"/>
      <c r="H33" s="20"/>
      <c r="I33" s="20"/>
      <c r="J33" s="27"/>
      <c r="K33" s="24"/>
      <c r="L33" s="24"/>
      <c r="M33" s="30"/>
      <c r="O33" s="17"/>
      <c r="Q33" s="17"/>
      <c r="S33" s="12" t="s">
        <v>7</v>
      </c>
      <c r="T33" s="13" t="str">
        <f>VLOOKUP(LOWER(V26),experiments_specs!$A:$J,8,FALSE)</f>
        <v>False</v>
      </c>
      <c r="U33" s="16" t="s">
        <v>162</v>
      </c>
      <c r="V33" s="7" t="s">
        <v>16</v>
      </c>
      <c r="W33" s="20"/>
      <c r="X33" s="20"/>
      <c r="Y33" s="27"/>
      <c r="Z33" s="24"/>
      <c r="AA33" s="24"/>
      <c r="AB33" s="30"/>
      <c r="AD33" s="17"/>
      <c r="AF33" s="17"/>
      <c r="AH33" s="12" t="s">
        <v>7</v>
      </c>
      <c r="AI33" s="13" t="str">
        <f>VLOOKUP(LOWER(AK26),experiments_specs!$A:$J,8,FALSE)</f>
        <v>False</v>
      </c>
      <c r="AJ33" s="16" t="s">
        <v>168</v>
      </c>
      <c r="AK33" s="7"/>
      <c r="AL33" s="20"/>
      <c r="AM33" s="20"/>
      <c r="AN33" s="27"/>
      <c r="AO33" s="24"/>
      <c r="AP33" s="24"/>
      <c r="AQ33" s="30"/>
      <c r="AS33" s="17"/>
    </row>
    <row r="34" spans="2:45" x14ac:dyDescent="0.2">
      <c r="B34" s="17"/>
      <c r="D34" s="12" t="s">
        <v>8</v>
      </c>
      <c r="E34" s="13" t="str">
        <f>VLOOKUP(LOWER(G26),experiments_specs!$A:$J,9,FALSE)</f>
        <v>wup_similarity</v>
      </c>
      <c r="F34" s="16" t="s">
        <v>156</v>
      </c>
      <c r="G34" s="7"/>
      <c r="H34" s="20"/>
      <c r="I34" s="20"/>
      <c r="J34" s="27"/>
      <c r="K34" s="23"/>
      <c r="L34" s="23"/>
      <c r="M34" s="30"/>
      <c r="O34" s="17"/>
      <c r="Q34" s="17"/>
      <c r="S34" s="12" t="s">
        <v>8</v>
      </c>
      <c r="T34" s="13" t="str">
        <f>VLOOKUP(LOWER(V26),experiments_specs!$A:$J,9,FALSE)</f>
        <v>wup_similarity</v>
      </c>
      <c r="U34" s="16" t="s">
        <v>162</v>
      </c>
      <c r="V34" s="7" t="s">
        <v>17</v>
      </c>
      <c r="W34" s="20"/>
      <c r="X34" s="20"/>
      <c r="Y34" s="27"/>
      <c r="Z34" s="24"/>
      <c r="AA34" s="24"/>
      <c r="AB34" s="30"/>
      <c r="AD34" s="17"/>
      <c r="AF34" s="17"/>
      <c r="AH34" s="12" t="s">
        <v>8</v>
      </c>
      <c r="AI34" s="13" t="str">
        <f>VLOOKUP(LOWER(AK26),experiments_specs!$A:$J,9,FALSE)</f>
        <v>wup_similarity</v>
      </c>
      <c r="AJ34" s="16" t="s">
        <v>168</v>
      </c>
      <c r="AK34" s="7"/>
      <c r="AL34" s="19"/>
      <c r="AM34" s="19"/>
      <c r="AN34" s="27"/>
      <c r="AO34" s="24"/>
      <c r="AP34" s="24"/>
      <c r="AQ34" s="30"/>
      <c r="AS34" s="17"/>
    </row>
    <row r="35" spans="2:45" x14ac:dyDescent="0.2">
      <c r="B35" s="17"/>
      <c r="D35" s="12" t="s">
        <v>9</v>
      </c>
      <c r="E35" s="13" t="str">
        <f>VLOOKUP(LOWER(G26),experiments_specs!$A:$J,10,FALSE)</f>
        <v>False</v>
      </c>
      <c r="F35" s="16" t="s">
        <v>156</v>
      </c>
      <c r="G35" s="8"/>
      <c r="H35" s="21"/>
      <c r="I35" s="21"/>
      <c r="J35" s="28"/>
      <c r="K35" s="25"/>
      <c r="L35" s="25"/>
      <c r="M35" s="31"/>
      <c r="O35" s="17"/>
      <c r="Q35" s="17"/>
      <c r="S35" s="12" t="s">
        <v>9</v>
      </c>
      <c r="T35" s="13" t="str">
        <f>VLOOKUP(LOWER(V26),experiments_specs!$A:$J,10,FALSE)</f>
        <v>False</v>
      </c>
      <c r="U35" s="16" t="s">
        <v>162</v>
      </c>
      <c r="V35" s="8" t="s">
        <v>18</v>
      </c>
      <c r="W35" s="21"/>
      <c r="X35" s="21"/>
      <c r="Y35" s="28"/>
      <c r="Z35" s="25"/>
      <c r="AA35" s="25"/>
      <c r="AB35" s="31"/>
      <c r="AD35" s="17"/>
      <c r="AF35" s="17"/>
      <c r="AH35" s="12" t="s">
        <v>9</v>
      </c>
      <c r="AI35" s="13" t="str">
        <f>VLOOKUP(LOWER(AK26),experiments_specs!$A:$J,10,FALSE)</f>
        <v>True</v>
      </c>
      <c r="AJ35" s="16" t="s">
        <v>168</v>
      </c>
      <c r="AK35" s="8"/>
      <c r="AL35" s="21"/>
      <c r="AM35" s="21"/>
      <c r="AN35" s="28"/>
      <c r="AO35" s="25"/>
      <c r="AP35" s="25"/>
      <c r="AQ35" s="31"/>
      <c r="AS35" s="17"/>
    </row>
    <row r="36" spans="2:45" ht="17" thickBot="1" x14ac:dyDescent="0.25">
      <c r="B36" s="17"/>
      <c r="O36" s="17"/>
      <c r="Q36" s="17"/>
      <c r="AD36" s="17"/>
      <c r="AF36" s="17"/>
      <c r="AS36" s="17"/>
    </row>
    <row r="37" spans="2:45" ht="20" thickBot="1" x14ac:dyDescent="0.3">
      <c r="B37" s="17"/>
      <c r="D37" s="14" t="s">
        <v>198</v>
      </c>
      <c r="E37" s="15"/>
      <c r="F37" s="10"/>
      <c r="G37" s="11" t="str">
        <f>"TEST_"&amp;TEXT(RIGHT(G26,2)+1, "00")</f>
        <v>TEST_22</v>
      </c>
      <c r="H37" s="36" t="s">
        <v>196</v>
      </c>
      <c r="I37" s="36"/>
      <c r="J37" s="36"/>
      <c r="K37" s="37" t="s">
        <v>195</v>
      </c>
      <c r="L37" s="37"/>
      <c r="M37" s="37"/>
      <c r="N37" s="3"/>
      <c r="O37" s="17"/>
      <c r="Q37" s="17"/>
      <c r="S37" s="14" t="s">
        <v>198</v>
      </c>
      <c r="T37" s="15"/>
      <c r="U37" s="10"/>
      <c r="V37" s="11" t="str">
        <f>"TEST_"&amp;TEXT(RIGHT(V26,2)+1, "00")</f>
        <v>TEST_28</v>
      </c>
      <c r="W37" s="36" t="s">
        <v>196</v>
      </c>
      <c r="X37" s="36"/>
      <c r="Y37" s="36"/>
      <c r="Z37" s="37" t="s">
        <v>195</v>
      </c>
      <c r="AA37" s="37"/>
      <c r="AB37" s="37"/>
      <c r="AC37" s="3"/>
      <c r="AD37" s="17"/>
      <c r="AF37" s="17"/>
      <c r="AH37" s="14" t="s">
        <v>198</v>
      </c>
      <c r="AI37" s="15"/>
      <c r="AJ37" s="10"/>
      <c r="AK37" s="11" t="str">
        <f>"TEST_"&amp;TEXT(RIGHT(AK26,2)+1, "00")</f>
        <v>TEST_34</v>
      </c>
      <c r="AL37" s="36" t="s">
        <v>196</v>
      </c>
      <c r="AM37" s="36"/>
      <c r="AN37" s="36"/>
      <c r="AO37" s="37" t="s">
        <v>195</v>
      </c>
      <c r="AP37" s="37"/>
      <c r="AQ37" s="37"/>
      <c r="AR37" s="3"/>
      <c r="AS37" s="17"/>
    </row>
    <row r="38" spans="2:45" x14ac:dyDescent="0.2">
      <c r="B38" s="17"/>
      <c r="D38" s="12" t="s">
        <v>1</v>
      </c>
      <c r="E38" s="13" t="str">
        <f>VLOOKUP(LOWER(G37),experiments_specs!$A:$J,2,FALSE)</f>
        <v>NN,VB,VBD,VBG,VBN,VBP,VBZ</v>
      </c>
      <c r="F38" s="16" t="str">
        <f>"{"&amp;LOWER(G37)&amp;".csv}"</f>
        <v>{test_22.csv}</v>
      </c>
      <c r="G38" s="9" t="s">
        <v>190</v>
      </c>
      <c r="H38" s="4" t="s">
        <v>191</v>
      </c>
      <c r="I38" s="4" t="s">
        <v>192</v>
      </c>
      <c r="J38" s="4" t="s">
        <v>193</v>
      </c>
      <c r="K38" s="5" t="s">
        <v>194</v>
      </c>
      <c r="L38" s="5" t="s">
        <v>192</v>
      </c>
      <c r="M38" s="5" t="s">
        <v>193</v>
      </c>
      <c r="O38" s="17"/>
      <c r="Q38" s="17"/>
      <c r="S38" s="12" t="s">
        <v>1</v>
      </c>
      <c r="T38" s="13" t="str">
        <f>VLOOKUP(LOWER(V37),experiments_specs!$A:$J,2,FALSE)</f>
        <v>NN,VB,VBD,VBG,VBN,VBP,VBZ</v>
      </c>
      <c r="U38" s="16" t="str">
        <f>"{"&amp;LOWER(V37)&amp;".csv}"</f>
        <v>{test_28.csv}</v>
      </c>
      <c r="V38" s="9" t="s">
        <v>190</v>
      </c>
      <c r="W38" s="4" t="s">
        <v>191</v>
      </c>
      <c r="X38" s="4" t="s">
        <v>192</v>
      </c>
      <c r="Y38" s="4" t="s">
        <v>193</v>
      </c>
      <c r="Z38" s="5" t="s">
        <v>194</v>
      </c>
      <c r="AA38" s="5" t="s">
        <v>192</v>
      </c>
      <c r="AB38" s="5" t="s">
        <v>193</v>
      </c>
      <c r="AD38" s="17"/>
      <c r="AF38" s="17"/>
      <c r="AH38" s="12" t="s">
        <v>1</v>
      </c>
      <c r="AI38" s="13" t="str">
        <f>VLOOKUP(LOWER(AK37),experiments_specs!$A:$J,2,FALSE)</f>
        <v>NN,VB,VBD,VBG,VBN,VBP,VBZ</v>
      </c>
      <c r="AJ38" s="16" t="str">
        <f>"{"&amp;LOWER(AK37)&amp;".csv}"</f>
        <v>{test_34.csv}</v>
      </c>
      <c r="AK38" s="9" t="s">
        <v>190</v>
      </c>
      <c r="AL38" s="4" t="s">
        <v>191</v>
      </c>
      <c r="AM38" s="4" t="s">
        <v>192</v>
      </c>
      <c r="AN38" s="4" t="s">
        <v>193</v>
      </c>
      <c r="AO38" s="5" t="s">
        <v>194</v>
      </c>
      <c r="AP38" s="5" t="s">
        <v>192</v>
      </c>
      <c r="AQ38" s="5" t="s">
        <v>193</v>
      </c>
      <c r="AS38" s="17"/>
    </row>
    <row r="39" spans="2:45" x14ac:dyDescent="0.2">
      <c r="B39" s="17"/>
      <c r="D39" s="12" t="s">
        <v>2</v>
      </c>
      <c r="E39" s="13">
        <f>VLOOKUP(LOWER(G37),experiments_specs!$A:$J,3,FALSE)</f>
        <v>1</v>
      </c>
      <c r="F39" s="16" t="s">
        <v>157</v>
      </c>
      <c r="G39" s="6"/>
      <c r="H39" s="18"/>
      <c r="I39" s="18"/>
      <c r="J39" s="26"/>
      <c r="K39" s="22"/>
      <c r="L39" s="22"/>
      <c r="M39" s="29"/>
      <c r="O39" s="17"/>
      <c r="Q39" s="17"/>
      <c r="S39" s="12" t="s">
        <v>2</v>
      </c>
      <c r="T39" s="13">
        <f>VLOOKUP(LOWER(V37),experiments_specs!$A:$J,3,FALSE)</f>
        <v>1</v>
      </c>
      <c r="U39" s="16" t="s">
        <v>163</v>
      </c>
      <c r="V39" s="6" t="s">
        <v>19</v>
      </c>
      <c r="W39" s="18"/>
      <c r="X39" s="18"/>
      <c r="Y39" s="26"/>
      <c r="Z39" s="22"/>
      <c r="AA39" s="22"/>
      <c r="AB39" s="29"/>
      <c r="AD39" s="17"/>
      <c r="AF39" s="17"/>
      <c r="AH39" s="12" t="s">
        <v>2</v>
      </c>
      <c r="AI39" s="13">
        <f>VLOOKUP(LOWER(AK37),experiments_specs!$A:$J,3,FALSE)</f>
        <v>1</v>
      </c>
      <c r="AJ39" s="16" t="s">
        <v>169</v>
      </c>
      <c r="AK39" s="6"/>
      <c r="AL39" s="18"/>
      <c r="AM39" s="18"/>
      <c r="AN39" s="26"/>
      <c r="AO39" s="22"/>
      <c r="AP39" s="22"/>
      <c r="AQ39" s="29"/>
      <c r="AS39" s="17"/>
    </row>
    <row r="40" spans="2:45" x14ac:dyDescent="0.2">
      <c r="B40" s="17"/>
      <c r="D40" s="12" t="s">
        <v>3</v>
      </c>
      <c r="E40" s="13">
        <f>VLOOKUP(LOWER(G37),experiments_specs!$A:$J,4,FALSE)</f>
        <v>2</v>
      </c>
      <c r="F40" s="16" t="s">
        <v>157</v>
      </c>
      <c r="G40" s="7"/>
      <c r="H40" s="19"/>
      <c r="I40" s="19"/>
      <c r="J40" s="27"/>
      <c r="K40" s="23"/>
      <c r="L40" s="23"/>
      <c r="M40" s="30"/>
      <c r="O40" s="17"/>
      <c r="Q40" s="17"/>
      <c r="S40" s="12" t="s">
        <v>3</v>
      </c>
      <c r="T40" s="13">
        <f>VLOOKUP(LOWER(V37),experiments_specs!$A:$J,4,FALSE)</f>
        <v>2</v>
      </c>
      <c r="U40" s="16" t="s">
        <v>163</v>
      </c>
      <c r="V40" s="7" t="s">
        <v>12</v>
      </c>
      <c r="W40" s="19"/>
      <c r="X40" s="19"/>
      <c r="Y40" s="27"/>
      <c r="Z40" s="24"/>
      <c r="AA40" s="24"/>
      <c r="AB40" s="30"/>
      <c r="AD40" s="17"/>
      <c r="AF40" s="17"/>
      <c r="AH40" s="12" t="s">
        <v>3</v>
      </c>
      <c r="AI40" s="13">
        <f>VLOOKUP(LOWER(AK37),experiments_specs!$A:$J,4,FALSE)</f>
        <v>2</v>
      </c>
      <c r="AJ40" s="16" t="s">
        <v>169</v>
      </c>
      <c r="AK40" s="7"/>
      <c r="AL40" s="19"/>
      <c r="AM40" s="19"/>
      <c r="AN40" s="27"/>
      <c r="AO40" s="24"/>
      <c r="AP40" s="24"/>
      <c r="AQ40" s="30"/>
      <c r="AS40" s="17"/>
    </row>
    <row r="41" spans="2:45" x14ac:dyDescent="0.2">
      <c r="B41" s="17"/>
      <c r="D41" s="12" t="s">
        <v>4</v>
      </c>
      <c r="E41" s="13" t="str">
        <f>VLOOKUP(LOWER(G37),experiments_specs!$A:$J,5,FALSE)</f>
        <v>False</v>
      </c>
      <c r="F41" s="16" t="s">
        <v>157</v>
      </c>
      <c r="G41" s="7"/>
      <c r="H41" s="20"/>
      <c r="I41" s="20"/>
      <c r="J41" s="27"/>
      <c r="K41" s="23"/>
      <c r="L41" s="23"/>
      <c r="M41" s="30"/>
      <c r="O41" s="17"/>
      <c r="Q41" s="17"/>
      <c r="S41" s="12" t="s">
        <v>4</v>
      </c>
      <c r="T41" s="13" t="str">
        <f>VLOOKUP(LOWER(V37),experiments_specs!$A:$J,5,FALSE)</f>
        <v>True</v>
      </c>
      <c r="U41" s="16" t="s">
        <v>163</v>
      </c>
      <c r="V41" s="7" t="s">
        <v>13</v>
      </c>
      <c r="W41" s="20"/>
      <c r="X41" s="20"/>
      <c r="Y41" s="27"/>
      <c r="Z41" s="23"/>
      <c r="AA41" s="23"/>
      <c r="AB41" s="30"/>
      <c r="AD41" s="17"/>
      <c r="AF41" s="17"/>
      <c r="AH41" s="12" t="s">
        <v>4</v>
      </c>
      <c r="AI41" s="13" t="str">
        <f>VLOOKUP(LOWER(AK37),experiments_specs!$A:$J,5,FALSE)</f>
        <v>True</v>
      </c>
      <c r="AJ41" s="16" t="s">
        <v>169</v>
      </c>
      <c r="AK41" s="7"/>
      <c r="AL41" s="20"/>
      <c r="AM41" s="20"/>
      <c r="AN41" s="27"/>
      <c r="AO41" s="23"/>
      <c r="AP41" s="23"/>
      <c r="AQ41" s="30"/>
      <c r="AS41" s="17"/>
    </row>
    <row r="42" spans="2:45" x14ac:dyDescent="0.2">
      <c r="B42" s="17"/>
      <c r="D42" s="12" t="s">
        <v>5</v>
      </c>
      <c r="E42" s="13" t="str">
        <f>VLOOKUP(LOWER(G37),experiments_specs!$A:$J,6,FALSE)</f>
        <v>True</v>
      </c>
      <c r="F42" s="16" t="s">
        <v>157</v>
      </c>
      <c r="G42" s="7"/>
      <c r="H42" s="20"/>
      <c r="I42" s="20"/>
      <c r="J42" s="27"/>
      <c r="K42" s="23"/>
      <c r="L42" s="23"/>
      <c r="M42" s="30"/>
      <c r="O42" s="17"/>
      <c r="Q42" s="17"/>
      <c r="S42" s="12" t="s">
        <v>5</v>
      </c>
      <c r="T42" s="13" t="str">
        <f>VLOOKUP(LOWER(V37),experiments_specs!$A:$J,6,FALSE)</f>
        <v>True</v>
      </c>
      <c r="U42" s="16" t="s">
        <v>163</v>
      </c>
      <c r="V42" s="7" t="s">
        <v>14</v>
      </c>
      <c r="W42" s="19"/>
      <c r="X42" s="19"/>
      <c r="Y42" s="27"/>
      <c r="Z42" s="24"/>
      <c r="AA42" s="24"/>
      <c r="AB42" s="30"/>
      <c r="AD42" s="17"/>
      <c r="AF42" s="17"/>
      <c r="AH42" s="12" t="s">
        <v>5</v>
      </c>
      <c r="AI42" s="13" t="str">
        <f>VLOOKUP(LOWER(AK37),experiments_specs!$A:$J,6,FALSE)</f>
        <v>True</v>
      </c>
      <c r="AJ42" s="16" t="s">
        <v>169</v>
      </c>
      <c r="AK42" s="7"/>
      <c r="AL42" s="19"/>
      <c r="AM42" s="19"/>
      <c r="AN42" s="27"/>
      <c r="AO42" s="24"/>
      <c r="AP42" s="24"/>
      <c r="AQ42" s="30"/>
      <c r="AS42" s="17"/>
    </row>
    <row r="43" spans="2:45" x14ac:dyDescent="0.2">
      <c r="B43" s="17"/>
      <c r="D43" s="12" t="s">
        <v>6</v>
      </c>
      <c r="E43" s="13" t="str">
        <f>VLOOKUP(LOWER(G37),experiments_specs!$A:$J,7,FALSE)</f>
        <v>True</v>
      </c>
      <c r="F43" s="16" t="s">
        <v>157</v>
      </c>
      <c r="G43" s="7"/>
      <c r="H43" s="20"/>
      <c r="I43" s="20"/>
      <c r="J43" s="27"/>
      <c r="K43" s="24"/>
      <c r="L43" s="24"/>
      <c r="M43" s="30"/>
      <c r="O43" s="17"/>
      <c r="Q43" s="17"/>
      <c r="S43" s="12" t="s">
        <v>6</v>
      </c>
      <c r="T43" s="13" t="str">
        <f>VLOOKUP(LOWER(V37),experiments_specs!$A:$J,7,FALSE)</f>
        <v>True</v>
      </c>
      <c r="U43" s="16" t="s">
        <v>163</v>
      </c>
      <c r="V43" s="7" t="s">
        <v>15</v>
      </c>
      <c r="W43" s="20"/>
      <c r="X43" s="20"/>
      <c r="Y43" s="27"/>
      <c r="Z43" s="24"/>
      <c r="AA43" s="24"/>
      <c r="AB43" s="30"/>
      <c r="AD43" s="17"/>
      <c r="AF43" s="17"/>
      <c r="AH43" s="12" t="s">
        <v>6</v>
      </c>
      <c r="AI43" s="13" t="str">
        <f>VLOOKUP(LOWER(AK37),experiments_specs!$A:$J,7,FALSE)</f>
        <v>True</v>
      </c>
      <c r="AJ43" s="16" t="s">
        <v>169</v>
      </c>
      <c r="AK43" s="7"/>
      <c r="AL43" s="20"/>
      <c r="AM43" s="20"/>
      <c r="AN43" s="27"/>
      <c r="AO43" s="24"/>
      <c r="AP43" s="24"/>
      <c r="AQ43" s="30"/>
      <c r="AS43" s="17"/>
    </row>
    <row r="44" spans="2:45" x14ac:dyDescent="0.2">
      <c r="B44" s="17"/>
      <c r="D44" s="12" t="s">
        <v>7</v>
      </c>
      <c r="E44" s="13" t="str">
        <f>VLOOKUP(LOWER(G37),experiments_specs!$A:$J,8,FALSE)</f>
        <v>False</v>
      </c>
      <c r="F44" s="16" t="s">
        <v>157</v>
      </c>
      <c r="G44" s="7"/>
      <c r="H44" s="20"/>
      <c r="I44" s="20"/>
      <c r="J44" s="27"/>
      <c r="K44" s="24"/>
      <c r="L44" s="24"/>
      <c r="M44" s="30"/>
      <c r="O44" s="17"/>
      <c r="Q44" s="17"/>
      <c r="S44" s="12" t="s">
        <v>7</v>
      </c>
      <c r="T44" s="13" t="str">
        <f>VLOOKUP(LOWER(V37),experiments_specs!$A:$J,8,FALSE)</f>
        <v>False</v>
      </c>
      <c r="U44" s="16" t="s">
        <v>163</v>
      </c>
      <c r="V44" s="7" t="s">
        <v>16</v>
      </c>
      <c r="W44" s="20"/>
      <c r="X44" s="20"/>
      <c r="Y44" s="27"/>
      <c r="Z44" s="24"/>
      <c r="AA44" s="24"/>
      <c r="AB44" s="30"/>
      <c r="AD44" s="17"/>
      <c r="AF44" s="17"/>
      <c r="AH44" s="12" t="s">
        <v>7</v>
      </c>
      <c r="AI44" s="13" t="str">
        <f>VLOOKUP(LOWER(AK37),experiments_specs!$A:$J,8,FALSE)</f>
        <v>False</v>
      </c>
      <c r="AJ44" s="16" t="s">
        <v>169</v>
      </c>
      <c r="AK44" s="7"/>
      <c r="AL44" s="20"/>
      <c r="AM44" s="20"/>
      <c r="AN44" s="27"/>
      <c r="AO44" s="24"/>
      <c r="AP44" s="24"/>
      <c r="AQ44" s="30"/>
      <c r="AS44" s="17"/>
    </row>
    <row r="45" spans="2:45" x14ac:dyDescent="0.2">
      <c r="B45" s="17"/>
      <c r="D45" s="12" t="s">
        <v>8</v>
      </c>
      <c r="E45" s="13" t="str">
        <f>VLOOKUP(LOWER(G37),experiments_specs!$A:$J,9,FALSE)</f>
        <v>wup_similarity</v>
      </c>
      <c r="F45" s="16" t="s">
        <v>157</v>
      </c>
      <c r="G45" s="7"/>
      <c r="H45" s="20"/>
      <c r="I45" s="20"/>
      <c r="J45" s="27"/>
      <c r="K45" s="23"/>
      <c r="L45" s="23"/>
      <c r="M45" s="30"/>
      <c r="O45" s="17"/>
      <c r="Q45" s="17"/>
      <c r="S45" s="12" t="s">
        <v>8</v>
      </c>
      <c r="T45" s="13" t="str">
        <f>VLOOKUP(LOWER(V37),experiments_specs!$A:$J,9,FALSE)</f>
        <v>wup_similarity</v>
      </c>
      <c r="U45" s="16" t="s">
        <v>163</v>
      </c>
      <c r="V45" s="7" t="s">
        <v>17</v>
      </c>
      <c r="W45" s="20"/>
      <c r="X45" s="20"/>
      <c r="Y45" s="27"/>
      <c r="Z45" s="23"/>
      <c r="AA45" s="23"/>
      <c r="AB45" s="30"/>
      <c r="AD45" s="17"/>
      <c r="AF45" s="17"/>
      <c r="AH45" s="12" t="s">
        <v>8</v>
      </c>
      <c r="AI45" s="13" t="str">
        <f>VLOOKUP(LOWER(AK37),experiments_specs!$A:$J,9,FALSE)</f>
        <v>wup_similarity</v>
      </c>
      <c r="AJ45" s="16" t="s">
        <v>169</v>
      </c>
      <c r="AK45" s="7"/>
      <c r="AL45" s="19"/>
      <c r="AM45" s="19"/>
      <c r="AN45" s="27"/>
      <c r="AO45" s="24"/>
      <c r="AP45" s="24"/>
      <c r="AQ45" s="30"/>
      <c r="AS45" s="17"/>
    </row>
    <row r="46" spans="2:45" x14ac:dyDescent="0.2">
      <c r="B46" s="17"/>
      <c r="D46" s="12" t="s">
        <v>9</v>
      </c>
      <c r="E46" s="13" t="str">
        <f>VLOOKUP(LOWER(G37),experiments_specs!$A:$J,10,FALSE)</f>
        <v>False</v>
      </c>
      <c r="F46" s="16" t="s">
        <v>157</v>
      </c>
      <c r="G46" s="8"/>
      <c r="H46" s="21"/>
      <c r="I46" s="21"/>
      <c r="J46" s="28"/>
      <c r="K46" s="25"/>
      <c r="L46" s="25"/>
      <c r="M46" s="31"/>
      <c r="O46" s="17"/>
      <c r="Q46" s="17"/>
      <c r="S46" s="12" t="s">
        <v>9</v>
      </c>
      <c r="T46" s="13" t="str">
        <f>VLOOKUP(LOWER(V37),experiments_specs!$A:$J,10,FALSE)</f>
        <v>False</v>
      </c>
      <c r="U46" s="16" t="s">
        <v>163</v>
      </c>
      <c r="V46" s="8" t="s">
        <v>18</v>
      </c>
      <c r="W46" s="21"/>
      <c r="X46" s="21"/>
      <c r="Y46" s="28"/>
      <c r="Z46" s="25"/>
      <c r="AA46" s="25"/>
      <c r="AB46" s="31"/>
      <c r="AD46" s="17"/>
      <c r="AF46" s="17"/>
      <c r="AH46" s="12" t="s">
        <v>9</v>
      </c>
      <c r="AI46" s="13" t="str">
        <f>VLOOKUP(LOWER(AK37),experiments_specs!$A:$J,10,FALSE)</f>
        <v>True</v>
      </c>
      <c r="AJ46" s="16" t="s">
        <v>169</v>
      </c>
      <c r="AK46" s="8"/>
      <c r="AL46" s="21"/>
      <c r="AM46" s="21"/>
      <c r="AN46" s="28"/>
      <c r="AO46" s="25"/>
      <c r="AP46" s="25"/>
      <c r="AQ46" s="31"/>
      <c r="AS46" s="17"/>
    </row>
    <row r="47" spans="2:45" ht="17" thickBot="1" x14ac:dyDescent="0.25">
      <c r="B47" s="17"/>
      <c r="O47" s="17"/>
      <c r="Q47" s="17"/>
      <c r="AD47" s="17"/>
      <c r="AF47" s="17"/>
      <c r="AS47" s="17"/>
    </row>
    <row r="48" spans="2:45" ht="20" thickBot="1" x14ac:dyDescent="0.3">
      <c r="B48" s="17"/>
      <c r="D48" s="14" t="s">
        <v>198</v>
      </c>
      <c r="E48" s="15"/>
      <c r="F48" s="10"/>
      <c r="G48" s="11" t="str">
        <f>"TEST_"&amp;TEXT(RIGHT(G37,2)+1, "00")</f>
        <v>TEST_23</v>
      </c>
      <c r="H48" s="36" t="s">
        <v>196</v>
      </c>
      <c r="I48" s="36"/>
      <c r="J48" s="36"/>
      <c r="K48" s="37" t="s">
        <v>195</v>
      </c>
      <c r="L48" s="37"/>
      <c r="M48" s="37"/>
      <c r="N48" s="3"/>
      <c r="O48" s="17"/>
      <c r="Q48" s="17"/>
      <c r="S48" s="14" t="s">
        <v>198</v>
      </c>
      <c r="T48" s="15"/>
      <c r="U48" s="10"/>
      <c r="V48" s="11" t="str">
        <f>"TEST_"&amp;TEXT(RIGHT(V37,2)+1, "00")</f>
        <v>TEST_29</v>
      </c>
      <c r="W48" s="36" t="s">
        <v>196</v>
      </c>
      <c r="X48" s="36"/>
      <c r="Y48" s="36"/>
      <c r="Z48" s="37" t="s">
        <v>195</v>
      </c>
      <c r="AA48" s="37"/>
      <c r="AB48" s="37"/>
      <c r="AC48" s="3"/>
      <c r="AD48" s="17"/>
      <c r="AF48" s="17"/>
      <c r="AH48" s="14" t="s">
        <v>198</v>
      </c>
      <c r="AI48" s="15"/>
      <c r="AJ48" s="10"/>
      <c r="AK48" s="11" t="str">
        <f>"TEST_"&amp;TEXT(RIGHT(AK37,2)+1, "00")</f>
        <v>TEST_35</v>
      </c>
      <c r="AL48" s="36" t="s">
        <v>196</v>
      </c>
      <c r="AM48" s="36"/>
      <c r="AN48" s="36"/>
      <c r="AO48" s="37" t="s">
        <v>195</v>
      </c>
      <c r="AP48" s="37"/>
      <c r="AQ48" s="37"/>
      <c r="AR48" s="3"/>
      <c r="AS48" s="17"/>
    </row>
    <row r="49" spans="2:45" x14ac:dyDescent="0.2">
      <c r="B49" s="17"/>
      <c r="D49" s="12" t="s">
        <v>1</v>
      </c>
      <c r="E49" s="13" t="str">
        <f>VLOOKUP(LOWER(G48),experiments_specs!$A:$J,2,FALSE)</f>
        <v>NN,RB</v>
      </c>
      <c r="F49" s="16" t="str">
        <f>"{"&amp;LOWER(G48)&amp;".csv}"</f>
        <v>{test_23.csv}</v>
      </c>
      <c r="G49" s="9" t="s">
        <v>190</v>
      </c>
      <c r="H49" s="4" t="s">
        <v>191</v>
      </c>
      <c r="I49" s="4" t="s">
        <v>192</v>
      </c>
      <c r="J49" s="4" t="s">
        <v>193</v>
      </c>
      <c r="K49" s="5" t="s">
        <v>194</v>
      </c>
      <c r="L49" s="5" t="s">
        <v>192</v>
      </c>
      <c r="M49" s="5" t="s">
        <v>193</v>
      </c>
      <c r="O49" s="17"/>
      <c r="Q49" s="17"/>
      <c r="S49" s="12" t="s">
        <v>1</v>
      </c>
      <c r="T49" s="13" t="str">
        <f>VLOOKUP(LOWER(V48),experiments_specs!$A:$J,2,FALSE)</f>
        <v>NN,RB</v>
      </c>
      <c r="U49" s="16" t="str">
        <f>"{"&amp;LOWER(V48)&amp;".csv}"</f>
        <v>{test_29.csv}</v>
      </c>
      <c r="V49" s="9" t="s">
        <v>190</v>
      </c>
      <c r="W49" s="4" t="s">
        <v>191</v>
      </c>
      <c r="X49" s="4" t="s">
        <v>192</v>
      </c>
      <c r="Y49" s="4" t="s">
        <v>193</v>
      </c>
      <c r="Z49" s="5" t="s">
        <v>194</v>
      </c>
      <c r="AA49" s="5" t="s">
        <v>192</v>
      </c>
      <c r="AB49" s="5" t="s">
        <v>193</v>
      </c>
      <c r="AD49" s="17"/>
      <c r="AF49" s="17"/>
      <c r="AH49" s="12" t="s">
        <v>1</v>
      </c>
      <c r="AI49" s="13" t="str">
        <f>VLOOKUP(LOWER(AK48),experiments_specs!$A:$J,2,FALSE)</f>
        <v>NN,RB</v>
      </c>
      <c r="AJ49" s="16" t="str">
        <f>"{"&amp;LOWER(AK48)&amp;".csv}"</f>
        <v>{test_35.csv}</v>
      </c>
      <c r="AK49" s="9" t="s">
        <v>190</v>
      </c>
      <c r="AL49" s="4" t="s">
        <v>191</v>
      </c>
      <c r="AM49" s="4" t="s">
        <v>192</v>
      </c>
      <c r="AN49" s="4" t="s">
        <v>193</v>
      </c>
      <c r="AO49" s="5" t="s">
        <v>194</v>
      </c>
      <c r="AP49" s="5" t="s">
        <v>192</v>
      </c>
      <c r="AQ49" s="5" t="s">
        <v>193</v>
      </c>
      <c r="AS49" s="17"/>
    </row>
    <row r="50" spans="2:45" x14ac:dyDescent="0.2">
      <c r="B50" s="17"/>
      <c r="D50" s="12" t="s">
        <v>2</v>
      </c>
      <c r="E50" s="13">
        <f>VLOOKUP(LOWER(G48),experiments_specs!$A:$J,3,FALSE)</f>
        <v>1</v>
      </c>
      <c r="F50" s="16" t="s">
        <v>158</v>
      </c>
      <c r="G50" s="6"/>
      <c r="H50" s="18"/>
      <c r="I50" s="18"/>
      <c r="J50" s="26"/>
      <c r="K50" s="22"/>
      <c r="L50" s="22"/>
      <c r="M50" s="29"/>
      <c r="O50" s="17"/>
      <c r="Q50" s="17"/>
      <c r="S50" s="12" t="s">
        <v>2</v>
      </c>
      <c r="T50" s="13">
        <f>VLOOKUP(LOWER(V48),experiments_specs!$A:$J,3,FALSE)</f>
        <v>1</v>
      </c>
      <c r="U50" s="16" t="s">
        <v>164</v>
      </c>
      <c r="V50" s="6" t="s">
        <v>19</v>
      </c>
      <c r="W50" s="18"/>
      <c r="X50" s="18"/>
      <c r="Y50" s="26"/>
      <c r="Z50" s="22"/>
      <c r="AA50" s="22"/>
      <c r="AB50" s="29"/>
      <c r="AD50" s="17"/>
      <c r="AF50" s="17"/>
      <c r="AH50" s="12" t="s">
        <v>2</v>
      </c>
      <c r="AI50" s="13">
        <f>VLOOKUP(LOWER(AK48),experiments_specs!$A:$J,3,FALSE)</f>
        <v>1</v>
      </c>
      <c r="AJ50" s="16" t="s">
        <v>170</v>
      </c>
      <c r="AK50" s="6"/>
      <c r="AL50" s="18"/>
      <c r="AM50" s="18"/>
      <c r="AN50" s="26"/>
      <c r="AO50" s="22"/>
      <c r="AP50" s="22"/>
      <c r="AQ50" s="29"/>
      <c r="AS50" s="17"/>
    </row>
    <row r="51" spans="2:45" x14ac:dyDescent="0.2">
      <c r="B51" s="17"/>
      <c r="D51" s="12" t="s">
        <v>3</v>
      </c>
      <c r="E51" s="13">
        <f>VLOOKUP(LOWER(G48),experiments_specs!$A:$J,4,FALSE)</f>
        <v>2</v>
      </c>
      <c r="F51" s="16" t="s">
        <v>158</v>
      </c>
      <c r="G51" s="7"/>
      <c r="H51" s="19"/>
      <c r="I51" s="19"/>
      <c r="J51" s="27"/>
      <c r="K51" s="23"/>
      <c r="L51" s="23"/>
      <c r="M51" s="30"/>
      <c r="O51" s="17"/>
      <c r="Q51" s="17"/>
      <c r="S51" s="12" t="s">
        <v>3</v>
      </c>
      <c r="T51" s="13">
        <f>VLOOKUP(LOWER(V48),experiments_specs!$A:$J,4,FALSE)</f>
        <v>2</v>
      </c>
      <c r="U51" s="16" t="s">
        <v>164</v>
      </c>
      <c r="V51" s="7" t="s">
        <v>12</v>
      </c>
      <c r="W51" s="19"/>
      <c r="X51" s="19"/>
      <c r="Y51" s="27"/>
      <c r="Z51" s="24"/>
      <c r="AA51" s="24"/>
      <c r="AB51" s="30"/>
      <c r="AD51" s="17"/>
      <c r="AF51" s="17"/>
      <c r="AH51" s="12" t="s">
        <v>3</v>
      </c>
      <c r="AI51" s="13">
        <f>VLOOKUP(LOWER(AK48),experiments_specs!$A:$J,4,FALSE)</f>
        <v>2</v>
      </c>
      <c r="AJ51" s="16" t="s">
        <v>170</v>
      </c>
      <c r="AK51" s="7"/>
      <c r="AL51" s="19"/>
      <c r="AM51" s="19"/>
      <c r="AN51" s="27"/>
      <c r="AO51" s="24"/>
      <c r="AP51" s="24"/>
      <c r="AQ51" s="30"/>
      <c r="AS51" s="17"/>
    </row>
    <row r="52" spans="2:45" x14ac:dyDescent="0.2">
      <c r="B52" s="17"/>
      <c r="D52" s="12" t="s">
        <v>4</v>
      </c>
      <c r="E52" s="13" t="str">
        <f>VLOOKUP(LOWER(G48),experiments_specs!$A:$J,5,FALSE)</f>
        <v>False</v>
      </c>
      <c r="F52" s="16" t="s">
        <v>158</v>
      </c>
      <c r="G52" s="7"/>
      <c r="H52" s="20"/>
      <c r="I52" s="20"/>
      <c r="J52" s="27"/>
      <c r="K52" s="23"/>
      <c r="L52" s="23"/>
      <c r="M52" s="30"/>
      <c r="O52" s="17"/>
      <c r="Q52" s="17"/>
      <c r="S52" s="12" t="s">
        <v>4</v>
      </c>
      <c r="T52" s="13" t="str">
        <f>VLOOKUP(LOWER(V48),experiments_specs!$A:$J,5,FALSE)</f>
        <v>True</v>
      </c>
      <c r="U52" s="16" t="s">
        <v>164</v>
      </c>
      <c r="V52" s="7" t="s">
        <v>13</v>
      </c>
      <c r="W52" s="20"/>
      <c r="X52" s="20"/>
      <c r="Y52" s="27"/>
      <c r="Z52" s="23"/>
      <c r="AA52" s="23"/>
      <c r="AB52" s="30"/>
      <c r="AD52" s="17"/>
      <c r="AF52" s="17"/>
      <c r="AH52" s="12" t="s">
        <v>4</v>
      </c>
      <c r="AI52" s="13" t="str">
        <f>VLOOKUP(LOWER(AK48),experiments_specs!$A:$J,5,FALSE)</f>
        <v>True</v>
      </c>
      <c r="AJ52" s="16" t="s">
        <v>170</v>
      </c>
      <c r="AK52" s="7"/>
      <c r="AL52" s="20"/>
      <c r="AM52" s="20"/>
      <c r="AN52" s="27"/>
      <c r="AO52" s="23"/>
      <c r="AP52" s="23"/>
      <c r="AQ52" s="30"/>
      <c r="AS52" s="17"/>
    </row>
    <row r="53" spans="2:45" x14ac:dyDescent="0.2">
      <c r="B53" s="17"/>
      <c r="D53" s="12" t="s">
        <v>5</v>
      </c>
      <c r="E53" s="13" t="str">
        <f>VLOOKUP(LOWER(G48),experiments_specs!$A:$J,6,FALSE)</f>
        <v>True</v>
      </c>
      <c r="F53" s="16" t="s">
        <v>158</v>
      </c>
      <c r="G53" s="7"/>
      <c r="H53" s="20"/>
      <c r="I53" s="20"/>
      <c r="J53" s="27"/>
      <c r="K53" s="23"/>
      <c r="L53" s="23"/>
      <c r="M53" s="30"/>
      <c r="O53" s="17"/>
      <c r="Q53" s="17"/>
      <c r="S53" s="12" t="s">
        <v>5</v>
      </c>
      <c r="T53" s="13" t="str">
        <f>VLOOKUP(LOWER(V48),experiments_specs!$A:$J,6,FALSE)</f>
        <v>True</v>
      </c>
      <c r="U53" s="16" t="s">
        <v>164</v>
      </c>
      <c r="V53" s="7" t="s">
        <v>14</v>
      </c>
      <c r="W53" s="19"/>
      <c r="X53" s="19"/>
      <c r="Y53" s="27"/>
      <c r="Z53" s="24"/>
      <c r="AA53" s="24"/>
      <c r="AB53" s="30"/>
      <c r="AD53" s="17"/>
      <c r="AF53" s="17"/>
      <c r="AH53" s="12" t="s">
        <v>5</v>
      </c>
      <c r="AI53" s="13" t="str">
        <f>VLOOKUP(LOWER(AK48),experiments_specs!$A:$J,6,FALSE)</f>
        <v>True</v>
      </c>
      <c r="AJ53" s="16" t="s">
        <v>170</v>
      </c>
      <c r="AK53" s="7"/>
      <c r="AL53" s="19"/>
      <c r="AM53" s="19"/>
      <c r="AN53" s="27"/>
      <c r="AO53" s="24"/>
      <c r="AP53" s="24"/>
      <c r="AQ53" s="30"/>
      <c r="AS53" s="17"/>
    </row>
    <row r="54" spans="2:45" x14ac:dyDescent="0.2">
      <c r="B54" s="17"/>
      <c r="D54" s="12" t="s">
        <v>6</v>
      </c>
      <c r="E54" s="13" t="str">
        <f>VLOOKUP(LOWER(G48),experiments_specs!$A:$J,7,FALSE)</f>
        <v>True</v>
      </c>
      <c r="F54" s="16" t="s">
        <v>158</v>
      </c>
      <c r="G54" s="7"/>
      <c r="H54" s="20"/>
      <c r="I54" s="20"/>
      <c r="J54" s="27"/>
      <c r="K54" s="24"/>
      <c r="L54" s="24"/>
      <c r="M54" s="30"/>
      <c r="O54" s="17"/>
      <c r="Q54" s="17"/>
      <c r="S54" s="12" t="s">
        <v>6</v>
      </c>
      <c r="T54" s="13" t="str">
        <f>VLOOKUP(LOWER(V48),experiments_specs!$A:$J,7,FALSE)</f>
        <v>True</v>
      </c>
      <c r="U54" s="16" t="s">
        <v>164</v>
      </c>
      <c r="V54" s="7" t="s">
        <v>15</v>
      </c>
      <c r="W54" s="20"/>
      <c r="X54" s="20"/>
      <c r="Y54" s="27"/>
      <c r="Z54" s="24"/>
      <c r="AA54" s="24"/>
      <c r="AB54" s="30"/>
      <c r="AD54" s="17"/>
      <c r="AF54" s="17"/>
      <c r="AH54" s="12" t="s">
        <v>6</v>
      </c>
      <c r="AI54" s="13" t="str">
        <f>VLOOKUP(LOWER(AK48),experiments_specs!$A:$J,7,FALSE)</f>
        <v>True</v>
      </c>
      <c r="AJ54" s="16" t="s">
        <v>170</v>
      </c>
      <c r="AK54" s="7"/>
      <c r="AL54" s="20"/>
      <c r="AM54" s="20"/>
      <c r="AN54" s="27"/>
      <c r="AO54" s="24"/>
      <c r="AP54" s="24"/>
      <c r="AQ54" s="30"/>
      <c r="AS54" s="17"/>
    </row>
    <row r="55" spans="2:45" x14ac:dyDescent="0.2">
      <c r="B55" s="17"/>
      <c r="D55" s="12" t="s">
        <v>7</v>
      </c>
      <c r="E55" s="13" t="str">
        <f>VLOOKUP(LOWER(G48),experiments_specs!$A:$J,8,FALSE)</f>
        <v>False</v>
      </c>
      <c r="F55" s="16" t="s">
        <v>158</v>
      </c>
      <c r="G55" s="7"/>
      <c r="H55" s="20"/>
      <c r="I55" s="20"/>
      <c r="J55" s="27"/>
      <c r="K55" s="24"/>
      <c r="L55" s="24"/>
      <c r="M55" s="30"/>
      <c r="O55" s="17"/>
      <c r="Q55" s="17"/>
      <c r="S55" s="12" t="s">
        <v>7</v>
      </c>
      <c r="T55" s="13" t="str">
        <f>VLOOKUP(LOWER(V48),experiments_specs!$A:$J,8,FALSE)</f>
        <v>False</v>
      </c>
      <c r="U55" s="16" t="s">
        <v>164</v>
      </c>
      <c r="V55" s="7" t="s">
        <v>16</v>
      </c>
      <c r="W55" s="20"/>
      <c r="X55" s="20"/>
      <c r="Y55" s="27"/>
      <c r="Z55" s="24"/>
      <c r="AA55" s="24"/>
      <c r="AB55" s="30"/>
      <c r="AD55" s="17"/>
      <c r="AF55" s="17"/>
      <c r="AH55" s="12" t="s">
        <v>7</v>
      </c>
      <c r="AI55" s="13" t="str">
        <f>VLOOKUP(LOWER(AK48),experiments_specs!$A:$J,8,FALSE)</f>
        <v>False</v>
      </c>
      <c r="AJ55" s="16" t="s">
        <v>170</v>
      </c>
      <c r="AK55" s="7"/>
      <c r="AL55" s="20"/>
      <c r="AM55" s="20"/>
      <c r="AN55" s="27"/>
      <c r="AO55" s="24"/>
      <c r="AP55" s="24"/>
      <c r="AQ55" s="30"/>
      <c r="AS55" s="17"/>
    </row>
    <row r="56" spans="2:45" x14ac:dyDescent="0.2">
      <c r="B56" s="17"/>
      <c r="D56" s="12" t="s">
        <v>8</v>
      </c>
      <c r="E56" s="13" t="str">
        <f>VLOOKUP(LOWER(G48),experiments_specs!$A:$J,9,FALSE)</f>
        <v>wup_similarity</v>
      </c>
      <c r="F56" s="16" t="s">
        <v>158</v>
      </c>
      <c r="G56" s="7"/>
      <c r="H56" s="20"/>
      <c r="I56" s="20"/>
      <c r="J56" s="27"/>
      <c r="K56" s="23"/>
      <c r="L56" s="23"/>
      <c r="M56" s="30"/>
      <c r="O56" s="17"/>
      <c r="Q56" s="17"/>
      <c r="S56" s="12" t="s">
        <v>8</v>
      </c>
      <c r="T56" s="13" t="str">
        <f>VLOOKUP(LOWER(V48),experiments_specs!$A:$J,9,FALSE)</f>
        <v>wup_similarity</v>
      </c>
      <c r="U56" s="16" t="s">
        <v>164</v>
      </c>
      <c r="V56" s="7" t="s">
        <v>17</v>
      </c>
      <c r="W56" s="19"/>
      <c r="X56" s="19"/>
      <c r="Y56" s="27"/>
      <c r="Z56" s="24"/>
      <c r="AA56" s="24"/>
      <c r="AB56" s="30"/>
      <c r="AD56" s="17"/>
      <c r="AF56" s="17"/>
      <c r="AH56" s="12" t="s">
        <v>8</v>
      </c>
      <c r="AI56" s="13" t="str">
        <f>VLOOKUP(LOWER(AK48),experiments_specs!$A:$J,9,FALSE)</f>
        <v>wup_similarity</v>
      </c>
      <c r="AJ56" s="16" t="s">
        <v>170</v>
      </c>
      <c r="AK56" s="7"/>
      <c r="AL56" s="19"/>
      <c r="AM56" s="19"/>
      <c r="AN56" s="27"/>
      <c r="AO56" s="24"/>
      <c r="AP56" s="24"/>
      <c r="AQ56" s="30"/>
      <c r="AS56" s="17"/>
    </row>
    <row r="57" spans="2:45" x14ac:dyDescent="0.2">
      <c r="B57" s="17"/>
      <c r="D57" s="12" t="s">
        <v>9</v>
      </c>
      <c r="E57" s="13" t="str">
        <f>VLOOKUP(LOWER(G48),experiments_specs!$A:$J,10,FALSE)</f>
        <v>False</v>
      </c>
      <c r="F57" s="16" t="s">
        <v>158</v>
      </c>
      <c r="G57" s="8"/>
      <c r="H57" s="21"/>
      <c r="I57" s="21"/>
      <c r="J57" s="28"/>
      <c r="K57" s="25"/>
      <c r="L57" s="25"/>
      <c r="M57" s="31"/>
      <c r="O57" s="17"/>
      <c r="Q57" s="17"/>
      <c r="S57" s="12" t="s">
        <v>9</v>
      </c>
      <c r="T57" s="13" t="str">
        <f>VLOOKUP(LOWER(V48),experiments_specs!$A:$J,10,FALSE)</f>
        <v>False</v>
      </c>
      <c r="U57" s="16" t="s">
        <v>164</v>
      </c>
      <c r="V57" s="8" t="s">
        <v>18</v>
      </c>
      <c r="W57" s="21"/>
      <c r="X57" s="21"/>
      <c r="Y57" s="28"/>
      <c r="Z57" s="25"/>
      <c r="AA57" s="25"/>
      <c r="AB57" s="31"/>
      <c r="AD57" s="17"/>
      <c r="AF57" s="17"/>
      <c r="AH57" s="12" t="s">
        <v>9</v>
      </c>
      <c r="AI57" s="13" t="str">
        <f>VLOOKUP(LOWER(AK48),experiments_specs!$A:$J,10,FALSE)</f>
        <v>True</v>
      </c>
      <c r="AJ57" s="16" t="s">
        <v>170</v>
      </c>
      <c r="AK57" s="8"/>
      <c r="AL57" s="21"/>
      <c r="AM57" s="21"/>
      <c r="AN57" s="28"/>
      <c r="AO57" s="25"/>
      <c r="AP57" s="25"/>
      <c r="AQ57" s="31"/>
      <c r="AS57" s="17"/>
    </row>
    <row r="58" spans="2:45" ht="17" thickBot="1" x14ac:dyDescent="0.25">
      <c r="B58" s="17"/>
      <c r="O58" s="17"/>
      <c r="Q58" s="17"/>
      <c r="AD58" s="17"/>
      <c r="AF58" s="17"/>
      <c r="AS58" s="17"/>
    </row>
    <row r="59" spans="2:45" ht="20" thickBot="1" x14ac:dyDescent="0.3">
      <c r="B59" s="17"/>
      <c r="D59" s="14" t="s">
        <v>198</v>
      </c>
      <c r="E59" s="15"/>
      <c r="F59" s="10"/>
      <c r="G59" s="11" t="str">
        <f>"TEST_"&amp;TEXT(RIGHT(G48,2)+1, "00")</f>
        <v>TEST_24</v>
      </c>
      <c r="H59" s="36" t="s">
        <v>196</v>
      </c>
      <c r="I59" s="36"/>
      <c r="J59" s="36"/>
      <c r="K59" s="37" t="s">
        <v>195</v>
      </c>
      <c r="L59" s="37"/>
      <c r="M59" s="37"/>
      <c r="N59" s="3"/>
      <c r="O59" s="17"/>
      <c r="Q59" s="17"/>
      <c r="S59" s="14" t="s">
        <v>198</v>
      </c>
      <c r="T59" s="15"/>
      <c r="U59" s="10"/>
      <c r="V59" s="11" t="str">
        <f>"TEST_"&amp;TEXT(RIGHT(V48,2)+1, "00")</f>
        <v>TEST_30</v>
      </c>
      <c r="W59" s="36" t="s">
        <v>196</v>
      </c>
      <c r="X59" s="36"/>
      <c r="Y59" s="36"/>
      <c r="Z59" s="37" t="s">
        <v>195</v>
      </c>
      <c r="AA59" s="37"/>
      <c r="AB59" s="37"/>
      <c r="AC59" s="3"/>
      <c r="AD59" s="17"/>
      <c r="AF59" s="17"/>
      <c r="AH59" s="14" t="s">
        <v>198</v>
      </c>
      <c r="AI59" s="15"/>
      <c r="AJ59" s="10"/>
      <c r="AK59" s="11" t="str">
        <f>"TEST_"&amp;TEXT(RIGHT(AK48,2)+1, "00")</f>
        <v>TEST_36</v>
      </c>
      <c r="AL59" s="36" t="s">
        <v>196</v>
      </c>
      <c r="AM59" s="36"/>
      <c r="AN59" s="36"/>
      <c r="AO59" s="37" t="s">
        <v>195</v>
      </c>
      <c r="AP59" s="37"/>
      <c r="AQ59" s="37"/>
      <c r="AR59" s="3"/>
      <c r="AS59" s="17"/>
    </row>
    <row r="60" spans="2:45" x14ac:dyDescent="0.2">
      <c r="B60" s="17"/>
      <c r="D60" s="12" t="s">
        <v>1</v>
      </c>
      <c r="E60" s="13" t="str">
        <f>VLOOKUP(LOWER(G59),experiments_specs!$A:$J,2,FALSE)</f>
        <v>NN,JJ,VB,VBD,VBG,VBN,VBP,VBZ</v>
      </c>
      <c r="F60" s="16" t="str">
        <f>"{"&amp;LOWER(G59)&amp;".csv}"</f>
        <v>{test_24.csv}</v>
      </c>
      <c r="G60" s="9" t="s">
        <v>190</v>
      </c>
      <c r="H60" s="4" t="s">
        <v>191</v>
      </c>
      <c r="I60" s="4" t="s">
        <v>192</v>
      </c>
      <c r="J60" s="4" t="s">
        <v>193</v>
      </c>
      <c r="K60" s="5" t="s">
        <v>194</v>
      </c>
      <c r="L60" s="5" t="s">
        <v>192</v>
      </c>
      <c r="M60" s="5" t="s">
        <v>193</v>
      </c>
      <c r="O60" s="17"/>
      <c r="Q60" s="17"/>
      <c r="S60" s="12" t="s">
        <v>1</v>
      </c>
      <c r="T60" s="13" t="str">
        <f>VLOOKUP(LOWER(V59),experiments_specs!$A:$J,2,FALSE)</f>
        <v>NN,JJ,VB,VBD,VBG,VBN,VBP,VBZ</v>
      </c>
      <c r="U60" s="16" t="str">
        <f>"{"&amp;LOWER(V59)&amp;".csv}"</f>
        <v>{test_30.csv}</v>
      </c>
      <c r="V60" s="9" t="s">
        <v>190</v>
      </c>
      <c r="W60" s="4" t="s">
        <v>191</v>
      </c>
      <c r="X60" s="4" t="s">
        <v>192</v>
      </c>
      <c r="Y60" s="4" t="s">
        <v>193</v>
      </c>
      <c r="Z60" s="5" t="s">
        <v>194</v>
      </c>
      <c r="AA60" s="5" t="s">
        <v>192</v>
      </c>
      <c r="AB60" s="5" t="s">
        <v>193</v>
      </c>
      <c r="AD60" s="17"/>
      <c r="AF60" s="17"/>
      <c r="AH60" s="12" t="s">
        <v>1</v>
      </c>
      <c r="AI60" s="13" t="str">
        <f>VLOOKUP(LOWER(AK59),experiments_specs!$A:$J,2,FALSE)</f>
        <v>NN,JJ,VB,VBD,VBG,VBN,VBP,VBZ</v>
      </c>
      <c r="AJ60" s="16" t="str">
        <f>"{"&amp;LOWER(AK59)&amp;".csv}"</f>
        <v>{test_36.csv}</v>
      </c>
      <c r="AK60" s="9" t="s">
        <v>190</v>
      </c>
      <c r="AL60" s="4" t="s">
        <v>191</v>
      </c>
      <c r="AM60" s="4" t="s">
        <v>192</v>
      </c>
      <c r="AN60" s="4" t="s">
        <v>193</v>
      </c>
      <c r="AO60" s="5" t="s">
        <v>194</v>
      </c>
      <c r="AP60" s="5" t="s">
        <v>192</v>
      </c>
      <c r="AQ60" s="5" t="s">
        <v>193</v>
      </c>
      <c r="AS60" s="17"/>
    </row>
    <row r="61" spans="2:45" x14ac:dyDescent="0.2">
      <c r="B61" s="17"/>
      <c r="D61" s="12" t="s">
        <v>2</v>
      </c>
      <c r="E61" s="13">
        <f>VLOOKUP(LOWER(G59),experiments_specs!$A:$J,3,FALSE)</f>
        <v>1</v>
      </c>
      <c r="F61" s="16" t="s">
        <v>159</v>
      </c>
      <c r="G61" s="6"/>
      <c r="H61" s="18"/>
      <c r="I61" s="18"/>
      <c r="J61" s="26"/>
      <c r="K61" s="22"/>
      <c r="L61" s="22"/>
      <c r="M61" s="29"/>
      <c r="O61" s="17"/>
      <c r="Q61" s="17"/>
      <c r="S61" s="12" t="s">
        <v>2</v>
      </c>
      <c r="T61" s="13">
        <f>VLOOKUP(LOWER(V59),experiments_specs!$A:$J,3,FALSE)</f>
        <v>1</v>
      </c>
      <c r="U61" s="16" t="s">
        <v>165</v>
      </c>
      <c r="V61" s="6" t="s">
        <v>19</v>
      </c>
      <c r="W61" s="18"/>
      <c r="X61" s="18"/>
      <c r="Y61" s="26"/>
      <c r="Z61" s="22"/>
      <c r="AA61" s="22"/>
      <c r="AB61" s="29"/>
      <c r="AD61" s="17"/>
      <c r="AF61" s="17"/>
      <c r="AH61" s="12" t="s">
        <v>2</v>
      </c>
      <c r="AI61" s="13">
        <f>VLOOKUP(LOWER(AK59),experiments_specs!$A:$J,3,FALSE)</f>
        <v>1</v>
      </c>
      <c r="AJ61" s="16" t="s">
        <v>171</v>
      </c>
      <c r="AK61" s="6"/>
      <c r="AL61" s="18"/>
      <c r="AM61" s="18"/>
      <c r="AN61" s="26"/>
      <c r="AO61" s="22"/>
      <c r="AP61" s="22"/>
      <c r="AQ61" s="29"/>
      <c r="AS61" s="17"/>
    </row>
    <row r="62" spans="2:45" x14ac:dyDescent="0.2">
      <c r="B62" s="17"/>
      <c r="D62" s="12" t="s">
        <v>3</v>
      </c>
      <c r="E62" s="13">
        <f>VLOOKUP(LOWER(G59),experiments_specs!$A:$J,4,FALSE)</f>
        <v>2</v>
      </c>
      <c r="F62" s="16" t="s">
        <v>159</v>
      </c>
      <c r="G62" s="7"/>
      <c r="H62" s="19"/>
      <c r="I62" s="19"/>
      <c r="J62" s="27"/>
      <c r="K62" s="23"/>
      <c r="L62" s="23"/>
      <c r="M62" s="30"/>
      <c r="O62" s="17"/>
      <c r="Q62" s="17"/>
      <c r="S62" s="12" t="s">
        <v>3</v>
      </c>
      <c r="T62" s="13">
        <f>VLOOKUP(LOWER(V59),experiments_specs!$A:$J,4,FALSE)</f>
        <v>2</v>
      </c>
      <c r="U62" s="16" t="s">
        <v>165</v>
      </c>
      <c r="V62" s="7" t="s">
        <v>12</v>
      </c>
      <c r="W62" s="19"/>
      <c r="X62" s="19"/>
      <c r="Y62" s="27"/>
      <c r="Z62" s="24"/>
      <c r="AA62" s="24"/>
      <c r="AB62" s="30"/>
      <c r="AD62" s="17"/>
      <c r="AF62" s="17"/>
      <c r="AH62" s="12" t="s">
        <v>3</v>
      </c>
      <c r="AI62" s="13">
        <f>VLOOKUP(LOWER(AK59),experiments_specs!$A:$J,4,FALSE)</f>
        <v>2</v>
      </c>
      <c r="AJ62" s="16" t="s">
        <v>171</v>
      </c>
      <c r="AK62" s="7"/>
      <c r="AL62" s="19"/>
      <c r="AM62" s="19"/>
      <c r="AN62" s="27"/>
      <c r="AO62" s="24"/>
      <c r="AP62" s="24"/>
      <c r="AQ62" s="30"/>
      <c r="AS62" s="17"/>
    </row>
    <row r="63" spans="2:45" x14ac:dyDescent="0.2">
      <c r="B63" s="17"/>
      <c r="D63" s="12" t="s">
        <v>4</v>
      </c>
      <c r="E63" s="13" t="str">
        <f>VLOOKUP(LOWER(G59),experiments_specs!$A:$J,5,FALSE)</f>
        <v>False</v>
      </c>
      <c r="F63" s="16" t="s">
        <v>159</v>
      </c>
      <c r="G63" s="7"/>
      <c r="H63" s="20"/>
      <c r="I63" s="20"/>
      <c r="J63" s="27"/>
      <c r="K63" s="23"/>
      <c r="L63" s="23"/>
      <c r="M63" s="30"/>
      <c r="O63" s="17"/>
      <c r="Q63" s="17"/>
      <c r="S63" s="12" t="s">
        <v>4</v>
      </c>
      <c r="T63" s="13" t="str">
        <f>VLOOKUP(LOWER(V59),experiments_specs!$A:$J,5,FALSE)</f>
        <v>True</v>
      </c>
      <c r="U63" s="16" t="s">
        <v>165</v>
      </c>
      <c r="V63" s="7" t="s">
        <v>13</v>
      </c>
      <c r="W63" s="20"/>
      <c r="X63" s="20"/>
      <c r="Y63" s="27"/>
      <c r="Z63" s="23"/>
      <c r="AA63" s="23"/>
      <c r="AB63" s="30"/>
      <c r="AD63" s="17"/>
      <c r="AF63" s="17"/>
      <c r="AH63" s="12" t="s">
        <v>4</v>
      </c>
      <c r="AI63" s="13" t="str">
        <f>VLOOKUP(LOWER(AK59),experiments_specs!$A:$J,5,FALSE)</f>
        <v>True</v>
      </c>
      <c r="AJ63" s="16" t="s">
        <v>171</v>
      </c>
      <c r="AK63" s="7"/>
      <c r="AL63" s="20"/>
      <c r="AM63" s="20"/>
      <c r="AN63" s="27"/>
      <c r="AO63" s="23"/>
      <c r="AP63" s="23"/>
      <c r="AQ63" s="30"/>
      <c r="AS63" s="17"/>
    </row>
    <row r="64" spans="2:45" x14ac:dyDescent="0.2">
      <c r="B64" s="17"/>
      <c r="D64" s="12" t="s">
        <v>5</v>
      </c>
      <c r="E64" s="13" t="str">
        <f>VLOOKUP(LOWER(G59),experiments_specs!$A:$J,6,FALSE)</f>
        <v>True</v>
      </c>
      <c r="F64" s="16" t="s">
        <v>159</v>
      </c>
      <c r="G64" s="7"/>
      <c r="H64" s="20"/>
      <c r="I64" s="20"/>
      <c r="J64" s="27"/>
      <c r="K64" s="23"/>
      <c r="L64" s="23"/>
      <c r="M64" s="30"/>
      <c r="O64" s="17"/>
      <c r="Q64" s="17"/>
      <c r="S64" s="12" t="s">
        <v>5</v>
      </c>
      <c r="T64" s="13" t="str">
        <f>VLOOKUP(LOWER(V59),experiments_specs!$A:$J,6,FALSE)</f>
        <v>True</v>
      </c>
      <c r="U64" s="16" t="s">
        <v>165</v>
      </c>
      <c r="V64" s="7" t="s">
        <v>14</v>
      </c>
      <c r="W64" s="19"/>
      <c r="X64" s="19"/>
      <c r="Y64" s="27"/>
      <c r="Z64" s="24"/>
      <c r="AA64" s="24"/>
      <c r="AB64" s="30"/>
      <c r="AD64" s="17"/>
      <c r="AF64" s="17"/>
      <c r="AH64" s="12" t="s">
        <v>5</v>
      </c>
      <c r="AI64" s="13" t="str">
        <f>VLOOKUP(LOWER(AK59),experiments_specs!$A:$J,6,FALSE)</f>
        <v>True</v>
      </c>
      <c r="AJ64" s="16" t="s">
        <v>171</v>
      </c>
      <c r="AK64" s="7"/>
      <c r="AL64" s="19"/>
      <c r="AM64" s="19"/>
      <c r="AN64" s="27"/>
      <c r="AO64" s="24"/>
      <c r="AP64" s="24"/>
      <c r="AQ64" s="30"/>
      <c r="AS64" s="17"/>
    </row>
    <row r="65" spans="2:45" x14ac:dyDescent="0.2">
      <c r="B65" s="17"/>
      <c r="D65" s="12" t="s">
        <v>6</v>
      </c>
      <c r="E65" s="13" t="str">
        <f>VLOOKUP(LOWER(G59),experiments_specs!$A:$J,7,FALSE)</f>
        <v>True</v>
      </c>
      <c r="F65" s="16" t="s">
        <v>159</v>
      </c>
      <c r="G65" s="7"/>
      <c r="H65" s="20"/>
      <c r="I65" s="20"/>
      <c r="J65" s="27"/>
      <c r="K65" s="24"/>
      <c r="L65" s="24"/>
      <c r="M65" s="30"/>
      <c r="O65" s="17"/>
      <c r="Q65" s="17"/>
      <c r="S65" s="12" t="s">
        <v>6</v>
      </c>
      <c r="T65" s="13" t="str">
        <f>VLOOKUP(LOWER(V59),experiments_specs!$A:$J,7,FALSE)</f>
        <v>True</v>
      </c>
      <c r="U65" s="16" t="s">
        <v>165</v>
      </c>
      <c r="V65" s="7" t="s">
        <v>15</v>
      </c>
      <c r="W65" s="20"/>
      <c r="X65" s="20"/>
      <c r="Y65" s="27"/>
      <c r="Z65" s="24"/>
      <c r="AA65" s="24"/>
      <c r="AB65" s="30"/>
      <c r="AD65" s="17"/>
      <c r="AF65" s="17"/>
      <c r="AH65" s="12" t="s">
        <v>6</v>
      </c>
      <c r="AI65" s="13" t="str">
        <f>VLOOKUP(LOWER(AK59),experiments_specs!$A:$J,7,FALSE)</f>
        <v>True</v>
      </c>
      <c r="AJ65" s="16" t="s">
        <v>171</v>
      </c>
      <c r="AK65" s="7"/>
      <c r="AL65" s="20"/>
      <c r="AM65" s="20"/>
      <c r="AN65" s="27"/>
      <c r="AO65" s="24"/>
      <c r="AP65" s="24"/>
      <c r="AQ65" s="30"/>
      <c r="AS65" s="17"/>
    </row>
    <row r="66" spans="2:45" x14ac:dyDescent="0.2">
      <c r="B66" s="17"/>
      <c r="D66" s="12" t="s">
        <v>7</v>
      </c>
      <c r="E66" s="13" t="str">
        <f>VLOOKUP(LOWER(G59),experiments_specs!$A:$J,8,FALSE)</f>
        <v>False</v>
      </c>
      <c r="F66" s="16" t="s">
        <v>159</v>
      </c>
      <c r="G66" s="7"/>
      <c r="H66" s="20"/>
      <c r="I66" s="20"/>
      <c r="J66" s="27"/>
      <c r="K66" s="24"/>
      <c r="L66" s="24"/>
      <c r="M66" s="30"/>
      <c r="O66" s="17"/>
      <c r="Q66" s="17"/>
      <c r="S66" s="12" t="s">
        <v>7</v>
      </c>
      <c r="T66" s="13" t="str">
        <f>VLOOKUP(LOWER(V59),experiments_specs!$A:$J,8,FALSE)</f>
        <v>False</v>
      </c>
      <c r="U66" s="16" t="s">
        <v>165</v>
      </c>
      <c r="V66" s="7" t="s">
        <v>16</v>
      </c>
      <c r="W66" s="20"/>
      <c r="X66" s="20"/>
      <c r="Y66" s="27"/>
      <c r="Z66" s="24"/>
      <c r="AA66" s="24"/>
      <c r="AB66" s="30"/>
      <c r="AD66" s="17"/>
      <c r="AF66" s="17"/>
      <c r="AH66" s="12" t="s">
        <v>7</v>
      </c>
      <c r="AI66" s="13" t="str">
        <f>VLOOKUP(LOWER(AK59),experiments_specs!$A:$J,8,FALSE)</f>
        <v>False</v>
      </c>
      <c r="AJ66" s="16" t="s">
        <v>171</v>
      </c>
      <c r="AK66" s="7"/>
      <c r="AL66" s="20"/>
      <c r="AM66" s="20"/>
      <c r="AN66" s="27"/>
      <c r="AO66" s="24"/>
      <c r="AP66" s="24"/>
      <c r="AQ66" s="30"/>
      <c r="AS66" s="17"/>
    </row>
    <row r="67" spans="2:45" x14ac:dyDescent="0.2">
      <c r="B67" s="17"/>
      <c r="D67" s="12" t="s">
        <v>8</v>
      </c>
      <c r="E67" s="13" t="str">
        <f>VLOOKUP(LOWER(G59),experiments_specs!$A:$J,9,FALSE)</f>
        <v>wup_similarity</v>
      </c>
      <c r="F67" s="16" t="s">
        <v>159</v>
      </c>
      <c r="G67" s="7"/>
      <c r="H67" s="20"/>
      <c r="I67" s="20"/>
      <c r="J67" s="27"/>
      <c r="K67" s="23"/>
      <c r="L67" s="23"/>
      <c r="M67" s="30"/>
      <c r="O67" s="17"/>
      <c r="Q67" s="17"/>
      <c r="S67" s="12" t="s">
        <v>8</v>
      </c>
      <c r="T67" s="13" t="str">
        <f>VLOOKUP(LOWER(V59),experiments_specs!$A:$J,9,FALSE)</f>
        <v>wup_similarity</v>
      </c>
      <c r="U67" s="16" t="s">
        <v>165</v>
      </c>
      <c r="V67" s="7" t="s">
        <v>17</v>
      </c>
      <c r="W67" s="20"/>
      <c r="X67" s="20"/>
      <c r="Y67" s="27"/>
      <c r="Z67" s="23"/>
      <c r="AA67" s="23"/>
      <c r="AB67" s="30"/>
      <c r="AD67" s="17"/>
      <c r="AF67" s="17"/>
      <c r="AH67" s="12" t="s">
        <v>8</v>
      </c>
      <c r="AI67" s="13" t="str">
        <f>VLOOKUP(LOWER(AK59),experiments_specs!$A:$J,9,FALSE)</f>
        <v>wup_similarity</v>
      </c>
      <c r="AJ67" s="16" t="s">
        <v>171</v>
      </c>
      <c r="AK67" s="7"/>
      <c r="AL67" s="19"/>
      <c r="AM67" s="19"/>
      <c r="AN67" s="27"/>
      <c r="AO67" s="24"/>
      <c r="AP67" s="24"/>
      <c r="AQ67" s="30"/>
      <c r="AS67" s="17"/>
    </row>
    <row r="68" spans="2:45" x14ac:dyDescent="0.2">
      <c r="B68" s="17"/>
      <c r="D68" s="12" t="s">
        <v>9</v>
      </c>
      <c r="E68" s="13" t="str">
        <f>VLOOKUP(LOWER(G59),experiments_specs!$A:$J,10,FALSE)</f>
        <v>False</v>
      </c>
      <c r="F68" s="16" t="s">
        <v>159</v>
      </c>
      <c r="G68" s="8"/>
      <c r="H68" s="21"/>
      <c r="I68" s="21"/>
      <c r="J68" s="28"/>
      <c r="K68" s="25"/>
      <c r="L68" s="25"/>
      <c r="M68" s="31"/>
      <c r="O68" s="17"/>
      <c r="Q68" s="17"/>
      <c r="S68" s="12" t="s">
        <v>9</v>
      </c>
      <c r="T68" s="13" t="str">
        <f>VLOOKUP(LOWER(V59),experiments_specs!$A:$J,10,FALSE)</f>
        <v>False</v>
      </c>
      <c r="U68" s="16" t="s">
        <v>165</v>
      </c>
      <c r="V68" s="8" t="s">
        <v>18</v>
      </c>
      <c r="W68" s="21"/>
      <c r="X68" s="21"/>
      <c r="Y68" s="28"/>
      <c r="Z68" s="25"/>
      <c r="AA68" s="25"/>
      <c r="AB68" s="31"/>
      <c r="AD68" s="17"/>
      <c r="AF68" s="17"/>
      <c r="AH68" s="12" t="s">
        <v>9</v>
      </c>
      <c r="AI68" s="13" t="str">
        <f>VLOOKUP(LOWER(AK59),experiments_specs!$A:$J,10,FALSE)</f>
        <v>True</v>
      </c>
      <c r="AJ68" s="16" t="s">
        <v>171</v>
      </c>
      <c r="AK68" s="8"/>
      <c r="AL68" s="21"/>
      <c r="AM68" s="21"/>
      <c r="AN68" s="28"/>
      <c r="AO68" s="25"/>
      <c r="AP68" s="25"/>
      <c r="AQ68" s="31"/>
      <c r="AS68" s="17"/>
    </row>
    <row r="69" spans="2:45" x14ac:dyDescent="0.2">
      <c r="B69" s="17"/>
      <c r="O69" s="17"/>
      <c r="Q69" s="17"/>
      <c r="AD69" s="17"/>
      <c r="AF69" s="17"/>
      <c r="AS69" s="17"/>
    </row>
    <row r="70" spans="2:45" x14ac:dyDescent="0.2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</sheetData>
  <mergeCells count="39">
    <mergeCell ref="AO15:AQ15"/>
    <mergeCell ref="D2:M2"/>
    <mergeCell ref="S2:AB2"/>
    <mergeCell ref="AH2:AQ2"/>
    <mergeCell ref="H4:J4"/>
    <mergeCell ref="K4:M4"/>
    <mergeCell ref="W4:Y4"/>
    <mergeCell ref="Z4:AB4"/>
    <mergeCell ref="AL4:AN4"/>
    <mergeCell ref="AO4:AQ4"/>
    <mergeCell ref="H15:J15"/>
    <mergeCell ref="K15:M15"/>
    <mergeCell ref="W15:Y15"/>
    <mergeCell ref="Z15:AB15"/>
    <mergeCell ref="AL15:AN15"/>
    <mergeCell ref="AO37:AQ37"/>
    <mergeCell ref="H26:J26"/>
    <mergeCell ref="K26:M26"/>
    <mergeCell ref="W26:Y26"/>
    <mergeCell ref="Z26:AB26"/>
    <mergeCell ref="AL26:AN26"/>
    <mergeCell ref="AO26:AQ26"/>
    <mergeCell ref="H37:J37"/>
    <mergeCell ref="K37:M37"/>
    <mergeCell ref="W37:Y37"/>
    <mergeCell ref="Z37:AB37"/>
    <mergeCell ref="AL37:AN37"/>
    <mergeCell ref="AO59:AQ59"/>
    <mergeCell ref="H48:J48"/>
    <mergeCell ref="K48:M48"/>
    <mergeCell ref="W48:Y48"/>
    <mergeCell ref="Z48:AB48"/>
    <mergeCell ref="AL48:AN48"/>
    <mergeCell ref="AO48:AQ48"/>
    <mergeCell ref="H59:J59"/>
    <mergeCell ref="K59:M59"/>
    <mergeCell ref="W59:Y59"/>
    <mergeCell ref="Z59:AB59"/>
    <mergeCell ref="AL59:AN5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1A31-62F5-C84D-9E6C-945C40E77586}">
  <sheetPr codeName="Foglio5"/>
  <dimension ref="B2:AS70"/>
  <sheetViews>
    <sheetView topLeftCell="A2" workbookViewId="0">
      <selection activeCell="H13" sqref="H13:I13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9" width="25.83203125" customWidth="1"/>
    <col min="10" max="10" width="12.1640625" bestFit="1" customWidth="1"/>
    <col min="11" max="12" width="25.83203125" customWidth="1"/>
    <col min="13" max="13" width="12.1640625" bestFit="1" customWidth="1"/>
    <col min="14" max="18" width="3.1640625" customWidth="1"/>
    <col min="19" max="19" width="22.33203125" bestFit="1" customWidth="1"/>
    <col min="20" max="20" width="29" bestFit="1" customWidth="1"/>
    <col min="21" max="21" width="1.83203125" customWidth="1"/>
    <col min="22" max="22" width="24.1640625" bestFit="1" customWidth="1"/>
    <col min="23" max="24" width="25.83203125" customWidth="1"/>
    <col min="25" max="25" width="12.1640625" bestFit="1" customWidth="1"/>
    <col min="26" max="27" width="25.83203125" customWidth="1"/>
    <col min="28" max="28" width="12.1640625" bestFit="1" customWidth="1"/>
    <col min="29" max="33" width="3.1640625" customWidth="1"/>
    <col min="34" max="34" width="22.33203125" bestFit="1" customWidth="1"/>
    <col min="35" max="35" width="29" bestFit="1" customWidth="1"/>
    <col min="36" max="36" width="1.83203125" customWidth="1"/>
    <col min="37" max="37" width="24.1640625" bestFit="1" customWidth="1"/>
    <col min="38" max="39" width="25.83203125" customWidth="1"/>
    <col min="40" max="40" width="12.1640625" bestFit="1" customWidth="1"/>
    <col min="41" max="42" width="25.83203125" customWidth="1"/>
    <col min="43" max="43" width="12.1640625" bestFit="1" customWidth="1"/>
    <col min="44" max="45" width="3.1640625" customWidth="1"/>
  </cols>
  <sheetData>
    <row r="2" spans="2:45" ht="19" x14ac:dyDescent="0.25">
      <c r="B2" s="17"/>
      <c r="C2" s="17"/>
      <c r="D2" s="38" t="s">
        <v>199</v>
      </c>
      <c r="E2" s="38"/>
      <c r="F2" s="38"/>
      <c r="G2" s="38"/>
      <c r="H2" s="38"/>
      <c r="I2" s="38"/>
      <c r="J2" s="38"/>
      <c r="K2" s="38"/>
      <c r="L2" s="38"/>
      <c r="M2" s="38"/>
      <c r="N2" s="17"/>
      <c r="O2" s="17"/>
      <c r="Q2" s="17"/>
      <c r="R2" s="17"/>
      <c r="S2" s="38" t="s">
        <v>200</v>
      </c>
      <c r="T2" s="38"/>
      <c r="U2" s="38"/>
      <c r="V2" s="38"/>
      <c r="W2" s="38"/>
      <c r="X2" s="38"/>
      <c r="Y2" s="38"/>
      <c r="Z2" s="38"/>
      <c r="AA2" s="38"/>
      <c r="AB2" s="38"/>
      <c r="AC2" s="17"/>
      <c r="AD2" s="17"/>
      <c r="AF2" s="17"/>
      <c r="AG2" s="17"/>
      <c r="AH2" s="38" t="s">
        <v>201</v>
      </c>
      <c r="AI2" s="38"/>
      <c r="AJ2" s="38"/>
      <c r="AK2" s="38"/>
      <c r="AL2" s="38"/>
      <c r="AM2" s="38"/>
      <c r="AN2" s="38"/>
      <c r="AO2" s="38"/>
      <c r="AP2" s="38"/>
      <c r="AQ2" s="38"/>
      <c r="AR2" s="17"/>
      <c r="AS2" s="17"/>
    </row>
    <row r="3" spans="2:45" ht="17" thickBot="1" x14ac:dyDescent="0.25">
      <c r="B3" s="17"/>
      <c r="O3" s="17"/>
      <c r="Q3" s="17"/>
      <c r="AD3" s="17"/>
      <c r="AF3" s="17"/>
      <c r="AS3" s="17"/>
    </row>
    <row r="4" spans="2:45" ht="20" thickBot="1" x14ac:dyDescent="0.3">
      <c r="B4" s="17"/>
      <c r="D4" s="14" t="s">
        <v>198</v>
      </c>
      <c r="E4" s="15"/>
      <c r="F4" s="10"/>
      <c r="G4" s="11" t="s">
        <v>203</v>
      </c>
      <c r="H4" s="36" t="s">
        <v>196</v>
      </c>
      <c r="I4" s="36"/>
      <c r="J4" s="36"/>
      <c r="K4" s="37" t="s">
        <v>195</v>
      </c>
      <c r="L4" s="37"/>
      <c r="M4" s="37"/>
      <c r="N4" s="3"/>
      <c r="O4" s="17"/>
      <c r="Q4" s="17"/>
      <c r="S4" s="14" t="s">
        <v>198</v>
      </c>
      <c r="T4" s="15"/>
      <c r="U4" s="10"/>
      <c r="V4" s="11" t="str">
        <f>"TEST_"&amp;TEXT(RIGHT(G59,2)+1, "00")</f>
        <v>TEST_43</v>
      </c>
      <c r="W4" s="36" t="s">
        <v>196</v>
      </c>
      <c r="X4" s="36"/>
      <c r="Y4" s="36"/>
      <c r="Z4" s="37" t="s">
        <v>195</v>
      </c>
      <c r="AA4" s="37"/>
      <c r="AB4" s="37"/>
      <c r="AC4" s="3"/>
      <c r="AD4" s="17"/>
      <c r="AF4" s="17"/>
      <c r="AH4" s="14" t="s">
        <v>198</v>
      </c>
      <c r="AI4" s="15"/>
      <c r="AJ4" s="10"/>
      <c r="AK4" s="11" t="str">
        <f>"TEST_"&amp;TEXT(RIGHT(V59,2)+1, "00")</f>
        <v>TEST_49</v>
      </c>
      <c r="AL4" s="36" t="s">
        <v>196</v>
      </c>
      <c r="AM4" s="36"/>
      <c r="AN4" s="36"/>
      <c r="AO4" s="37" t="s">
        <v>195</v>
      </c>
      <c r="AP4" s="37"/>
      <c r="AQ4" s="37"/>
      <c r="AR4" s="3"/>
      <c r="AS4" s="17"/>
    </row>
    <row r="5" spans="2:45" x14ac:dyDescent="0.2">
      <c r="B5" s="17"/>
      <c r="D5" s="12" t="s">
        <v>1</v>
      </c>
      <c r="E5" s="13" t="str">
        <f>VLOOKUP(LOWER(G4),experiments_specs!$A:$J,2,FALSE)</f>
        <v>NN</v>
      </c>
      <c r="F5" s="16" t="str">
        <f>"{"&amp;LOWER(G4)&amp;".csv}"</f>
        <v>{test_37.csv}</v>
      </c>
      <c r="G5" s="9" t="s">
        <v>190</v>
      </c>
      <c r="H5" s="4" t="s">
        <v>191</v>
      </c>
      <c r="I5" s="4" t="s">
        <v>192</v>
      </c>
      <c r="J5" s="4" t="s">
        <v>193</v>
      </c>
      <c r="K5" s="5" t="s">
        <v>194</v>
      </c>
      <c r="L5" s="5" t="s">
        <v>192</v>
      </c>
      <c r="M5" s="5" t="s">
        <v>193</v>
      </c>
      <c r="O5" s="17"/>
      <c r="Q5" s="17"/>
      <c r="S5" s="12" t="s">
        <v>1</v>
      </c>
      <c r="T5" s="13" t="str">
        <f>VLOOKUP(LOWER(V4),experiments_specs!$A:$J,2,FALSE)</f>
        <v>NN</v>
      </c>
      <c r="U5" s="16" t="str">
        <f>"{"&amp;LOWER(V4)&amp;".csv}"</f>
        <v>{test_43.csv}</v>
      </c>
      <c r="V5" s="9" t="s">
        <v>190</v>
      </c>
      <c r="W5" s="4" t="s">
        <v>191</v>
      </c>
      <c r="X5" s="4" t="s">
        <v>192</v>
      </c>
      <c r="Y5" s="4" t="s">
        <v>193</v>
      </c>
      <c r="Z5" s="5" t="s">
        <v>194</v>
      </c>
      <c r="AA5" s="5" t="s">
        <v>192</v>
      </c>
      <c r="AB5" s="5" t="s">
        <v>193</v>
      </c>
      <c r="AD5" s="17"/>
      <c r="AF5" s="17"/>
      <c r="AH5" s="12" t="s">
        <v>1</v>
      </c>
      <c r="AI5" s="13" t="str">
        <f>VLOOKUP(LOWER(AK4),experiments_specs!$A:$J,2,FALSE)</f>
        <v>NN</v>
      </c>
      <c r="AJ5" s="16" t="str">
        <f>"{"&amp;LOWER(AK4)&amp;".csv}"</f>
        <v>{test_49.csv}</v>
      </c>
      <c r="AK5" s="9" t="s">
        <v>190</v>
      </c>
      <c r="AL5" s="4" t="s">
        <v>191</v>
      </c>
      <c r="AM5" s="4" t="s">
        <v>192</v>
      </c>
      <c r="AN5" s="4" t="s">
        <v>193</v>
      </c>
      <c r="AO5" s="5" t="s">
        <v>194</v>
      </c>
      <c r="AP5" s="5" t="s">
        <v>192</v>
      </c>
      <c r="AQ5" s="5" t="s">
        <v>193</v>
      </c>
      <c r="AS5" s="17"/>
    </row>
    <row r="6" spans="2:45" x14ac:dyDescent="0.2">
      <c r="B6" s="17"/>
      <c r="D6" s="12" t="s">
        <v>2</v>
      </c>
      <c r="E6" s="13">
        <f>VLOOKUP(LOWER(G4),experiments_specs!$A:$J,3,FALSE)</f>
        <v>1</v>
      </c>
      <c r="F6" s="16" t="s">
        <v>172</v>
      </c>
      <c r="G6" s="6"/>
      <c r="H6" s="18"/>
      <c r="I6" s="18"/>
      <c r="J6" s="26"/>
      <c r="K6" s="22"/>
      <c r="L6" s="22"/>
      <c r="M6" s="29"/>
      <c r="O6" s="17"/>
      <c r="Q6" s="17"/>
      <c r="S6" s="12" t="s">
        <v>2</v>
      </c>
      <c r="T6" s="13">
        <f>VLOOKUP(LOWER(V4),experiments_specs!$A:$J,3,FALSE)</f>
        <v>1</v>
      </c>
      <c r="U6" s="16" t="s">
        <v>178</v>
      </c>
      <c r="V6" s="6" t="s">
        <v>19</v>
      </c>
      <c r="W6" s="18"/>
      <c r="X6" s="18"/>
      <c r="Y6" s="26"/>
      <c r="Z6" s="22"/>
      <c r="AA6" s="22"/>
      <c r="AB6" s="29"/>
      <c r="AD6" s="17"/>
      <c r="AF6" s="17"/>
      <c r="AH6" s="12" t="s">
        <v>2</v>
      </c>
      <c r="AI6" s="13">
        <f>VLOOKUP(LOWER(AK4),experiments_specs!$A:$J,3,FALSE)</f>
        <v>1</v>
      </c>
      <c r="AJ6" s="16" t="s">
        <v>184</v>
      </c>
      <c r="AK6" s="6"/>
      <c r="AL6" s="18"/>
      <c r="AM6" s="18"/>
      <c r="AN6" s="26"/>
      <c r="AO6" s="22"/>
      <c r="AP6" s="22"/>
      <c r="AQ6" s="29"/>
      <c r="AS6" s="17"/>
    </row>
    <row r="7" spans="2:45" x14ac:dyDescent="0.2">
      <c r="B7" s="17"/>
      <c r="D7" s="12" t="s">
        <v>3</v>
      </c>
      <c r="E7" s="13">
        <f>VLOOKUP(LOWER(G4),experiments_specs!$A:$J,4,FALSE)</f>
        <v>2</v>
      </c>
      <c r="F7" s="16" t="s">
        <v>172</v>
      </c>
      <c r="G7" s="7"/>
      <c r="H7" s="19"/>
      <c r="I7" s="19"/>
      <c r="J7" s="27"/>
      <c r="K7" s="23"/>
      <c r="L7" s="23"/>
      <c r="M7" s="30"/>
      <c r="O7" s="17"/>
      <c r="Q7" s="17"/>
      <c r="S7" s="12" t="s">
        <v>3</v>
      </c>
      <c r="T7" s="13">
        <f>VLOOKUP(LOWER(V4),experiments_specs!$A:$J,4,FALSE)</f>
        <v>2</v>
      </c>
      <c r="U7" s="16" t="s">
        <v>178</v>
      </c>
      <c r="V7" s="7" t="s">
        <v>12</v>
      </c>
      <c r="W7" s="19"/>
      <c r="X7" s="19"/>
      <c r="Y7" s="27"/>
      <c r="Z7" s="23"/>
      <c r="AA7" s="23"/>
      <c r="AB7" s="30"/>
      <c r="AD7" s="17"/>
      <c r="AF7" s="17"/>
      <c r="AH7" s="12" t="s">
        <v>3</v>
      </c>
      <c r="AI7" s="13">
        <f>VLOOKUP(LOWER(AK4),experiments_specs!$A:$J,4,FALSE)</f>
        <v>2</v>
      </c>
      <c r="AJ7" s="16" t="s">
        <v>184</v>
      </c>
      <c r="AK7" s="7"/>
      <c r="AL7" s="19"/>
      <c r="AM7" s="19"/>
      <c r="AN7" s="27"/>
      <c r="AO7" s="23"/>
      <c r="AP7" s="23"/>
      <c r="AQ7" s="30"/>
      <c r="AS7" s="17"/>
    </row>
    <row r="8" spans="2:45" x14ac:dyDescent="0.2">
      <c r="B8" s="17"/>
      <c r="D8" s="12" t="s">
        <v>4</v>
      </c>
      <c r="E8" s="13" t="str">
        <f>VLOOKUP(LOWER(G4),experiments_specs!$A:$J,5,FALSE)</f>
        <v>False</v>
      </c>
      <c r="F8" s="16" t="s">
        <v>172</v>
      </c>
      <c r="G8" s="7"/>
      <c r="H8" s="20"/>
      <c r="I8" s="20"/>
      <c r="J8" s="27"/>
      <c r="K8" s="23"/>
      <c r="L8" s="23"/>
      <c r="M8" s="30"/>
      <c r="O8" s="17"/>
      <c r="Q8" s="17"/>
      <c r="S8" s="12" t="s">
        <v>4</v>
      </c>
      <c r="T8" s="13" t="str">
        <f>VLOOKUP(LOWER(V4),experiments_specs!$A:$J,5,FALSE)</f>
        <v>True</v>
      </c>
      <c r="U8" s="16" t="s">
        <v>178</v>
      </c>
      <c r="V8" s="7" t="s">
        <v>13</v>
      </c>
      <c r="W8" s="20"/>
      <c r="X8" s="20"/>
      <c r="Y8" s="27"/>
      <c r="Z8" s="23"/>
      <c r="AA8" s="23"/>
      <c r="AB8" s="30"/>
      <c r="AD8" s="17"/>
      <c r="AF8" s="17"/>
      <c r="AH8" s="12" t="s">
        <v>4</v>
      </c>
      <c r="AI8" s="13" t="str">
        <f>VLOOKUP(LOWER(AK4),experiments_specs!$A:$J,5,FALSE)</f>
        <v>False</v>
      </c>
      <c r="AJ8" s="16" t="s">
        <v>184</v>
      </c>
      <c r="AK8" s="7"/>
      <c r="AL8" s="20"/>
      <c r="AM8" s="20"/>
      <c r="AN8" s="27"/>
      <c r="AO8" s="23"/>
      <c r="AP8" s="23"/>
      <c r="AQ8" s="30"/>
      <c r="AS8" s="17"/>
    </row>
    <row r="9" spans="2:45" x14ac:dyDescent="0.2">
      <c r="B9" s="17"/>
      <c r="D9" s="12" t="s">
        <v>5</v>
      </c>
      <c r="E9" s="13" t="str">
        <f>VLOOKUP(LOWER(G4),experiments_specs!$A:$J,6,FALSE)</f>
        <v>True</v>
      </c>
      <c r="F9" s="16" t="s">
        <v>172</v>
      </c>
      <c r="G9" s="7"/>
      <c r="H9" s="20"/>
      <c r="I9" s="20"/>
      <c r="J9" s="27"/>
      <c r="K9" s="23"/>
      <c r="L9" s="23"/>
      <c r="M9" s="30"/>
      <c r="O9" s="17"/>
      <c r="Q9" s="17"/>
      <c r="S9" s="12" t="s">
        <v>5</v>
      </c>
      <c r="T9" s="13" t="str">
        <f>VLOOKUP(LOWER(V4),experiments_specs!$A:$J,6,FALSE)</f>
        <v>True</v>
      </c>
      <c r="U9" s="16" t="s">
        <v>178</v>
      </c>
      <c r="V9" s="7" t="s">
        <v>14</v>
      </c>
      <c r="W9" s="20"/>
      <c r="X9" s="20"/>
      <c r="Y9" s="27"/>
      <c r="Z9" s="23"/>
      <c r="AA9" s="23"/>
      <c r="AB9" s="30"/>
      <c r="AD9" s="17"/>
      <c r="AF9" s="17"/>
      <c r="AH9" s="12" t="s">
        <v>5</v>
      </c>
      <c r="AI9" s="13" t="str">
        <f>VLOOKUP(LOWER(AK4),experiments_specs!$A:$J,6,FALSE)</f>
        <v>True</v>
      </c>
      <c r="AJ9" s="16" t="s">
        <v>184</v>
      </c>
      <c r="AK9" s="7"/>
      <c r="AL9" s="20"/>
      <c r="AM9" s="20"/>
      <c r="AN9" s="27"/>
      <c r="AO9" s="23"/>
      <c r="AP9" s="23"/>
      <c r="AQ9" s="30"/>
      <c r="AS9" s="17"/>
    </row>
    <row r="10" spans="2:45" x14ac:dyDescent="0.2">
      <c r="B10" s="17"/>
      <c r="D10" s="12" t="s">
        <v>6</v>
      </c>
      <c r="E10" s="13" t="str">
        <f>VLOOKUP(LOWER(G4),experiments_specs!$A:$J,7,FALSE)</f>
        <v>True</v>
      </c>
      <c r="F10" s="16" t="s">
        <v>172</v>
      </c>
      <c r="G10" s="7"/>
      <c r="H10" s="20"/>
      <c r="I10" s="20"/>
      <c r="J10" s="27"/>
      <c r="K10" s="24"/>
      <c r="L10" s="24"/>
      <c r="M10" s="30"/>
      <c r="O10" s="17"/>
      <c r="Q10" s="17"/>
      <c r="S10" s="12" t="s">
        <v>6</v>
      </c>
      <c r="T10" s="13" t="str">
        <f>VLOOKUP(LOWER(V4),experiments_specs!$A:$J,7,FALSE)</f>
        <v>True</v>
      </c>
      <c r="U10" s="16" t="s">
        <v>178</v>
      </c>
      <c r="V10" s="7" t="s">
        <v>15</v>
      </c>
      <c r="W10" s="20"/>
      <c r="X10" s="20"/>
      <c r="Y10" s="27"/>
      <c r="Z10" s="24"/>
      <c r="AA10" s="24"/>
      <c r="AB10" s="30"/>
      <c r="AD10" s="17"/>
      <c r="AF10" s="17"/>
      <c r="AH10" s="12" t="s">
        <v>6</v>
      </c>
      <c r="AI10" s="13" t="str">
        <f>VLOOKUP(LOWER(AK4),experiments_specs!$A:$J,7,FALSE)</f>
        <v>True</v>
      </c>
      <c r="AJ10" s="16" t="s">
        <v>184</v>
      </c>
      <c r="AK10" s="7"/>
      <c r="AL10" s="20"/>
      <c r="AM10" s="20"/>
      <c r="AN10" s="27"/>
      <c r="AO10" s="24"/>
      <c r="AP10" s="24"/>
      <c r="AQ10" s="30"/>
      <c r="AS10" s="17"/>
    </row>
    <row r="11" spans="2:45" x14ac:dyDescent="0.2">
      <c r="B11" s="17"/>
      <c r="D11" s="12" t="s">
        <v>7</v>
      </c>
      <c r="E11" s="13" t="str">
        <f>VLOOKUP(LOWER(G4),experiments_specs!$A:$J,8,FALSE)</f>
        <v>True</v>
      </c>
      <c r="F11" s="16" t="s">
        <v>172</v>
      </c>
      <c r="G11" s="7"/>
      <c r="H11" s="20"/>
      <c r="I11" s="20"/>
      <c r="J11" s="27"/>
      <c r="K11" s="24"/>
      <c r="L11" s="24"/>
      <c r="M11" s="30"/>
      <c r="O11" s="17"/>
      <c r="Q11" s="17"/>
      <c r="S11" s="12" t="s">
        <v>7</v>
      </c>
      <c r="T11" s="13" t="str">
        <f>VLOOKUP(LOWER(V4),experiments_specs!$A:$J,8,FALSE)</f>
        <v>True</v>
      </c>
      <c r="U11" s="16" t="s">
        <v>178</v>
      </c>
      <c r="V11" s="7" t="s">
        <v>16</v>
      </c>
      <c r="W11" s="20"/>
      <c r="X11" s="20"/>
      <c r="Y11" s="27"/>
      <c r="Z11" s="24"/>
      <c r="AA11" s="24"/>
      <c r="AB11" s="30"/>
      <c r="AD11" s="17"/>
      <c r="AF11" s="17"/>
      <c r="AH11" s="12" t="s">
        <v>7</v>
      </c>
      <c r="AI11" s="13" t="str">
        <f>VLOOKUP(LOWER(AK4),experiments_specs!$A:$J,8,FALSE)</f>
        <v>True</v>
      </c>
      <c r="AJ11" s="16" t="s">
        <v>184</v>
      </c>
      <c r="AK11" s="7"/>
      <c r="AL11" s="20"/>
      <c r="AM11" s="20"/>
      <c r="AN11" s="27"/>
      <c r="AO11" s="24"/>
      <c r="AP11" s="24"/>
      <c r="AQ11" s="30"/>
      <c r="AS11" s="17"/>
    </row>
    <row r="12" spans="2:45" x14ac:dyDescent="0.2">
      <c r="B12" s="17"/>
      <c r="D12" s="12" t="s">
        <v>8</v>
      </c>
      <c r="E12" s="13" t="str">
        <f>VLOOKUP(LOWER(G4),experiments_specs!$A:$J,9,FALSE)</f>
        <v>wup_similarity</v>
      </c>
      <c r="F12" s="16" t="s">
        <v>172</v>
      </c>
      <c r="G12" s="7"/>
      <c r="H12" s="20"/>
      <c r="I12" s="20"/>
      <c r="J12" s="27"/>
      <c r="K12" s="23"/>
      <c r="L12" s="23"/>
      <c r="M12" s="30"/>
      <c r="O12" s="17"/>
      <c r="Q12" s="17"/>
      <c r="S12" s="12" t="s">
        <v>8</v>
      </c>
      <c r="T12" s="13" t="str">
        <f>VLOOKUP(LOWER(V4),experiments_specs!$A:$J,9,FALSE)</f>
        <v>wup_similarity</v>
      </c>
      <c r="U12" s="16" t="s">
        <v>178</v>
      </c>
      <c r="V12" s="7" t="s">
        <v>17</v>
      </c>
      <c r="W12" s="20"/>
      <c r="X12" s="20"/>
      <c r="Y12" s="27"/>
      <c r="Z12" s="23"/>
      <c r="AA12" s="23"/>
      <c r="AB12" s="30"/>
      <c r="AD12" s="17"/>
      <c r="AF12" s="17"/>
      <c r="AH12" s="12" t="s">
        <v>8</v>
      </c>
      <c r="AI12" s="13" t="str">
        <f>VLOOKUP(LOWER(AK4),experiments_specs!$A:$J,9,FALSE)</f>
        <v>wup_similarity</v>
      </c>
      <c r="AJ12" s="16" t="s">
        <v>184</v>
      </c>
      <c r="AK12" s="7"/>
      <c r="AL12" s="20"/>
      <c r="AM12" s="20"/>
      <c r="AN12" s="27"/>
      <c r="AO12" s="23"/>
      <c r="AP12" s="23"/>
      <c r="AQ12" s="30"/>
      <c r="AS12" s="17"/>
    </row>
    <row r="13" spans="2:45" x14ac:dyDescent="0.2">
      <c r="B13" s="17"/>
      <c r="D13" s="12" t="s">
        <v>9</v>
      </c>
      <c r="E13" s="13" t="str">
        <f>VLOOKUP(LOWER(G4),experiments_specs!$A:$J,10,FALSE)</f>
        <v>False</v>
      </c>
      <c r="F13" s="16" t="s">
        <v>172</v>
      </c>
      <c r="G13" s="8"/>
      <c r="H13" s="21"/>
      <c r="I13" s="21"/>
      <c r="J13" s="28"/>
      <c r="K13" s="25"/>
      <c r="L13" s="25"/>
      <c r="M13" s="31"/>
      <c r="O13" s="17"/>
      <c r="Q13" s="17"/>
      <c r="S13" s="12" t="s">
        <v>9</v>
      </c>
      <c r="T13" s="13" t="str">
        <f>VLOOKUP(LOWER(V4),experiments_specs!$A:$J,10,FALSE)</f>
        <v>False</v>
      </c>
      <c r="U13" s="16" t="s">
        <v>178</v>
      </c>
      <c r="V13" s="8" t="s">
        <v>18</v>
      </c>
      <c r="W13" s="21"/>
      <c r="X13" s="21"/>
      <c r="Y13" s="28"/>
      <c r="Z13" s="25"/>
      <c r="AA13" s="25"/>
      <c r="AB13" s="31"/>
      <c r="AD13" s="17"/>
      <c r="AF13" s="17"/>
      <c r="AH13" s="12" t="s">
        <v>9</v>
      </c>
      <c r="AI13" s="13" t="str">
        <f>VLOOKUP(LOWER(AK4),experiments_specs!$A:$J,10,FALSE)</f>
        <v>True</v>
      </c>
      <c r="AJ13" s="16" t="s">
        <v>184</v>
      </c>
      <c r="AK13" s="8"/>
      <c r="AL13" s="21"/>
      <c r="AM13" s="21"/>
      <c r="AN13" s="28"/>
      <c r="AO13" s="25"/>
      <c r="AP13" s="25"/>
      <c r="AQ13" s="31"/>
      <c r="AS13" s="17"/>
    </row>
    <row r="14" spans="2:45" ht="17" thickBot="1" x14ac:dyDescent="0.25">
      <c r="B14" s="17"/>
      <c r="O14" s="17"/>
      <c r="Q14" s="17"/>
      <c r="AD14" s="17"/>
      <c r="AF14" s="17"/>
      <c r="AS14" s="17"/>
    </row>
    <row r="15" spans="2:45" ht="20" thickBot="1" x14ac:dyDescent="0.3">
      <c r="B15" s="17"/>
      <c r="D15" s="14" t="s">
        <v>198</v>
      </c>
      <c r="E15" s="15"/>
      <c r="F15" s="10"/>
      <c r="G15" s="11" t="str">
        <f>"TEST_"&amp;TEXT(RIGHT(G4,2)+1, "00")</f>
        <v>TEST_38</v>
      </c>
      <c r="H15" s="36" t="s">
        <v>196</v>
      </c>
      <c r="I15" s="36"/>
      <c r="J15" s="36"/>
      <c r="K15" s="37" t="s">
        <v>195</v>
      </c>
      <c r="L15" s="37"/>
      <c r="M15" s="37"/>
      <c r="N15" s="3"/>
      <c r="O15" s="17"/>
      <c r="Q15" s="17"/>
      <c r="S15" s="14" t="s">
        <v>198</v>
      </c>
      <c r="T15" s="15"/>
      <c r="U15" s="10"/>
      <c r="V15" s="11" t="str">
        <f>"TEST_"&amp;TEXT(RIGHT(V4,2)+1, "00")</f>
        <v>TEST_44</v>
      </c>
      <c r="W15" s="36" t="s">
        <v>196</v>
      </c>
      <c r="X15" s="36"/>
      <c r="Y15" s="36"/>
      <c r="Z15" s="37" t="s">
        <v>195</v>
      </c>
      <c r="AA15" s="37"/>
      <c r="AB15" s="37"/>
      <c r="AC15" s="3"/>
      <c r="AD15" s="17"/>
      <c r="AF15" s="17"/>
      <c r="AH15" s="14" t="s">
        <v>198</v>
      </c>
      <c r="AI15" s="15"/>
      <c r="AJ15" s="10"/>
      <c r="AK15" s="11" t="str">
        <f>"TEST_"&amp;TEXT(RIGHT(AK4,2)+1, "00")</f>
        <v>TEST_50</v>
      </c>
      <c r="AL15" s="36" t="s">
        <v>196</v>
      </c>
      <c r="AM15" s="36"/>
      <c r="AN15" s="36"/>
      <c r="AO15" s="37" t="s">
        <v>195</v>
      </c>
      <c r="AP15" s="37"/>
      <c r="AQ15" s="37"/>
      <c r="AR15" s="3"/>
      <c r="AS15" s="17"/>
    </row>
    <row r="16" spans="2:45" x14ac:dyDescent="0.2">
      <c r="B16" s="17"/>
      <c r="D16" s="12" t="s">
        <v>1</v>
      </c>
      <c r="E16" s="13" t="str">
        <f>VLOOKUP(LOWER(G15),experiments_specs!$A:$J,2,FALSE)</f>
        <v>NN,JJ</v>
      </c>
      <c r="F16" s="16" t="str">
        <f>"{"&amp;LOWER(G15)&amp;".csv}"</f>
        <v>{test_38.csv}</v>
      </c>
      <c r="G16" s="9" t="s">
        <v>190</v>
      </c>
      <c r="H16" s="4" t="s">
        <v>191</v>
      </c>
      <c r="I16" s="4" t="s">
        <v>192</v>
      </c>
      <c r="J16" s="4" t="s">
        <v>193</v>
      </c>
      <c r="K16" s="5" t="s">
        <v>194</v>
      </c>
      <c r="L16" s="5" t="s">
        <v>192</v>
      </c>
      <c r="M16" s="5" t="s">
        <v>193</v>
      </c>
      <c r="O16" s="17"/>
      <c r="Q16" s="17"/>
      <c r="S16" s="12" t="s">
        <v>1</v>
      </c>
      <c r="T16" s="13" t="str">
        <f>VLOOKUP(LOWER(V15),experiments_specs!$A:$J,2,FALSE)</f>
        <v>NN,JJ</v>
      </c>
      <c r="U16" s="16" t="str">
        <f>"{"&amp;LOWER(V15)&amp;".csv}"</f>
        <v>{test_44.csv}</v>
      </c>
      <c r="V16" s="9" t="s">
        <v>190</v>
      </c>
      <c r="W16" s="4" t="s">
        <v>191</v>
      </c>
      <c r="X16" s="4" t="s">
        <v>192</v>
      </c>
      <c r="Y16" s="4" t="s">
        <v>193</v>
      </c>
      <c r="Z16" s="5" t="s">
        <v>194</v>
      </c>
      <c r="AA16" s="5" t="s">
        <v>192</v>
      </c>
      <c r="AB16" s="5" t="s">
        <v>193</v>
      </c>
      <c r="AD16" s="17"/>
      <c r="AF16" s="17"/>
      <c r="AH16" s="12" t="s">
        <v>1</v>
      </c>
      <c r="AI16" s="13" t="str">
        <f>VLOOKUP(LOWER(AK15),experiments_specs!$A:$J,2,FALSE)</f>
        <v>NN,JJ</v>
      </c>
      <c r="AJ16" s="16" t="str">
        <f>"{"&amp;LOWER(AK15)&amp;".csv}"</f>
        <v>{test_50.csv}</v>
      </c>
      <c r="AK16" s="9" t="s">
        <v>190</v>
      </c>
      <c r="AL16" s="4" t="s">
        <v>191</v>
      </c>
      <c r="AM16" s="4" t="s">
        <v>192</v>
      </c>
      <c r="AN16" s="4" t="s">
        <v>193</v>
      </c>
      <c r="AO16" s="5" t="s">
        <v>194</v>
      </c>
      <c r="AP16" s="5" t="s">
        <v>192</v>
      </c>
      <c r="AQ16" s="5" t="s">
        <v>193</v>
      </c>
      <c r="AS16" s="17"/>
    </row>
    <row r="17" spans="2:45" x14ac:dyDescent="0.2">
      <c r="B17" s="17"/>
      <c r="D17" s="12" t="s">
        <v>2</v>
      </c>
      <c r="E17" s="13">
        <f>VLOOKUP(LOWER(G15),experiments_specs!$A:$J,3,FALSE)</f>
        <v>1</v>
      </c>
      <c r="F17" s="16" t="s">
        <v>173</v>
      </c>
      <c r="G17" s="6"/>
      <c r="H17" s="18"/>
      <c r="I17" s="18"/>
      <c r="J17" s="26"/>
      <c r="K17" s="22"/>
      <c r="L17" s="22"/>
      <c r="M17" s="29"/>
      <c r="O17" s="17"/>
      <c r="Q17" s="17"/>
      <c r="S17" s="12" t="s">
        <v>2</v>
      </c>
      <c r="T17" s="13">
        <f>VLOOKUP(LOWER(V15),experiments_specs!$A:$J,3,FALSE)</f>
        <v>1</v>
      </c>
      <c r="U17" s="16" t="s">
        <v>179</v>
      </c>
      <c r="V17" s="6" t="s">
        <v>19</v>
      </c>
      <c r="W17" s="18"/>
      <c r="X17" s="18"/>
      <c r="Y17" s="26"/>
      <c r="Z17" s="22"/>
      <c r="AA17" s="22"/>
      <c r="AB17" s="29"/>
      <c r="AD17" s="17"/>
      <c r="AF17" s="17"/>
      <c r="AH17" s="12" t="s">
        <v>2</v>
      </c>
      <c r="AI17" s="13">
        <f>VLOOKUP(LOWER(AK15),experiments_specs!$A:$J,3,FALSE)</f>
        <v>1</v>
      </c>
      <c r="AJ17" s="16" t="s">
        <v>185</v>
      </c>
      <c r="AK17" s="6"/>
      <c r="AL17" s="18"/>
      <c r="AM17" s="18"/>
      <c r="AN17" s="26"/>
      <c r="AO17" s="22"/>
      <c r="AP17" s="22"/>
      <c r="AQ17" s="29"/>
      <c r="AS17" s="17"/>
    </row>
    <row r="18" spans="2:45" x14ac:dyDescent="0.2">
      <c r="B18" s="17"/>
      <c r="D18" s="12" t="s">
        <v>3</v>
      </c>
      <c r="E18" s="13">
        <f>VLOOKUP(LOWER(G15),experiments_specs!$A:$J,4,FALSE)</f>
        <v>2</v>
      </c>
      <c r="F18" s="16" t="s">
        <v>173</v>
      </c>
      <c r="G18" s="7"/>
      <c r="H18" s="19"/>
      <c r="I18" s="19"/>
      <c r="J18" s="27"/>
      <c r="K18" s="23"/>
      <c r="L18" s="23"/>
      <c r="M18" s="30"/>
      <c r="O18" s="17"/>
      <c r="Q18" s="17"/>
      <c r="S18" s="12" t="s">
        <v>3</v>
      </c>
      <c r="T18" s="13">
        <f>VLOOKUP(LOWER(V15),experiments_specs!$A:$J,4,FALSE)</f>
        <v>2</v>
      </c>
      <c r="U18" s="16" t="s">
        <v>179</v>
      </c>
      <c r="V18" s="7" t="s">
        <v>12</v>
      </c>
      <c r="W18" s="19"/>
      <c r="X18" s="19"/>
      <c r="Y18" s="27"/>
      <c r="Z18" s="24"/>
      <c r="AA18" s="24"/>
      <c r="AB18" s="30"/>
      <c r="AD18" s="17"/>
      <c r="AF18" s="17"/>
      <c r="AH18" s="12" t="s">
        <v>3</v>
      </c>
      <c r="AI18" s="13">
        <f>VLOOKUP(LOWER(AK15),experiments_specs!$A:$J,4,FALSE)</f>
        <v>2</v>
      </c>
      <c r="AJ18" s="16" t="s">
        <v>185</v>
      </c>
      <c r="AK18" s="7"/>
      <c r="AL18" s="19"/>
      <c r="AM18" s="19"/>
      <c r="AN18" s="27"/>
      <c r="AO18" s="24"/>
      <c r="AP18" s="24"/>
      <c r="AQ18" s="30"/>
      <c r="AS18" s="17"/>
    </row>
    <row r="19" spans="2:45" x14ac:dyDescent="0.2">
      <c r="B19" s="17"/>
      <c r="D19" s="12" t="s">
        <v>4</v>
      </c>
      <c r="E19" s="13" t="str">
        <f>VLOOKUP(LOWER(G15),experiments_specs!$A:$J,5,FALSE)</f>
        <v>False</v>
      </c>
      <c r="F19" s="16" t="s">
        <v>173</v>
      </c>
      <c r="G19" s="7"/>
      <c r="H19" s="20"/>
      <c r="I19" s="20"/>
      <c r="J19" s="27"/>
      <c r="K19" s="23"/>
      <c r="L19" s="23"/>
      <c r="M19" s="30"/>
      <c r="O19" s="17"/>
      <c r="Q19" s="17"/>
      <c r="S19" s="12" t="s">
        <v>4</v>
      </c>
      <c r="T19" s="13" t="str">
        <f>VLOOKUP(LOWER(V15),experiments_specs!$A:$J,5,FALSE)</f>
        <v>True</v>
      </c>
      <c r="U19" s="16" t="s">
        <v>179</v>
      </c>
      <c r="V19" s="7" t="s">
        <v>13</v>
      </c>
      <c r="W19" s="20"/>
      <c r="X19" s="20"/>
      <c r="Y19" s="27"/>
      <c r="Z19" s="23"/>
      <c r="AA19" s="23"/>
      <c r="AB19" s="30"/>
      <c r="AD19" s="17"/>
      <c r="AF19" s="17"/>
      <c r="AH19" s="12" t="s">
        <v>4</v>
      </c>
      <c r="AI19" s="13" t="str">
        <f>VLOOKUP(LOWER(AK15),experiments_specs!$A:$J,5,FALSE)</f>
        <v>True</v>
      </c>
      <c r="AJ19" s="16" t="s">
        <v>185</v>
      </c>
      <c r="AK19" s="7"/>
      <c r="AL19" s="20"/>
      <c r="AM19" s="20"/>
      <c r="AN19" s="27"/>
      <c r="AO19" s="23"/>
      <c r="AP19" s="23"/>
      <c r="AQ19" s="30"/>
      <c r="AS19" s="17"/>
    </row>
    <row r="20" spans="2:45" x14ac:dyDescent="0.2">
      <c r="B20" s="17"/>
      <c r="D20" s="12" t="s">
        <v>5</v>
      </c>
      <c r="E20" s="13" t="str">
        <f>VLOOKUP(LOWER(G15),experiments_specs!$A:$J,6,FALSE)</f>
        <v>True</v>
      </c>
      <c r="F20" s="16" t="s">
        <v>173</v>
      </c>
      <c r="G20" s="7"/>
      <c r="H20" s="20"/>
      <c r="I20" s="20"/>
      <c r="J20" s="27"/>
      <c r="K20" s="23"/>
      <c r="L20" s="23"/>
      <c r="M20" s="30"/>
      <c r="O20" s="17"/>
      <c r="Q20" s="17"/>
      <c r="S20" s="12" t="s">
        <v>5</v>
      </c>
      <c r="T20" s="13" t="str">
        <f>VLOOKUP(LOWER(V15),experiments_specs!$A:$J,6,FALSE)</f>
        <v>True</v>
      </c>
      <c r="U20" s="16" t="s">
        <v>179</v>
      </c>
      <c r="V20" s="7" t="s">
        <v>14</v>
      </c>
      <c r="W20" s="19"/>
      <c r="X20" s="19"/>
      <c r="Y20" s="27"/>
      <c r="Z20" s="24"/>
      <c r="AA20" s="24"/>
      <c r="AB20" s="30"/>
      <c r="AD20" s="17"/>
      <c r="AF20" s="17"/>
      <c r="AH20" s="12" t="s">
        <v>5</v>
      </c>
      <c r="AI20" s="13" t="str">
        <f>VLOOKUP(LOWER(AK15),experiments_specs!$A:$J,6,FALSE)</f>
        <v>True</v>
      </c>
      <c r="AJ20" s="16" t="s">
        <v>185</v>
      </c>
      <c r="AK20" s="7"/>
      <c r="AL20" s="19"/>
      <c r="AM20" s="19"/>
      <c r="AN20" s="27"/>
      <c r="AO20" s="24"/>
      <c r="AP20" s="24"/>
      <c r="AQ20" s="30"/>
      <c r="AS20" s="17"/>
    </row>
    <row r="21" spans="2:45" x14ac:dyDescent="0.2">
      <c r="B21" s="17"/>
      <c r="D21" s="12" t="s">
        <v>6</v>
      </c>
      <c r="E21" s="13" t="str">
        <f>VLOOKUP(LOWER(G15),experiments_specs!$A:$J,7,FALSE)</f>
        <v>True</v>
      </c>
      <c r="F21" s="16" t="s">
        <v>173</v>
      </c>
      <c r="G21" s="7"/>
      <c r="H21" s="20"/>
      <c r="I21" s="20"/>
      <c r="J21" s="27"/>
      <c r="K21" s="24"/>
      <c r="L21" s="24"/>
      <c r="M21" s="30"/>
      <c r="O21" s="17"/>
      <c r="Q21" s="17"/>
      <c r="S21" s="12" t="s">
        <v>6</v>
      </c>
      <c r="T21" s="13" t="str">
        <f>VLOOKUP(LOWER(V15),experiments_specs!$A:$J,7,FALSE)</f>
        <v>True</v>
      </c>
      <c r="U21" s="16" t="s">
        <v>179</v>
      </c>
      <c r="V21" s="7" t="s">
        <v>15</v>
      </c>
      <c r="W21" s="20"/>
      <c r="X21" s="20"/>
      <c r="Y21" s="27"/>
      <c r="Z21" s="24"/>
      <c r="AA21" s="24"/>
      <c r="AB21" s="30"/>
      <c r="AD21" s="17"/>
      <c r="AF21" s="17"/>
      <c r="AH21" s="12" t="s">
        <v>6</v>
      </c>
      <c r="AI21" s="13" t="str">
        <f>VLOOKUP(LOWER(AK15),experiments_specs!$A:$J,7,FALSE)</f>
        <v>True</v>
      </c>
      <c r="AJ21" s="16" t="s">
        <v>185</v>
      </c>
      <c r="AK21" s="7"/>
      <c r="AL21" s="20"/>
      <c r="AM21" s="20"/>
      <c r="AN21" s="27"/>
      <c r="AO21" s="24"/>
      <c r="AP21" s="24"/>
      <c r="AQ21" s="30"/>
      <c r="AS21" s="17"/>
    </row>
    <row r="22" spans="2:45" x14ac:dyDescent="0.2">
      <c r="B22" s="17"/>
      <c r="D22" s="12" t="s">
        <v>7</v>
      </c>
      <c r="E22" s="13" t="str">
        <f>VLOOKUP(LOWER(G15),experiments_specs!$A:$J,8,FALSE)</f>
        <v>True</v>
      </c>
      <c r="F22" s="16" t="s">
        <v>173</v>
      </c>
      <c r="G22" s="7"/>
      <c r="H22" s="20"/>
      <c r="I22" s="20"/>
      <c r="J22" s="27"/>
      <c r="K22" s="24"/>
      <c r="L22" s="24"/>
      <c r="M22" s="30"/>
      <c r="O22" s="17"/>
      <c r="Q22" s="17"/>
      <c r="S22" s="12" t="s">
        <v>7</v>
      </c>
      <c r="T22" s="13" t="str">
        <f>VLOOKUP(LOWER(V15),experiments_specs!$A:$J,8,FALSE)</f>
        <v>True</v>
      </c>
      <c r="U22" s="16" t="s">
        <v>179</v>
      </c>
      <c r="V22" s="7" t="s">
        <v>16</v>
      </c>
      <c r="W22" s="20"/>
      <c r="X22" s="20"/>
      <c r="Y22" s="27"/>
      <c r="Z22" s="24"/>
      <c r="AA22" s="24"/>
      <c r="AB22" s="30"/>
      <c r="AD22" s="17"/>
      <c r="AF22" s="17"/>
      <c r="AH22" s="12" t="s">
        <v>7</v>
      </c>
      <c r="AI22" s="13" t="str">
        <f>VLOOKUP(LOWER(AK15),experiments_specs!$A:$J,8,FALSE)</f>
        <v>True</v>
      </c>
      <c r="AJ22" s="16" t="s">
        <v>185</v>
      </c>
      <c r="AK22" s="7"/>
      <c r="AL22" s="20"/>
      <c r="AM22" s="20"/>
      <c r="AN22" s="27"/>
      <c r="AO22" s="24"/>
      <c r="AP22" s="24"/>
      <c r="AQ22" s="30"/>
      <c r="AS22" s="17"/>
    </row>
    <row r="23" spans="2:45" x14ac:dyDescent="0.2">
      <c r="B23" s="17"/>
      <c r="D23" s="12" t="s">
        <v>8</v>
      </c>
      <c r="E23" s="13" t="str">
        <f>VLOOKUP(LOWER(G15),experiments_specs!$A:$J,9,FALSE)</f>
        <v>wup_similarity</v>
      </c>
      <c r="F23" s="16" t="s">
        <v>173</v>
      </c>
      <c r="G23" s="7"/>
      <c r="H23" s="20"/>
      <c r="I23" s="20"/>
      <c r="J23" s="27"/>
      <c r="K23" s="23"/>
      <c r="L23" s="23"/>
      <c r="M23" s="30"/>
      <c r="O23" s="17"/>
      <c r="Q23" s="17"/>
      <c r="S23" s="12" t="s">
        <v>8</v>
      </c>
      <c r="T23" s="13" t="str">
        <f>VLOOKUP(LOWER(V15),experiments_specs!$A:$J,9,FALSE)</f>
        <v>wup_similarity</v>
      </c>
      <c r="U23" s="16" t="s">
        <v>179</v>
      </c>
      <c r="V23" s="7" t="s">
        <v>17</v>
      </c>
      <c r="W23" s="19"/>
      <c r="X23" s="19"/>
      <c r="Y23" s="27"/>
      <c r="Z23" s="24"/>
      <c r="AA23" s="24"/>
      <c r="AB23" s="30"/>
      <c r="AD23" s="17"/>
      <c r="AF23" s="17"/>
      <c r="AH23" s="12" t="s">
        <v>8</v>
      </c>
      <c r="AI23" s="13" t="str">
        <f>VLOOKUP(LOWER(AK15),experiments_specs!$A:$J,9,FALSE)</f>
        <v>wup_similarity</v>
      </c>
      <c r="AJ23" s="16" t="s">
        <v>185</v>
      </c>
      <c r="AK23" s="7"/>
      <c r="AL23" s="19"/>
      <c r="AM23" s="19"/>
      <c r="AN23" s="27"/>
      <c r="AO23" s="24"/>
      <c r="AP23" s="24"/>
      <c r="AQ23" s="30"/>
      <c r="AS23" s="17"/>
    </row>
    <row r="24" spans="2:45" x14ac:dyDescent="0.2">
      <c r="B24" s="17"/>
      <c r="D24" s="12" t="s">
        <v>9</v>
      </c>
      <c r="E24" s="13" t="str">
        <f>VLOOKUP(LOWER(G15),experiments_specs!$A:$J,10,FALSE)</f>
        <v>False</v>
      </c>
      <c r="F24" s="16" t="s">
        <v>173</v>
      </c>
      <c r="G24" s="8"/>
      <c r="H24" s="21"/>
      <c r="I24" s="21"/>
      <c r="J24" s="28"/>
      <c r="K24" s="25"/>
      <c r="L24" s="25"/>
      <c r="M24" s="31"/>
      <c r="O24" s="17"/>
      <c r="Q24" s="17"/>
      <c r="S24" s="12" t="s">
        <v>9</v>
      </c>
      <c r="T24" s="13" t="str">
        <f>VLOOKUP(LOWER(V15),experiments_specs!$A:$J,10,FALSE)</f>
        <v>False</v>
      </c>
      <c r="U24" s="16" t="s">
        <v>179</v>
      </c>
      <c r="V24" s="8" t="s">
        <v>18</v>
      </c>
      <c r="W24" s="21"/>
      <c r="X24" s="21"/>
      <c r="Y24" s="28"/>
      <c r="Z24" s="25"/>
      <c r="AA24" s="25"/>
      <c r="AB24" s="31"/>
      <c r="AD24" s="17"/>
      <c r="AF24" s="17"/>
      <c r="AH24" s="12" t="s">
        <v>9</v>
      </c>
      <c r="AI24" s="13" t="str">
        <f>VLOOKUP(LOWER(AK15),experiments_specs!$A:$J,10,FALSE)</f>
        <v>True</v>
      </c>
      <c r="AJ24" s="16" t="s">
        <v>185</v>
      </c>
      <c r="AK24" s="8"/>
      <c r="AL24" s="21"/>
      <c r="AM24" s="21"/>
      <c r="AN24" s="28"/>
      <c r="AO24" s="25"/>
      <c r="AP24" s="25"/>
      <c r="AQ24" s="31"/>
      <c r="AS24" s="17"/>
    </row>
    <row r="25" spans="2:45" ht="17" thickBot="1" x14ac:dyDescent="0.25">
      <c r="B25" s="17"/>
      <c r="O25" s="17"/>
      <c r="Q25" s="17"/>
      <c r="AD25" s="17"/>
      <c r="AF25" s="17"/>
      <c r="AS25" s="17"/>
    </row>
    <row r="26" spans="2:45" ht="20" thickBot="1" x14ac:dyDescent="0.3">
      <c r="B26" s="17"/>
      <c r="D26" s="14" t="s">
        <v>198</v>
      </c>
      <c r="E26" s="15"/>
      <c r="F26" s="10"/>
      <c r="G26" s="11" t="str">
        <f>"TEST_"&amp;TEXT(RIGHT(G15,2)+1, "00")</f>
        <v>TEST_39</v>
      </c>
      <c r="H26" s="36" t="s">
        <v>196</v>
      </c>
      <c r="I26" s="36"/>
      <c r="J26" s="36"/>
      <c r="K26" s="37" t="s">
        <v>195</v>
      </c>
      <c r="L26" s="37"/>
      <c r="M26" s="37"/>
      <c r="N26" s="3"/>
      <c r="O26" s="17"/>
      <c r="Q26" s="17"/>
      <c r="S26" s="14" t="s">
        <v>198</v>
      </c>
      <c r="T26" s="15"/>
      <c r="U26" s="10"/>
      <c r="V26" s="11" t="str">
        <f>"TEST_"&amp;TEXT(RIGHT(V15,2)+1, "00")</f>
        <v>TEST_45</v>
      </c>
      <c r="W26" s="36" t="s">
        <v>196</v>
      </c>
      <c r="X26" s="36"/>
      <c r="Y26" s="36"/>
      <c r="Z26" s="37" t="s">
        <v>195</v>
      </c>
      <c r="AA26" s="37"/>
      <c r="AB26" s="37"/>
      <c r="AC26" s="3"/>
      <c r="AD26" s="17"/>
      <c r="AF26" s="17"/>
      <c r="AH26" s="14" t="s">
        <v>198</v>
      </c>
      <c r="AI26" s="15"/>
      <c r="AJ26" s="10"/>
      <c r="AK26" s="11" t="str">
        <f>"TEST_"&amp;TEXT(RIGHT(AK15,2)+1, "00")</f>
        <v>TEST_51</v>
      </c>
      <c r="AL26" s="36" t="s">
        <v>196</v>
      </c>
      <c r="AM26" s="36"/>
      <c r="AN26" s="36"/>
      <c r="AO26" s="37" t="s">
        <v>195</v>
      </c>
      <c r="AP26" s="37"/>
      <c r="AQ26" s="37"/>
      <c r="AR26" s="3"/>
      <c r="AS26" s="17"/>
    </row>
    <row r="27" spans="2:45" x14ac:dyDescent="0.2">
      <c r="B27" s="17"/>
      <c r="D27" s="12" t="s">
        <v>1</v>
      </c>
      <c r="E27" s="13" t="str">
        <f>VLOOKUP(LOWER(G26),experiments_specs!$A:$J,2,FALSE)</f>
        <v>NN,VB</v>
      </c>
      <c r="F27" s="16" t="str">
        <f>"{"&amp;LOWER(G26)&amp;".csv}"</f>
        <v>{test_39.csv}</v>
      </c>
      <c r="G27" s="9" t="s">
        <v>190</v>
      </c>
      <c r="H27" s="4" t="s">
        <v>191</v>
      </c>
      <c r="I27" s="4" t="s">
        <v>192</v>
      </c>
      <c r="J27" s="4" t="s">
        <v>193</v>
      </c>
      <c r="K27" s="5" t="s">
        <v>194</v>
      </c>
      <c r="L27" s="5" t="s">
        <v>192</v>
      </c>
      <c r="M27" s="5" t="s">
        <v>193</v>
      </c>
      <c r="O27" s="17"/>
      <c r="Q27" s="17"/>
      <c r="S27" s="12" t="s">
        <v>1</v>
      </c>
      <c r="T27" s="13" t="str">
        <f>VLOOKUP(LOWER(V26),experiments_specs!$A:$J,2,FALSE)</f>
        <v>NN,VB</v>
      </c>
      <c r="U27" s="16" t="str">
        <f>"{"&amp;LOWER(V26)&amp;".csv}"</f>
        <v>{test_45.csv}</v>
      </c>
      <c r="V27" s="9" t="s">
        <v>190</v>
      </c>
      <c r="W27" s="4" t="s">
        <v>191</v>
      </c>
      <c r="X27" s="4" t="s">
        <v>192</v>
      </c>
      <c r="Y27" s="4" t="s">
        <v>193</v>
      </c>
      <c r="Z27" s="5" t="s">
        <v>194</v>
      </c>
      <c r="AA27" s="5" t="s">
        <v>192</v>
      </c>
      <c r="AB27" s="5" t="s">
        <v>193</v>
      </c>
      <c r="AD27" s="17"/>
      <c r="AF27" s="17"/>
      <c r="AH27" s="12" t="s">
        <v>1</v>
      </c>
      <c r="AI27" s="13" t="str">
        <f>VLOOKUP(LOWER(AK26),experiments_specs!$A:$J,2,FALSE)</f>
        <v>NN,VB</v>
      </c>
      <c r="AJ27" s="16" t="str">
        <f>"{"&amp;LOWER(AK26)&amp;".csv}"</f>
        <v>{test_51.csv}</v>
      </c>
      <c r="AK27" s="9" t="s">
        <v>190</v>
      </c>
      <c r="AL27" s="4" t="s">
        <v>191</v>
      </c>
      <c r="AM27" s="4" t="s">
        <v>192</v>
      </c>
      <c r="AN27" s="4" t="s">
        <v>193</v>
      </c>
      <c r="AO27" s="5" t="s">
        <v>194</v>
      </c>
      <c r="AP27" s="5" t="s">
        <v>192</v>
      </c>
      <c r="AQ27" s="5" t="s">
        <v>193</v>
      </c>
      <c r="AS27" s="17"/>
    </row>
    <row r="28" spans="2:45" x14ac:dyDescent="0.2">
      <c r="B28" s="17"/>
      <c r="D28" s="12" t="s">
        <v>2</v>
      </c>
      <c r="E28" s="13">
        <f>VLOOKUP(LOWER(G26),experiments_specs!$A:$J,3,FALSE)</f>
        <v>1</v>
      </c>
      <c r="F28" s="16" t="s">
        <v>174</v>
      </c>
      <c r="G28" s="6"/>
      <c r="H28" s="18"/>
      <c r="I28" s="18"/>
      <c r="J28" s="26"/>
      <c r="K28" s="22"/>
      <c r="L28" s="22"/>
      <c r="M28" s="29"/>
      <c r="O28" s="17"/>
      <c r="Q28" s="17"/>
      <c r="S28" s="12" t="s">
        <v>2</v>
      </c>
      <c r="T28" s="13">
        <f>VLOOKUP(LOWER(V26),experiments_specs!$A:$J,3,FALSE)</f>
        <v>1</v>
      </c>
      <c r="U28" s="16" t="s">
        <v>180</v>
      </c>
      <c r="V28" s="6" t="s">
        <v>19</v>
      </c>
      <c r="W28" s="18"/>
      <c r="X28" s="18"/>
      <c r="Y28" s="26"/>
      <c r="Z28" s="22"/>
      <c r="AA28" s="22"/>
      <c r="AB28" s="29"/>
      <c r="AD28" s="17"/>
      <c r="AF28" s="17"/>
      <c r="AH28" s="12" t="s">
        <v>2</v>
      </c>
      <c r="AI28" s="13">
        <f>VLOOKUP(LOWER(AK26),experiments_specs!$A:$J,3,FALSE)</f>
        <v>1</v>
      </c>
      <c r="AJ28" s="16" t="s">
        <v>186</v>
      </c>
      <c r="AK28" s="6"/>
      <c r="AL28" s="18"/>
      <c r="AM28" s="18"/>
      <c r="AN28" s="26"/>
      <c r="AO28" s="22"/>
      <c r="AP28" s="22"/>
      <c r="AQ28" s="29"/>
      <c r="AS28" s="17"/>
    </row>
    <row r="29" spans="2:45" x14ac:dyDescent="0.2">
      <c r="B29" s="17"/>
      <c r="D29" s="12" t="s">
        <v>3</v>
      </c>
      <c r="E29" s="13">
        <f>VLOOKUP(LOWER(G26),experiments_specs!$A:$J,4,FALSE)</f>
        <v>2</v>
      </c>
      <c r="F29" s="16" t="s">
        <v>174</v>
      </c>
      <c r="G29" s="7"/>
      <c r="H29" s="19"/>
      <c r="I29" s="19"/>
      <c r="J29" s="27"/>
      <c r="K29" s="23"/>
      <c r="L29" s="23"/>
      <c r="M29" s="30"/>
      <c r="O29" s="17"/>
      <c r="Q29" s="17"/>
      <c r="S29" s="12" t="s">
        <v>3</v>
      </c>
      <c r="T29" s="13">
        <f>VLOOKUP(LOWER(V26),experiments_specs!$A:$J,4,FALSE)</f>
        <v>2</v>
      </c>
      <c r="U29" s="16" t="s">
        <v>180</v>
      </c>
      <c r="V29" s="7" t="s">
        <v>12</v>
      </c>
      <c r="W29" s="19"/>
      <c r="X29" s="19"/>
      <c r="Y29" s="27"/>
      <c r="Z29" s="24"/>
      <c r="AA29" s="24"/>
      <c r="AB29" s="30"/>
      <c r="AD29" s="17"/>
      <c r="AF29" s="17"/>
      <c r="AH29" s="12" t="s">
        <v>3</v>
      </c>
      <c r="AI29" s="13">
        <f>VLOOKUP(LOWER(AK26),experiments_specs!$A:$J,4,FALSE)</f>
        <v>2</v>
      </c>
      <c r="AJ29" s="16" t="s">
        <v>186</v>
      </c>
      <c r="AK29" s="7"/>
      <c r="AL29" s="19"/>
      <c r="AM29" s="19"/>
      <c r="AN29" s="27"/>
      <c r="AO29" s="24"/>
      <c r="AP29" s="24"/>
      <c r="AQ29" s="30"/>
      <c r="AS29" s="17"/>
    </row>
    <row r="30" spans="2:45" x14ac:dyDescent="0.2">
      <c r="B30" s="17"/>
      <c r="D30" s="12" t="s">
        <v>4</v>
      </c>
      <c r="E30" s="13" t="str">
        <f>VLOOKUP(LOWER(G26),experiments_specs!$A:$J,5,FALSE)</f>
        <v>False</v>
      </c>
      <c r="F30" s="16" t="s">
        <v>174</v>
      </c>
      <c r="G30" s="7"/>
      <c r="H30" s="20"/>
      <c r="I30" s="20"/>
      <c r="J30" s="27"/>
      <c r="K30" s="23"/>
      <c r="L30" s="23"/>
      <c r="M30" s="30"/>
      <c r="O30" s="17"/>
      <c r="Q30" s="17"/>
      <c r="S30" s="12" t="s">
        <v>4</v>
      </c>
      <c r="T30" s="13" t="str">
        <f>VLOOKUP(LOWER(V26),experiments_specs!$A:$J,5,FALSE)</f>
        <v>True</v>
      </c>
      <c r="U30" s="16" t="s">
        <v>180</v>
      </c>
      <c r="V30" s="7" t="s">
        <v>13</v>
      </c>
      <c r="W30" s="20"/>
      <c r="X30" s="20"/>
      <c r="Y30" s="27"/>
      <c r="Z30" s="23"/>
      <c r="AA30" s="23"/>
      <c r="AB30" s="30"/>
      <c r="AD30" s="17"/>
      <c r="AF30" s="17"/>
      <c r="AH30" s="12" t="s">
        <v>4</v>
      </c>
      <c r="AI30" s="13" t="str">
        <f>VLOOKUP(LOWER(AK26),experiments_specs!$A:$J,5,FALSE)</f>
        <v>True</v>
      </c>
      <c r="AJ30" s="16" t="s">
        <v>186</v>
      </c>
      <c r="AK30" s="7"/>
      <c r="AL30" s="20"/>
      <c r="AM30" s="20"/>
      <c r="AN30" s="27"/>
      <c r="AO30" s="23"/>
      <c r="AP30" s="23"/>
      <c r="AQ30" s="30"/>
      <c r="AS30" s="17"/>
    </row>
    <row r="31" spans="2:45" x14ac:dyDescent="0.2">
      <c r="B31" s="17"/>
      <c r="D31" s="12" t="s">
        <v>5</v>
      </c>
      <c r="E31" s="13" t="str">
        <f>VLOOKUP(LOWER(G26),experiments_specs!$A:$J,6,FALSE)</f>
        <v>True</v>
      </c>
      <c r="F31" s="16" t="s">
        <v>174</v>
      </c>
      <c r="G31" s="7"/>
      <c r="H31" s="20"/>
      <c r="I31" s="20"/>
      <c r="J31" s="27"/>
      <c r="K31" s="23"/>
      <c r="L31" s="23"/>
      <c r="M31" s="30"/>
      <c r="O31" s="17"/>
      <c r="Q31" s="17"/>
      <c r="S31" s="12" t="s">
        <v>5</v>
      </c>
      <c r="T31" s="13" t="str">
        <f>VLOOKUP(LOWER(V26),experiments_specs!$A:$J,6,FALSE)</f>
        <v>True</v>
      </c>
      <c r="U31" s="16" t="s">
        <v>180</v>
      </c>
      <c r="V31" s="7" t="s">
        <v>14</v>
      </c>
      <c r="W31" s="19"/>
      <c r="X31" s="19"/>
      <c r="Y31" s="27"/>
      <c r="Z31" s="24"/>
      <c r="AA31" s="24"/>
      <c r="AB31" s="30"/>
      <c r="AD31" s="17"/>
      <c r="AF31" s="17"/>
      <c r="AH31" s="12" t="s">
        <v>5</v>
      </c>
      <c r="AI31" s="13" t="str">
        <f>VLOOKUP(LOWER(AK26),experiments_specs!$A:$J,6,FALSE)</f>
        <v>True</v>
      </c>
      <c r="AJ31" s="16" t="s">
        <v>186</v>
      </c>
      <c r="AK31" s="7"/>
      <c r="AL31" s="19"/>
      <c r="AM31" s="19"/>
      <c r="AN31" s="27"/>
      <c r="AO31" s="24"/>
      <c r="AP31" s="24"/>
      <c r="AQ31" s="30"/>
      <c r="AS31" s="17"/>
    </row>
    <row r="32" spans="2:45" x14ac:dyDescent="0.2">
      <c r="B32" s="17"/>
      <c r="D32" s="12" t="s">
        <v>6</v>
      </c>
      <c r="E32" s="13" t="str">
        <f>VLOOKUP(LOWER(G26),experiments_specs!$A:$J,7,FALSE)</f>
        <v>True</v>
      </c>
      <c r="F32" s="16" t="s">
        <v>174</v>
      </c>
      <c r="G32" s="7"/>
      <c r="H32" s="20"/>
      <c r="I32" s="20"/>
      <c r="J32" s="27"/>
      <c r="K32" s="24"/>
      <c r="L32" s="24"/>
      <c r="M32" s="30"/>
      <c r="O32" s="17"/>
      <c r="Q32" s="17"/>
      <c r="S32" s="12" t="s">
        <v>6</v>
      </c>
      <c r="T32" s="13" t="str">
        <f>VLOOKUP(LOWER(V26),experiments_specs!$A:$J,7,FALSE)</f>
        <v>True</v>
      </c>
      <c r="U32" s="16" t="s">
        <v>180</v>
      </c>
      <c r="V32" s="7" t="s">
        <v>15</v>
      </c>
      <c r="W32" s="20"/>
      <c r="X32" s="20"/>
      <c r="Y32" s="27"/>
      <c r="Z32" s="24"/>
      <c r="AA32" s="24"/>
      <c r="AB32" s="30"/>
      <c r="AD32" s="17"/>
      <c r="AF32" s="17"/>
      <c r="AH32" s="12" t="s">
        <v>6</v>
      </c>
      <c r="AI32" s="13" t="str">
        <f>VLOOKUP(LOWER(AK26),experiments_specs!$A:$J,7,FALSE)</f>
        <v>True</v>
      </c>
      <c r="AJ32" s="16" t="s">
        <v>186</v>
      </c>
      <c r="AK32" s="7"/>
      <c r="AL32" s="20"/>
      <c r="AM32" s="20"/>
      <c r="AN32" s="27"/>
      <c r="AO32" s="24"/>
      <c r="AP32" s="24"/>
      <c r="AQ32" s="30"/>
      <c r="AS32" s="17"/>
    </row>
    <row r="33" spans="2:45" x14ac:dyDescent="0.2">
      <c r="B33" s="17"/>
      <c r="D33" s="12" t="s">
        <v>7</v>
      </c>
      <c r="E33" s="13" t="str">
        <f>VLOOKUP(LOWER(G26),experiments_specs!$A:$J,8,FALSE)</f>
        <v>True</v>
      </c>
      <c r="F33" s="16" t="s">
        <v>174</v>
      </c>
      <c r="G33" s="7"/>
      <c r="H33" s="20"/>
      <c r="I33" s="20"/>
      <c r="J33" s="27"/>
      <c r="K33" s="24"/>
      <c r="L33" s="24"/>
      <c r="M33" s="30"/>
      <c r="O33" s="17"/>
      <c r="Q33" s="17"/>
      <c r="S33" s="12" t="s">
        <v>7</v>
      </c>
      <c r="T33" s="13" t="str">
        <f>VLOOKUP(LOWER(V26),experiments_specs!$A:$J,8,FALSE)</f>
        <v>True</v>
      </c>
      <c r="U33" s="16" t="s">
        <v>180</v>
      </c>
      <c r="V33" s="7" t="s">
        <v>16</v>
      </c>
      <c r="W33" s="20"/>
      <c r="X33" s="20"/>
      <c r="Y33" s="27"/>
      <c r="Z33" s="24"/>
      <c r="AA33" s="24"/>
      <c r="AB33" s="30"/>
      <c r="AD33" s="17"/>
      <c r="AF33" s="17"/>
      <c r="AH33" s="12" t="s">
        <v>7</v>
      </c>
      <c r="AI33" s="13" t="str">
        <f>VLOOKUP(LOWER(AK26),experiments_specs!$A:$J,8,FALSE)</f>
        <v>True</v>
      </c>
      <c r="AJ33" s="16" t="s">
        <v>186</v>
      </c>
      <c r="AK33" s="7"/>
      <c r="AL33" s="20"/>
      <c r="AM33" s="20"/>
      <c r="AN33" s="27"/>
      <c r="AO33" s="24"/>
      <c r="AP33" s="24"/>
      <c r="AQ33" s="30"/>
      <c r="AS33" s="17"/>
    </row>
    <row r="34" spans="2:45" x14ac:dyDescent="0.2">
      <c r="B34" s="17"/>
      <c r="D34" s="12" t="s">
        <v>8</v>
      </c>
      <c r="E34" s="13" t="str">
        <f>VLOOKUP(LOWER(G26),experiments_specs!$A:$J,9,FALSE)</f>
        <v>wup_similarity</v>
      </c>
      <c r="F34" s="16" t="s">
        <v>174</v>
      </c>
      <c r="G34" s="7"/>
      <c r="H34" s="20"/>
      <c r="I34" s="20"/>
      <c r="J34" s="27"/>
      <c r="K34" s="23"/>
      <c r="L34" s="23"/>
      <c r="M34" s="30"/>
      <c r="O34" s="17"/>
      <c r="Q34" s="17"/>
      <c r="S34" s="12" t="s">
        <v>8</v>
      </c>
      <c r="T34" s="13" t="str">
        <f>VLOOKUP(LOWER(V26),experiments_specs!$A:$J,9,FALSE)</f>
        <v>wup_similarity</v>
      </c>
      <c r="U34" s="16" t="s">
        <v>180</v>
      </c>
      <c r="V34" s="7" t="s">
        <v>17</v>
      </c>
      <c r="W34" s="20"/>
      <c r="X34" s="20"/>
      <c r="Y34" s="27"/>
      <c r="Z34" s="24"/>
      <c r="AA34" s="24"/>
      <c r="AB34" s="30"/>
      <c r="AD34" s="17"/>
      <c r="AF34" s="17"/>
      <c r="AH34" s="12" t="s">
        <v>8</v>
      </c>
      <c r="AI34" s="13" t="str">
        <f>VLOOKUP(LOWER(AK26),experiments_specs!$A:$J,9,FALSE)</f>
        <v>wup_similarity</v>
      </c>
      <c r="AJ34" s="16" t="s">
        <v>186</v>
      </c>
      <c r="AK34" s="7"/>
      <c r="AL34" s="19"/>
      <c r="AM34" s="19"/>
      <c r="AN34" s="27"/>
      <c r="AO34" s="24"/>
      <c r="AP34" s="24"/>
      <c r="AQ34" s="30"/>
      <c r="AS34" s="17"/>
    </row>
    <row r="35" spans="2:45" x14ac:dyDescent="0.2">
      <c r="B35" s="17"/>
      <c r="D35" s="12" t="s">
        <v>9</v>
      </c>
      <c r="E35" s="13" t="str">
        <f>VLOOKUP(LOWER(G26),experiments_specs!$A:$J,10,FALSE)</f>
        <v>False</v>
      </c>
      <c r="F35" s="16" t="s">
        <v>174</v>
      </c>
      <c r="G35" s="8"/>
      <c r="H35" s="21"/>
      <c r="I35" s="21"/>
      <c r="J35" s="28"/>
      <c r="K35" s="25"/>
      <c r="L35" s="25"/>
      <c r="M35" s="31"/>
      <c r="O35" s="17"/>
      <c r="Q35" s="17"/>
      <c r="S35" s="12" t="s">
        <v>9</v>
      </c>
      <c r="T35" s="13" t="str">
        <f>VLOOKUP(LOWER(V26),experiments_specs!$A:$J,10,FALSE)</f>
        <v>False</v>
      </c>
      <c r="U35" s="16" t="s">
        <v>180</v>
      </c>
      <c r="V35" s="8" t="s">
        <v>18</v>
      </c>
      <c r="W35" s="21"/>
      <c r="X35" s="21"/>
      <c r="Y35" s="28"/>
      <c r="Z35" s="25"/>
      <c r="AA35" s="25"/>
      <c r="AB35" s="31"/>
      <c r="AD35" s="17"/>
      <c r="AF35" s="17"/>
      <c r="AH35" s="12" t="s">
        <v>9</v>
      </c>
      <c r="AI35" s="13" t="str">
        <f>VLOOKUP(LOWER(AK26),experiments_specs!$A:$J,10,FALSE)</f>
        <v>True</v>
      </c>
      <c r="AJ35" s="16" t="s">
        <v>186</v>
      </c>
      <c r="AK35" s="8"/>
      <c r="AL35" s="21"/>
      <c r="AM35" s="21"/>
      <c r="AN35" s="28"/>
      <c r="AO35" s="25"/>
      <c r="AP35" s="25"/>
      <c r="AQ35" s="31"/>
      <c r="AS35" s="17"/>
    </row>
    <row r="36" spans="2:45" ht="17" thickBot="1" x14ac:dyDescent="0.25">
      <c r="B36" s="17"/>
      <c r="O36" s="17"/>
      <c r="Q36" s="17"/>
      <c r="AD36" s="17"/>
      <c r="AF36" s="17"/>
      <c r="AS36" s="17"/>
    </row>
    <row r="37" spans="2:45" ht="20" thickBot="1" x14ac:dyDescent="0.3">
      <c r="B37" s="17"/>
      <c r="D37" s="14" t="s">
        <v>198</v>
      </c>
      <c r="E37" s="15"/>
      <c r="F37" s="10"/>
      <c r="G37" s="11" t="str">
        <f>"TEST_"&amp;TEXT(RIGHT(G26,2)+1, "00")</f>
        <v>TEST_40</v>
      </c>
      <c r="H37" s="36" t="s">
        <v>196</v>
      </c>
      <c r="I37" s="36"/>
      <c r="J37" s="36"/>
      <c r="K37" s="37" t="s">
        <v>195</v>
      </c>
      <c r="L37" s="37"/>
      <c r="M37" s="37"/>
      <c r="N37" s="3"/>
      <c r="O37" s="17"/>
      <c r="Q37" s="17"/>
      <c r="S37" s="14" t="s">
        <v>198</v>
      </c>
      <c r="T37" s="15"/>
      <c r="U37" s="10"/>
      <c r="V37" s="11" t="str">
        <f>"TEST_"&amp;TEXT(RIGHT(V26,2)+1, "00")</f>
        <v>TEST_46</v>
      </c>
      <c r="W37" s="36" t="s">
        <v>196</v>
      </c>
      <c r="X37" s="36"/>
      <c r="Y37" s="36"/>
      <c r="Z37" s="37" t="s">
        <v>195</v>
      </c>
      <c r="AA37" s="37"/>
      <c r="AB37" s="37"/>
      <c r="AC37" s="3"/>
      <c r="AD37" s="17"/>
      <c r="AF37" s="17"/>
      <c r="AH37" s="14" t="s">
        <v>198</v>
      </c>
      <c r="AI37" s="15"/>
      <c r="AJ37" s="10"/>
      <c r="AK37" s="11" t="str">
        <f>"TEST_"&amp;TEXT(RIGHT(AK26,2)+1, "00")</f>
        <v>TEST_52</v>
      </c>
      <c r="AL37" s="36" t="s">
        <v>196</v>
      </c>
      <c r="AM37" s="36"/>
      <c r="AN37" s="36"/>
      <c r="AO37" s="37" t="s">
        <v>195</v>
      </c>
      <c r="AP37" s="37"/>
      <c r="AQ37" s="37"/>
      <c r="AR37" s="3"/>
      <c r="AS37" s="17"/>
    </row>
    <row r="38" spans="2:45" x14ac:dyDescent="0.2">
      <c r="B38" s="17"/>
      <c r="D38" s="12" t="s">
        <v>1</v>
      </c>
      <c r="E38" s="13" t="str">
        <f>VLOOKUP(LOWER(G37),experiments_specs!$A:$J,2,FALSE)</f>
        <v>NN,VB,VBD,VBG,VBN,VBP,VBZ</v>
      </c>
      <c r="F38" s="16" t="str">
        <f>"{"&amp;LOWER(G37)&amp;".csv}"</f>
        <v>{test_40.csv}</v>
      </c>
      <c r="G38" s="9" t="s">
        <v>190</v>
      </c>
      <c r="H38" s="4" t="s">
        <v>191</v>
      </c>
      <c r="I38" s="4" t="s">
        <v>192</v>
      </c>
      <c r="J38" s="4" t="s">
        <v>193</v>
      </c>
      <c r="K38" s="5" t="s">
        <v>194</v>
      </c>
      <c r="L38" s="5" t="s">
        <v>192</v>
      </c>
      <c r="M38" s="5" t="s">
        <v>193</v>
      </c>
      <c r="O38" s="17"/>
      <c r="Q38" s="17"/>
      <c r="S38" s="12" t="s">
        <v>1</v>
      </c>
      <c r="T38" s="13" t="str">
        <f>VLOOKUP(LOWER(V37),experiments_specs!$A:$J,2,FALSE)</f>
        <v>NN,VB,VBD,VBG,VBN,VBP,VBZ</v>
      </c>
      <c r="U38" s="16" t="str">
        <f>"{"&amp;LOWER(V37)&amp;".csv}"</f>
        <v>{test_46.csv}</v>
      </c>
      <c r="V38" s="9" t="s">
        <v>190</v>
      </c>
      <c r="W38" s="4" t="s">
        <v>191</v>
      </c>
      <c r="X38" s="4" t="s">
        <v>192</v>
      </c>
      <c r="Y38" s="4" t="s">
        <v>193</v>
      </c>
      <c r="Z38" s="5" t="s">
        <v>194</v>
      </c>
      <c r="AA38" s="5" t="s">
        <v>192</v>
      </c>
      <c r="AB38" s="5" t="s">
        <v>193</v>
      </c>
      <c r="AD38" s="17"/>
      <c r="AF38" s="17"/>
      <c r="AH38" s="12" t="s">
        <v>1</v>
      </c>
      <c r="AI38" s="13" t="str">
        <f>VLOOKUP(LOWER(AK37),experiments_specs!$A:$J,2,FALSE)</f>
        <v>NN,VB,VBD,VBG,VBN,VBP,VBZ</v>
      </c>
      <c r="AJ38" s="16" t="str">
        <f>"{"&amp;LOWER(AK37)&amp;".csv}"</f>
        <v>{test_52.csv}</v>
      </c>
      <c r="AK38" s="9" t="s">
        <v>190</v>
      </c>
      <c r="AL38" s="4" t="s">
        <v>191</v>
      </c>
      <c r="AM38" s="4" t="s">
        <v>192</v>
      </c>
      <c r="AN38" s="4" t="s">
        <v>193</v>
      </c>
      <c r="AO38" s="5" t="s">
        <v>194</v>
      </c>
      <c r="AP38" s="5" t="s">
        <v>192</v>
      </c>
      <c r="AQ38" s="5" t="s">
        <v>193</v>
      </c>
      <c r="AS38" s="17"/>
    </row>
    <row r="39" spans="2:45" x14ac:dyDescent="0.2">
      <c r="B39" s="17"/>
      <c r="D39" s="12" t="s">
        <v>2</v>
      </c>
      <c r="E39" s="13">
        <f>VLOOKUP(LOWER(G37),experiments_specs!$A:$J,3,FALSE)</f>
        <v>1</v>
      </c>
      <c r="F39" s="16" t="s">
        <v>175</v>
      </c>
      <c r="G39" s="6"/>
      <c r="H39" s="18"/>
      <c r="I39" s="18"/>
      <c r="J39" s="26"/>
      <c r="K39" s="22"/>
      <c r="L39" s="22"/>
      <c r="M39" s="29"/>
      <c r="O39" s="17"/>
      <c r="Q39" s="17"/>
      <c r="S39" s="12" t="s">
        <v>2</v>
      </c>
      <c r="T39" s="13">
        <f>VLOOKUP(LOWER(V37),experiments_specs!$A:$J,3,FALSE)</f>
        <v>1</v>
      </c>
      <c r="U39" s="16" t="s">
        <v>181</v>
      </c>
      <c r="V39" s="6" t="s">
        <v>19</v>
      </c>
      <c r="W39" s="18"/>
      <c r="X39" s="18"/>
      <c r="Y39" s="26"/>
      <c r="Z39" s="22"/>
      <c r="AA39" s="22"/>
      <c r="AB39" s="29"/>
      <c r="AD39" s="17"/>
      <c r="AF39" s="17"/>
      <c r="AH39" s="12" t="s">
        <v>2</v>
      </c>
      <c r="AI39" s="13">
        <f>VLOOKUP(LOWER(AK37),experiments_specs!$A:$J,3,FALSE)</f>
        <v>1</v>
      </c>
      <c r="AJ39" s="16" t="s">
        <v>187</v>
      </c>
      <c r="AK39" s="6"/>
      <c r="AL39" s="18"/>
      <c r="AM39" s="18"/>
      <c r="AN39" s="26"/>
      <c r="AO39" s="22"/>
      <c r="AP39" s="22"/>
      <c r="AQ39" s="29"/>
      <c r="AS39" s="17"/>
    </row>
    <row r="40" spans="2:45" x14ac:dyDescent="0.2">
      <c r="B40" s="17"/>
      <c r="D40" s="12" t="s">
        <v>3</v>
      </c>
      <c r="E40" s="13">
        <f>VLOOKUP(LOWER(G37),experiments_specs!$A:$J,4,FALSE)</f>
        <v>2</v>
      </c>
      <c r="F40" s="16" t="s">
        <v>175</v>
      </c>
      <c r="G40" s="7"/>
      <c r="H40" s="19"/>
      <c r="I40" s="19"/>
      <c r="J40" s="27"/>
      <c r="K40" s="23"/>
      <c r="L40" s="23"/>
      <c r="M40" s="30"/>
      <c r="O40" s="17"/>
      <c r="Q40" s="17"/>
      <c r="S40" s="12" t="s">
        <v>3</v>
      </c>
      <c r="T40" s="13">
        <f>VLOOKUP(LOWER(V37),experiments_specs!$A:$J,4,FALSE)</f>
        <v>2</v>
      </c>
      <c r="U40" s="16" t="s">
        <v>181</v>
      </c>
      <c r="V40" s="7" t="s">
        <v>12</v>
      </c>
      <c r="W40" s="19"/>
      <c r="X40" s="19"/>
      <c r="Y40" s="27"/>
      <c r="Z40" s="24"/>
      <c r="AA40" s="24"/>
      <c r="AB40" s="30"/>
      <c r="AD40" s="17"/>
      <c r="AF40" s="17"/>
      <c r="AH40" s="12" t="s">
        <v>3</v>
      </c>
      <c r="AI40" s="13">
        <f>VLOOKUP(LOWER(AK37),experiments_specs!$A:$J,4,FALSE)</f>
        <v>2</v>
      </c>
      <c r="AJ40" s="16" t="s">
        <v>187</v>
      </c>
      <c r="AK40" s="7"/>
      <c r="AL40" s="19"/>
      <c r="AM40" s="19"/>
      <c r="AN40" s="27"/>
      <c r="AO40" s="24"/>
      <c r="AP40" s="24"/>
      <c r="AQ40" s="30"/>
      <c r="AS40" s="17"/>
    </row>
    <row r="41" spans="2:45" x14ac:dyDescent="0.2">
      <c r="B41" s="17"/>
      <c r="D41" s="12" t="s">
        <v>4</v>
      </c>
      <c r="E41" s="13" t="str">
        <f>VLOOKUP(LOWER(G37),experiments_specs!$A:$J,5,FALSE)</f>
        <v>False</v>
      </c>
      <c r="F41" s="16" t="s">
        <v>175</v>
      </c>
      <c r="G41" s="7"/>
      <c r="H41" s="20"/>
      <c r="I41" s="20"/>
      <c r="J41" s="27"/>
      <c r="K41" s="23"/>
      <c r="L41" s="23"/>
      <c r="M41" s="30"/>
      <c r="O41" s="17"/>
      <c r="Q41" s="17"/>
      <c r="S41" s="12" t="s">
        <v>4</v>
      </c>
      <c r="T41" s="13" t="str">
        <f>VLOOKUP(LOWER(V37),experiments_specs!$A:$J,5,FALSE)</f>
        <v>True</v>
      </c>
      <c r="U41" s="16" t="s">
        <v>181</v>
      </c>
      <c r="V41" s="7" t="s">
        <v>13</v>
      </c>
      <c r="W41" s="20"/>
      <c r="X41" s="20"/>
      <c r="Y41" s="27"/>
      <c r="Z41" s="23"/>
      <c r="AA41" s="23"/>
      <c r="AB41" s="30"/>
      <c r="AD41" s="17"/>
      <c r="AF41" s="17"/>
      <c r="AH41" s="12" t="s">
        <v>4</v>
      </c>
      <c r="AI41" s="13" t="str">
        <f>VLOOKUP(LOWER(AK37),experiments_specs!$A:$J,5,FALSE)</f>
        <v>True</v>
      </c>
      <c r="AJ41" s="16" t="s">
        <v>187</v>
      </c>
      <c r="AK41" s="7"/>
      <c r="AL41" s="20"/>
      <c r="AM41" s="20"/>
      <c r="AN41" s="27"/>
      <c r="AO41" s="23"/>
      <c r="AP41" s="23"/>
      <c r="AQ41" s="30"/>
      <c r="AS41" s="17"/>
    </row>
    <row r="42" spans="2:45" x14ac:dyDescent="0.2">
      <c r="B42" s="17"/>
      <c r="D42" s="12" t="s">
        <v>5</v>
      </c>
      <c r="E42" s="13" t="str">
        <f>VLOOKUP(LOWER(G37),experiments_specs!$A:$J,6,FALSE)</f>
        <v>True</v>
      </c>
      <c r="F42" s="16" t="s">
        <v>175</v>
      </c>
      <c r="G42" s="7"/>
      <c r="H42" s="20"/>
      <c r="I42" s="20"/>
      <c r="J42" s="27"/>
      <c r="K42" s="23"/>
      <c r="L42" s="23"/>
      <c r="M42" s="30"/>
      <c r="O42" s="17"/>
      <c r="Q42" s="17"/>
      <c r="S42" s="12" t="s">
        <v>5</v>
      </c>
      <c r="T42" s="13" t="str">
        <f>VLOOKUP(LOWER(V37),experiments_specs!$A:$J,6,FALSE)</f>
        <v>True</v>
      </c>
      <c r="U42" s="16" t="s">
        <v>181</v>
      </c>
      <c r="V42" s="7" t="s">
        <v>14</v>
      </c>
      <c r="W42" s="19"/>
      <c r="X42" s="19"/>
      <c r="Y42" s="27"/>
      <c r="Z42" s="24"/>
      <c r="AA42" s="24"/>
      <c r="AB42" s="30"/>
      <c r="AD42" s="17"/>
      <c r="AF42" s="17"/>
      <c r="AH42" s="12" t="s">
        <v>5</v>
      </c>
      <c r="AI42" s="13" t="str">
        <f>VLOOKUP(LOWER(AK37),experiments_specs!$A:$J,6,FALSE)</f>
        <v>True</v>
      </c>
      <c r="AJ42" s="16" t="s">
        <v>187</v>
      </c>
      <c r="AK42" s="7"/>
      <c r="AL42" s="19"/>
      <c r="AM42" s="19"/>
      <c r="AN42" s="27"/>
      <c r="AO42" s="24"/>
      <c r="AP42" s="24"/>
      <c r="AQ42" s="30"/>
      <c r="AS42" s="17"/>
    </row>
    <row r="43" spans="2:45" x14ac:dyDescent="0.2">
      <c r="B43" s="17"/>
      <c r="D43" s="12" t="s">
        <v>6</v>
      </c>
      <c r="E43" s="13" t="str">
        <f>VLOOKUP(LOWER(G37),experiments_specs!$A:$J,7,FALSE)</f>
        <v>True</v>
      </c>
      <c r="F43" s="16" t="s">
        <v>175</v>
      </c>
      <c r="G43" s="7"/>
      <c r="H43" s="20"/>
      <c r="I43" s="20"/>
      <c r="J43" s="27"/>
      <c r="K43" s="24"/>
      <c r="L43" s="24"/>
      <c r="M43" s="30"/>
      <c r="O43" s="17"/>
      <c r="Q43" s="17"/>
      <c r="S43" s="12" t="s">
        <v>6</v>
      </c>
      <c r="T43" s="13" t="str">
        <f>VLOOKUP(LOWER(V37),experiments_specs!$A:$J,7,FALSE)</f>
        <v>True</v>
      </c>
      <c r="U43" s="16" t="s">
        <v>181</v>
      </c>
      <c r="V43" s="7" t="s">
        <v>15</v>
      </c>
      <c r="W43" s="20"/>
      <c r="X43" s="20"/>
      <c r="Y43" s="27"/>
      <c r="Z43" s="24"/>
      <c r="AA43" s="24"/>
      <c r="AB43" s="30"/>
      <c r="AD43" s="17"/>
      <c r="AF43" s="17"/>
      <c r="AH43" s="12" t="s">
        <v>6</v>
      </c>
      <c r="AI43" s="13" t="str">
        <f>VLOOKUP(LOWER(AK37),experiments_specs!$A:$J,7,FALSE)</f>
        <v>True</v>
      </c>
      <c r="AJ43" s="16" t="s">
        <v>187</v>
      </c>
      <c r="AK43" s="7"/>
      <c r="AL43" s="20"/>
      <c r="AM43" s="20"/>
      <c r="AN43" s="27"/>
      <c r="AO43" s="24"/>
      <c r="AP43" s="24"/>
      <c r="AQ43" s="30"/>
      <c r="AS43" s="17"/>
    </row>
    <row r="44" spans="2:45" x14ac:dyDescent="0.2">
      <c r="B44" s="17"/>
      <c r="D44" s="12" t="s">
        <v>7</v>
      </c>
      <c r="E44" s="13" t="str">
        <f>VLOOKUP(LOWER(G37),experiments_specs!$A:$J,8,FALSE)</f>
        <v>True</v>
      </c>
      <c r="F44" s="16" t="s">
        <v>175</v>
      </c>
      <c r="G44" s="7"/>
      <c r="H44" s="20"/>
      <c r="I44" s="20"/>
      <c r="J44" s="27"/>
      <c r="K44" s="24"/>
      <c r="L44" s="24"/>
      <c r="M44" s="30"/>
      <c r="O44" s="17"/>
      <c r="Q44" s="17"/>
      <c r="S44" s="12" t="s">
        <v>7</v>
      </c>
      <c r="T44" s="13" t="str">
        <f>VLOOKUP(LOWER(V37),experiments_specs!$A:$J,8,FALSE)</f>
        <v>True</v>
      </c>
      <c r="U44" s="16" t="s">
        <v>181</v>
      </c>
      <c r="V44" s="7" t="s">
        <v>16</v>
      </c>
      <c r="W44" s="20"/>
      <c r="X44" s="20"/>
      <c r="Y44" s="27"/>
      <c r="Z44" s="24"/>
      <c r="AA44" s="24"/>
      <c r="AB44" s="30"/>
      <c r="AD44" s="17"/>
      <c r="AF44" s="17"/>
      <c r="AH44" s="12" t="s">
        <v>7</v>
      </c>
      <c r="AI44" s="13" t="str">
        <f>VLOOKUP(LOWER(AK37),experiments_specs!$A:$J,8,FALSE)</f>
        <v>True</v>
      </c>
      <c r="AJ44" s="16" t="s">
        <v>187</v>
      </c>
      <c r="AK44" s="7"/>
      <c r="AL44" s="20"/>
      <c r="AM44" s="20"/>
      <c r="AN44" s="27"/>
      <c r="AO44" s="24"/>
      <c r="AP44" s="24"/>
      <c r="AQ44" s="30"/>
      <c r="AS44" s="17"/>
    </row>
    <row r="45" spans="2:45" x14ac:dyDescent="0.2">
      <c r="B45" s="17"/>
      <c r="D45" s="12" t="s">
        <v>8</v>
      </c>
      <c r="E45" s="13" t="str">
        <f>VLOOKUP(LOWER(G37),experiments_specs!$A:$J,9,FALSE)</f>
        <v>wup_similarity</v>
      </c>
      <c r="F45" s="16" t="s">
        <v>175</v>
      </c>
      <c r="G45" s="7"/>
      <c r="H45" s="20"/>
      <c r="I45" s="20"/>
      <c r="J45" s="27"/>
      <c r="K45" s="23"/>
      <c r="L45" s="23"/>
      <c r="M45" s="30"/>
      <c r="O45" s="17"/>
      <c r="Q45" s="17"/>
      <c r="S45" s="12" t="s">
        <v>8</v>
      </c>
      <c r="T45" s="13" t="str">
        <f>VLOOKUP(LOWER(V37),experiments_specs!$A:$J,9,FALSE)</f>
        <v>wup_similarity</v>
      </c>
      <c r="U45" s="16" t="s">
        <v>181</v>
      </c>
      <c r="V45" s="7" t="s">
        <v>17</v>
      </c>
      <c r="W45" s="20"/>
      <c r="X45" s="20"/>
      <c r="Y45" s="27"/>
      <c r="Z45" s="23"/>
      <c r="AA45" s="23"/>
      <c r="AB45" s="30"/>
      <c r="AD45" s="17"/>
      <c r="AF45" s="17"/>
      <c r="AH45" s="12" t="s">
        <v>8</v>
      </c>
      <c r="AI45" s="13" t="str">
        <f>VLOOKUP(LOWER(AK37),experiments_specs!$A:$J,9,FALSE)</f>
        <v>wup_similarity</v>
      </c>
      <c r="AJ45" s="16" t="s">
        <v>187</v>
      </c>
      <c r="AK45" s="7"/>
      <c r="AL45" s="19"/>
      <c r="AM45" s="19"/>
      <c r="AN45" s="27"/>
      <c r="AO45" s="24"/>
      <c r="AP45" s="24"/>
      <c r="AQ45" s="30"/>
      <c r="AS45" s="17"/>
    </row>
    <row r="46" spans="2:45" x14ac:dyDescent="0.2">
      <c r="B46" s="17"/>
      <c r="D46" s="12" t="s">
        <v>9</v>
      </c>
      <c r="E46" s="13" t="str">
        <f>VLOOKUP(LOWER(G37),experiments_specs!$A:$J,10,FALSE)</f>
        <v>False</v>
      </c>
      <c r="F46" s="16" t="s">
        <v>175</v>
      </c>
      <c r="G46" s="8"/>
      <c r="H46" s="21"/>
      <c r="I46" s="21"/>
      <c r="J46" s="28"/>
      <c r="K46" s="25"/>
      <c r="L46" s="25"/>
      <c r="M46" s="31"/>
      <c r="O46" s="17"/>
      <c r="Q46" s="17"/>
      <c r="S46" s="12" t="s">
        <v>9</v>
      </c>
      <c r="T46" s="13" t="str">
        <f>VLOOKUP(LOWER(V37),experiments_specs!$A:$J,10,FALSE)</f>
        <v>False</v>
      </c>
      <c r="U46" s="16" t="s">
        <v>181</v>
      </c>
      <c r="V46" s="8" t="s">
        <v>18</v>
      </c>
      <c r="W46" s="21"/>
      <c r="X46" s="21"/>
      <c r="Y46" s="28"/>
      <c r="Z46" s="25"/>
      <c r="AA46" s="25"/>
      <c r="AB46" s="31"/>
      <c r="AD46" s="17"/>
      <c r="AF46" s="17"/>
      <c r="AH46" s="12" t="s">
        <v>9</v>
      </c>
      <c r="AI46" s="13" t="str">
        <f>VLOOKUP(LOWER(AK37),experiments_specs!$A:$J,10,FALSE)</f>
        <v>True</v>
      </c>
      <c r="AJ46" s="16" t="s">
        <v>187</v>
      </c>
      <c r="AK46" s="8"/>
      <c r="AL46" s="21"/>
      <c r="AM46" s="21"/>
      <c r="AN46" s="28"/>
      <c r="AO46" s="25"/>
      <c r="AP46" s="25"/>
      <c r="AQ46" s="31"/>
      <c r="AS46" s="17"/>
    </row>
    <row r="47" spans="2:45" ht="17" thickBot="1" x14ac:dyDescent="0.25">
      <c r="B47" s="17"/>
      <c r="O47" s="17"/>
      <c r="Q47" s="17"/>
      <c r="AD47" s="17"/>
      <c r="AF47" s="17"/>
      <c r="AS47" s="17"/>
    </row>
    <row r="48" spans="2:45" ht="20" thickBot="1" x14ac:dyDescent="0.3">
      <c r="B48" s="17"/>
      <c r="D48" s="14" t="s">
        <v>198</v>
      </c>
      <c r="E48" s="15"/>
      <c r="F48" s="10"/>
      <c r="G48" s="11" t="str">
        <f>"TEST_"&amp;TEXT(RIGHT(G37,2)+1, "00")</f>
        <v>TEST_41</v>
      </c>
      <c r="H48" s="36" t="s">
        <v>196</v>
      </c>
      <c r="I48" s="36"/>
      <c r="J48" s="36"/>
      <c r="K48" s="37" t="s">
        <v>195</v>
      </c>
      <c r="L48" s="37"/>
      <c r="M48" s="37"/>
      <c r="N48" s="3"/>
      <c r="O48" s="17"/>
      <c r="Q48" s="17"/>
      <c r="S48" s="14" t="s">
        <v>198</v>
      </c>
      <c r="T48" s="15"/>
      <c r="U48" s="10"/>
      <c r="V48" s="11" t="str">
        <f>"TEST_"&amp;TEXT(RIGHT(V37,2)+1, "00")</f>
        <v>TEST_47</v>
      </c>
      <c r="W48" s="36" t="s">
        <v>196</v>
      </c>
      <c r="X48" s="36"/>
      <c r="Y48" s="36"/>
      <c r="Z48" s="37" t="s">
        <v>195</v>
      </c>
      <c r="AA48" s="37"/>
      <c r="AB48" s="37"/>
      <c r="AC48" s="3"/>
      <c r="AD48" s="17"/>
      <c r="AF48" s="17"/>
      <c r="AH48" s="14" t="s">
        <v>198</v>
      </c>
      <c r="AI48" s="15"/>
      <c r="AJ48" s="10"/>
      <c r="AK48" s="11" t="str">
        <f>"TEST_"&amp;TEXT(RIGHT(AK37,2)+1, "00")</f>
        <v>TEST_53</v>
      </c>
      <c r="AL48" s="36" t="s">
        <v>196</v>
      </c>
      <c r="AM48" s="36"/>
      <c r="AN48" s="36"/>
      <c r="AO48" s="37" t="s">
        <v>195</v>
      </c>
      <c r="AP48" s="37"/>
      <c r="AQ48" s="37"/>
      <c r="AR48" s="3"/>
      <c r="AS48" s="17"/>
    </row>
    <row r="49" spans="2:45" x14ac:dyDescent="0.2">
      <c r="B49" s="17"/>
      <c r="D49" s="12" t="s">
        <v>1</v>
      </c>
      <c r="E49" s="13" t="str">
        <f>VLOOKUP(LOWER(G48),experiments_specs!$A:$J,2,FALSE)</f>
        <v>NN,RB</v>
      </c>
      <c r="F49" s="16" t="str">
        <f>"{"&amp;LOWER(G48)&amp;".csv}"</f>
        <v>{test_41.csv}</v>
      </c>
      <c r="G49" s="9" t="s">
        <v>190</v>
      </c>
      <c r="H49" s="4" t="s">
        <v>191</v>
      </c>
      <c r="I49" s="4" t="s">
        <v>192</v>
      </c>
      <c r="J49" s="4" t="s">
        <v>193</v>
      </c>
      <c r="K49" s="5" t="s">
        <v>194</v>
      </c>
      <c r="L49" s="5" t="s">
        <v>192</v>
      </c>
      <c r="M49" s="5" t="s">
        <v>193</v>
      </c>
      <c r="O49" s="17"/>
      <c r="Q49" s="17"/>
      <c r="S49" s="12" t="s">
        <v>1</v>
      </c>
      <c r="T49" s="13" t="str">
        <f>VLOOKUP(LOWER(V48),experiments_specs!$A:$J,2,FALSE)</f>
        <v>NN,RB</v>
      </c>
      <c r="U49" s="16" t="str">
        <f>"{"&amp;LOWER(V48)&amp;".csv}"</f>
        <v>{test_47.csv}</v>
      </c>
      <c r="V49" s="9" t="s">
        <v>190</v>
      </c>
      <c r="W49" s="4" t="s">
        <v>191</v>
      </c>
      <c r="X49" s="4" t="s">
        <v>192</v>
      </c>
      <c r="Y49" s="4" t="s">
        <v>193</v>
      </c>
      <c r="Z49" s="5" t="s">
        <v>194</v>
      </c>
      <c r="AA49" s="5" t="s">
        <v>192</v>
      </c>
      <c r="AB49" s="5" t="s">
        <v>193</v>
      </c>
      <c r="AD49" s="17"/>
      <c r="AF49" s="17"/>
      <c r="AH49" s="12" t="s">
        <v>1</v>
      </c>
      <c r="AI49" s="13" t="str">
        <f>VLOOKUP(LOWER(AK48),experiments_specs!$A:$J,2,FALSE)</f>
        <v>NN,RB</v>
      </c>
      <c r="AJ49" s="16" t="str">
        <f>"{"&amp;LOWER(AK48)&amp;".csv}"</f>
        <v>{test_53.csv}</v>
      </c>
      <c r="AK49" s="9" t="s">
        <v>190</v>
      </c>
      <c r="AL49" s="4" t="s">
        <v>191</v>
      </c>
      <c r="AM49" s="4" t="s">
        <v>192</v>
      </c>
      <c r="AN49" s="4" t="s">
        <v>193</v>
      </c>
      <c r="AO49" s="5" t="s">
        <v>194</v>
      </c>
      <c r="AP49" s="5" t="s">
        <v>192</v>
      </c>
      <c r="AQ49" s="5" t="s">
        <v>193</v>
      </c>
      <c r="AS49" s="17"/>
    </row>
    <row r="50" spans="2:45" x14ac:dyDescent="0.2">
      <c r="B50" s="17"/>
      <c r="D50" s="12" t="s">
        <v>2</v>
      </c>
      <c r="E50" s="13">
        <f>VLOOKUP(LOWER(G48),experiments_specs!$A:$J,3,FALSE)</f>
        <v>1</v>
      </c>
      <c r="F50" s="16" t="s">
        <v>176</v>
      </c>
      <c r="G50" s="6"/>
      <c r="H50" s="18"/>
      <c r="I50" s="18"/>
      <c r="J50" s="26"/>
      <c r="K50" s="22"/>
      <c r="L50" s="22"/>
      <c r="M50" s="29"/>
      <c r="O50" s="17"/>
      <c r="Q50" s="17"/>
      <c r="S50" s="12" t="s">
        <v>2</v>
      </c>
      <c r="T50" s="13">
        <f>VLOOKUP(LOWER(V48),experiments_specs!$A:$J,3,FALSE)</f>
        <v>1</v>
      </c>
      <c r="U50" s="16" t="s">
        <v>182</v>
      </c>
      <c r="V50" s="6" t="s">
        <v>19</v>
      </c>
      <c r="W50" s="18"/>
      <c r="X50" s="18"/>
      <c r="Y50" s="26"/>
      <c r="Z50" s="22"/>
      <c r="AA50" s="22"/>
      <c r="AB50" s="29"/>
      <c r="AD50" s="17"/>
      <c r="AF50" s="17"/>
      <c r="AH50" s="12" t="s">
        <v>2</v>
      </c>
      <c r="AI50" s="13">
        <f>VLOOKUP(LOWER(AK48),experiments_specs!$A:$J,3,FALSE)</f>
        <v>1</v>
      </c>
      <c r="AJ50" s="16" t="s">
        <v>188</v>
      </c>
      <c r="AK50" s="6"/>
      <c r="AL50" s="18"/>
      <c r="AM50" s="18"/>
      <c r="AN50" s="26"/>
      <c r="AO50" s="22"/>
      <c r="AP50" s="22"/>
      <c r="AQ50" s="29"/>
      <c r="AS50" s="17"/>
    </row>
    <row r="51" spans="2:45" x14ac:dyDescent="0.2">
      <c r="B51" s="17"/>
      <c r="D51" s="12" t="s">
        <v>3</v>
      </c>
      <c r="E51" s="13">
        <f>VLOOKUP(LOWER(G48),experiments_specs!$A:$J,4,FALSE)</f>
        <v>2</v>
      </c>
      <c r="F51" s="16" t="s">
        <v>176</v>
      </c>
      <c r="G51" s="7"/>
      <c r="H51" s="19"/>
      <c r="I51" s="19"/>
      <c r="J51" s="27"/>
      <c r="K51" s="23"/>
      <c r="L51" s="23"/>
      <c r="M51" s="30"/>
      <c r="O51" s="17"/>
      <c r="Q51" s="17"/>
      <c r="S51" s="12" t="s">
        <v>3</v>
      </c>
      <c r="T51" s="13">
        <f>VLOOKUP(LOWER(V48),experiments_specs!$A:$J,4,FALSE)</f>
        <v>2</v>
      </c>
      <c r="U51" s="16" t="s">
        <v>182</v>
      </c>
      <c r="V51" s="7" t="s">
        <v>12</v>
      </c>
      <c r="W51" s="19"/>
      <c r="X51" s="19"/>
      <c r="Y51" s="27"/>
      <c r="Z51" s="24"/>
      <c r="AA51" s="24"/>
      <c r="AB51" s="30"/>
      <c r="AD51" s="17"/>
      <c r="AF51" s="17"/>
      <c r="AH51" s="12" t="s">
        <v>3</v>
      </c>
      <c r="AI51" s="13">
        <f>VLOOKUP(LOWER(AK48),experiments_specs!$A:$J,4,FALSE)</f>
        <v>2</v>
      </c>
      <c r="AJ51" s="16" t="s">
        <v>188</v>
      </c>
      <c r="AK51" s="7"/>
      <c r="AL51" s="19"/>
      <c r="AM51" s="19"/>
      <c r="AN51" s="27"/>
      <c r="AO51" s="24"/>
      <c r="AP51" s="24"/>
      <c r="AQ51" s="30"/>
      <c r="AS51" s="17"/>
    </row>
    <row r="52" spans="2:45" x14ac:dyDescent="0.2">
      <c r="B52" s="17"/>
      <c r="D52" s="12" t="s">
        <v>4</v>
      </c>
      <c r="E52" s="13" t="str">
        <f>VLOOKUP(LOWER(G48),experiments_specs!$A:$J,5,FALSE)</f>
        <v>False</v>
      </c>
      <c r="F52" s="16" t="s">
        <v>176</v>
      </c>
      <c r="G52" s="7"/>
      <c r="H52" s="20"/>
      <c r="I52" s="20"/>
      <c r="J52" s="27"/>
      <c r="K52" s="23"/>
      <c r="L52" s="23"/>
      <c r="M52" s="30"/>
      <c r="O52" s="17"/>
      <c r="Q52" s="17"/>
      <c r="S52" s="12" t="s">
        <v>4</v>
      </c>
      <c r="T52" s="13" t="str">
        <f>VLOOKUP(LOWER(V48),experiments_specs!$A:$J,5,FALSE)</f>
        <v>True</v>
      </c>
      <c r="U52" s="16" t="s">
        <v>182</v>
      </c>
      <c r="V52" s="7" t="s">
        <v>13</v>
      </c>
      <c r="W52" s="20"/>
      <c r="X52" s="20"/>
      <c r="Y52" s="27"/>
      <c r="Z52" s="23"/>
      <c r="AA52" s="23"/>
      <c r="AB52" s="30"/>
      <c r="AD52" s="17"/>
      <c r="AF52" s="17"/>
      <c r="AH52" s="12" t="s">
        <v>4</v>
      </c>
      <c r="AI52" s="13" t="str">
        <f>VLOOKUP(LOWER(AK48),experiments_specs!$A:$J,5,FALSE)</f>
        <v>True</v>
      </c>
      <c r="AJ52" s="16" t="s">
        <v>188</v>
      </c>
      <c r="AK52" s="7"/>
      <c r="AL52" s="20"/>
      <c r="AM52" s="20"/>
      <c r="AN52" s="27"/>
      <c r="AO52" s="23"/>
      <c r="AP52" s="23"/>
      <c r="AQ52" s="30"/>
      <c r="AS52" s="17"/>
    </row>
    <row r="53" spans="2:45" x14ac:dyDescent="0.2">
      <c r="B53" s="17"/>
      <c r="D53" s="12" t="s">
        <v>5</v>
      </c>
      <c r="E53" s="13" t="str">
        <f>VLOOKUP(LOWER(G48),experiments_specs!$A:$J,6,FALSE)</f>
        <v>True</v>
      </c>
      <c r="F53" s="16" t="s">
        <v>176</v>
      </c>
      <c r="G53" s="7"/>
      <c r="H53" s="20"/>
      <c r="I53" s="20"/>
      <c r="J53" s="27"/>
      <c r="K53" s="23"/>
      <c r="L53" s="23"/>
      <c r="M53" s="30"/>
      <c r="O53" s="17"/>
      <c r="Q53" s="17"/>
      <c r="S53" s="12" t="s">
        <v>5</v>
      </c>
      <c r="T53" s="13" t="str">
        <f>VLOOKUP(LOWER(V48),experiments_specs!$A:$J,6,FALSE)</f>
        <v>True</v>
      </c>
      <c r="U53" s="16" t="s">
        <v>182</v>
      </c>
      <c r="V53" s="7" t="s">
        <v>14</v>
      </c>
      <c r="W53" s="19"/>
      <c r="X53" s="19"/>
      <c r="Y53" s="27"/>
      <c r="Z53" s="24"/>
      <c r="AA53" s="24"/>
      <c r="AB53" s="30"/>
      <c r="AD53" s="17"/>
      <c r="AF53" s="17"/>
      <c r="AH53" s="12" t="s">
        <v>5</v>
      </c>
      <c r="AI53" s="13" t="str">
        <f>VLOOKUP(LOWER(AK48),experiments_specs!$A:$J,6,FALSE)</f>
        <v>True</v>
      </c>
      <c r="AJ53" s="16" t="s">
        <v>188</v>
      </c>
      <c r="AK53" s="7"/>
      <c r="AL53" s="19"/>
      <c r="AM53" s="19"/>
      <c r="AN53" s="27"/>
      <c r="AO53" s="24"/>
      <c r="AP53" s="24"/>
      <c r="AQ53" s="30"/>
      <c r="AS53" s="17"/>
    </row>
    <row r="54" spans="2:45" x14ac:dyDescent="0.2">
      <c r="B54" s="17"/>
      <c r="D54" s="12" t="s">
        <v>6</v>
      </c>
      <c r="E54" s="13" t="str">
        <f>VLOOKUP(LOWER(G48),experiments_specs!$A:$J,7,FALSE)</f>
        <v>True</v>
      </c>
      <c r="F54" s="16" t="s">
        <v>176</v>
      </c>
      <c r="G54" s="7"/>
      <c r="H54" s="20"/>
      <c r="I54" s="20"/>
      <c r="J54" s="27"/>
      <c r="K54" s="24"/>
      <c r="L54" s="24"/>
      <c r="M54" s="30"/>
      <c r="O54" s="17"/>
      <c r="Q54" s="17"/>
      <c r="S54" s="12" t="s">
        <v>6</v>
      </c>
      <c r="T54" s="13" t="str">
        <f>VLOOKUP(LOWER(V48),experiments_specs!$A:$J,7,FALSE)</f>
        <v>True</v>
      </c>
      <c r="U54" s="16" t="s">
        <v>182</v>
      </c>
      <c r="V54" s="7" t="s">
        <v>15</v>
      </c>
      <c r="W54" s="20"/>
      <c r="X54" s="20"/>
      <c r="Y54" s="27"/>
      <c r="Z54" s="24"/>
      <c r="AA54" s="24"/>
      <c r="AB54" s="30"/>
      <c r="AD54" s="17"/>
      <c r="AF54" s="17"/>
      <c r="AH54" s="12" t="s">
        <v>6</v>
      </c>
      <c r="AI54" s="13" t="str">
        <f>VLOOKUP(LOWER(AK48),experiments_specs!$A:$J,7,FALSE)</f>
        <v>True</v>
      </c>
      <c r="AJ54" s="16" t="s">
        <v>188</v>
      </c>
      <c r="AK54" s="7"/>
      <c r="AL54" s="20"/>
      <c r="AM54" s="20"/>
      <c r="AN54" s="27"/>
      <c r="AO54" s="24"/>
      <c r="AP54" s="24"/>
      <c r="AQ54" s="30"/>
      <c r="AS54" s="17"/>
    </row>
    <row r="55" spans="2:45" x14ac:dyDescent="0.2">
      <c r="B55" s="17"/>
      <c r="D55" s="12" t="s">
        <v>7</v>
      </c>
      <c r="E55" s="13" t="str">
        <f>VLOOKUP(LOWER(G48),experiments_specs!$A:$J,8,FALSE)</f>
        <v>True</v>
      </c>
      <c r="F55" s="16" t="s">
        <v>176</v>
      </c>
      <c r="G55" s="7"/>
      <c r="H55" s="20"/>
      <c r="I55" s="20"/>
      <c r="J55" s="27"/>
      <c r="K55" s="24"/>
      <c r="L55" s="24"/>
      <c r="M55" s="30"/>
      <c r="O55" s="17"/>
      <c r="Q55" s="17"/>
      <c r="S55" s="12" t="s">
        <v>7</v>
      </c>
      <c r="T55" s="13" t="str">
        <f>VLOOKUP(LOWER(V48),experiments_specs!$A:$J,8,FALSE)</f>
        <v>True</v>
      </c>
      <c r="U55" s="16" t="s">
        <v>182</v>
      </c>
      <c r="V55" s="7" t="s">
        <v>16</v>
      </c>
      <c r="W55" s="20"/>
      <c r="X55" s="20"/>
      <c r="Y55" s="27"/>
      <c r="Z55" s="24"/>
      <c r="AA55" s="24"/>
      <c r="AB55" s="30"/>
      <c r="AD55" s="17"/>
      <c r="AF55" s="17"/>
      <c r="AH55" s="12" t="s">
        <v>7</v>
      </c>
      <c r="AI55" s="13" t="str">
        <f>VLOOKUP(LOWER(AK48),experiments_specs!$A:$J,8,FALSE)</f>
        <v>True</v>
      </c>
      <c r="AJ55" s="16" t="s">
        <v>188</v>
      </c>
      <c r="AK55" s="7"/>
      <c r="AL55" s="20"/>
      <c r="AM55" s="20"/>
      <c r="AN55" s="27"/>
      <c r="AO55" s="24"/>
      <c r="AP55" s="24"/>
      <c r="AQ55" s="30"/>
      <c r="AS55" s="17"/>
    </row>
    <row r="56" spans="2:45" x14ac:dyDescent="0.2">
      <c r="B56" s="17"/>
      <c r="D56" s="12" t="s">
        <v>8</v>
      </c>
      <c r="E56" s="13" t="str">
        <f>VLOOKUP(LOWER(G48),experiments_specs!$A:$J,9,FALSE)</f>
        <v>wup_similarity</v>
      </c>
      <c r="F56" s="16" t="s">
        <v>176</v>
      </c>
      <c r="G56" s="7"/>
      <c r="H56" s="20"/>
      <c r="I56" s="20"/>
      <c r="J56" s="27"/>
      <c r="K56" s="23"/>
      <c r="L56" s="23"/>
      <c r="M56" s="30"/>
      <c r="O56" s="17"/>
      <c r="Q56" s="17"/>
      <c r="S56" s="12" t="s">
        <v>8</v>
      </c>
      <c r="T56" s="13" t="str">
        <f>VLOOKUP(LOWER(V48),experiments_specs!$A:$J,9,FALSE)</f>
        <v>wup_similarity</v>
      </c>
      <c r="U56" s="16" t="s">
        <v>182</v>
      </c>
      <c r="V56" s="7" t="s">
        <v>17</v>
      </c>
      <c r="W56" s="19"/>
      <c r="X56" s="19"/>
      <c r="Y56" s="27"/>
      <c r="Z56" s="24"/>
      <c r="AA56" s="24"/>
      <c r="AB56" s="30"/>
      <c r="AD56" s="17"/>
      <c r="AF56" s="17"/>
      <c r="AH56" s="12" t="s">
        <v>8</v>
      </c>
      <c r="AI56" s="13" t="str">
        <f>VLOOKUP(LOWER(AK48),experiments_specs!$A:$J,9,FALSE)</f>
        <v>wup_similarity</v>
      </c>
      <c r="AJ56" s="16" t="s">
        <v>188</v>
      </c>
      <c r="AK56" s="7"/>
      <c r="AL56" s="19"/>
      <c r="AM56" s="19"/>
      <c r="AN56" s="27"/>
      <c r="AO56" s="24"/>
      <c r="AP56" s="24"/>
      <c r="AQ56" s="30"/>
      <c r="AS56" s="17"/>
    </row>
    <row r="57" spans="2:45" x14ac:dyDescent="0.2">
      <c r="B57" s="17"/>
      <c r="D57" s="12" t="s">
        <v>9</v>
      </c>
      <c r="E57" s="13" t="str">
        <f>VLOOKUP(LOWER(G48),experiments_specs!$A:$J,10,FALSE)</f>
        <v>False</v>
      </c>
      <c r="F57" s="16" t="s">
        <v>176</v>
      </c>
      <c r="G57" s="8"/>
      <c r="H57" s="21"/>
      <c r="I57" s="21"/>
      <c r="J57" s="28"/>
      <c r="K57" s="25"/>
      <c r="L57" s="25"/>
      <c r="M57" s="31"/>
      <c r="O57" s="17"/>
      <c r="Q57" s="17"/>
      <c r="S57" s="12" t="s">
        <v>9</v>
      </c>
      <c r="T57" s="13" t="str">
        <f>VLOOKUP(LOWER(V48),experiments_specs!$A:$J,10,FALSE)</f>
        <v>False</v>
      </c>
      <c r="U57" s="16" t="s">
        <v>182</v>
      </c>
      <c r="V57" s="8" t="s">
        <v>18</v>
      </c>
      <c r="W57" s="21"/>
      <c r="X57" s="21"/>
      <c r="Y57" s="28"/>
      <c r="Z57" s="25"/>
      <c r="AA57" s="25"/>
      <c r="AB57" s="31"/>
      <c r="AD57" s="17"/>
      <c r="AF57" s="17"/>
      <c r="AH57" s="12" t="s">
        <v>9</v>
      </c>
      <c r="AI57" s="13" t="str">
        <f>VLOOKUP(LOWER(AK48),experiments_specs!$A:$J,10,FALSE)</f>
        <v>True</v>
      </c>
      <c r="AJ57" s="16" t="s">
        <v>188</v>
      </c>
      <c r="AK57" s="8"/>
      <c r="AL57" s="21"/>
      <c r="AM57" s="21"/>
      <c r="AN57" s="28"/>
      <c r="AO57" s="25"/>
      <c r="AP57" s="25"/>
      <c r="AQ57" s="31"/>
      <c r="AS57" s="17"/>
    </row>
    <row r="58" spans="2:45" ht="17" thickBot="1" x14ac:dyDescent="0.25">
      <c r="B58" s="17"/>
      <c r="O58" s="17"/>
      <c r="Q58" s="17"/>
      <c r="AD58" s="17"/>
      <c r="AF58" s="17"/>
      <c r="AS58" s="17"/>
    </row>
    <row r="59" spans="2:45" ht="20" thickBot="1" x14ac:dyDescent="0.3">
      <c r="B59" s="17"/>
      <c r="D59" s="14" t="s">
        <v>198</v>
      </c>
      <c r="E59" s="15"/>
      <c r="F59" s="10"/>
      <c r="G59" s="11" t="str">
        <f>"TEST_"&amp;TEXT(RIGHT(G48,2)+1, "00")</f>
        <v>TEST_42</v>
      </c>
      <c r="H59" s="36" t="s">
        <v>196</v>
      </c>
      <c r="I59" s="36"/>
      <c r="J59" s="36"/>
      <c r="K59" s="37" t="s">
        <v>195</v>
      </c>
      <c r="L59" s="37"/>
      <c r="M59" s="37"/>
      <c r="N59" s="3"/>
      <c r="O59" s="17"/>
      <c r="Q59" s="17"/>
      <c r="S59" s="14" t="s">
        <v>198</v>
      </c>
      <c r="T59" s="15"/>
      <c r="U59" s="10"/>
      <c r="V59" s="11" t="str">
        <f>"TEST_"&amp;TEXT(RIGHT(V48,2)+1, "00")</f>
        <v>TEST_48</v>
      </c>
      <c r="W59" s="36" t="s">
        <v>196</v>
      </c>
      <c r="X59" s="36"/>
      <c r="Y59" s="36"/>
      <c r="Z59" s="37" t="s">
        <v>195</v>
      </c>
      <c r="AA59" s="37"/>
      <c r="AB59" s="37"/>
      <c r="AC59" s="3"/>
      <c r="AD59" s="17"/>
      <c r="AF59" s="17"/>
      <c r="AH59" s="14" t="s">
        <v>198</v>
      </c>
      <c r="AI59" s="15"/>
      <c r="AJ59" s="10"/>
      <c r="AK59" s="11" t="str">
        <f>"TEST_"&amp;TEXT(RIGHT(AK48,2)+1, "00")</f>
        <v>TEST_54</v>
      </c>
      <c r="AL59" s="36" t="s">
        <v>196</v>
      </c>
      <c r="AM59" s="36"/>
      <c r="AN59" s="36"/>
      <c r="AO59" s="37" t="s">
        <v>195</v>
      </c>
      <c r="AP59" s="37"/>
      <c r="AQ59" s="37"/>
      <c r="AR59" s="3"/>
      <c r="AS59" s="17"/>
    </row>
    <row r="60" spans="2:45" x14ac:dyDescent="0.2">
      <c r="B60" s="17"/>
      <c r="D60" s="12" t="s">
        <v>1</v>
      </c>
      <c r="E60" s="13" t="str">
        <f>VLOOKUP(LOWER(G59),experiments_specs!$A:$J,2,FALSE)</f>
        <v>NN,JJ,VB,VBD,VBG,VBN,VBP,VBZ</v>
      </c>
      <c r="F60" s="16" t="str">
        <f>"{"&amp;LOWER(G59)&amp;".csv}"</f>
        <v>{test_42.csv}</v>
      </c>
      <c r="G60" s="9" t="s">
        <v>190</v>
      </c>
      <c r="H60" s="4" t="s">
        <v>191</v>
      </c>
      <c r="I60" s="4" t="s">
        <v>192</v>
      </c>
      <c r="J60" s="4" t="s">
        <v>193</v>
      </c>
      <c r="K60" s="5" t="s">
        <v>194</v>
      </c>
      <c r="L60" s="5" t="s">
        <v>192</v>
      </c>
      <c r="M60" s="5" t="s">
        <v>193</v>
      </c>
      <c r="O60" s="17"/>
      <c r="Q60" s="17"/>
      <c r="S60" s="12" t="s">
        <v>1</v>
      </c>
      <c r="T60" s="13" t="str">
        <f>VLOOKUP(LOWER(V59),experiments_specs!$A:$J,2,FALSE)</f>
        <v>NN,JJ,VB,VBD,VBG,VBN,VBP,VBZ</v>
      </c>
      <c r="U60" s="16" t="str">
        <f>"{"&amp;LOWER(V59)&amp;".csv}"</f>
        <v>{test_48.csv}</v>
      </c>
      <c r="V60" s="9" t="s">
        <v>190</v>
      </c>
      <c r="W60" s="4" t="s">
        <v>191</v>
      </c>
      <c r="X60" s="4" t="s">
        <v>192</v>
      </c>
      <c r="Y60" s="4" t="s">
        <v>193</v>
      </c>
      <c r="Z60" s="5" t="s">
        <v>194</v>
      </c>
      <c r="AA60" s="5" t="s">
        <v>192</v>
      </c>
      <c r="AB60" s="5" t="s">
        <v>193</v>
      </c>
      <c r="AD60" s="17"/>
      <c r="AF60" s="17"/>
      <c r="AH60" s="12" t="s">
        <v>1</v>
      </c>
      <c r="AI60" s="13" t="str">
        <f>VLOOKUP(LOWER(AK59),experiments_specs!$A:$J,2,FALSE)</f>
        <v>NN,JJ,VB,VBD,VBG,VBN,VBP,VBZ</v>
      </c>
      <c r="AJ60" s="16" t="str">
        <f>"{"&amp;LOWER(AK59)&amp;".csv}"</f>
        <v>{test_54.csv}</v>
      </c>
      <c r="AK60" s="9" t="s">
        <v>190</v>
      </c>
      <c r="AL60" s="4" t="s">
        <v>191</v>
      </c>
      <c r="AM60" s="4" t="s">
        <v>192</v>
      </c>
      <c r="AN60" s="4" t="s">
        <v>193</v>
      </c>
      <c r="AO60" s="5" t="s">
        <v>194</v>
      </c>
      <c r="AP60" s="5" t="s">
        <v>192</v>
      </c>
      <c r="AQ60" s="5" t="s">
        <v>193</v>
      </c>
      <c r="AS60" s="17"/>
    </row>
    <row r="61" spans="2:45" x14ac:dyDescent="0.2">
      <c r="B61" s="17"/>
      <c r="D61" s="12" t="s">
        <v>2</v>
      </c>
      <c r="E61" s="13">
        <f>VLOOKUP(LOWER(G59),experiments_specs!$A:$J,3,FALSE)</f>
        <v>1</v>
      </c>
      <c r="F61" s="16" t="s">
        <v>177</v>
      </c>
      <c r="G61" s="6"/>
      <c r="H61" s="18"/>
      <c r="I61" s="18"/>
      <c r="J61" s="26"/>
      <c r="K61" s="22"/>
      <c r="L61" s="22"/>
      <c r="M61" s="29"/>
      <c r="O61" s="17"/>
      <c r="Q61" s="17"/>
      <c r="S61" s="12" t="s">
        <v>2</v>
      </c>
      <c r="T61" s="13">
        <f>VLOOKUP(LOWER(V59),experiments_specs!$A:$J,3,FALSE)</f>
        <v>1</v>
      </c>
      <c r="U61" s="16" t="s">
        <v>183</v>
      </c>
      <c r="V61" s="6" t="s">
        <v>19</v>
      </c>
      <c r="W61" s="18"/>
      <c r="X61" s="18"/>
      <c r="Y61" s="26"/>
      <c r="Z61" s="22"/>
      <c r="AA61" s="22"/>
      <c r="AB61" s="29"/>
      <c r="AD61" s="17"/>
      <c r="AF61" s="17"/>
      <c r="AH61" s="12" t="s">
        <v>2</v>
      </c>
      <c r="AI61" s="13">
        <f>VLOOKUP(LOWER(AK59),experiments_specs!$A:$J,3,FALSE)</f>
        <v>1</v>
      </c>
      <c r="AJ61" s="16" t="s">
        <v>189</v>
      </c>
      <c r="AK61" s="6"/>
      <c r="AL61" s="18"/>
      <c r="AM61" s="18"/>
      <c r="AN61" s="26"/>
      <c r="AO61" s="22"/>
      <c r="AP61" s="22"/>
      <c r="AQ61" s="29"/>
      <c r="AS61" s="17"/>
    </row>
    <row r="62" spans="2:45" x14ac:dyDescent="0.2">
      <c r="B62" s="17"/>
      <c r="D62" s="12" t="s">
        <v>3</v>
      </c>
      <c r="E62" s="13">
        <f>VLOOKUP(LOWER(G59),experiments_specs!$A:$J,4,FALSE)</f>
        <v>2</v>
      </c>
      <c r="F62" s="16" t="s">
        <v>177</v>
      </c>
      <c r="G62" s="7"/>
      <c r="H62" s="19"/>
      <c r="I62" s="19"/>
      <c r="J62" s="27"/>
      <c r="K62" s="23"/>
      <c r="L62" s="23"/>
      <c r="M62" s="30"/>
      <c r="O62" s="17"/>
      <c r="Q62" s="17"/>
      <c r="S62" s="12" t="s">
        <v>3</v>
      </c>
      <c r="T62" s="13">
        <f>VLOOKUP(LOWER(V59),experiments_specs!$A:$J,4,FALSE)</f>
        <v>2</v>
      </c>
      <c r="U62" s="16" t="s">
        <v>183</v>
      </c>
      <c r="V62" s="7" t="s">
        <v>12</v>
      </c>
      <c r="W62" s="19"/>
      <c r="X62" s="19"/>
      <c r="Y62" s="27"/>
      <c r="Z62" s="24"/>
      <c r="AA62" s="24"/>
      <c r="AB62" s="30"/>
      <c r="AD62" s="17"/>
      <c r="AF62" s="17"/>
      <c r="AH62" s="12" t="s">
        <v>3</v>
      </c>
      <c r="AI62" s="13">
        <f>VLOOKUP(LOWER(AK59),experiments_specs!$A:$J,4,FALSE)</f>
        <v>2</v>
      </c>
      <c r="AJ62" s="16" t="s">
        <v>189</v>
      </c>
      <c r="AK62" s="7"/>
      <c r="AL62" s="19"/>
      <c r="AM62" s="19"/>
      <c r="AN62" s="27"/>
      <c r="AO62" s="24"/>
      <c r="AP62" s="24"/>
      <c r="AQ62" s="30"/>
      <c r="AS62" s="17"/>
    </row>
    <row r="63" spans="2:45" x14ac:dyDescent="0.2">
      <c r="B63" s="17"/>
      <c r="D63" s="12" t="s">
        <v>4</v>
      </c>
      <c r="E63" s="13" t="str">
        <f>VLOOKUP(LOWER(G59),experiments_specs!$A:$J,5,FALSE)</f>
        <v>False</v>
      </c>
      <c r="F63" s="16" t="s">
        <v>177</v>
      </c>
      <c r="G63" s="7"/>
      <c r="H63" s="20"/>
      <c r="I63" s="20"/>
      <c r="J63" s="27"/>
      <c r="K63" s="23"/>
      <c r="L63" s="23"/>
      <c r="M63" s="30"/>
      <c r="O63" s="17"/>
      <c r="Q63" s="17"/>
      <c r="S63" s="12" t="s">
        <v>4</v>
      </c>
      <c r="T63" s="13" t="str">
        <f>VLOOKUP(LOWER(V59),experiments_specs!$A:$J,5,FALSE)</f>
        <v>True</v>
      </c>
      <c r="U63" s="16" t="s">
        <v>183</v>
      </c>
      <c r="V63" s="7" t="s">
        <v>13</v>
      </c>
      <c r="W63" s="20"/>
      <c r="X63" s="20"/>
      <c r="Y63" s="27"/>
      <c r="Z63" s="23"/>
      <c r="AA63" s="23"/>
      <c r="AB63" s="30"/>
      <c r="AD63" s="17"/>
      <c r="AF63" s="17"/>
      <c r="AH63" s="12" t="s">
        <v>4</v>
      </c>
      <c r="AI63" s="13" t="str">
        <f>VLOOKUP(LOWER(AK59),experiments_specs!$A:$J,5,FALSE)</f>
        <v>True</v>
      </c>
      <c r="AJ63" s="16" t="s">
        <v>189</v>
      </c>
      <c r="AK63" s="7"/>
      <c r="AL63" s="20"/>
      <c r="AM63" s="20"/>
      <c r="AN63" s="27"/>
      <c r="AO63" s="23"/>
      <c r="AP63" s="23"/>
      <c r="AQ63" s="30"/>
      <c r="AS63" s="17"/>
    </row>
    <row r="64" spans="2:45" x14ac:dyDescent="0.2">
      <c r="B64" s="17"/>
      <c r="D64" s="12" t="s">
        <v>5</v>
      </c>
      <c r="E64" s="13" t="str">
        <f>VLOOKUP(LOWER(G59),experiments_specs!$A:$J,6,FALSE)</f>
        <v>True</v>
      </c>
      <c r="F64" s="16" t="s">
        <v>177</v>
      </c>
      <c r="G64" s="7"/>
      <c r="H64" s="20"/>
      <c r="I64" s="20"/>
      <c r="J64" s="27"/>
      <c r="K64" s="23"/>
      <c r="L64" s="23"/>
      <c r="M64" s="30"/>
      <c r="O64" s="17"/>
      <c r="Q64" s="17"/>
      <c r="S64" s="12" t="s">
        <v>5</v>
      </c>
      <c r="T64" s="13" t="str">
        <f>VLOOKUP(LOWER(V59),experiments_specs!$A:$J,6,FALSE)</f>
        <v>True</v>
      </c>
      <c r="U64" s="16" t="s">
        <v>183</v>
      </c>
      <c r="V64" s="7" t="s">
        <v>14</v>
      </c>
      <c r="W64" s="19"/>
      <c r="X64" s="19"/>
      <c r="Y64" s="27"/>
      <c r="Z64" s="24"/>
      <c r="AA64" s="24"/>
      <c r="AB64" s="30"/>
      <c r="AD64" s="17"/>
      <c r="AF64" s="17"/>
      <c r="AH64" s="12" t="s">
        <v>5</v>
      </c>
      <c r="AI64" s="13" t="str">
        <f>VLOOKUP(LOWER(AK59),experiments_specs!$A:$J,6,FALSE)</f>
        <v>True</v>
      </c>
      <c r="AJ64" s="16" t="s">
        <v>189</v>
      </c>
      <c r="AK64" s="7"/>
      <c r="AL64" s="19"/>
      <c r="AM64" s="19"/>
      <c r="AN64" s="27"/>
      <c r="AO64" s="24"/>
      <c r="AP64" s="24"/>
      <c r="AQ64" s="30"/>
      <c r="AS64" s="17"/>
    </row>
    <row r="65" spans="2:45" x14ac:dyDescent="0.2">
      <c r="B65" s="17"/>
      <c r="D65" s="12" t="s">
        <v>6</v>
      </c>
      <c r="E65" s="13" t="str">
        <f>VLOOKUP(LOWER(G59),experiments_specs!$A:$J,7,FALSE)</f>
        <v>True</v>
      </c>
      <c r="F65" s="16" t="s">
        <v>177</v>
      </c>
      <c r="G65" s="7"/>
      <c r="H65" s="20"/>
      <c r="I65" s="20"/>
      <c r="J65" s="27"/>
      <c r="K65" s="24"/>
      <c r="L65" s="24"/>
      <c r="M65" s="30"/>
      <c r="O65" s="17"/>
      <c r="Q65" s="17"/>
      <c r="S65" s="12" t="s">
        <v>6</v>
      </c>
      <c r="T65" s="13" t="str">
        <f>VLOOKUP(LOWER(V59),experiments_specs!$A:$J,7,FALSE)</f>
        <v>True</v>
      </c>
      <c r="U65" s="16" t="s">
        <v>183</v>
      </c>
      <c r="V65" s="7" t="s">
        <v>15</v>
      </c>
      <c r="W65" s="20"/>
      <c r="X65" s="20"/>
      <c r="Y65" s="27"/>
      <c r="Z65" s="24"/>
      <c r="AA65" s="24"/>
      <c r="AB65" s="30"/>
      <c r="AD65" s="17"/>
      <c r="AF65" s="17"/>
      <c r="AH65" s="12" t="s">
        <v>6</v>
      </c>
      <c r="AI65" s="13" t="str">
        <f>VLOOKUP(LOWER(AK59),experiments_specs!$A:$J,7,FALSE)</f>
        <v>True</v>
      </c>
      <c r="AJ65" s="16" t="s">
        <v>189</v>
      </c>
      <c r="AK65" s="7"/>
      <c r="AL65" s="20"/>
      <c r="AM65" s="20"/>
      <c r="AN65" s="27"/>
      <c r="AO65" s="24"/>
      <c r="AP65" s="24"/>
      <c r="AQ65" s="30"/>
      <c r="AS65" s="17"/>
    </row>
    <row r="66" spans="2:45" x14ac:dyDescent="0.2">
      <c r="B66" s="17"/>
      <c r="D66" s="12" t="s">
        <v>7</v>
      </c>
      <c r="E66" s="13" t="str">
        <f>VLOOKUP(LOWER(G59),experiments_specs!$A:$J,8,FALSE)</f>
        <v>True</v>
      </c>
      <c r="F66" s="16" t="s">
        <v>177</v>
      </c>
      <c r="G66" s="7"/>
      <c r="H66" s="20"/>
      <c r="I66" s="20"/>
      <c r="J66" s="27"/>
      <c r="K66" s="24"/>
      <c r="L66" s="24"/>
      <c r="M66" s="30"/>
      <c r="O66" s="17"/>
      <c r="Q66" s="17"/>
      <c r="S66" s="12" t="s">
        <v>7</v>
      </c>
      <c r="T66" s="13" t="str">
        <f>VLOOKUP(LOWER(V59),experiments_specs!$A:$J,8,FALSE)</f>
        <v>True</v>
      </c>
      <c r="U66" s="16" t="s">
        <v>183</v>
      </c>
      <c r="V66" s="7" t="s">
        <v>16</v>
      </c>
      <c r="W66" s="20"/>
      <c r="X66" s="20"/>
      <c r="Y66" s="27"/>
      <c r="Z66" s="24"/>
      <c r="AA66" s="24"/>
      <c r="AB66" s="30"/>
      <c r="AD66" s="17"/>
      <c r="AF66" s="17"/>
      <c r="AH66" s="12" t="s">
        <v>7</v>
      </c>
      <c r="AI66" s="13" t="str">
        <f>VLOOKUP(LOWER(AK59),experiments_specs!$A:$J,8,FALSE)</f>
        <v>True</v>
      </c>
      <c r="AJ66" s="16" t="s">
        <v>189</v>
      </c>
      <c r="AK66" s="7"/>
      <c r="AL66" s="20"/>
      <c r="AM66" s="20"/>
      <c r="AN66" s="27"/>
      <c r="AO66" s="24"/>
      <c r="AP66" s="24"/>
      <c r="AQ66" s="30"/>
      <c r="AS66" s="17"/>
    </row>
    <row r="67" spans="2:45" x14ac:dyDescent="0.2">
      <c r="B67" s="17"/>
      <c r="D67" s="12" t="s">
        <v>8</v>
      </c>
      <c r="E67" s="13" t="str">
        <f>VLOOKUP(LOWER(G59),experiments_specs!$A:$J,9,FALSE)</f>
        <v>wup_similarity</v>
      </c>
      <c r="F67" s="16" t="s">
        <v>177</v>
      </c>
      <c r="G67" s="7"/>
      <c r="H67" s="20"/>
      <c r="I67" s="20"/>
      <c r="J67" s="27"/>
      <c r="K67" s="23"/>
      <c r="L67" s="23"/>
      <c r="M67" s="30"/>
      <c r="O67" s="17"/>
      <c r="Q67" s="17"/>
      <c r="S67" s="12" t="s">
        <v>8</v>
      </c>
      <c r="T67" s="13" t="str">
        <f>VLOOKUP(LOWER(V59),experiments_specs!$A:$J,9,FALSE)</f>
        <v>wup_similarity</v>
      </c>
      <c r="U67" s="16" t="s">
        <v>183</v>
      </c>
      <c r="V67" s="7" t="s">
        <v>17</v>
      </c>
      <c r="W67" s="20"/>
      <c r="X67" s="20"/>
      <c r="Y67" s="27"/>
      <c r="Z67" s="23"/>
      <c r="AA67" s="23"/>
      <c r="AB67" s="30"/>
      <c r="AD67" s="17"/>
      <c r="AF67" s="17"/>
      <c r="AH67" s="12" t="s">
        <v>8</v>
      </c>
      <c r="AI67" s="13" t="str">
        <f>VLOOKUP(LOWER(AK59),experiments_specs!$A:$J,9,FALSE)</f>
        <v>wup_similarity</v>
      </c>
      <c r="AJ67" s="16" t="s">
        <v>189</v>
      </c>
      <c r="AK67" s="7"/>
      <c r="AL67" s="19"/>
      <c r="AM67" s="19"/>
      <c r="AN67" s="27"/>
      <c r="AO67" s="24"/>
      <c r="AP67" s="24"/>
      <c r="AQ67" s="30"/>
      <c r="AS67" s="17"/>
    </row>
    <row r="68" spans="2:45" x14ac:dyDescent="0.2">
      <c r="B68" s="17"/>
      <c r="D68" s="12" t="s">
        <v>9</v>
      </c>
      <c r="E68" s="13" t="str">
        <f>VLOOKUP(LOWER(G59),experiments_specs!$A:$J,10,FALSE)</f>
        <v>False</v>
      </c>
      <c r="F68" s="16" t="s">
        <v>177</v>
      </c>
      <c r="G68" s="8"/>
      <c r="H68" s="21"/>
      <c r="I68" s="21"/>
      <c r="J68" s="28"/>
      <c r="K68" s="25"/>
      <c r="L68" s="25"/>
      <c r="M68" s="31"/>
      <c r="O68" s="17"/>
      <c r="Q68" s="17"/>
      <c r="S68" s="12" t="s">
        <v>9</v>
      </c>
      <c r="T68" s="13" t="str">
        <f>VLOOKUP(LOWER(V59),experiments_specs!$A:$J,10,FALSE)</f>
        <v>False</v>
      </c>
      <c r="U68" s="16" t="s">
        <v>183</v>
      </c>
      <c r="V68" s="8" t="s">
        <v>18</v>
      </c>
      <c r="W68" s="21"/>
      <c r="X68" s="21"/>
      <c r="Y68" s="28"/>
      <c r="Z68" s="25"/>
      <c r="AA68" s="25"/>
      <c r="AB68" s="31"/>
      <c r="AD68" s="17"/>
      <c r="AF68" s="17"/>
      <c r="AH68" s="12" t="s">
        <v>9</v>
      </c>
      <c r="AI68" s="13" t="str">
        <f>VLOOKUP(LOWER(AK59),experiments_specs!$A:$J,10,FALSE)</f>
        <v>True</v>
      </c>
      <c r="AJ68" s="16" t="s">
        <v>189</v>
      </c>
      <c r="AK68" s="8"/>
      <c r="AL68" s="21"/>
      <c r="AM68" s="21"/>
      <c r="AN68" s="28"/>
      <c r="AO68" s="25"/>
      <c r="AP68" s="25"/>
      <c r="AQ68" s="31"/>
      <c r="AS68" s="17"/>
    </row>
    <row r="69" spans="2:45" x14ac:dyDescent="0.2">
      <c r="B69" s="17"/>
      <c r="O69" s="17"/>
      <c r="Q69" s="17"/>
      <c r="AD69" s="17"/>
      <c r="AF69" s="17"/>
      <c r="AS69" s="17"/>
    </row>
    <row r="70" spans="2:45" x14ac:dyDescent="0.2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</sheetData>
  <mergeCells count="39">
    <mergeCell ref="AO15:AQ15"/>
    <mergeCell ref="D2:M2"/>
    <mergeCell ref="S2:AB2"/>
    <mergeCell ref="AH2:AQ2"/>
    <mergeCell ref="H4:J4"/>
    <mergeCell ref="K4:M4"/>
    <mergeCell ref="W4:Y4"/>
    <mergeCell ref="Z4:AB4"/>
    <mergeCell ref="AL4:AN4"/>
    <mergeCell ref="AO4:AQ4"/>
    <mergeCell ref="H15:J15"/>
    <mergeCell ref="K15:M15"/>
    <mergeCell ref="W15:Y15"/>
    <mergeCell ref="Z15:AB15"/>
    <mergeCell ref="AL15:AN15"/>
    <mergeCell ref="AO37:AQ37"/>
    <mergeCell ref="H26:J26"/>
    <mergeCell ref="K26:M26"/>
    <mergeCell ref="W26:Y26"/>
    <mergeCell ref="Z26:AB26"/>
    <mergeCell ref="AL26:AN26"/>
    <mergeCell ref="AO26:AQ26"/>
    <mergeCell ref="H37:J37"/>
    <mergeCell ref="K37:M37"/>
    <mergeCell ref="W37:Y37"/>
    <mergeCell ref="Z37:AB37"/>
    <mergeCell ref="AL37:AN37"/>
    <mergeCell ref="AO59:AQ59"/>
    <mergeCell ref="H48:J48"/>
    <mergeCell ref="K48:M48"/>
    <mergeCell ref="W48:Y48"/>
    <mergeCell ref="Z48:AB48"/>
    <mergeCell ref="AL48:AN48"/>
    <mergeCell ref="AO48:AQ48"/>
    <mergeCell ref="H59:J59"/>
    <mergeCell ref="K59:M59"/>
    <mergeCell ref="W59:Y59"/>
    <mergeCell ref="Z59:AB59"/>
    <mergeCell ref="AL59:AN5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588EB-6F51-9041-9798-AB1AC82264E5}">
  <sheetPr codeName="Foglio6"/>
  <dimension ref="B2:AS70"/>
  <sheetViews>
    <sheetView workbookViewId="0">
      <selection activeCell="AK61" sqref="AK61:AQ68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9" width="25.83203125" customWidth="1"/>
    <col min="10" max="10" width="12.1640625" bestFit="1" customWidth="1"/>
    <col min="11" max="12" width="25.83203125" customWidth="1"/>
    <col min="13" max="13" width="12.1640625" bestFit="1" customWidth="1"/>
    <col min="14" max="18" width="3.1640625" customWidth="1"/>
    <col min="19" max="19" width="22.33203125" bestFit="1" customWidth="1"/>
    <col min="20" max="20" width="29" bestFit="1" customWidth="1"/>
    <col min="21" max="21" width="1.83203125" customWidth="1"/>
    <col min="22" max="22" width="24.1640625" bestFit="1" customWidth="1"/>
    <col min="23" max="24" width="25.83203125" customWidth="1"/>
    <col min="25" max="25" width="12.1640625" bestFit="1" customWidth="1"/>
    <col min="26" max="27" width="25.83203125" customWidth="1"/>
    <col min="28" max="28" width="12.1640625" bestFit="1" customWidth="1"/>
    <col min="29" max="33" width="3.1640625" customWidth="1"/>
    <col min="34" max="34" width="22.33203125" bestFit="1" customWidth="1"/>
    <col min="35" max="35" width="29" bestFit="1" customWidth="1"/>
    <col min="36" max="36" width="1.83203125" customWidth="1"/>
    <col min="37" max="37" width="24.1640625" bestFit="1" customWidth="1"/>
    <col min="38" max="39" width="25.83203125" customWidth="1"/>
    <col min="40" max="40" width="12.1640625" bestFit="1" customWidth="1"/>
    <col min="41" max="42" width="25.83203125" customWidth="1"/>
    <col min="43" max="43" width="12.1640625" bestFit="1" customWidth="1"/>
    <col min="44" max="45" width="3.1640625" customWidth="1"/>
  </cols>
  <sheetData>
    <row r="2" spans="2:45" ht="19" x14ac:dyDescent="0.25">
      <c r="B2" s="17"/>
      <c r="C2" s="17"/>
      <c r="D2" s="38" t="s">
        <v>199</v>
      </c>
      <c r="E2" s="38"/>
      <c r="F2" s="38"/>
      <c r="G2" s="38"/>
      <c r="H2" s="38"/>
      <c r="I2" s="38"/>
      <c r="J2" s="38"/>
      <c r="K2" s="38"/>
      <c r="L2" s="38"/>
      <c r="M2" s="38"/>
      <c r="N2" s="17"/>
      <c r="O2" s="17"/>
      <c r="Q2" s="17"/>
      <c r="R2" s="17"/>
      <c r="S2" s="38" t="s">
        <v>200</v>
      </c>
      <c r="T2" s="38"/>
      <c r="U2" s="38"/>
      <c r="V2" s="38"/>
      <c r="W2" s="38"/>
      <c r="X2" s="38"/>
      <c r="Y2" s="38"/>
      <c r="Z2" s="38"/>
      <c r="AA2" s="38"/>
      <c r="AB2" s="38"/>
      <c r="AC2" s="17"/>
      <c r="AD2" s="17"/>
      <c r="AF2" s="17"/>
      <c r="AG2" s="17"/>
      <c r="AH2" s="38" t="s">
        <v>201</v>
      </c>
      <c r="AI2" s="38"/>
      <c r="AJ2" s="38"/>
      <c r="AK2" s="38"/>
      <c r="AL2" s="38"/>
      <c r="AM2" s="38"/>
      <c r="AN2" s="38"/>
      <c r="AO2" s="38"/>
      <c r="AP2" s="38"/>
      <c r="AQ2" s="38"/>
      <c r="AR2" s="17"/>
      <c r="AS2" s="17"/>
    </row>
    <row r="3" spans="2:45" ht="17" thickBot="1" x14ac:dyDescent="0.25">
      <c r="B3" s="17"/>
      <c r="O3" s="17"/>
      <c r="Q3" s="17"/>
      <c r="AD3" s="17"/>
      <c r="AF3" s="17"/>
      <c r="AS3" s="17"/>
    </row>
    <row r="4" spans="2:45" ht="20" thickBot="1" x14ac:dyDescent="0.3">
      <c r="B4" s="17"/>
      <c r="D4" s="14" t="s">
        <v>198</v>
      </c>
      <c r="E4" s="15"/>
      <c r="F4" s="10"/>
      <c r="G4" s="11" t="s">
        <v>219</v>
      </c>
      <c r="H4" s="36" t="s">
        <v>196</v>
      </c>
      <c r="I4" s="36"/>
      <c r="J4" s="36"/>
      <c r="K4" s="37" t="s">
        <v>195</v>
      </c>
      <c r="L4" s="37"/>
      <c r="M4" s="37"/>
      <c r="N4" s="3"/>
      <c r="O4" s="17"/>
      <c r="Q4" s="17"/>
      <c r="S4" s="14" t="s">
        <v>198</v>
      </c>
      <c r="T4" s="15"/>
      <c r="U4" s="10"/>
      <c r="V4" s="11" t="str">
        <f>"TEST_"&amp;TEXT(RIGHT(G59,2)+1, "00")</f>
        <v>TEST_61</v>
      </c>
      <c r="W4" s="36" t="s">
        <v>196</v>
      </c>
      <c r="X4" s="36"/>
      <c r="Y4" s="36"/>
      <c r="Z4" s="37" t="s">
        <v>195</v>
      </c>
      <c r="AA4" s="37"/>
      <c r="AB4" s="37"/>
      <c r="AC4" s="3"/>
      <c r="AD4" s="17"/>
      <c r="AF4" s="17"/>
      <c r="AH4" s="14" t="s">
        <v>198</v>
      </c>
      <c r="AI4" s="15"/>
      <c r="AJ4" s="10"/>
      <c r="AK4" s="11" t="str">
        <f>"TEST_"&amp;TEXT(RIGHT(V59,2)+1, "00")</f>
        <v>TEST_67</v>
      </c>
      <c r="AL4" s="36" t="s">
        <v>196</v>
      </c>
      <c r="AM4" s="36"/>
      <c r="AN4" s="36"/>
      <c r="AO4" s="37" t="s">
        <v>195</v>
      </c>
      <c r="AP4" s="37"/>
      <c r="AQ4" s="37"/>
      <c r="AR4" s="3"/>
      <c r="AS4" s="17"/>
    </row>
    <row r="5" spans="2:45" x14ac:dyDescent="0.2">
      <c r="B5" s="17"/>
      <c r="D5" s="12" t="s">
        <v>1</v>
      </c>
      <c r="E5" s="13" t="str">
        <f>VLOOKUP(LOWER(G4),experiments_specs!$A:$J,2,FALSE)</f>
        <v>NN</v>
      </c>
      <c r="F5" s="16" t="str">
        <f>"{"&amp;LOWER(G4)&amp;".csv}"</f>
        <v>{test_55.csv}</v>
      </c>
      <c r="G5" s="9" t="s">
        <v>190</v>
      </c>
      <c r="H5" s="4" t="s">
        <v>191</v>
      </c>
      <c r="I5" s="4" t="s">
        <v>192</v>
      </c>
      <c r="J5" s="4" t="s">
        <v>193</v>
      </c>
      <c r="K5" s="5" t="s">
        <v>194</v>
      </c>
      <c r="L5" s="5" t="s">
        <v>192</v>
      </c>
      <c r="M5" s="5" t="s">
        <v>193</v>
      </c>
      <c r="O5" s="17"/>
      <c r="Q5" s="17"/>
      <c r="S5" s="12" t="s">
        <v>1</v>
      </c>
      <c r="T5" s="13" t="str">
        <f>VLOOKUP(LOWER(V4),experiments_specs!$A:$J,2,FALSE)</f>
        <v>NN</v>
      </c>
      <c r="U5" s="16" t="str">
        <f>"{"&amp;LOWER(V4)&amp;".csv}"</f>
        <v>{test_61.csv}</v>
      </c>
      <c r="V5" s="9" t="s">
        <v>190</v>
      </c>
      <c r="W5" s="4" t="s">
        <v>191</v>
      </c>
      <c r="X5" s="4" t="s">
        <v>192</v>
      </c>
      <c r="Y5" s="4" t="s">
        <v>193</v>
      </c>
      <c r="Z5" s="5" t="s">
        <v>194</v>
      </c>
      <c r="AA5" s="5" t="s">
        <v>192</v>
      </c>
      <c r="AB5" s="5" t="s">
        <v>193</v>
      </c>
      <c r="AD5" s="17"/>
      <c r="AF5" s="17"/>
      <c r="AH5" s="12" t="s">
        <v>1</v>
      </c>
      <c r="AI5" s="13" t="str">
        <f>VLOOKUP(LOWER(AK4),experiments_specs!$A:$J,2,FALSE)</f>
        <v>NN</v>
      </c>
      <c r="AJ5" s="16" t="str">
        <f>"{"&amp;LOWER(AK4)&amp;".csv}"</f>
        <v>{test_67.csv}</v>
      </c>
      <c r="AK5" s="9" t="s">
        <v>190</v>
      </c>
      <c r="AL5" s="4" t="s">
        <v>191</v>
      </c>
      <c r="AM5" s="4" t="s">
        <v>192</v>
      </c>
      <c r="AN5" s="4" t="s">
        <v>193</v>
      </c>
      <c r="AO5" s="5" t="s">
        <v>194</v>
      </c>
      <c r="AP5" s="5" t="s">
        <v>192</v>
      </c>
      <c r="AQ5" s="5" t="s">
        <v>193</v>
      </c>
      <c r="AS5" s="17"/>
    </row>
    <row r="6" spans="2:45" x14ac:dyDescent="0.2">
      <c r="B6" s="17"/>
      <c r="D6" s="12" t="s">
        <v>2</v>
      </c>
      <c r="E6" s="13">
        <f>VLOOKUP(LOWER(G4),experiments_specs!$A:$J,3,FALSE)</f>
        <v>1</v>
      </c>
      <c r="F6" s="16" t="s">
        <v>172</v>
      </c>
      <c r="G6" s="6"/>
      <c r="H6" s="18"/>
      <c r="I6" s="18"/>
      <c r="J6" s="26"/>
      <c r="K6" s="22"/>
      <c r="L6" s="22"/>
      <c r="M6" s="29"/>
      <c r="O6" s="17"/>
      <c r="Q6" s="17"/>
      <c r="S6" s="12" t="s">
        <v>2</v>
      </c>
      <c r="T6" s="13">
        <f>VLOOKUP(LOWER(V4),experiments_specs!$A:$J,3,FALSE)</f>
        <v>1</v>
      </c>
      <c r="U6" s="16" t="s">
        <v>178</v>
      </c>
      <c r="V6" s="6" t="s">
        <v>19</v>
      </c>
      <c r="W6" s="18"/>
      <c r="X6" s="18"/>
      <c r="Y6" s="26"/>
      <c r="Z6" s="22"/>
      <c r="AA6" s="22"/>
      <c r="AB6" s="29"/>
      <c r="AD6" s="17"/>
      <c r="AF6" s="17"/>
      <c r="AH6" s="12" t="s">
        <v>2</v>
      </c>
      <c r="AI6" s="13">
        <f>VLOOKUP(LOWER(AK4),experiments_specs!$A:$J,3,FALSE)</f>
        <v>1</v>
      </c>
      <c r="AJ6" s="16" t="s">
        <v>184</v>
      </c>
      <c r="AK6" s="6"/>
      <c r="AL6" s="18"/>
      <c r="AM6" s="18"/>
      <c r="AN6" s="26"/>
      <c r="AO6" s="22"/>
      <c r="AP6" s="22"/>
      <c r="AQ6" s="29"/>
      <c r="AS6" s="17"/>
    </row>
    <row r="7" spans="2:45" x14ac:dyDescent="0.2">
      <c r="B7" s="17"/>
      <c r="D7" s="12" t="s">
        <v>3</v>
      </c>
      <c r="E7" s="13">
        <f>VLOOKUP(LOWER(G4),experiments_specs!$A:$J,4,FALSE)</f>
        <v>2</v>
      </c>
      <c r="F7" s="16" t="s">
        <v>172</v>
      </c>
      <c r="G7" s="7"/>
      <c r="H7" s="19"/>
      <c r="I7" s="19"/>
      <c r="J7" s="27"/>
      <c r="K7" s="23"/>
      <c r="L7" s="23"/>
      <c r="M7" s="30"/>
      <c r="O7" s="17"/>
      <c r="Q7" s="17"/>
      <c r="S7" s="12" t="s">
        <v>3</v>
      </c>
      <c r="T7" s="13">
        <f>VLOOKUP(LOWER(V4),experiments_specs!$A:$J,4,FALSE)</f>
        <v>2</v>
      </c>
      <c r="U7" s="16" t="s">
        <v>178</v>
      </c>
      <c r="V7" s="7" t="s">
        <v>12</v>
      </c>
      <c r="W7" s="19"/>
      <c r="X7" s="19"/>
      <c r="Y7" s="27"/>
      <c r="Z7" s="23"/>
      <c r="AA7" s="23"/>
      <c r="AB7" s="30"/>
      <c r="AD7" s="17"/>
      <c r="AF7" s="17"/>
      <c r="AH7" s="12" t="s">
        <v>3</v>
      </c>
      <c r="AI7" s="13">
        <f>VLOOKUP(LOWER(AK4),experiments_specs!$A:$J,4,FALSE)</f>
        <v>2</v>
      </c>
      <c r="AJ7" s="16" t="s">
        <v>184</v>
      </c>
      <c r="AK7" s="7"/>
      <c r="AL7" s="19"/>
      <c r="AM7" s="19"/>
      <c r="AN7" s="27"/>
      <c r="AO7" s="23"/>
      <c r="AP7" s="23"/>
      <c r="AQ7" s="30"/>
      <c r="AS7" s="17"/>
    </row>
    <row r="8" spans="2:45" x14ac:dyDescent="0.2">
      <c r="B8" s="17"/>
      <c r="D8" s="12" t="s">
        <v>4</v>
      </c>
      <c r="E8" s="13" t="str">
        <f>VLOOKUP(LOWER(G4),experiments_specs!$A:$J,5,FALSE)</f>
        <v>False</v>
      </c>
      <c r="F8" s="16" t="s">
        <v>172</v>
      </c>
      <c r="G8" s="7"/>
      <c r="H8" s="20"/>
      <c r="I8" s="20"/>
      <c r="J8" s="27"/>
      <c r="K8" s="23"/>
      <c r="L8" s="23"/>
      <c r="M8" s="30"/>
      <c r="O8" s="17"/>
      <c r="Q8" s="17"/>
      <c r="S8" s="12" t="s">
        <v>4</v>
      </c>
      <c r="T8" s="13" t="str">
        <f>VLOOKUP(LOWER(V4),experiments_specs!$A:$J,5,FALSE)</f>
        <v>True</v>
      </c>
      <c r="U8" s="16" t="s">
        <v>178</v>
      </c>
      <c r="V8" s="7" t="s">
        <v>13</v>
      </c>
      <c r="W8" s="20"/>
      <c r="X8" s="20"/>
      <c r="Y8" s="27"/>
      <c r="Z8" s="23"/>
      <c r="AA8" s="23"/>
      <c r="AB8" s="30"/>
      <c r="AD8" s="17"/>
      <c r="AF8" s="17"/>
      <c r="AH8" s="12" t="s">
        <v>4</v>
      </c>
      <c r="AI8" s="13" t="str">
        <f>VLOOKUP(LOWER(AK4),experiments_specs!$A:$J,5,FALSE)</f>
        <v>False</v>
      </c>
      <c r="AJ8" s="16" t="s">
        <v>184</v>
      </c>
      <c r="AK8" s="7"/>
      <c r="AL8" s="20"/>
      <c r="AM8" s="20"/>
      <c r="AN8" s="27"/>
      <c r="AO8" s="23"/>
      <c r="AP8" s="23"/>
      <c r="AQ8" s="30"/>
      <c r="AS8" s="17"/>
    </row>
    <row r="9" spans="2:45" x14ac:dyDescent="0.2">
      <c r="B9" s="17"/>
      <c r="D9" s="12" t="s">
        <v>5</v>
      </c>
      <c r="E9" s="13" t="str">
        <f>VLOOKUP(LOWER(G4),experiments_specs!$A:$J,6,FALSE)</f>
        <v>False</v>
      </c>
      <c r="F9" s="16" t="s">
        <v>172</v>
      </c>
      <c r="G9" s="7"/>
      <c r="H9" s="20"/>
      <c r="I9" s="20"/>
      <c r="J9" s="27"/>
      <c r="K9" s="23"/>
      <c r="L9" s="23"/>
      <c r="M9" s="30"/>
      <c r="O9" s="17"/>
      <c r="Q9" s="17"/>
      <c r="S9" s="12" t="s">
        <v>5</v>
      </c>
      <c r="T9" s="13" t="str">
        <f>VLOOKUP(LOWER(V4),experiments_specs!$A:$J,6,FALSE)</f>
        <v>False</v>
      </c>
      <c r="U9" s="16" t="s">
        <v>178</v>
      </c>
      <c r="V9" s="7" t="s">
        <v>14</v>
      </c>
      <c r="W9" s="20"/>
      <c r="X9" s="20"/>
      <c r="Y9" s="27"/>
      <c r="Z9" s="23"/>
      <c r="AA9" s="23"/>
      <c r="AB9" s="30"/>
      <c r="AD9" s="17"/>
      <c r="AF9" s="17"/>
      <c r="AH9" s="12" t="s">
        <v>5</v>
      </c>
      <c r="AI9" s="13" t="str">
        <f>VLOOKUP(LOWER(AK4),experiments_specs!$A:$J,6,FALSE)</f>
        <v>False</v>
      </c>
      <c r="AJ9" s="16" t="s">
        <v>184</v>
      </c>
      <c r="AK9" s="7"/>
      <c r="AL9" s="20"/>
      <c r="AM9" s="20"/>
      <c r="AN9" s="27"/>
      <c r="AO9" s="23"/>
      <c r="AP9" s="23"/>
      <c r="AQ9" s="30"/>
      <c r="AS9" s="17"/>
    </row>
    <row r="10" spans="2:45" x14ac:dyDescent="0.2">
      <c r="B10" s="17"/>
      <c r="D10" s="12" t="s">
        <v>6</v>
      </c>
      <c r="E10" s="13" t="str">
        <f>VLOOKUP(LOWER(G4),experiments_specs!$A:$J,7,FALSE)</f>
        <v>True</v>
      </c>
      <c r="F10" s="16" t="s">
        <v>172</v>
      </c>
      <c r="G10" s="7"/>
      <c r="H10" s="20"/>
      <c r="I10" s="20"/>
      <c r="J10" s="27"/>
      <c r="K10" s="24"/>
      <c r="L10" s="24"/>
      <c r="M10" s="30"/>
      <c r="O10" s="17"/>
      <c r="Q10" s="17"/>
      <c r="S10" s="12" t="s">
        <v>6</v>
      </c>
      <c r="T10" s="13" t="str">
        <f>VLOOKUP(LOWER(V4),experiments_specs!$A:$J,7,FALSE)</f>
        <v>True</v>
      </c>
      <c r="U10" s="16" t="s">
        <v>178</v>
      </c>
      <c r="V10" s="7" t="s">
        <v>15</v>
      </c>
      <c r="W10" s="20"/>
      <c r="X10" s="20"/>
      <c r="Y10" s="27"/>
      <c r="Z10" s="24"/>
      <c r="AA10" s="24"/>
      <c r="AB10" s="30"/>
      <c r="AD10" s="17"/>
      <c r="AF10" s="17"/>
      <c r="AH10" s="12" t="s">
        <v>6</v>
      </c>
      <c r="AI10" s="13" t="str">
        <f>VLOOKUP(LOWER(AK4),experiments_specs!$A:$J,7,FALSE)</f>
        <v>True</v>
      </c>
      <c r="AJ10" s="16" t="s">
        <v>184</v>
      </c>
      <c r="AK10" s="7"/>
      <c r="AL10" s="20"/>
      <c r="AM10" s="20"/>
      <c r="AN10" s="27"/>
      <c r="AO10" s="24"/>
      <c r="AP10" s="24"/>
      <c r="AQ10" s="30"/>
      <c r="AS10" s="17"/>
    </row>
    <row r="11" spans="2:45" x14ac:dyDescent="0.2">
      <c r="B11" s="17"/>
      <c r="D11" s="12" t="s">
        <v>7</v>
      </c>
      <c r="E11" s="13" t="str">
        <f>VLOOKUP(LOWER(G4),experiments_specs!$A:$J,8,FALSE)</f>
        <v>False</v>
      </c>
      <c r="F11" s="16" t="s">
        <v>172</v>
      </c>
      <c r="G11" s="7"/>
      <c r="H11" s="20"/>
      <c r="I11" s="20"/>
      <c r="J11" s="27"/>
      <c r="K11" s="24"/>
      <c r="L11" s="24"/>
      <c r="M11" s="30"/>
      <c r="O11" s="17"/>
      <c r="Q11" s="17"/>
      <c r="S11" s="12" t="s">
        <v>7</v>
      </c>
      <c r="T11" s="13" t="str">
        <f>VLOOKUP(LOWER(V4),experiments_specs!$A:$J,8,FALSE)</f>
        <v>False</v>
      </c>
      <c r="U11" s="16" t="s">
        <v>178</v>
      </c>
      <c r="V11" s="7" t="s">
        <v>16</v>
      </c>
      <c r="W11" s="20"/>
      <c r="X11" s="20"/>
      <c r="Y11" s="27"/>
      <c r="Z11" s="24"/>
      <c r="AA11" s="24"/>
      <c r="AB11" s="30"/>
      <c r="AD11" s="17"/>
      <c r="AF11" s="17"/>
      <c r="AH11" s="12" t="s">
        <v>7</v>
      </c>
      <c r="AI11" s="13" t="str">
        <f>VLOOKUP(LOWER(AK4),experiments_specs!$A:$J,8,FALSE)</f>
        <v>False</v>
      </c>
      <c r="AJ11" s="16" t="s">
        <v>184</v>
      </c>
      <c r="AK11" s="7"/>
      <c r="AL11" s="20"/>
      <c r="AM11" s="20"/>
      <c r="AN11" s="27"/>
      <c r="AO11" s="24"/>
      <c r="AP11" s="24"/>
      <c r="AQ11" s="30"/>
      <c r="AS11" s="17"/>
    </row>
    <row r="12" spans="2:45" x14ac:dyDescent="0.2">
      <c r="B12" s="17"/>
      <c r="D12" s="12" t="s">
        <v>8</v>
      </c>
      <c r="E12" s="13" t="str">
        <f>VLOOKUP(LOWER(G4),experiments_specs!$A:$J,9,FALSE)</f>
        <v>wup_similarity</v>
      </c>
      <c r="F12" s="16" t="s">
        <v>172</v>
      </c>
      <c r="G12" s="7"/>
      <c r="H12" s="20"/>
      <c r="I12" s="20"/>
      <c r="J12" s="27"/>
      <c r="K12" s="23"/>
      <c r="L12" s="23"/>
      <c r="M12" s="30"/>
      <c r="O12" s="17"/>
      <c r="Q12" s="17"/>
      <c r="S12" s="12" t="s">
        <v>8</v>
      </c>
      <c r="T12" s="13" t="str">
        <f>VLOOKUP(LOWER(V4),experiments_specs!$A:$J,9,FALSE)</f>
        <v>wup_similarity</v>
      </c>
      <c r="U12" s="16" t="s">
        <v>178</v>
      </c>
      <c r="V12" s="7" t="s">
        <v>17</v>
      </c>
      <c r="W12" s="20"/>
      <c r="X12" s="20"/>
      <c r="Y12" s="27"/>
      <c r="Z12" s="23"/>
      <c r="AA12" s="23"/>
      <c r="AB12" s="30"/>
      <c r="AD12" s="17"/>
      <c r="AF12" s="17"/>
      <c r="AH12" s="12" t="s">
        <v>8</v>
      </c>
      <c r="AI12" s="13" t="str">
        <f>VLOOKUP(LOWER(AK4),experiments_specs!$A:$J,9,FALSE)</f>
        <v>wup_similarity</v>
      </c>
      <c r="AJ12" s="16" t="s">
        <v>184</v>
      </c>
      <c r="AK12" s="7"/>
      <c r="AL12" s="20"/>
      <c r="AM12" s="20"/>
      <c r="AN12" s="27"/>
      <c r="AO12" s="23"/>
      <c r="AP12" s="23"/>
      <c r="AQ12" s="30"/>
      <c r="AS12" s="17"/>
    </row>
    <row r="13" spans="2:45" x14ac:dyDescent="0.2">
      <c r="B13" s="17"/>
      <c r="D13" s="12" t="s">
        <v>9</v>
      </c>
      <c r="E13" s="13" t="str">
        <f>VLOOKUP(LOWER(G4),experiments_specs!$A:$J,10,FALSE)</f>
        <v>False</v>
      </c>
      <c r="F13" s="16" t="s">
        <v>172</v>
      </c>
      <c r="G13" s="8"/>
      <c r="H13" s="21"/>
      <c r="I13" s="21"/>
      <c r="J13" s="28"/>
      <c r="K13" s="25"/>
      <c r="L13" s="25"/>
      <c r="M13" s="31"/>
      <c r="O13" s="17"/>
      <c r="Q13" s="17"/>
      <c r="S13" s="12" t="s">
        <v>9</v>
      </c>
      <c r="T13" s="13" t="str">
        <f>VLOOKUP(LOWER(V4),experiments_specs!$A:$J,10,FALSE)</f>
        <v>False</v>
      </c>
      <c r="U13" s="16" t="s">
        <v>178</v>
      </c>
      <c r="V13" s="8" t="s">
        <v>18</v>
      </c>
      <c r="W13" s="21"/>
      <c r="X13" s="21"/>
      <c r="Y13" s="28"/>
      <c r="Z13" s="25"/>
      <c r="AA13" s="25"/>
      <c r="AB13" s="31"/>
      <c r="AD13" s="17"/>
      <c r="AF13" s="17"/>
      <c r="AH13" s="12" t="s">
        <v>9</v>
      </c>
      <c r="AI13" s="13" t="str">
        <f>VLOOKUP(LOWER(AK4),experiments_specs!$A:$J,10,FALSE)</f>
        <v>True</v>
      </c>
      <c r="AJ13" s="16" t="s">
        <v>184</v>
      </c>
      <c r="AK13" s="8"/>
      <c r="AL13" s="21"/>
      <c r="AM13" s="21"/>
      <c r="AN13" s="28"/>
      <c r="AO13" s="25"/>
      <c r="AP13" s="25"/>
      <c r="AQ13" s="31"/>
      <c r="AS13" s="17"/>
    </row>
    <row r="14" spans="2:45" ht="17" thickBot="1" x14ac:dyDescent="0.25">
      <c r="B14" s="17"/>
      <c r="O14" s="17"/>
      <c r="Q14" s="17"/>
      <c r="AD14" s="17"/>
      <c r="AF14" s="17"/>
      <c r="AS14" s="17"/>
    </row>
    <row r="15" spans="2:45" ht="20" thickBot="1" x14ac:dyDescent="0.3">
      <c r="B15" s="17"/>
      <c r="D15" s="14" t="s">
        <v>198</v>
      </c>
      <c r="E15" s="15"/>
      <c r="F15" s="10"/>
      <c r="G15" s="11" t="str">
        <f>"TEST_"&amp;TEXT(RIGHT(G4,2)+1, "00")</f>
        <v>TEST_56</v>
      </c>
      <c r="H15" s="36" t="s">
        <v>196</v>
      </c>
      <c r="I15" s="36"/>
      <c r="J15" s="36"/>
      <c r="K15" s="37" t="s">
        <v>195</v>
      </c>
      <c r="L15" s="37"/>
      <c r="M15" s="37"/>
      <c r="N15" s="3"/>
      <c r="O15" s="17"/>
      <c r="Q15" s="17"/>
      <c r="S15" s="14" t="s">
        <v>198</v>
      </c>
      <c r="T15" s="15"/>
      <c r="U15" s="10"/>
      <c r="V15" s="11" t="str">
        <f>"TEST_"&amp;TEXT(RIGHT(V4,2)+1, "00")</f>
        <v>TEST_62</v>
      </c>
      <c r="W15" s="36" t="s">
        <v>196</v>
      </c>
      <c r="X15" s="36"/>
      <c r="Y15" s="36"/>
      <c r="Z15" s="37" t="s">
        <v>195</v>
      </c>
      <c r="AA15" s="37"/>
      <c r="AB15" s="37"/>
      <c r="AC15" s="3"/>
      <c r="AD15" s="17"/>
      <c r="AF15" s="17"/>
      <c r="AH15" s="14" t="s">
        <v>198</v>
      </c>
      <c r="AI15" s="15"/>
      <c r="AJ15" s="10"/>
      <c r="AK15" s="11" t="str">
        <f>"TEST_"&amp;TEXT(RIGHT(AK4,2)+1, "00")</f>
        <v>TEST_68</v>
      </c>
      <c r="AL15" s="36" t="s">
        <v>196</v>
      </c>
      <c r="AM15" s="36"/>
      <c r="AN15" s="36"/>
      <c r="AO15" s="37" t="s">
        <v>195</v>
      </c>
      <c r="AP15" s="37"/>
      <c r="AQ15" s="37"/>
      <c r="AR15" s="3"/>
      <c r="AS15" s="17"/>
    </row>
    <row r="16" spans="2:45" x14ac:dyDescent="0.2">
      <c r="B16" s="17"/>
      <c r="D16" s="12" t="s">
        <v>1</v>
      </c>
      <c r="E16" s="13" t="str">
        <f>VLOOKUP(LOWER(G15),experiments_specs!$A:$J,2,FALSE)</f>
        <v>NN,JJ</v>
      </c>
      <c r="F16" s="16" t="str">
        <f>"{"&amp;LOWER(G15)&amp;".csv}"</f>
        <v>{test_56.csv}</v>
      </c>
      <c r="G16" s="9" t="s">
        <v>190</v>
      </c>
      <c r="H16" s="4" t="s">
        <v>191</v>
      </c>
      <c r="I16" s="4" t="s">
        <v>192</v>
      </c>
      <c r="J16" s="4" t="s">
        <v>193</v>
      </c>
      <c r="K16" s="5" t="s">
        <v>194</v>
      </c>
      <c r="L16" s="5" t="s">
        <v>192</v>
      </c>
      <c r="M16" s="5" t="s">
        <v>193</v>
      </c>
      <c r="O16" s="17"/>
      <c r="Q16" s="17"/>
      <c r="S16" s="12" t="s">
        <v>1</v>
      </c>
      <c r="T16" s="13" t="str">
        <f>VLOOKUP(LOWER(V15),experiments_specs!$A:$J,2,FALSE)</f>
        <v>NN,JJ</v>
      </c>
      <c r="U16" s="16" t="str">
        <f>"{"&amp;LOWER(V15)&amp;".csv}"</f>
        <v>{test_62.csv}</v>
      </c>
      <c r="V16" s="9" t="s">
        <v>190</v>
      </c>
      <c r="W16" s="4" t="s">
        <v>191</v>
      </c>
      <c r="X16" s="4" t="s">
        <v>192</v>
      </c>
      <c r="Y16" s="4" t="s">
        <v>193</v>
      </c>
      <c r="Z16" s="5" t="s">
        <v>194</v>
      </c>
      <c r="AA16" s="5" t="s">
        <v>192</v>
      </c>
      <c r="AB16" s="5" t="s">
        <v>193</v>
      </c>
      <c r="AD16" s="17"/>
      <c r="AF16" s="17"/>
      <c r="AH16" s="12" t="s">
        <v>1</v>
      </c>
      <c r="AI16" s="13" t="str">
        <f>VLOOKUP(LOWER(AK15),experiments_specs!$A:$J,2,FALSE)</f>
        <v>NN,JJ</v>
      </c>
      <c r="AJ16" s="16" t="str">
        <f>"{"&amp;LOWER(AK15)&amp;".csv}"</f>
        <v>{test_68.csv}</v>
      </c>
      <c r="AK16" s="9" t="s">
        <v>190</v>
      </c>
      <c r="AL16" s="4" t="s">
        <v>191</v>
      </c>
      <c r="AM16" s="4" t="s">
        <v>192</v>
      </c>
      <c r="AN16" s="4" t="s">
        <v>193</v>
      </c>
      <c r="AO16" s="5" t="s">
        <v>194</v>
      </c>
      <c r="AP16" s="5" t="s">
        <v>192</v>
      </c>
      <c r="AQ16" s="5" t="s">
        <v>193</v>
      </c>
      <c r="AS16" s="17"/>
    </row>
    <row r="17" spans="2:45" x14ac:dyDescent="0.2">
      <c r="B17" s="17"/>
      <c r="D17" s="12" t="s">
        <v>2</v>
      </c>
      <c r="E17" s="13">
        <f>VLOOKUP(LOWER(G15),experiments_specs!$A:$J,3,FALSE)</f>
        <v>1</v>
      </c>
      <c r="F17" s="16" t="s">
        <v>173</v>
      </c>
      <c r="G17" s="6"/>
      <c r="H17" s="18"/>
      <c r="I17" s="18"/>
      <c r="J17" s="26"/>
      <c r="K17" s="22"/>
      <c r="L17" s="22"/>
      <c r="M17" s="29"/>
      <c r="O17" s="17"/>
      <c r="Q17" s="17"/>
      <c r="S17" s="12" t="s">
        <v>2</v>
      </c>
      <c r="T17" s="13">
        <f>VLOOKUP(LOWER(V15),experiments_specs!$A:$J,3,FALSE)</f>
        <v>1</v>
      </c>
      <c r="U17" s="16" t="s">
        <v>179</v>
      </c>
      <c r="V17" s="6" t="s">
        <v>19</v>
      </c>
      <c r="W17" s="18"/>
      <c r="X17" s="18"/>
      <c r="Y17" s="26"/>
      <c r="Z17" s="22"/>
      <c r="AA17" s="22"/>
      <c r="AB17" s="29"/>
      <c r="AD17" s="17"/>
      <c r="AF17" s="17"/>
      <c r="AH17" s="12" t="s">
        <v>2</v>
      </c>
      <c r="AI17" s="13">
        <f>VLOOKUP(LOWER(AK15),experiments_specs!$A:$J,3,FALSE)</f>
        <v>1</v>
      </c>
      <c r="AJ17" s="16" t="s">
        <v>185</v>
      </c>
      <c r="AK17" s="6"/>
      <c r="AL17" s="18"/>
      <c r="AM17" s="18"/>
      <c r="AN17" s="26"/>
      <c r="AO17" s="22"/>
      <c r="AP17" s="22"/>
      <c r="AQ17" s="29"/>
      <c r="AS17" s="17"/>
    </row>
    <row r="18" spans="2:45" x14ac:dyDescent="0.2">
      <c r="B18" s="17"/>
      <c r="D18" s="12" t="s">
        <v>3</v>
      </c>
      <c r="E18" s="13">
        <f>VLOOKUP(LOWER(G15),experiments_specs!$A:$J,4,FALSE)</f>
        <v>2</v>
      </c>
      <c r="F18" s="16" t="s">
        <v>173</v>
      </c>
      <c r="G18" s="7"/>
      <c r="H18" s="19"/>
      <c r="I18" s="19"/>
      <c r="J18" s="27"/>
      <c r="K18" s="23"/>
      <c r="L18" s="23"/>
      <c r="M18" s="30"/>
      <c r="O18" s="17"/>
      <c r="Q18" s="17"/>
      <c r="S18" s="12" t="s">
        <v>3</v>
      </c>
      <c r="T18" s="13">
        <f>VLOOKUP(LOWER(V15),experiments_specs!$A:$J,4,FALSE)</f>
        <v>2</v>
      </c>
      <c r="U18" s="16" t="s">
        <v>179</v>
      </c>
      <c r="V18" s="7" t="s">
        <v>12</v>
      </c>
      <c r="W18" s="19"/>
      <c r="X18" s="19"/>
      <c r="Y18" s="27"/>
      <c r="Z18" s="24"/>
      <c r="AA18" s="24"/>
      <c r="AB18" s="30"/>
      <c r="AD18" s="17"/>
      <c r="AF18" s="17"/>
      <c r="AH18" s="12" t="s">
        <v>3</v>
      </c>
      <c r="AI18" s="13">
        <f>VLOOKUP(LOWER(AK15),experiments_specs!$A:$J,4,FALSE)</f>
        <v>2</v>
      </c>
      <c r="AJ18" s="16" t="s">
        <v>185</v>
      </c>
      <c r="AK18" s="7"/>
      <c r="AL18" s="19"/>
      <c r="AM18" s="19"/>
      <c r="AN18" s="27"/>
      <c r="AO18" s="24"/>
      <c r="AP18" s="24"/>
      <c r="AQ18" s="30"/>
      <c r="AS18" s="17"/>
    </row>
    <row r="19" spans="2:45" x14ac:dyDescent="0.2">
      <c r="B19" s="17"/>
      <c r="D19" s="12" t="s">
        <v>4</v>
      </c>
      <c r="E19" s="13" t="str">
        <f>VLOOKUP(LOWER(G15),experiments_specs!$A:$J,5,FALSE)</f>
        <v>False</v>
      </c>
      <c r="F19" s="16" t="s">
        <v>173</v>
      </c>
      <c r="G19" s="7"/>
      <c r="H19" s="20"/>
      <c r="I19" s="20"/>
      <c r="J19" s="27"/>
      <c r="K19" s="23"/>
      <c r="L19" s="23"/>
      <c r="M19" s="30"/>
      <c r="O19" s="17"/>
      <c r="Q19" s="17"/>
      <c r="S19" s="12" t="s">
        <v>4</v>
      </c>
      <c r="T19" s="13" t="str">
        <f>VLOOKUP(LOWER(V15),experiments_specs!$A:$J,5,FALSE)</f>
        <v>True</v>
      </c>
      <c r="U19" s="16" t="s">
        <v>179</v>
      </c>
      <c r="V19" s="7" t="s">
        <v>13</v>
      </c>
      <c r="W19" s="20"/>
      <c r="X19" s="20"/>
      <c r="Y19" s="27"/>
      <c r="Z19" s="23"/>
      <c r="AA19" s="23"/>
      <c r="AB19" s="30"/>
      <c r="AD19" s="17"/>
      <c r="AF19" s="17"/>
      <c r="AH19" s="12" t="s">
        <v>4</v>
      </c>
      <c r="AI19" s="13" t="str">
        <f>VLOOKUP(LOWER(AK15),experiments_specs!$A:$J,5,FALSE)</f>
        <v>True</v>
      </c>
      <c r="AJ19" s="16" t="s">
        <v>185</v>
      </c>
      <c r="AK19" s="7"/>
      <c r="AL19" s="20"/>
      <c r="AM19" s="20"/>
      <c r="AN19" s="27"/>
      <c r="AO19" s="23"/>
      <c r="AP19" s="23"/>
      <c r="AQ19" s="30"/>
      <c r="AS19" s="17"/>
    </row>
    <row r="20" spans="2:45" x14ac:dyDescent="0.2">
      <c r="B20" s="17"/>
      <c r="D20" s="12" t="s">
        <v>5</v>
      </c>
      <c r="E20" s="13" t="str">
        <f>VLOOKUP(LOWER(G15),experiments_specs!$A:$J,6,FALSE)</f>
        <v>False</v>
      </c>
      <c r="F20" s="16" t="s">
        <v>173</v>
      </c>
      <c r="G20" s="7"/>
      <c r="H20" s="20"/>
      <c r="I20" s="20"/>
      <c r="J20" s="27"/>
      <c r="K20" s="23"/>
      <c r="L20" s="23"/>
      <c r="M20" s="30"/>
      <c r="O20" s="17"/>
      <c r="Q20" s="17"/>
      <c r="S20" s="12" t="s">
        <v>5</v>
      </c>
      <c r="T20" s="13" t="str">
        <f>VLOOKUP(LOWER(V15),experiments_specs!$A:$J,6,FALSE)</f>
        <v>False</v>
      </c>
      <c r="U20" s="16" t="s">
        <v>179</v>
      </c>
      <c r="V20" s="7" t="s">
        <v>14</v>
      </c>
      <c r="W20" s="19"/>
      <c r="X20" s="19"/>
      <c r="Y20" s="27"/>
      <c r="Z20" s="24"/>
      <c r="AA20" s="24"/>
      <c r="AB20" s="30"/>
      <c r="AD20" s="17"/>
      <c r="AF20" s="17"/>
      <c r="AH20" s="12" t="s">
        <v>5</v>
      </c>
      <c r="AI20" s="13" t="str">
        <f>VLOOKUP(LOWER(AK15),experiments_specs!$A:$J,6,FALSE)</f>
        <v>False</v>
      </c>
      <c r="AJ20" s="16" t="s">
        <v>185</v>
      </c>
      <c r="AK20" s="7"/>
      <c r="AL20" s="19"/>
      <c r="AM20" s="19"/>
      <c r="AN20" s="27"/>
      <c r="AO20" s="24"/>
      <c r="AP20" s="24"/>
      <c r="AQ20" s="30"/>
      <c r="AS20" s="17"/>
    </row>
    <row r="21" spans="2:45" x14ac:dyDescent="0.2">
      <c r="B21" s="17"/>
      <c r="D21" s="12" t="s">
        <v>6</v>
      </c>
      <c r="E21" s="13" t="str">
        <f>VLOOKUP(LOWER(G15),experiments_specs!$A:$J,7,FALSE)</f>
        <v>True</v>
      </c>
      <c r="F21" s="16" t="s">
        <v>173</v>
      </c>
      <c r="G21" s="7"/>
      <c r="H21" s="20"/>
      <c r="I21" s="20"/>
      <c r="J21" s="27"/>
      <c r="K21" s="24"/>
      <c r="L21" s="24"/>
      <c r="M21" s="30"/>
      <c r="O21" s="17"/>
      <c r="Q21" s="17"/>
      <c r="S21" s="12" t="s">
        <v>6</v>
      </c>
      <c r="T21" s="13" t="str">
        <f>VLOOKUP(LOWER(V15),experiments_specs!$A:$J,7,FALSE)</f>
        <v>True</v>
      </c>
      <c r="U21" s="16" t="s">
        <v>179</v>
      </c>
      <c r="V21" s="7" t="s">
        <v>15</v>
      </c>
      <c r="W21" s="20"/>
      <c r="X21" s="20"/>
      <c r="Y21" s="27"/>
      <c r="Z21" s="24"/>
      <c r="AA21" s="24"/>
      <c r="AB21" s="30"/>
      <c r="AD21" s="17"/>
      <c r="AF21" s="17"/>
      <c r="AH21" s="12" t="s">
        <v>6</v>
      </c>
      <c r="AI21" s="13" t="str">
        <f>VLOOKUP(LOWER(AK15),experiments_specs!$A:$J,7,FALSE)</f>
        <v>True</v>
      </c>
      <c r="AJ21" s="16" t="s">
        <v>185</v>
      </c>
      <c r="AK21" s="7"/>
      <c r="AL21" s="20"/>
      <c r="AM21" s="20"/>
      <c r="AN21" s="27"/>
      <c r="AO21" s="24"/>
      <c r="AP21" s="24"/>
      <c r="AQ21" s="30"/>
      <c r="AS21" s="17"/>
    </row>
    <row r="22" spans="2:45" x14ac:dyDescent="0.2">
      <c r="B22" s="17"/>
      <c r="D22" s="12" t="s">
        <v>7</v>
      </c>
      <c r="E22" s="13" t="str">
        <f>VLOOKUP(LOWER(G15),experiments_specs!$A:$J,8,FALSE)</f>
        <v>False</v>
      </c>
      <c r="F22" s="16" t="s">
        <v>173</v>
      </c>
      <c r="G22" s="7"/>
      <c r="H22" s="20"/>
      <c r="I22" s="20"/>
      <c r="J22" s="27"/>
      <c r="K22" s="24"/>
      <c r="L22" s="24"/>
      <c r="M22" s="30"/>
      <c r="O22" s="17"/>
      <c r="Q22" s="17"/>
      <c r="S22" s="12" t="s">
        <v>7</v>
      </c>
      <c r="T22" s="13" t="str">
        <f>VLOOKUP(LOWER(V15),experiments_specs!$A:$J,8,FALSE)</f>
        <v>False</v>
      </c>
      <c r="U22" s="16" t="s">
        <v>179</v>
      </c>
      <c r="V22" s="7" t="s">
        <v>16</v>
      </c>
      <c r="W22" s="20"/>
      <c r="X22" s="20"/>
      <c r="Y22" s="27"/>
      <c r="Z22" s="24"/>
      <c r="AA22" s="24"/>
      <c r="AB22" s="30"/>
      <c r="AD22" s="17"/>
      <c r="AF22" s="17"/>
      <c r="AH22" s="12" t="s">
        <v>7</v>
      </c>
      <c r="AI22" s="13" t="str">
        <f>VLOOKUP(LOWER(AK15),experiments_specs!$A:$J,8,FALSE)</f>
        <v>False</v>
      </c>
      <c r="AJ22" s="16" t="s">
        <v>185</v>
      </c>
      <c r="AK22" s="7"/>
      <c r="AL22" s="20"/>
      <c r="AM22" s="20"/>
      <c r="AN22" s="27"/>
      <c r="AO22" s="24"/>
      <c r="AP22" s="24"/>
      <c r="AQ22" s="30"/>
      <c r="AS22" s="17"/>
    </row>
    <row r="23" spans="2:45" x14ac:dyDescent="0.2">
      <c r="B23" s="17"/>
      <c r="D23" s="12" t="s">
        <v>8</v>
      </c>
      <c r="E23" s="13" t="str">
        <f>VLOOKUP(LOWER(G15),experiments_specs!$A:$J,9,FALSE)</f>
        <v>wup_similarity</v>
      </c>
      <c r="F23" s="16" t="s">
        <v>173</v>
      </c>
      <c r="G23" s="7"/>
      <c r="H23" s="20"/>
      <c r="I23" s="20"/>
      <c r="J23" s="27"/>
      <c r="K23" s="23"/>
      <c r="L23" s="23"/>
      <c r="M23" s="30"/>
      <c r="O23" s="17"/>
      <c r="Q23" s="17"/>
      <c r="S23" s="12" t="s">
        <v>8</v>
      </c>
      <c r="T23" s="13" t="str">
        <f>VLOOKUP(LOWER(V15),experiments_specs!$A:$J,9,FALSE)</f>
        <v>wup_similarity</v>
      </c>
      <c r="U23" s="16" t="s">
        <v>179</v>
      </c>
      <c r="V23" s="7" t="s">
        <v>17</v>
      </c>
      <c r="W23" s="19"/>
      <c r="X23" s="19"/>
      <c r="Y23" s="27"/>
      <c r="Z23" s="24"/>
      <c r="AA23" s="24"/>
      <c r="AB23" s="30"/>
      <c r="AD23" s="17"/>
      <c r="AF23" s="17"/>
      <c r="AH23" s="12" t="s">
        <v>8</v>
      </c>
      <c r="AI23" s="13" t="str">
        <f>VLOOKUP(LOWER(AK15),experiments_specs!$A:$J,9,FALSE)</f>
        <v>wup_similarity</v>
      </c>
      <c r="AJ23" s="16" t="s">
        <v>185</v>
      </c>
      <c r="AK23" s="7"/>
      <c r="AL23" s="19"/>
      <c r="AM23" s="19"/>
      <c r="AN23" s="27"/>
      <c r="AO23" s="24"/>
      <c r="AP23" s="24"/>
      <c r="AQ23" s="30"/>
      <c r="AS23" s="17"/>
    </row>
    <row r="24" spans="2:45" x14ac:dyDescent="0.2">
      <c r="B24" s="17"/>
      <c r="D24" s="12" t="s">
        <v>9</v>
      </c>
      <c r="E24" s="13" t="str">
        <f>VLOOKUP(LOWER(G15),experiments_specs!$A:$J,10,FALSE)</f>
        <v>False</v>
      </c>
      <c r="F24" s="16" t="s">
        <v>173</v>
      </c>
      <c r="G24" s="8"/>
      <c r="H24" s="21"/>
      <c r="I24" s="21"/>
      <c r="J24" s="28"/>
      <c r="K24" s="25"/>
      <c r="L24" s="25"/>
      <c r="M24" s="31"/>
      <c r="O24" s="17"/>
      <c r="Q24" s="17"/>
      <c r="S24" s="12" t="s">
        <v>9</v>
      </c>
      <c r="T24" s="13" t="str">
        <f>VLOOKUP(LOWER(V15),experiments_specs!$A:$J,10,FALSE)</f>
        <v>False</v>
      </c>
      <c r="U24" s="16" t="s">
        <v>179</v>
      </c>
      <c r="V24" s="8" t="s">
        <v>18</v>
      </c>
      <c r="W24" s="21"/>
      <c r="X24" s="21"/>
      <c r="Y24" s="28"/>
      <c r="Z24" s="25"/>
      <c r="AA24" s="25"/>
      <c r="AB24" s="31"/>
      <c r="AD24" s="17"/>
      <c r="AF24" s="17"/>
      <c r="AH24" s="12" t="s">
        <v>9</v>
      </c>
      <c r="AI24" s="13" t="str">
        <f>VLOOKUP(LOWER(AK15),experiments_specs!$A:$J,10,FALSE)</f>
        <v>True</v>
      </c>
      <c r="AJ24" s="16" t="s">
        <v>185</v>
      </c>
      <c r="AK24" s="8"/>
      <c r="AL24" s="21"/>
      <c r="AM24" s="21"/>
      <c r="AN24" s="28"/>
      <c r="AO24" s="25"/>
      <c r="AP24" s="25"/>
      <c r="AQ24" s="31"/>
      <c r="AS24" s="17"/>
    </row>
    <row r="25" spans="2:45" ht="17" thickBot="1" x14ac:dyDescent="0.25">
      <c r="B25" s="17"/>
      <c r="O25" s="17"/>
      <c r="Q25" s="17"/>
      <c r="AD25" s="17"/>
      <c r="AF25" s="17"/>
      <c r="AS25" s="17"/>
    </row>
    <row r="26" spans="2:45" ht="20" thickBot="1" x14ac:dyDescent="0.3">
      <c r="B26" s="17"/>
      <c r="D26" s="14" t="s">
        <v>198</v>
      </c>
      <c r="E26" s="15"/>
      <c r="F26" s="10"/>
      <c r="G26" s="11" t="str">
        <f>"TEST_"&amp;TEXT(RIGHT(G15,2)+1, "00")</f>
        <v>TEST_57</v>
      </c>
      <c r="H26" s="36" t="s">
        <v>196</v>
      </c>
      <c r="I26" s="36"/>
      <c r="J26" s="36"/>
      <c r="K26" s="37" t="s">
        <v>195</v>
      </c>
      <c r="L26" s="37"/>
      <c r="M26" s="37"/>
      <c r="N26" s="3"/>
      <c r="O26" s="17"/>
      <c r="Q26" s="17"/>
      <c r="S26" s="14" t="s">
        <v>198</v>
      </c>
      <c r="T26" s="15"/>
      <c r="U26" s="10"/>
      <c r="V26" s="11" t="str">
        <f>"TEST_"&amp;TEXT(RIGHT(V15,2)+1, "00")</f>
        <v>TEST_63</v>
      </c>
      <c r="W26" s="36" t="s">
        <v>196</v>
      </c>
      <c r="X26" s="36"/>
      <c r="Y26" s="36"/>
      <c r="Z26" s="37" t="s">
        <v>195</v>
      </c>
      <c r="AA26" s="37"/>
      <c r="AB26" s="37"/>
      <c r="AC26" s="3"/>
      <c r="AD26" s="17"/>
      <c r="AF26" s="17"/>
      <c r="AH26" s="14" t="s">
        <v>198</v>
      </c>
      <c r="AI26" s="15"/>
      <c r="AJ26" s="10"/>
      <c r="AK26" s="11" t="str">
        <f>"TEST_"&amp;TEXT(RIGHT(AK15,2)+1, "00")</f>
        <v>TEST_69</v>
      </c>
      <c r="AL26" s="36" t="s">
        <v>196</v>
      </c>
      <c r="AM26" s="36"/>
      <c r="AN26" s="36"/>
      <c r="AO26" s="37" t="s">
        <v>195</v>
      </c>
      <c r="AP26" s="37"/>
      <c r="AQ26" s="37"/>
      <c r="AR26" s="3"/>
      <c r="AS26" s="17"/>
    </row>
    <row r="27" spans="2:45" x14ac:dyDescent="0.2">
      <c r="B27" s="17"/>
      <c r="D27" s="12" t="s">
        <v>1</v>
      </c>
      <c r="E27" s="13" t="str">
        <f>VLOOKUP(LOWER(G26),experiments_specs!$A:$J,2,FALSE)</f>
        <v>NN,VB</v>
      </c>
      <c r="F27" s="16" t="str">
        <f>"{"&amp;LOWER(G26)&amp;".csv}"</f>
        <v>{test_57.csv}</v>
      </c>
      <c r="G27" s="9" t="s">
        <v>190</v>
      </c>
      <c r="H27" s="4" t="s">
        <v>191</v>
      </c>
      <c r="I27" s="4" t="s">
        <v>192</v>
      </c>
      <c r="J27" s="4" t="s">
        <v>193</v>
      </c>
      <c r="K27" s="5" t="s">
        <v>194</v>
      </c>
      <c r="L27" s="5" t="s">
        <v>192</v>
      </c>
      <c r="M27" s="5" t="s">
        <v>193</v>
      </c>
      <c r="O27" s="17"/>
      <c r="Q27" s="17"/>
      <c r="S27" s="12" t="s">
        <v>1</v>
      </c>
      <c r="T27" s="13" t="str">
        <f>VLOOKUP(LOWER(V26),experiments_specs!$A:$J,2,FALSE)</f>
        <v>NN,VB</v>
      </c>
      <c r="U27" s="16" t="str">
        <f>"{"&amp;LOWER(V26)&amp;".csv}"</f>
        <v>{test_63.csv}</v>
      </c>
      <c r="V27" s="9" t="s">
        <v>190</v>
      </c>
      <c r="W27" s="4" t="s">
        <v>191</v>
      </c>
      <c r="X27" s="4" t="s">
        <v>192</v>
      </c>
      <c r="Y27" s="4" t="s">
        <v>193</v>
      </c>
      <c r="Z27" s="5" t="s">
        <v>194</v>
      </c>
      <c r="AA27" s="5" t="s">
        <v>192</v>
      </c>
      <c r="AB27" s="5" t="s">
        <v>193</v>
      </c>
      <c r="AD27" s="17"/>
      <c r="AF27" s="17"/>
      <c r="AH27" s="12" t="s">
        <v>1</v>
      </c>
      <c r="AI27" s="13" t="str">
        <f>VLOOKUP(LOWER(AK26),experiments_specs!$A:$J,2,FALSE)</f>
        <v>NN,VB</v>
      </c>
      <c r="AJ27" s="16" t="str">
        <f>"{"&amp;LOWER(AK26)&amp;".csv}"</f>
        <v>{test_69.csv}</v>
      </c>
      <c r="AK27" s="9" t="s">
        <v>190</v>
      </c>
      <c r="AL27" s="4" t="s">
        <v>191</v>
      </c>
      <c r="AM27" s="4" t="s">
        <v>192</v>
      </c>
      <c r="AN27" s="4" t="s">
        <v>193</v>
      </c>
      <c r="AO27" s="5" t="s">
        <v>194</v>
      </c>
      <c r="AP27" s="5" t="s">
        <v>192</v>
      </c>
      <c r="AQ27" s="5" t="s">
        <v>193</v>
      </c>
      <c r="AS27" s="17"/>
    </row>
    <row r="28" spans="2:45" x14ac:dyDescent="0.2">
      <c r="B28" s="17"/>
      <c r="D28" s="12" t="s">
        <v>2</v>
      </c>
      <c r="E28" s="13">
        <f>VLOOKUP(LOWER(G26),experiments_specs!$A:$J,3,FALSE)</f>
        <v>1</v>
      </c>
      <c r="F28" s="16" t="s">
        <v>174</v>
      </c>
      <c r="G28" s="6"/>
      <c r="H28" s="18"/>
      <c r="I28" s="18"/>
      <c r="J28" s="26"/>
      <c r="K28" s="22"/>
      <c r="L28" s="22"/>
      <c r="M28" s="29"/>
      <c r="O28" s="17"/>
      <c r="Q28" s="17"/>
      <c r="S28" s="12" t="s">
        <v>2</v>
      </c>
      <c r="T28" s="13">
        <f>VLOOKUP(LOWER(V26),experiments_specs!$A:$J,3,FALSE)</f>
        <v>1</v>
      </c>
      <c r="U28" s="16" t="s">
        <v>180</v>
      </c>
      <c r="V28" s="6" t="s">
        <v>19</v>
      </c>
      <c r="W28" s="18"/>
      <c r="X28" s="18"/>
      <c r="Y28" s="26"/>
      <c r="Z28" s="22"/>
      <c r="AA28" s="22"/>
      <c r="AB28" s="29"/>
      <c r="AD28" s="17"/>
      <c r="AF28" s="17"/>
      <c r="AH28" s="12" t="s">
        <v>2</v>
      </c>
      <c r="AI28" s="13">
        <f>VLOOKUP(LOWER(AK26),experiments_specs!$A:$J,3,FALSE)</f>
        <v>1</v>
      </c>
      <c r="AJ28" s="16" t="s">
        <v>186</v>
      </c>
      <c r="AK28" s="6"/>
      <c r="AL28" s="18"/>
      <c r="AM28" s="18"/>
      <c r="AN28" s="26"/>
      <c r="AO28" s="22"/>
      <c r="AP28" s="22"/>
      <c r="AQ28" s="29"/>
      <c r="AS28" s="17"/>
    </row>
    <row r="29" spans="2:45" x14ac:dyDescent="0.2">
      <c r="B29" s="17"/>
      <c r="D29" s="12" t="s">
        <v>3</v>
      </c>
      <c r="E29" s="13">
        <f>VLOOKUP(LOWER(G26),experiments_specs!$A:$J,4,FALSE)</f>
        <v>2</v>
      </c>
      <c r="F29" s="16" t="s">
        <v>174</v>
      </c>
      <c r="G29" s="7"/>
      <c r="H29" s="19"/>
      <c r="I29" s="19"/>
      <c r="J29" s="27"/>
      <c r="K29" s="23"/>
      <c r="L29" s="23"/>
      <c r="M29" s="30"/>
      <c r="O29" s="17"/>
      <c r="Q29" s="17"/>
      <c r="S29" s="12" t="s">
        <v>3</v>
      </c>
      <c r="T29" s="13">
        <f>VLOOKUP(LOWER(V26),experiments_specs!$A:$J,4,FALSE)</f>
        <v>2</v>
      </c>
      <c r="U29" s="16" t="s">
        <v>180</v>
      </c>
      <c r="V29" s="7" t="s">
        <v>12</v>
      </c>
      <c r="W29" s="19"/>
      <c r="X29" s="19"/>
      <c r="Y29" s="27"/>
      <c r="Z29" s="24"/>
      <c r="AA29" s="24"/>
      <c r="AB29" s="30"/>
      <c r="AD29" s="17"/>
      <c r="AF29" s="17"/>
      <c r="AH29" s="12" t="s">
        <v>3</v>
      </c>
      <c r="AI29" s="13">
        <f>VLOOKUP(LOWER(AK26),experiments_specs!$A:$J,4,FALSE)</f>
        <v>2</v>
      </c>
      <c r="AJ29" s="16" t="s">
        <v>186</v>
      </c>
      <c r="AK29" s="7"/>
      <c r="AL29" s="19"/>
      <c r="AM29" s="19"/>
      <c r="AN29" s="27"/>
      <c r="AO29" s="24"/>
      <c r="AP29" s="24"/>
      <c r="AQ29" s="30"/>
      <c r="AS29" s="17"/>
    </row>
    <row r="30" spans="2:45" x14ac:dyDescent="0.2">
      <c r="B30" s="17"/>
      <c r="D30" s="12" t="s">
        <v>4</v>
      </c>
      <c r="E30" s="13" t="str">
        <f>VLOOKUP(LOWER(G26),experiments_specs!$A:$J,5,FALSE)</f>
        <v>False</v>
      </c>
      <c r="F30" s="16" t="s">
        <v>174</v>
      </c>
      <c r="G30" s="7"/>
      <c r="H30" s="20"/>
      <c r="I30" s="20"/>
      <c r="J30" s="27"/>
      <c r="K30" s="23"/>
      <c r="L30" s="23"/>
      <c r="M30" s="30"/>
      <c r="O30" s="17"/>
      <c r="Q30" s="17"/>
      <c r="S30" s="12" t="s">
        <v>4</v>
      </c>
      <c r="T30" s="13" t="str">
        <f>VLOOKUP(LOWER(V26),experiments_specs!$A:$J,5,FALSE)</f>
        <v>True</v>
      </c>
      <c r="U30" s="16" t="s">
        <v>180</v>
      </c>
      <c r="V30" s="7" t="s">
        <v>13</v>
      </c>
      <c r="W30" s="20"/>
      <c r="X30" s="20"/>
      <c r="Y30" s="27"/>
      <c r="Z30" s="23"/>
      <c r="AA30" s="23"/>
      <c r="AB30" s="30"/>
      <c r="AD30" s="17"/>
      <c r="AF30" s="17"/>
      <c r="AH30" s="12" t="s">
        <v>4</v>
      </c>
      <c r="AI30" s="13" t="str">
        <f>VLOOKUP(LOWER(AK26),experiments_specs!$A:$J,5,FALSE)</f>
        <v>True</v>
      </c>
      <c r="AJ30" s="16" t="s">
        <v>186</v>
      </c>
      <c r="AK30" s="7"/>
      <c r="AL30" s="20"/>
      <c r="AM30" s="20"/>
      <c r="AN30" s="27"/>
      <c r="AO30" s="23"/>
      <c r="AP30" s="23"/>
      <c r="AQ30" s="30"/>
      <c r="AS30" s="17"/>
    </row>
    <row r="31" spans="2:45" x14ac:dyDescent="0.2">
      <c r="B31" s="17"/>
      <c r="D31" s="12" t="s">
        <v>5</v>
      </c>
      <c r="E31" s="13" t="str">
        <f>VLOOKUP(LOWER(G26),experiments_specs!$A:$J,6,FALSE)</f>
        <v>False</v>
      </c>
      <c r="F31" s="16" t="s">
        <v>174</v>
      </c>
      <c r="G31" s="7"/>
      <c r="H31" s="20"/>
      <c r="I31" s="20"/>
      <c r="J31" s="27"/>
      <c r="K31" s="23"/>
      <c r="L31" s="23"/>
      <c r="M31" s="30"/>
      <c r="O31" s="17"/>
      <c r="Q31" s="17"/>
      <c r="S31" s="12" t="s">
        <v>5</v>
      </c>
      <c r="T31" s="13" t="str">
        <f>VLOOKUP(LOWER(V26),experiments_specs!$A:$J,6,FALSE)</f>
        <v>False</v>
      </c>
      <c r="U31" s="16" t="s">
        <v>180</v>
      </c>
      <c r="V31" s="7" t="s">
        <v>14</v>
      </c>
      <c r="W31" s="19"/>
      <c r="X31" s="19"/>
      <c r="Y31" s="27"/>
      <c r="Z31" s="24"/>
      <c r="AA31" s="24"/>
      <c r="AB31" s="30"/>
      <c r="AD31" s="17"/>
      <c r="AF31" s="17"/>
      <c r="AH31" s="12" t="s">
        <v>5</v>
      </c>
      <c r="AI31" s="13" t="str">
        <f>VLOOKUP(LOWER(AK26),experiments_specs!$A:$J,6,FALSE)</f>
        <v>False</v>
      </c>
      <c r="AJ31" s="16" t="s">
        <v>186</v>
      </c>
      <c r="AK31" s="7"/>
      <c r="AL31" s="19"/>
      <c r="AM31" s="19"/>
      <c r="AN31" s="27"/>
      <c r="AO31" s="24"/>
      <c r="AP31" s="24"/>
      <c r="AQ31" s="30"/>
      <c r="AS31" s="17"/>
    </row>
    <row r="32" spans="2:45" x14ac:dyDescent="0.2">
      <c r="B32" s="17"/>
      <c r="D32" s="12" t="s">
        <v>6</v>
      </c>
      <c r="E32" s="13" t="str">
        <f>VLOOKUP(LOWER(G26),experiments_specs!$A:$J,7,FALSE)</f>
        <v>True</v>
      </c>
      <c r="F32" s="16" t="s">
        <v>174</v>
      </c>
      <c r="G32" s="7"/>
      <c r="H32" s="20"/>
      <c r="I32" s="20"/>
      <c r="J32" s="27"/>
      <c r="K32" s="24"/>
      <c r="L32" s="24"/>
      <c r="M32" s="30"/>
      <c r="O32" s="17"/>
      <c r="Q32" s="17"/>
      <c r="S32" s="12" t="s">
        <v>6</v>
      </c>
      <c r="T32" s="13" t="str">
        <f>VLOOKUP(LOWER(V26),experiments_specs!$A:$J,7,FALSE)</f>
        <v>True</v>
      </c>
      <c r="U32" s="16" t="s">
        <v>180</v>
      </c>
      <c r="V32" s="7" t="s">
        <v>15</v>
      </c>
      <c r="W32" s="20"/>
      <c r="X32" s="20"/>
      <c r="Y32" s="27"/>
      <c r="Z32" s="24"/>
      <c r="AA32" s="24"/>
      <c r="AB32" s="30"/>
      <c r="AD32" s="17"/>
      <c r="AF32" s="17"/>
      <c r="AH32" s="12" t="s">
        <v>6</v>
      </c>
      <c r="AI32" s="13" t="str">
        <f>VLOOKUP(LOWER(AK26),experiments_specs!$A:$J,7,FALSE)</f>
        <v>True</v>
      </c>
      <c r="AJ32" s="16" t="s">
        <v>186</v>
      </c>
      <c r="AK32" s="7"/>
      <c r="AL32" s="20"/>
      <c r="AM32" s="20"/>
      <c r="AN32" s="27"/>
      <c r="AO32" s="24"/>
      <c r="AP32" s="24"/>
      <c r="AQ32" s="30"/>
      <c r="AS32" s="17"/>
    </row>
    <row r="33" spans="2:45" x14ac:dyDescent="0.2">
      <c r="B33" s="17"/>
      <c r="D33" s="12" t="s">
        <v>7</v>
      </c>
      <c r="E33" s="13" t="str">
        <f>VLOOKUP(LOWER(G26),experiments_specs!$A:$J,8,FALSE)</f>
        <v>False</v>
      </c>
      <c r="F33" s="16" t="s">
        <v>174</v>
      </c>
      <c r="G33" s="7"/>
      <c r="H33" s="20"/>
      <c r="I33" s="20"/>
      <c r="J33" s="27"/>
      <c r="K33" s="24"/>
      <c r="L33" s="24"/>
      <c r="M33" s="30"/>
      <c r="O33" s="17"/>
      <c r="Q33" s="17"/>
      <c r="S33" s="12" t="s">
        <v>7</v>
      </c>
      <c r="T33" s="13" t="str">
        <f>VLOOKUP(LOWER(V26),experiments_specs!$A:$J,8,FALSE)</f>
        <v>False</v>
      </c>
      <c r="U33" s="16" t="s">
        <v>180</v>
      </c>
      <c r="V33" s="7" t="s">
        <v>16</v>
      </c>
      <c r="W33" s="20"/>
      <c r="X33" s="20"/>
      <c r="Y33" s="27"/>
      <c r="Z33" s="24"/>
      <c r="AA33" s="24"/>
      <c r="AB33" s="30"/>
      <c r="AD33" s="17"/>
      <c r="AF33" s="17"/>
      <c r="AH33" s="12" t="s">
        <v>7</v>
      </c>
      <c r="AI33" s="13" t="str">
        <f>VLOOKUP(LOWER(AK26),experiments_specs!$A:$J,8,FALSE)</f>
        <v>False</v>
      </c>
      <c r="AJ33" s="16" t="s">
        <v>186</v>
      </c>
      <c r="AK33" s="7"/>
      <c r="AL33" s="20"/>
      <c r="AM33" s="20"/>
      <c r="AN33" s="27"/>
      <c r="AO33" s="24"/>
      <c r="AP33" s="24"/>
      <c r="AQ33" s="30"/>
      <c r="AS33" s="17"/>
    </row>
    <row r="34" spans="2:45" x14ac:dyDescent="0.2">
      <c r="B34" s="17"/>
      <c r="D34" s="12" t="s">
        <v>8</v>
      </c>
      <c r="E34" s="13" t="str">
        <f>VLOOKUP(LOWER(G26),experiments_specs!$A:$J,9,FALSE)</f>
        <v>wup_similarity</v>
      </c>
      <c r="F34" s="16" t="s">
        <v>174</v>
      </c>
      <c r="G34" s="7"/>
      <c r="H34" s="20"/>
      <c r="I34" s="20"/>
      <c r="J34" s="27"/>
      <c r="K34" s="23"/>
      <c r="L34" s="23"/>
      <c r="M34" s="30"/>
      <c r="O34" s="17"/>
      <c r="Q34" s="17"/>
      <c r="S34" s="12" t="s">
        <v>8</v>
      </c>
      <c r="T34" s="13" t="str">
        <f>VLOOKUP(LOWER(V26),experiments_specs!$A:$J,9,FALSE)</f>
        <v>wup_similarity</v>
      </c>
      <c r="U34" s="16" t="s">
        <v>180</v>
      </c>
      <c r="V34" s="7" t="s">
        <v>17</v>
      </c>
      <c r="W34" s="20"/>
      <c r="X34" s="20"/>
      <c r="Y34" s="27"/>
      <c r="Z34" s="24"/>
      <c r="AA34" s="24"/>
      <c r="AB34" s="30"/>
      <c r="AD34" s="17"/>
      <c r="AF34" s="17"/>
      <c r="AH34" s="12" t="s">
        <v>8</v>
      </c>
      <c r="AI34" s="13" t="str">
        <f>VLOOKUP(LOWER(AK26),experiments_specs!$A:$J,9,FALSE)</f>
        <v>wup_similarity</v>
      </c>
      <c r="AJ34" s="16" t="s">
        <v>186</v>
      </c>
      <c r="AK34" s="7"/>
      <c r="AL34" s="19"/>
      <c r="AM34" s="19"/>
      <c r="AN34" s="27"/>
      <c r="AO34" s="24"/>
      <c r="AP34" s="24"/>
      <c r="AQ34" s="30"/>
      <c r="AS34" s="17"/>
    </row>
    <row r="35" spans="2:45" x14ac:dyDescent="0.2">
      <c r="B35" s="17"/>
      <c r="D35" s="12" t="s">
        <v>9</v>
      </c>
      <c r="E35" s="13" t="str">
        <f>VLOOKUP(LOWER(G26),experiments_specs!$A:$J,10,FALSE)</f>
        <v>False</v>
      </c>
      <c r="F35" s="16" t="s">
        <v>174</v>
      </c>
      <c r="G35" s="8"/>
      <c r="H35" s="21"/>
      <c r="I35" s="21"/>
      <c r="J35" s="28"/>
      <c r="K35" s="25"/>
      <c r="L35" s="25"/>
      <c r="M35" s="31"/>
      <c r="O35" s="17"/>
      <c r="Q35" s="17"/>
      <c r="S35" s="12" t="s">
        <v>9</v>
      </c>
      <c r="T35" s="13" t="str">
        <f>VLOOKUP(LOWER(V26),experiments_specs!$A:$J,10,FALSE)</f>
        <v>False</v>
      </c>
      <c r="U35" s="16" t="s">
        <v>180</v>
      </c>
      <c r="V35" s="8" t="s">
        <v>18</v>
      </c>
      <c r="W35" s="21"/>
      <c r="X35" s="21"/>
      <c r="Y35" s="28"/>
      <c r="Z35" s="25"/>
      <c r="AA35" s="25"/>
      <c r="AB35" s="31"/>
      <c r="AD35" s="17"/>
      <c r="AF35" s="17"/>
      <c r="AH35" s="12" t="s">
        <v>9</v>
      </c>
      <c r="AI35" s="13" t="str">
        <f>VLOOKUP(LOWER(AK26),experiments_specs!$A:$J,10,FALSE)</f>
        <v>True</v>
      </c>
      <c r="AJ35" s="16" t="s">
        <v>186</v>
      </c>
      <c r="AK35" s="8"/>
      <c r="AL35" s="21"/>
      <c r="AM35" s="21"/>
      <c r="AN35" s="28"/>
      <c r="AO35" s="25"/>
      <c r="AP35" s="25"/>
      <c r="AQ35" s="31"/>
      <c r="AS35" s="17"/>
    </row>
    <row r="36" spans="2:45" ht="17" thickBot="1" x14ac:dyDescent="0.25">
      <c r="B36" s="17"/>
      <c r="O36" s="17"/>
      <c r="Q36" s="17"/>
      <c r="AD36" s="17"/>
      <c r="AF36" s="17"/>
      <c r="AS36" s="17"/>
    </row>
    <row r="37" spans="2:45" ht="20" thickBot="1" x14ac:dyDescent="0.3">
      <c r="B37" s="17"/>
      <c r="D37" s="14" t="s">
        <v>198</v>
      </c>
      <c r="E37" s="15"/>
      <c r="F37" s="10"/>
      <c r="G37" s="11" t="str">
        <f>"TEST_"&amp;TEXT(RIGHT(G26,2)+1, "00")</f>
        <v>TEST_58</v>
      </c>
      <c r="H37" s="36" t="s">
        <v>196</v>
      </c>
      <c r="I37" s="36"/>
      <c r="J37" s="36"/>
      <c r="K37" s="37" t="s">
        <v>195</v>
      </c>
      <c r="L37" s="37"/>
      <c r="M37" s="37"/>
      <c r="N37" s="3"/>
      <c r="O37" s="17"/>
      <c r="Q37" s="17"/>
      <c r="S37" s="14" t="s">
        <v>198</v>
      </c>
      <c r="T37" s="15"/>
      <c r="U37" s="10"/>
      <c r="V37" s="11" t="str">
        <f>"TEST_"&amp;TEXT(RIGHT(V26,2)+1, "00")</f>
        <v>TEST_64</v>
      </c>
      <c r="W37" s="36" t="s">
        <v>196</v>
      </c>
      <c r="X37" s="36"/>
      <c r="Y37" s="36"/>
      <c r="Z37" s="37" t="s">
        <v>195</v>
      </c>
      <c r="AA37" s="37"/>
      <c r="AB37" s="37"/>
      <c r="AC37" s="3"/>
      <c r="AD37" s="17"/>
      <c r="AF37" s="17"/>
      <c r="AH37" s="14" t="s">
        <v>198</v>
      </c>
      <c r="AI37" s="15"/>
      <c r="AJ37" s="10"/>
      <c r="AK37" s="11" t="str">
        <f>"TEST_"&amp;TEXT(RIGHT(AK26,2)+1, "00")</f>
        <v>TEST_70</v>
      </c>
      <c r="AL37" s="36" t="s">
        <v>196</v>
      </c>
      <c r="AM37" s="36"/>
      <c r="AN37" s="36"/>
      <c r="AO37" s="37" t="s">
        <v>195</v>
      </c>
      <c r="AP37" s="37"/>
      <c r="AQ37" s="37"/>
      <c r="AR37" s="3"/>
      <c r="AS37" s="17"/>
    </row>
    <row r="38" spans="2:45" x14ac:dyDescent="0.2">
      <c r="B38" s="17"/>
      <c r="D38" s="12" t="s">
        <v>1</v>
      </c>
      <c r="E38" s="13" t="str">
        <f>VLOOKUP(LOWER(G37),experiments_specs!$A:$J,2,FALSE)</f>
        <v>NN,VB,VBD,VBG,VBN,VBP,VBZ</v>
      </c>
      <c r="F38" s="16" t="str">
        <f>"{"&amp;LOWER(G37)&amp;".csv}"</f>
        <v>{test_58.csv}</v>
      </c>
      <c r="G38" s="9" t="s">
        <v>190</v>
      </c>
      <c r="H38" s="4" t="s">
        <v>191</v>
      </c>
      <c r="I38" s="4" t="s">
        <v>192</v>
      </c>
      <c r="J38" s="4" t="s">
        <v>193</v>
      </c>
      <c r="K38" s="5" t="s">
        <v>194</v>
      </c>
      <c r="L38" s="5" t="s">
        <v>192</v>
      </c>
      <c r="M38" s="5" t="s">
        <v>193</v>
      </c>
      <c r="O38" s="17"/>
      <c r="Q38" s="17"/>
      <c r="S38" s="12" t="s">
        <v>1</v>
      </c>
      <c r="T38" s="13" t="str">
        <f>VLOOKUP(LOWER(V37),experiments_specs!$A:$J,2,FALSE)</f>
        <v>NN,VB,VBD,VBG,VBN,VBP,VBZ</v>
      </c>
      <c r="U38" s="16" t="str">
        <f>"{"&amp;LOWER(V37)&amp;".csv}"</f>
        <v>{test_64.csv}</v>
      </c>
      <c r="V38" s="9" t="s">
        <v>190</v>
      </c>
      <c r="W38" s="4" t="s">
        <v>191</v>
      </c>
      <c r="X38" s="4" t="s">
        <v>192</v>
      </c>
      <c r="Y38" s="4" t="s">
        <v>193</v>
      </c>
      <c r="Z38" s="5" t="s">
        <v>194</v>
      </c>
      <c r="AA38" s="5" t="s">
        <v>192</v>
      </c>
      <c r="AB38" s="5" t="s">
        <v>193</v>
      </c>
      <c r="AD38" s="17"/>
      <c r="AF38" s="17"/>
      <c r="AH38" s="12" t="s">
        <v>1</v>
      </c>
      <c r="AI38" s="13" t="str">
        <f>VLOOKUP(LOWER(AK37),experiments_specs!$A:$J,2,FALSE)</f>
        <v>NN,VB,VBD,VBG,VBN,VBP,VBZ</v>
      </c>
      <c r="AJ38" s="16" t="str">
        <f>"{"&amp;LOWER(AK37)&amp;".csv}"</f>
        <v>{test_70.csv}</v>
      </c>
      <c r="AK38" s="9" t="s">
        <v>190</v>
      </c>
      <c r="AL38" s="4" t="s">
        <v>191</v>
      </c>
      <c r="AM38" s="4" t="s">
        <v>192</v>
      </c>
      <c r="AN38" s="4" t="s">
        <v>193</v>
      </c>
      <c r="AO38" s="5" t="s">
        <v>194</v>
      </c>
      <c r="AP38" s="5" t="s">
        <v>192</v>
      </c>
      <c r="AQ38" s="5" t="s">
        <v>193</v>
      </c>
      <c r="AS38" s="17"/>
    </row>
    <row r="39" spans="2:45" x14ac:dyDescent="0.2">
      <c r="B39" s="17"/>
      <c r="D39" s="12" t="s">
        <v>2</v>
      </c>
      <c r="E39" s="13">
        <f>VLOOKUP(LOWER(G37),experiments_specs!$A:$J,3,FALSE)</f>
        <v>1</v>
      </c>
      <c r="F39" s="16" t="s">
        <v>175</v>
      </c>
      <c r="G39" s="6"/>
      <c r="H39" s="18"/>
      <c r="I39" s="18"/>
      <c r="J39" s="26"/>
      <c r="K39" s="22"/>
      <c r="L39" s="22"/>
      <c r="M39" s="29"/>
      <c r="O39" s="17"/>
      <c r="Q39" s="17"/>
      <c r="S39" s="12" t="s">
        <v>2</v>
      </c>
      <c r="T39" s="13">
        <f>VLOOKUP(LOWER(V37),experiments_specs!$A:$J,3,FALSE)</f>
        <v>1</v>
      </c>
      <c r="U39" s="16" t="s">
        <v>181</v>
      </c>
      <c r="V39" s="6" t="s">
        <v>19</v>
      </c>
      <c r="W39" s="18"/>
      <c r="X39" s="18"/>
      <c r="Y39" s="26"/>
      <c r="Z39" s="22"/>
      <c r="AA39" s="22"/>
      <c r="AB39" s="29"/>
      <c r="AD39" s="17"/>
      <c r="AF39" s="17"/>
      <c r="AH39" s="12" t="s">
        <v>2</v>
      </c>
      <c r="AI39" s="13">
        <f>VLOOKUP(LOWER(AK37),experiments_specs!$A:$J,3,FALSE)</f>
        <v>1</v>
      </c>
      <c r="AJ39" s="16" t="s">
        <v>187</v>
      </c>
      <c r="AK39" s="6"/>
      <c r="AL39" s="18"/>
      <c r="AM39" s="18"/>
      <c r="AN39" s="26"/>
      <c r="AO39" s="22"/>
      <c r="AP39" s="22"/>
      <c r="AQ39" s="29"/>
      <c r="AS39" s="17"/>
    </row>
    <row r="40" spans="2:45" x14ac:dyDescent="0.2">
      <c r="B40" s="17"/>
      <c r="D40" s="12" t="s">
        <v>3</v>
      </c>
      <c r="E40" s="13">
        <f>VLOOKUP(LOWER(G37),experiments_specs!$A:$J,4,FALSE)</f>
        <v>2</v>
      </c>
      <c r="F40" s="16" t="s">
        <v>175</v>
      </c>
      <c r="G40" s="7"/>
      <c r="H40" s="19"/>
      <c r="I40" s="19"/>
      <c r="J40" s="27"/>
      <c r="K40" s="23"/>
      <c r="L40" s="23"/>
      <c r="M40" s="30"/>
      <c r="O40" s="17"/>
      <c r="Q40" s="17"/>
      <c r="S40" s="12" t="s">
        <v>3</v>
      </c>
      <c r="T40" s="13">
        <f>VLOOKUP(LOWER(V37),experiments_specs!$A:$J,4,FALSE)</f>
        <v>2</v>
      </c>
      <c r="U40" s="16" t="s">
        <v>181</v>
      </c>
      <c r="V40" s="7" t="s">
        <v>12</v>
      </c>
      <c r="W40" s="19"/>
      <c r="X40" s="19"/>
      <c r="Y40" s="27"/>
      <c r="Z40" s="24"/>
      <c r="AA40" s="24"/>
      <c r="AB40" s="30"/>
      <c r="AD40" s="17"/>
      <c r="AF40" s="17"/>
      <c r="AH40" s="12" t="s">
        <v>3</v>
      </c>
      <c r="AI40" s="13">
        <f>VLOOKUP(LOWER(AK37),experiments_specs!$A:$J,4,FALSE)</f>
        <v>2</v>
      </c>
      <c r="AJ40" s="16" t="s">
        <v>187</v>
      </c>
      <c r="AK40" s="7"/>
      <c r="AL40" s="19"/>
      <c r="AM40" s="19"/>
      <c r="AN40" s="27"/>
      <c r="AO40" s="24"/>
      <c r="AP40" s="24"/>
      <c r="AQ40" s="30"/>
      <c r="AS40" s="17"/>
    </row>
    <row r="41" spans="2:45" x14ac:dyDescent="0.2">
      <c r="B41" s="17"/>
      <c r="D41" s="12" t="s">
        <v>4</v>
      </c>
      <c r="E41" s="13" t="str">
        <f>VLOOKUP(LOWER(G37),experiments_specs!$A:$J,5,FALSE)</f>
        <v>False</v>
      </c>
      <c r="F41" s="16" t="s">
        <v>175</v>
      </c>
      <c r="G41" s="7"/>
      <c r="H41" s="20"/>
      <c r="I41" s="20"/>
      <c r="J41" s="27"/>
      <c r="K41" s="23"/>
      <c r="L41" s="23"/>
      <c r="M41" s="30"/>
      <c r="O41" s="17"/>
      <c r="Q41" s="17"/>
      <c r="S41" s="12" t="s">
        <v>4</v>
      </c>
      <c r="T41" s="13" t="str">
        <f>VLOOKUP(LOWER(V37),experiments_specs!$A:$J,5,FALSE)</f>
        <v>True</v>
      </c>
      <c r="U41" s="16" t="s">
        <v>181</v>
      </c>
      <c r="V41" s="7" t="s">
        <v>13</v>
      </c>
      <c r="W41" s="20"/>
      <c r="X41" s="20"/>
      <c r="Y41" s="27"/>
      <c r="Z41" s="23"/>
      <c r="AA41" s="23"/>
      <c r="AB41" s="30"/>
      <c r="AD41" s="17"/>
      <c r="AF41" s="17"/>
      <c r="AH41" s="12" t="s">
        <v>4</v>
      </c>
      <c r="AI41" s="13" t="str">
        <f>VLOOKUP(LOWER(AK37),experiments_specs!$A:$J,5,FALSE)</f>
        <v>True</v>
      </c>
      <c r="AJ41" s="16" t="s">
        <v>187</v>
      </c>
      <c r="AK41" s="7"/>
      <c r="AL41" s="20"/>
      <c r="AM41" s="20"/>
      <c r="AN41" s="27"/>
      <c r="AO41" s="23"/>
      <c r="AP41" s="23"/>
      <c r="AQ41" s="30"/>
      <c r="AS41" s="17"/>
    </row>
    <row r="42" spans="2:45" x14ac:dyDescent="0.2">
      <c r="B42" s="17"/>
      <c r="D42" s="12" t="s">
        <v>5</v>
      </c>
      <c r="E42" s="13" t="str">
        <f>VLOOKUP(LOWER(G37),experiments_specs!$A:$J,6,FALSE)</f>
        <v>False</v>
      </c>
      <c r="F42" s="16" t="s">
        <v>175</v>
      </c>
      <c r="G42" s="7"/>
      <c r="H42" s="20"/>
      <c r="I42" s="20"/>
      <c r="J42" s="27"/>
      <c r="K42" s="23"/>
      <c r="L42" s="23"/>
      <c r="M42" s="30"/>
      <c r="O42" s="17"/>
      <c r="Q42" s="17"/>
      <c r="S42" s="12" t="s">
        <v>5</v>
      </c>
      <c r="T42" s="13" t="str">
        <f>VLOOKUP(LOWER(V37),experiments_specs!$A:$J,6,FALSE)</f>
        <v>False</v>
      </c>
      <c r="U42" s="16" t="s">
        <v>181</v>
      </c>
      <c r="V42" s="7" t="s">
        <v>14</v>
      </c>
      <c r="W42" s="19"/>
      <c r="X42" s="19"/>
      <c r="Y42" s="27"/>
      <c r="Z42" s="24"/>
      <c r="AA42" s="24"/>
      <c r="AB42" s="30"/>
      <c r="AD42" s="17"/>
      <c r="AF42" s="17"/>
      <c r="AH42" s="12" t="s">
        <v>5</v>
      </c>
      <c r="AI42" s="13" t="str">
        <f>VLOOKUP(LOWER(AK37),experiments_specs!$A:$J,6,FALSE)</f>
        <v>False</v>
      </c>
      <c r="AJ42" s="16" t="s">
        <v>187</v>
      </c>
      <c r="AK42" s="7"/>
      <c r="AL42" s="19"/>
      <c r="AM42" s="19"/>
      <c r="AN42" s="27"/>
      <c r="AO42" s="24"/>
      <c r="AP42" s="24"/>
      <c r="AQ42" s="30"/>
      <c r="AS42" s="17"/>
    </row>
    <row r="43" spans="2:45" x14ac:dyDescent="0.2">
      <c r="B43" s="17"/>
      <c r="D43" s="12" t="s">
        <v>6</v>
      </c>
      <c r="E43" s="13" t="str">
        <f>VLOOKUP(LOWER(G37),experiments_specs!$A:$J,7,FALSE)</f>
        <v>True</v>
      </c>
      <c r="F43" s="16" t="s">
        <v>175</v>
      </c>
      <c r="G43" s="7"/>
      <c r="H43" s="20"/>
      <c r="I43" s="20"/>
      <c r="J43" s="27"/>
      <c r="K43" s="24"/>
      <c r="L43" s="24"/>
      <c r="M43" s="30"/>
      <c r="O43" s="17"/>
      <c r="Q43" s="17"/>
      <c r="S43" s="12" t="s">
        <v>6</v>
      </c>
      <c r="T43" s="13" t="str">
        <f>VLOOKUP(LOWER(V37),experiments_specs!$A:$J,7,FALSE)</f>
        <v>True</v>
      </c>
      <c r="U43" s="16" t="s">
        <v>181</v>
      </c>
      <c r="V43" s="7" t="s">
        <v>15</v>
      </c>
      <c r="W43" s="20"/>
      <c r="X43" s="20"/>
      <c r="Y43" s="27"/>
      <c r="Z43" s="24"/>
      <c r="AA43" s="24"/>
      <c r="AB43" s="30"/>
      <c r="AD43" s="17"/>
      <c r="AF43" s="17"/>
      <c r="AH43" s="12" t="s">
        <v>6</v>
      </c>
      <c r="AI43" s="13" t="str">
        <f>VLOOKUP(LOWER(AK37),experiments_specs!$A:$J,7,FALSE)</f>
        <v>True</v>
      </c>
      <c r="AJ43" s="16" t="s">
        <v>187</v>
      </c>
      <c r="AK43" s="7"/>
      <c r="AL43" s="20"/>
      <c r="AM43" s="20"/>
      <c r="AN43" s="27"/>
      <c r="AO43" s="24"/>
      <c r="AP43" s="24"/>
      <c r="AQ43" s="30"/>
      <c r="AS43" s="17"/>
    </row>
    <row r="44" spans="2:45" x14ac:dyDescent="0.2">
      <c r="B44" s="17"/>
      <c r="D44" s="12" t="s">
        <v>7</v>
      </c>
      <c r="E44" s="13" t="str">
        <f>VLOOKUP(LOWER(G37),experiments_specs!$A:$J,8,FALSE)</f>
        <v>False</v>
      </c>
      <c r="F44" s="16" t="s">
        <v>175</v>
      </c>
      <c r="G44" s="7"/>
      <c r="H44" s="20"/>
      <c r="I44" s="20"/>
      <c r="J44" s="27"/>
      <c r="K44" s="24"/>
      <c r="L44" s="24"/>
      <c r="M44" s="30"/>
      <c r="O44" s="17"/>
      <c r="Q44" s="17"/>
      <c r="S44" s="12" t="s">
        <v>7</v>
      </c>
      <c r="T44" s="13" t="str">
        <f>VLOOKUP(LOWER(V37),experiments_specs!$A:$J,8,FALSE)</f>
        <v>False</v>
      </c>
      <c r="U44" s="16" t="s">
        <v>181</v>
      </c>
      <c r="V44" s="7" t="s">
        <v>16</v>
      </c>
      <c r="W44" s="20"/>
      <c r="X44" s="20"/>
      <c r="Y44" s="27"/>
      <c r="Z44" s="24"/>
      <c r="AA44" s="24"/>
      <c r="AB44" s="30"/>
      <c r="AD44" s="17"/>
      <c r="AF44" s="17"/>
      <c r="AH44" s="12" t="s">
        <v>7</v>
      </c>
      <c r="AI44" s="13" t="str">
        <f>VLOOKUP(LOWER(AK37),experiments_specs!$A:$J,8,FALSE)</f>
        <v>False</v>
      </c>
      <c r="AJ44" s="16" t="s">
        <v>187</v>
      </c>
      <c r="AK44" s="7"/>
      <c r="AL44" s="20"/>
      <c r="AM44" s="20"/>
      <c r="AN44" s="27"/>
      <c r="AO44" s="24"/>
      <c r="AP44" s="24"/>
      <c r="AQ44" s="30"/>
      <c r="AS44" s="17"/>
    </row>
    <row r="45" spans="2:45" x14ac:dyDescent="0.2">
      <c r="B45" s="17"/>
      <c r="D45" s="12" t="s">
        <v>8</v>
      </c>
      <c r="E45" s="13" t="str">
        <f>VLOOKUP(LOWER(G37),experiments_specs!$A:$J,9,FALSE)</f>
        <v>wup_similarity</v>
      </c>
      <c r="F45" s="16" t="s">
        <v>175</v>
      </c>
      <c r="G45" s="7"/>
      <c r="H45" s="20"/>
      <c r="I45" s="20"/>
      <c r="J45" s="27"/>
      <c r="K45" s="23"/>
      <c r="L45" s="23"/>
      <c r="M45" s="30"/>
      <c r="O45" s="17"/>
      <c r="Q45" s="17"/>
      <c r="S45" s="12" t="s">
        <v>8</v>
      </c>
      <c r="T45" s="13" t="str">
        <f>VLOOKUP(LOWER(V37),experiments_specs!$A:$J,9,FALSE)</f>
        <v>wup_similarity</v>
      </c>
      <c r="U45" s="16" t="s">
        <v>181</v>
      </c>
      <c r="V45" s="7" t="s">
        <v>17</v>
      </c>
      <c r="W45" s="20"/>
      <c r="X45" s="20"/>
      <c r="Y45" s="27"/>
      <c r="Z45" s="23"/>
      <c r="AA45" s="23"/>
      <c r="AB45" s="30"/>
      <c r="AD45" s="17"/>
      <c r="AF45" s="17"/>
      <c r="AH45" s="12" t="s">
        <v>8</v>
      </c>
      <c r="AI45" s="13" t="str">
        <f>VLOOKUP(LOWER(AK37),experiments_specs!$A:$J,9,FALSE)</f>
        <v>wup_similarity</v>
      </c>
      <c r="AJ45" s="16" t="s">
        <v>187</v>
      </c>
      <c r="AK45" s="7"/>
      <c r="AL45" s="19"/>
      <c r="AM45" s="19"/>
      <c r="AN45" s="27"/>
      <c r="AO45" s="24"/>
      <c r="AP45" s="24"/>
      <c r="AQ45" s="30"/>
      <c r="AS45" s="17"/>
    </row>
    <row r="46" spans="2:45" x14ac:dyDescent="0.2">
      <c r="B46" s="17"/>
      <c r="D46" s="12" t="s">
        <v>9</v>
      </c>
      <c r="E46" s="13" t="str">
        <f>VLOOKUP(LOWER(G37),experiments_specs!$A:$J,10,FALSE)</f>
        <v>False</v>
      </c>
      <c r="F46" s="16" t="s">
        <v>175</v>
      </c>
      <c r="G46" s="8"/>
      <c r="H46" s="21"/>
      <c r="I46" s="21"/>
      <c r="J46" s="28"/>
      <c r="K46" s="25"/>
      <c r="L46" s="25"/>
      <c r="M46" s="31"/>
      <c r="O46" s="17"/>
      <c r="Q46" s="17"/>
      <c r="S46" s="12" t="s">
        <v>9</v>
      </c>
      <c r="T46" s="13" t="str">
        <f>VLOOKUP(LOWER(V37),experiments_specs!$A:$J,10,FALSE)</f>
        <v>False</v>
      </c>
      <c r="U46" s="16" t="s">
        <v>181</v>
      </c>
      <c r="V46" s="8" t="s">
        <v>18</v>
      </c>
      <c r="W46" s="21"/>
      <c r="X46" s="21"/>
      <c r="Y46" s="28"/>
      <c r="Z46" s="25"/>
      <c r="AA46" s="25"/>
      <c r="AB46" s="31"/>
      <c r="AD46" s="17"/>
      <c r="AF46" s="17"/>
      <c r="AH46" s="12" t="s">
        <v>9</v>
      </c>
      <c r="AI46" s="13" t="str">
        <f>VLOOKUP(LOWER(AK37),experiments_specs!$A:$J,10,FALSE)</f>
        <v>True</v>
      </c>
      <c r="AJ46" s="16" t="s">
        <v>187</v>
      </c>
      <c r="AK46" s="8"/>
      <c r="AL46" s="21"/>
      <c r="AM46" s="21"/>
      <c r="AN46" s="28"/>
      <c r="AO46" s="25"/>
      <c r="AP46" s="25"/>
      <c r="AQ46" s="31"/>
      <c r="AS46" s="17"/>
    </row>
    <row r="47" spans="2:45" ht="17" thickBot="1" x14ac:dyDescent="0.25">
      <c r="B47" s="17"/>
      <c r="O47" s="17"/>
      <c r="Q47" s="17"/>
      <c r="AD47" s="17"/>
      <c r="AF47" s="17"/>
      <c r="AS47" s="17"/>
    </row>
    <row r="48" spans="2:45" ht="20" thickBot="1" x14ac:dyDescent="0.3">
      <c r="B48" s="17"/>
      <c r="D48" s="14" t="s">
        <v>198</v>
      </c>
      <c r="E48" s="15"/>
      <c r="F48" s="10"/>
      <c r="G48" s="11" t="str">
        <f>"TEST_"&amp;TEXT(RIGHT(G37,2)+1, "00")</f>
        <v>TEST_59</v>
      </c>
      <c r="H48" s="36" t="s">
        <v>196</v>
      </c>
      <c r="I48" s="36"/>
      <c r="J48" s="36"/>
      <c r="K48" s="37" t="s">
        <v>195</v>
      </c>
      <c r="L48" s="37"/>
      <c r="M48" s="37"/>
      <c r="N48" s="3"/>
      <c r="O48" s="17"/>
      <c r="Q48" s="17"/>
      <c r="S48" s="14" t="s">
        <v>198</v>
      </c>
      <c r="T48" s="15"/>
      <c r="U48" s="10"/>
      <c r="V48" s="11" t="str">
        <f>"TEST_"&amp;TEXT(RIGHT(V37,2)+1, "00")</f>
        <v>TEST_65</v>
      </c>
      <c r="W48" s="36" t="s">
        <v>196</v>
      </c>
      <c r="X48" s="36"/>
      <c r="Y48" s="36"/>
      <c r="Z48" s="37" t="s">
        <v>195</v>
      </c>
      <c r="AA48" s="37"/>
      <c r="AB48" s="37"/>
      <c r="AC48" s="3"/>
      <c r="AD48" s="17"/>
      <c r="AF48" s="17"/>
      <c r="AH48" s="14" t="s">
        <v>198</v>
      </c>
      <c r="AI48" s="15"/>
      <c r="AJ48" s="10"/>
      <c r="AK48" s="11" t="str">
        <f>"TEST_"&amp;TEXT(RIGHT(AK37,2)+1, "00")</f>
        <v>TEST_71</v>
      </c>
      <c r="AL48" s="36" t="s">
        <v>196</v>
      </c>
      <c r="AM48" s="36"/>
      <c r="AN48" s="36"/>
      <c r="AO48" s="37" t="s">
        <v>195</v>
      </c>
      <c r="AP48" s="37"/>
      <c r="AQ48" s="37"/>
      <c r="AR48" s="3"/>
      <c r="AS48" s="17"/>
    </row>
    <row r="49" spans="2:45" x14ac:dyDescent="0.2">
      <c r="B49" s="17"/>
      <c r="D49" s="12" t="s">
        <v>1</v>
      </c>
      <c r="E49" s="13" t="str">
        <f>VLOOKUP(LOWER(G48),experiments_specs!$A:$J,2,FALSE)</f>
        <v>NN,RB</v>
      </c>
      <c r="F49" s="16" t="str">
        <f>"{"&amp;LOWER(G48)&amp;".csv}"</f>
        <v>{test_59.csv}</v>
      </c>
      <c r="G49" s="9" t="s">
        <v>190</v>
      </c>
      <c r="H49" s="4" t="s">
        <v>191</v>
      </c>
      <c r="I49" s="4" t="s">
        <v>192</v>
      </c>
      <c r="J49" s="4" t="s">
        <v>193</v>
      </c>
      <c r="K49" s="5" t="s">
        <v>194</v>
      </c>
      <c r="L49" s="5" t="s">
        <v>192</v>
      </c>
      <c r="M49" s="5" t="s">
        <v>193</v>
      </c>
      <c r="O49" s="17"/>
      <c r="Q49" s="17"/>
      <c r="S49" s="12" t="s">
        <v>1</v>
      </c>
      <c r="T49" s="13" t="str">
        <f>VLOOKUP(LOWER(V48),experiments_specs!$A:$J,2,FALSE)</f>
        <v>NN,RB</v>
      </c>
      <c r="U49" s="16" t="str">
        <f>"{"&amp;LOWER(V48)&amp;".csv}"</f>
        <v>{test_65.csv}</v>
      </c>
      <c r="V49" s="9" t="s">
        <v>190</v>
      </c>
      <c r="W49" s="4" t="s">
        <v>191</v>
      </c>
      <c r="X49" s="4" t="s">
        <v>192</v>
      </c>
      <c r="Y49" s="4" t="s">
        <v>193</v>
      </c>
      <c r="Z49" s="5" t="s">
        <v>194</v>
      </c>
      <c r="AA49" s="5" t="s">
        <v>192</v>
      </c>
      <c r="AB49" s="5" t="s">
        <v>193</v>
      </c>
      <c r="AD49" s="17"/>
      <c r="AF49" s="17"/>
      <c r="AH49" s="12" t="s">
        <v>1</v>
      </c>
      <c r="AI49" s="13" t="str">
        <f>VLOOKUP(LOWER(AK48),experiments_specs!$A:$J,2,FALSE)</f>
        <v>NN,RB</v>
      </c>
      <c r="AJ49" s="16" t="str">
        <f>"{"&amp;LOWER(AK48)&amp;".csv}"</f>
        <v>{test_71.csv}</v>
      </c>
      <c r="AK49" s="9" t="s">
        <v>190</v>
      </c>
      <c r="AL49" s="4" t="s">
        <v>191</v>
      </c>
      <c r="AM49" s="4" t="s">
        <v>192</v>
      </c>
      <c r="AN49" s="4" t="s">
        <v>193</v>
      </c>
      <c r="AO49" s="5" t="s">
        <v>194</v>
      </c>
      <c r="AP49" s="5" t="s">
        <v>192</v>
      </c>
      <c r="AQ49" s="5" t="s">
        <v>193</v>
      </c>
      <c r="AS49" s="17"/>
    </row>
    <row r="50" spans="2:45" x14ac:dyDescent="0.2">
      <c r="B50" s="17"/>
      <c r="D50" s="12" t="s">
        <v>2</v>
      </c>
      <c r="E50" s="13">
        <f>VLOOKUP(LOWER(G48),experiments_specs!$A:$J,3,FALSE)</f>
        <v>1</v>
      </c>
      <c r="F50" s="16" t="s">
        <v>176</v>
      </c>
      <c r="G50" s="6"/>
      <c r="H50" s="18"/>
      <c r="I50" s="18"/>
      <c r="J50" s="26"/>
      <c r="K50" s="22"/>
      <c r="L50" s="22"/>
      <c r="M50" s="29"/>
      <c r="O50" s="17"/>
      <c r="Q50" s="17"/>
      <c r="S50" s="12" t="s">
        <v>2</v>
      </c>
      <c r="T50" s="13">
        <f>VLOOKUP(LOWER(V48),experiments_specs!$A:$J,3,FALSE)</f>
        <v>1</v>
      </c>
      <c r="U50" s="16" t="s">
        <v>182</v>
      </c>
      <c r="V50" s="6" t="s">
        <v>19</v>
      </c>
      <c r="W50" s="18"/>
      <c r="X50" s="18"/>
      <c r="Y50" s="26"/>
      <c r="Z50" s="22"/>
      <c r="AA50" s="22"/>
      <c r="AB50" s="29"/>
      <c r="AD50" s="17"/>
      <c r="AF50" s="17"/>
      <c r="AH50" s="12" t="s">
        <v>2</v>
      </c>
      <c r="AI50" s="13">
        <f>VLOOKUP(LOWER(AK48),experiments_specs!$A:$J,3,FALSE)</f>
        <v>1</v>
      </c>
      <c r="AJ50" s="16" t="s">
        <v>188</v>
      </c>
      <c r="AK50" s="6"/>
      <c r="AL50" s="18"/>
      <c r="AM50" s="18"/>
      <c r="AN50" s="26"/>
      <c r="AO50" s="22"/>
      <c r="AP50" s="22"/>
      <c r="AQ50" s="29"/>
      <c r="AS50" s="17"/>
    </row>
    <row r="51" spans="2:45" x14ac:dyDescent="0.2">
      <c r="B51" s="17"/>
      <c r="D51" s="12" t="s">
        <v>3</v>
      </c>
      <c r="E51" s="13">
        <f>VLOOKUP(LOWER(G48),experiments_specs!$A:$J,4,FALSE)</f>
        <v>2</v>
      </c>
      <c r="F51" s="16" t="s">
        <v>176</v>
      </c>
      <c r="G51" s="7"/>
      <c r="H51" s="19"/>
      <c r="I51" s="19"/>
      <c r="J51" s="27"/>
      <c r="K51" s="23"/>
      <c r="L51" s="23"/>
      <c r="M51" s="30"/>
      <c r="O51" s="17"/>
      <c r="Q51" s="17"/>
      <c r="S51" s="12" t="s">
        <v>3</v>
      </c>
      <c r="T51" s="13">
        <f>VLOOKUP(LOWER(V48),experiments_specs!$A:$J,4,FALSE)</f>
        <v>2</v>
      </c>
      <c r="U51" s="16" t="s">
        <v>182</v>
      </c>
      <c r="V51" s="7" t="s">
        <v>12</v>
      </c>
      <c r="W51" s="19"/>
      <c r="X51" s="19"/>
      <c r="Y51" s="27"/>
      <c r="Z51" s="24"/>
      <c r="AA51" s="24"/>
      <c r="AB51" s="30"/>
      <c r="AD51" s="17"/>
      <c r="AF51" s="17"/>
      <c r="AH51" s="12" t="s">
        <v>3</v>
      </c>
      <c r="AI51" s="13">
        <f>VLOOKUP(LOWER(AK48),experiments_specs!$A:$J,4,FALSE)</f>
        <v>2</v>
      </c>
      <c r="AJ51" s="16" t="s">
        <v>188</v>
      </c>
      <c r="AK51" s="7"/>
      <c r="AL51" s="19"/>
      <c r="AM51" s="19"/>
      <c r="AN51" s="27"/>
      <c r="AO51" s="24"/>
      <c r="AP51" s="24"/>
      <c r="AQ51" s="30"/>
      <c r="AS51" s="17"/>
    </row>
    <row r="52" spans="2:45" x14ac:dyDescent="0.2">
      <c r="B52" s="17"/>
      <c r="D52" s="12" t="s">
        <v>4</v>
      </c>
      <c r="E52" s="13" t="str">
        <f>VLOOKUP(LOWER(G48),experiments_specs!$A:$J,5,FALSE)</f>
        <v>False</v>
      </c>
      <c r="F52" s="16" t="s">
        <v>176</v>
      </c>
      <c r="G52" s="7"/>
      <c r="H52" s="20"/>
      <c r="I52" s="20"/>
      <c r="J52" s="27"/>
      <c r="K52" s="23"/>
      <c r="L52" s="23"/>
      <c r="M52" s="30"/>
      <c r="O52" s="17"/>
      <c r="Q52" s="17"/>
      <c r="S52" s="12" t="s">
        <v>4</v>
      </c>
      <c r="T52" s="13" t="str">
        <f>VLOOKUP(LOWER(V48),experiments_specs!$A:$J,5,FALSE)</f>
        <v>True</v>
      </c>
      <c r="U52" s="16" t="s">
        <v>182</v>
      </c>
      <c r="V52" s="7" t="s">
        <v>13</v>
      </c>
      <c r="W52" s="20"/>
      <c r="X52" s="20"/>
      <c r="Y52" s="27"/>
      <c r="Z52" s="23"/>
      <c r="AA52" s="23"/>
      <c r="AB52" s="30"/>
      <c r="AD52" s="17"/>
      <c r="AF52" s="17"/>
      <c r="AH52" s="12" t="s">
        <v>4</v>
      </c>
      <c r="AI52" s="13" t="str">
        <f>VLOOKUP(LOWER(AK48),experiments_specs!$A:$J,5,FALSE)</f>
        <v>True</v>
      </c>
      <c r="AJ52" s="16" t="s">
        <v>188</v>
      </c>
      <c r="AK52" s="7"/>
      <c r="AL52" s="20"/>
      <c r="AM52" s="20"/>
      <c r="AN52" s="27"/>
      <c r="AO52" s="23"/>
      <c r="AP52" s="23"/>
      <c r="AQ52" s="30"/>
      <c r="AS52" s="17"/>
    </row>
    <row r="53" spans="2:45" x14ac:dyDescent="0.2">
      <c r="B53" s="17"/>
      <c r="D53" s="12" t="s">
        <v>5</v>
      </c>
      <c r="E53" s="13" t="str">
        <f>VLOOKUP(LOWER(G48),experiments_specs!$A:$J,6,FALSE)</f>
        <v>False</v>
      </c>
      <c r="F53" s="16" t="s">
        <v>176</v>
      </c>
      <c r="G53" s="7"/>
      <c r="H53" s="20"/>
      <c r="I53" s="20"/>
      <c r="J53" s="27"/>
      <c r="K53" s="23"/>
      <c r="L53" s="23"/>
      <c r="M53" s="30"/>
      <c r="O53" s="17"/>
      <c r="Q53" s="17"/>
      <c r="S53" s="12" t="s">
        <v>5</v>
      </c>
      <c r="T53" s="13" t="str">
        <f>VLOOKUP(LOWER(V48),experiments_specs!$A:$J,6,FALSE)</f>
        <v>False</v>
      </c>
      <c r="U53" s="16" t="s">
        <v>182</v>
      </c>
      <c r="V53" s="7" t="s">
        <v>14</v>
      </c>
      <c r="W53" s="19"/>
      <c r="X53" s="19"/>
      <c r="Y53" s="27"/>
      <c r="Z53" s="24"/>
      <c r="AA53" s="24"/>
      <c r="AB53" s="30"/>
      <c r="AD53" s="17"/>
      <c r="AF53" s="17"/>
      <c r="AH53" s="12" t="s">
        <v>5</v>
      </c>
      <c r="AI53" s="13" t="str">
        <f>VLOOKUP(LOWER(AK48),experiments_specs!$A:$J,6,FALSE)</f>
        <v>False</v>
      </c>
      <c r="AJ53" s="16" t="s">
        <v>188</v>
      </c>
      <c r="AK53" s="7"/>
      <c r="AL53" s="19"/>
      <c r="AM53" s="19"/>
      <c r="AN53" s="27"/>
      <c r="AO53" s="24"/>
      <c r="AP53" s="24"/>
      <c r="AQ53" s="30"/>
      <c r="AS53" s="17"/>
    </row>
    <row r="54" spans="2:45" x14ac:dyDescent="0.2">
      <c r="B54" s="17"/>
      <c r="D54" s="12" t="s">
        <v>6</v>
      </c>
      <c r="E54" s="13" t="str">
        <f>VLOOKUP(LOWER(G48),experiments_specs!$A:$J,7,FALSE)</f>
        <v>True</v>
      </c>
      <c r="F54" s="16" t="s">
        <v>176</v>
      </c>
      <c r="G54" s="7"/>
      <c r="H54" s="20"/>
      <c r="I54" s="20"/>
      <c r="J54" s="27"/>
      <c r="K54" s="24"/>
      <c r="L54" s="24"/>
      <c r="M54" s="30"/>
      <c r="O54" s="17"/>
      <c r="Q54" s="17"/>
      <c r="S54" s="12" t="s">
        <v>6</v>
      </c>
      <c r="T54" s="13" t="str">
        <f>VLOOKUP(LOWER(V48),experiments_specs!$A:$J,7,FALSE)</f>
        <v>True</v>
      </c>
      <c r="U54" s="16" t="s">
        <v>182</v>
      </c>
      <c r="V54" s="7" t="s">
        <v>15</v>
      </c>
      <c r="W54" s="20"/>
      <c r="X54" s="20"/>
      <c r="Y54" s="27"/>
      <c r="Z54" s="24"/>
      <c r="AA54" s="24"/>
      <c r="AB54" s="30"/>
      <c r="AD54" s="17"/>
      <c r="AF54" s="17"/>
      <c r="AH54" s="12" t="s">
        <v>6</v>
      </c>
      <c r="AI54" s="13" t="str">
        <f>VLOOKUP(LOWER(AK48),experiments_specs!$A:$J,7,FALSE)</f>
        <v>True</v>
      </c>
      <c r="AJ54" s="16" t="s">
        <v>188</v>
      </c>
      <c r="AK54" s="7"/>
      <c r="AL54" s="20"/>
      <c r="AM54" s="20"/>
      <c r="AN54" s="27"/>
      <c r="AO54" s="24"/>
      <c r="AP54" s="24"/>
      <c r="AQ54" s="30"/>
      <c r="AS54" s="17"/>
    </row>
    <row r="55" spans="2:45" x14ac:dyDescent="0.2">
      <c r="B55" s="17"/>
      <c r="D55" s="12" t="s">
        <v>7</v>
      </c>
      <c r="E55" s="13" t="str">
        <f>VLOOKUP(LOWER(G48),experiments_specs!$A:$J,8,FALSE)</f>
        <v>False</v>
      </c>
      <c r="F55" s="16" t="s">
        <v>176</v>
      </c>
      <c r="G55" s="7"/>
      <c r="H55" s="20"/>
      <c r="I55" s="20"/>
      <c r="J55" s="27"/>
      <c r="K55" s="24"/>
      <c r="L55" s="24"/>
      <c r="M55" s="30"/>
      <c r="O55" s="17"/>
      <c r="Q55" s="17"/>
      <c r="S55" s="12" t="s">
        <v>7</v>
      </c>
      <c r="T55" s="13" t="str">
        <f>VLOOKUP(LOWER(V48),experiments_specs!$A:$J,8,FALSE)</f>
        <v>False</v>
      </c>
      <c r="U55" s="16" t="s">
        <v>182</v>
      </c>
      <c r="V55" s="7" t="s">
        <v>16</v>
      </c>
      <c r="W55" s="20"/>
      <c r="X55" s="20"/>
      <c r="Y55" s="27"/>
      <c r="Z55" s="24"/>
      <c r="AA55" s="24"/>
      <c r="AB55" s="30"/>
      <c r="AD55" s="17"/>
      <c r="AF55" s="17"/>
      <c r="AH55" s="12" t="s">
        <v>7</v>
      </c>
      <c r="AI55" s="13" t="str">
        <f>VLOOKUP(LOWER(AK48),experiments_specs!$A:$J,8,FALSE)</f>
        <v>False</v>
      </c>
      <c r="AJ55" s="16" t="s">
        <v>188</v>
      </c>
      <c r="AK55" s="7"/>
      <c r="AL55" s="20"/>
      <c r="AM55" s="20"/>
      <c r="AN55" s="27"/>
      <c r="AO55" s="24"/>
      <c r="AP55" s="24"/>
      <c r="AQ55" s="30"/>
      <c r="AS55" s="17"/>
    </row>
    <row r="56" spans="2:45" x14ac:dyDescent="0.2">
      <c r="B56" s="17"/>
      <c r="D56" s="12" t="s">
        <v>8</v>
      </c>
      <c r="E56" s="13" t="str">
        <f>VLOOKUP(LOWER(G48),experiments_specs!$A:$J,9,FALSE)</f>
        <v>wup_similarity</v>
      </c>
      <c r="F56" s="16" t="s">
        <v>176</v>
      </c>
      <c r="G56" s="7"/>
      <c r="H56" s="20"/>
      <c r="I56" s="20"/>
      <c r="J56" s="27"/>
      <c r="K56" s="23"/>
      <c r="L56" s="23"/>
      <c r="M56" s="30"/>
      <c r="O56" s="17"/>
      <c r="Q56" s="17"/>
      <c r="S56" s="12" t="s">
        <v>8</v>
      </c>
      <c r="T56" s="13" t="str">
        <f>VLOOKUP(LOWER(V48),experiments_specs!$A:$J,9,FALSE)</f>
        <v>wup_similarity</v>
      </c>
      <c r="U56" s="16" t="s">
        <v>182</v>
      </c>
      <c r="V56" s="7" t="s">
        <v>17</v>
      </c>
      <c r="W56" s="19"/>
      <c r="X56" s="19"/>
      <c r="Y56" s="27"/>
      <c r="Z56" s="24"/>
      <c r="AA56" s="24"/>
      <c r="AB56" s="30"/>
      <c r="AD56" s="17"/>
      <c r="AF56" s="17"/>
      <c r="AH56" s="12" t="s">
        <v>8</v>
      </c>
      <c r="AI56" s="13" t="str">
        <f>VLOOKUP(LOWER(AK48),experiments_specs!$A:$J,9,FALSE)</f>
        <v>wup_similarity</v>
      </c>
      <c r="AJ56" s="16" t="s">
        <v>188</v>
      </c>
      <c r="AK56" s="7"/>
      <c r="AL56" s="19"/>
      <c r="AM56" s="19"/>
      <c r="AN56" s="27"/>
      <c r="AO56" s="24"/>
      <c r="AP56" s="24"/>
      <c r="AQ56" s="30"/>
      <c r="AS56" s="17"/>
    </row>
    <row r="57" spans="2:45" x14ac:dyDescent="0.2">
      <c r="B57" s="17"/>
      <c r="D57" s="12" t="s">
        <v>9</v>
      </c>
      <c r="E57" s="13" t="str">
        <f>VLOOKUP(LOWER(G48),experiments_specs!$A:$J,10,FALSE)</f>
        <v>False</v>
      </c>
      <c r="F57" s="16" t="s">
        <v>176</v>
      </c>
      <c r="G57" s="8"/>
      <c r="H57" s="21"/>
      <c r="I57" s="21"/>
      <c r="J57" s="28"/>
      <c r="K57" s="25"/>
      <c r="L57" s="25"/>
      <c r="M57" s="31"/>
      <c r="O57" s="17"/>
      <c r="Q57" s="17"/>
      <c r="S57" s="12" t="s">
        <v>9</v>
      </c>
      <c r="T57" s="13" t="str">
        <f>VLOOKUP(LOWER(V48),experiments_specs!$A:$J,10,FALSE)</f>
        <v>False</v>
      </c>
      <c r="U57" s="16" t="s">
        <v>182</v>
      </c>
      <c r="V57" s="8" t="s">
        <v>18</v>
      </c>
      <c r="W57" s="21"/>
      <c r="X57" s="21"/>
      <c r="Y57" s="28"/>
      <c r="Z57" s="25"/>
      <c r="AA57" s="25"/>
      <c r="AB57" s="31"/>
      <c r="AD57" s="17"/>
      <c r="AF57" s="17"/>
      <c r="AH57" s="12" t="s">
        <v>9</v>
      </c>
      <c r="AI57" s="13" t="str">
        <f>VLOOKUP(LOWER(AK48),experiments_specs!$A:$J,10,FALSE)</f>
        <v>True</v>
      </c>
      <c r="AJ57" s="16" t="s">
        <v>188</v>
      </c>
      <c r="AK57" s="8"/>
      <c r="AL57" s="21"/>
      <c r="AM57" s="21"/>
      <c r="AN57" s="28"/>
      <c r="AO57" s="25"/>
      <c r="AP57" s="25"/>
      <c r="AQ57" s="31"/>
      <c r="AS57" s="17"/>
    </row>
    <row r="58" spans="2:45" ht="17" thickBot="1" x14ac:dyDescent="0.25">
      <c r="B58" s="17"/>
      <c r="O58" s="17"/>
      <c r="Q58" s="17"/>
      <c r="AD58" s="17"/>
      <c r="AF58" s="17"/>
      <c r="AS58" s="17"/>
    </row>
    <row r="59" spans="2:45" ht="20" thickBot="1" x14ac:dyDescent="0.3">
      <c r="B59" s="17"/>
      <c r="D59" s="14" t="s">
        <v>198</v>
      </c>
      <c r="E59" s="15"/>
      <c r="F59" s="10"/>
      <c r="G59" s="11" t="str">
        <f>"TEST_"&amp;TEXT(RIGHT(G48,2)+1, "00")</f>
        <v>TEST_60</v>
      </c>
      <c r="H59" s="36" t="s">
        <v>196</v>
      </c>
      <c r="I59" s="36"/>
      <c r="J59" s="36"/>
      <c r="K59" s="37" t="s">
        <v>195</v>
      </c>
      <c r="L59" s="37"/>
      <c r="M59" s="37"/>
      <c r="N59" s="3"/>
      <c r="O59" s="17"/>
      <c r="Q59" s="17"/>
      <c r="S59" s="14" t="s">
        <v>198</v>
      </c>
      <c r="T59" s="15"/>
      <c r="U59" s="10"/>
      <c r="V59" s="11" t="str">
        <f>"TEST_"&amp;TEXT(RIGHT(V48,2)+1, "00")</f>
        <v>TEST_66</v>
      </c>
      <c r="W59" s="36" t="s">
        <v>196</v>
      </c>
      <c r="X59" s="36"/>
      <c r="Y59" s="36"/>
      <c r="Z59" s="37" t="s">
        <v>195</v>
      </c>
      <c r="AA59" s="37"/>
      <c r="AB59" s="37"/>
      <c r="AC59" s="3"/>
      <c r="AD59" s="17"/>
      <c r="AF59" s="17"/>
      <c r="AH59" s="14" t="s">
        <v>198</v>
      </c>
      <c r="AI59" s="15"/>
      <c r="AJ59" s="10"/>
      <c r="AK59" s="11" t="str">
        <f>"TEST_"&amp;TEXT(RIGHT(AK48,2)+1, "00")</f>
        <v>TEST_72</v>
      </c>
      <c r="AL59" s="36" t="s">
        <v>196</v>
      </c>
      <c r="AM59" s="36"/>
      <c r="AN59" s="36"/>
      <c r="AO59" s="37" t="s">
        <v>195</v>
      </c>
      <c r="AP59" s="37"/>
      <c r="AQ59" s="37"/>
      <c r="AR59" s="3"/>
      <c r="AS59" s="17"/>
    </row>
    <row r="60" spans="2:45" x14ac:dyDescent="0.2">
      <c r="B60" s="17"/>
      <c r="D60" s="12" t="s">
        <v>1</v>
      </c>
      <c r="E60" s="13" t="str">
        <f>VLOOKUP(LOWER(G59),experiments_specs!$A:$J,2,FALSE)</f>
        <v>NN,JJ,VB,VBD,VBG,VBN,VBP,VBZ</v>
      </c>
      <c r="F60" s="16" t="str">
        <f>"{"&amp;LOWER(G59)&amp;".csv}"</f>
        <v>{test_60.csv}</v>
      </c>
      <c r="G60" s="9" t="s">
        <v>190</v>
      </c>
      <c r="H60" s="4" t="s">
        <v>191</v>
      </c>
      <c r="I60" s="4" t="s">
        <v>192</v>
      </c>
      <c r="J60" s="4" t="s">
        <v>193</v>
      </c>
      <c r="K60" s="5" t="s">
        <v>194</v>
      </c>
      <c r="L60" s="5" t="s">
        <v>192</v>
      </c>
      <c r="M60" s="5" t="s">
        <v>193</v>
      </c>
      <c r="O60" s="17"/>
      <c r="Q60" s="17"/>
      <c r="S60" s="12" t="s">
        <v>1</v>
      </c>
      <c r="T60" s="13" t="str">
        <f>VLOOKUP(LOWER(V59),experiments_specs!$A:$J,2,FALSE)</f>
        <v>NN,JJ,VB,VBD,VBG,VBN,VBP,VBZ</v>
      </c>
      <c r="U60" s="16" t="str">
        <f>"{"&amp;LOWER(V59)&amp;".csv}"</f>
        <v>{test_66.csv}</v>
      </c>
      <c r="V60" s="9" t="s">
        <v>190</v>
      </c>
      <c r="W60" s="4" t="s">
        <v>191</v>
      </c>
      <c r="X60" s="4" t="s">
        <v>192</v>
      </c>
      <c r="Y60" s="4" t="s">
        <v>193</v>
      </c>
      <c r="Z60" s="5" t="s">
        <v>194</v>
      </c>
      <c r="AA60" s="5" t="s">
        <v>192</v>
      </c>
      <c r="AB60" s="5" t="s">
        <v>193</v>
      </c>
      <c r="AD60" s="17"/>
      <c r="AF60" s="17"/>
      <c r="AH60" s="12" t="s">
        <v>1</v>
      </c>
      <c r="AI60" s="13" t="str">
        <f>VLOOKUP(LOWER(AK59),experiments_specs!$A:$J,2,FALSE)</f>
        <v>NN,JJ,VB,VBD,VBG,VBN,VBP,VBZ</v>
      </c>
      <c r="AJ60" s="16" t="str">
        <f>"{"&amp;LOWER(AK59)&amp;".csv}"</f>
        <v>{test_72.csv}</v>
      </c>
      <c r="AK60" s="9" t="s">
        <v>190</v>
      </c>
      <c r="AL60" s="4" t="s">
        <v>191</v>
      </c>
      <c r="AM60" s="4" t="s">
        <v>192</v>
      </c>
      <c r="AN60" s="4" t="s">
        <v>193</v>
      </c>
      <c r="AO60" s="5" t="s">
        <v>194</v>
      </c>
      <c r="AP60" s="5" t="s">
        <v>192</v>
      </c>
      <c r="AQ60" s="5" t="s">
        <v>193</v>
      </c>
      <c r="AS60" s="17"/>
    </row>
    <row r="61" spans="2:45" x14ac:dyDescent="0.2">
      <c r="B61" s="17"/>
      <c r="D61" s="12" t="s">
        <v>2</v>
      </c>
      <c r="E61" s="13">
        <f>VLOOKUP(LOWER(G59),experiments_specs!$A:$J,3,FALSE)</f>
        <v>1</v>
      </c>
      <c r="F61" s="16" t="s">
        <v>177</v>
      </c>
      <c r="G61" s="6"/>
      <c r="H61" s="18"/>
      <c r="I61" s="18"/>
      <c r="J61" s="26"/>
      <c r="K61" s="22"/>
      <c r="L61" s="22"/>
      <c r="M61" s="29"/>
      <c r="O61" s="17"/>
      <c r="Q61" s="17"/>
      <c r="S61" s="12" t="s">
        <v>2</v>
      </c>
      <c r="T61" s="13">
        <f>VLOOKUP(LOWER(V59),experiments_specs!$A:$J,3,FALSE)</f>
        <v>1</v>
      </c>
      <c r="U61" s="16" t="s">
        <v>183</v>
      </c>
      <c r="V61" s="6" t="s">
        <v>19</v>
      </c>
      <c r="W61" s="18"/>
      <c r="X61" s="18"/>
      <c r="Y61" s="26"/>
      <c r="Z61" s="22"/>
      <c r="AA61" s="22"/>
      <c r="AB61" s="29"/>
      <c r="AD61" s="17"/>
      <c r="AF61" s="17"/>
      <c r="AH61" s="12" t="s">
        <v>2</v>
      </c>
      <c r="AI61" s="13">
        <f>VLOOKUP(LOWER(AK59),experiments_specs!$A:$J,3,FALSE)</f>
        <v>1</v>
      </c>
      <c r="AJ61" s="16" t="s">
        <v>189</v>
      </c>
      <c r="AK61" s="6"/>
      <c r="AL61" s="18"/>
      <c r="AM61" s="18"/>
      <c r="AN61" s="26"/>
      <c r="AO61" s="22"/>
      <c r="AP61" s="22"/>
      <c r="AQ61" s="29"/>
      <c r="AS61" s="17"/>
    </row>
    <row r="62" spans="2:45" x14ac:dyDescent="0.2">
      <c r="B62" s="17"/>
      <c r="D62" s="12" t="s">
        <v>3</v>
      </c>
      <c r="E62" s="13">
        <f>VLOOKUP(LOWER(G59),experiments_specs!$A:$J,4,FALSE)</f>
        <v>2</v>
      </c>
      <c r="F62" s="16" t="s">
        <v>177</v>
      </c>
      <c r="G62" s="7"/>
      <c r="H62" s="19"/>
      <c r="I62" s="19"/>
      <c r="J62" s="27"/>
      <c r="K62" s="23"/>
      <c r="L62" s="23"/>
      <c r="M62" s="30"/>
      <c r="O62" s="17"/>
      <c r="Q62" s="17"/>
      <c r="S62" s="12" t="s">
        <v>3</v>
      </c>
      <c r="T62" s="13">
        <f>VLOOKUP(LOWER(V59),experiments_specs!$A:$J,4,FALSE)</f>
        <v>2</v>
      </c>
      <c r="U62" s="16" t="s">
        <v>183</v>
      </c>
      <c r="V62" s="7" t="s">
        <v>12</v>
      </c>
      <c r="W62" s="19"/>
      <c r="X62" s="19"/>
      <c r="Y62" s="27"/>
      <c r="Z62" s="24"/>
      <c r="AA62" s="24"/>
      <c r="AB62" s="30"/>
      <c r="AD62" s="17"/>
      <c r="AF62" s="17"/>
      <c r="AH62" s="12" t="s">
        <v>3</v>
      </c>
      <c r="AI62" s="13">
        <f>VLOOKUP(LOWER(AK59),experiments_specs!$A:$J,4,FALSE)</f>
        <v>2</v>
      </c>
      <c r="AJ62" s="16" t="s">
        <v>189</v>
      </c>
      <c r="AK62" s="7"/>
      <c r="AL62" s="19"/>
      <c r="AM62" s="19"/>
      <c r="AN62" s="27"/>
      <c r="AO62" s="24"/>
      <c r="AP62" s="24"/>
      <c r="AQ62" s="30"/>
      <c r="AS62" s="17"/>
    </row>
    <row r="63" spans="2:45" x14ac:dyDescent="0.2">
      <c r="B63" s="17"/>
      <c r="D63" s="12" t="s">
        <v>4</v>
      </c>
      <c r="E63" s="13" t="str">
        <f>VLOOKUP(LOWER(G59),experiments_specs!$A:$J,5,FALSE)</f>
        <v>False</v>
      </c>
      <c r="F63" s="16" t="s">
        <v>177</v>
      </c>
      <c r="G63" s="7"/>
      <c r="H63" s="20"/>
      <c r="I63" s="20"/>
      <c r="J63" s="27"/>
      <c r="K63" s="23"/>
      <c r="L63" s="23"/>
      <c r="M63" s="30"/>
      <c r="O63" s="17"/>
      <c r="Q63" s="17"/>
      <c r="S63" s="12" t="s">
        <v>4</v>
      </c>
      <c r="T63" s="13" t="str">
        <f>VLOOKUP(LOWER(V59),experiments_specs!$A:$J,5,FALSE)</f>
        <v>True</v>
      </c>
      <c r="U63" s="16" t="s">
        <v>183</v>
      </c>
      <c r="V63" s="7" t="s">
        <v>13</v>
      </c>
      <c r="W63" s="20"/>
      <c r="X63" s="20"/>
      <c r="Y63" s="27"/>
      <c r="Z63" s="23"/>
      <c r="AA63" s="23"/>
      <c r="AB63" s="30"/>
      <c r="AD63" s="17"/>
      <c r="AF63" s="17"/>
      <c r="AH63" s="12" t="s">
        <v>4</v>
      </c>
      <c r="AI63" s="13" t="str">
        <f>VLOOKUP(LOWER(AK59),experiments_specs!$A:$J,5,FALSE)</f>
        <v>True</v>
      </c>
      <c r="AJ63" s="16" t="s">
        <v>189</v>
      </c>
      <c r="AK63" s="7"/>
      <c r="AL63" s="20"/>
      <c r="AM63" s="20"/>
      <c r="AN63" s="27"/>
      <c r="AO63" s="23"/>
      <c r="AP63" s="23"/>
      <c r="AQ63" s="30"/>
      <c r="AS63" s="17"/>
    </row>
    <row r="64" spans="2:45" x14ac:dyDescent="0.2">
      <c r="B64" s="17"/>
      <c r="D64" s="12" t="s">
        <v>5</v>
      </c>
      <c r="E64" s="13" t="str">
        <f>VLOOKUP(LOWER(G59),experiments_specs!$A:$J,6,FALSE)</f>
        <v>False</v>
      </c>
      <c r="F64" s="16" t="s">
        <v>177</v>
      </c>
      <c r="G64" s="7"/>
      <c r="H64" s="20"/>
      <c r="I64" s="20"/>
      <c r="J64" s="27"/>
      <c r="K64" s="23"/>
      <c r="L64" s="23"/>
      <c r="M64" s="30"/>
      <c r="O64" s="17"/>
      <c r="Q64" s="17"/>
      <c r="S64" s="12" t="s">
        <v>5</v>
      </c>
      <c r="T64" s="13" t="str">
        <f>VLOOKUP(LOWER(V59),experiments_specs!$A:$J,6,FALSE)</f>
        <v>False</v>
      </c>
      <c r="U64" s="16" t="s">
        <v>183</v>
      </c>
      <c r="V64" s="7" t="s">
        <v>14</v>
      </c>
      <c r="W64" s="19"/>
      <c r="X64" s="19"/>
      <c r="Y64" s="27"/>
      <c r="Z64" s="24"/>
      <c r="AA64" s="24"/>
      <c r="AB64" s="30"/>
      <c r="AD64" s="17"/>
      <c r="AF64" s="17"/>
      <c r="AH64" s="12" t="s">
        <v>5</v>
      </c>
      <c r="AI64" s="13" t="str">
        <f>VLOOKUP(LOWER(AK59),experiments_specs!$A:$J,6,FALSE)</f>
        <v>False</v>
      </c>
      <c r="AJ64" s="16" t="s">
        <v>189</v>
      </c>
      <c r="AK64" s="7"/>
      <c r="AL64" s="19"/>
      <c r="AM64" s="19"/>
      <c r="AN64" s="27"/>
      <c r="AO64" s="24"/>
      <c r="AP64" s="24"/>
      <c r="AQ64" s="30"/>
      <c r="AS64" s="17"/>
    </row>
    <row r="65" spans="2:45" x14ac:dyDescent="0.2">
      <c r="B65" s="17"/>
      <c r="D65" s="12" t="s">
        <v>6</v>
      </c>
      <c r="E65" s="13" t="str">
        <f>VLOOKUP(LOWER(G59),experiments_specs!$A:$J,7,FALSE)</f>
        <v>True</v>
      </c>
      <c r="F65" s="16" t="s">
        <v>177</v>
      </c>
      <c r="G65" s="7"/>
      <c r="H65" s="20"/>
      <c r="I65" s="20"/>
      <c r="J65" s="27"/>
      <c r="K65" s="24"/>
      <c r="L65" s="24"/>
      <c r="M65" s="30"/>
      <c r="O65" s="17"/>
      <c r="Q65" s="17"/>
      <c r="S65" s="12" t="s">
        <v>6</v>
      </c>
      <c r="T65" s="13" t="str">
        <f>VLOOKUP(LOWER(V59),experiments_specs!$A:$J,7,FALSE)</f>
        <v>True</v>
      </c>
      <c r="U65" s="16" t="s">
        <v>183</v>
      </c>
      <c r="V65" s="7" t="s">
        <v>15</v>
      </c>
      <c r="W65" s="20"/>
      <c r="X65" s="20"/>
      <c r="Y65" s="27"/>
      <c r="Z65" s="24"/>
      <c r="AA65" s="24"/>
      <c r="AB65" s="30"/>
      <c r="AD65" s="17"/>
      <c r="AF65" s="17"/>
      <c r="AH65" s="12" t="s">
        <v>6</v>
      </c>
      <c r="AI65" s="13" t="str">
        <f>VLOOKUP(LOWER(AK59),experiments_specs!$A:$J,7,FALSE)</f>
        <v>True</v>
      </c>
      <c r="AJ65" s="16" t="s">
        <v>189</v>
      </c>
      <c r="AK65" s="7"/>
      <c r="AL65" s="20"/>
      <c r="AM65" s="20"/>
      <c r="AN65" s="27"/>
      <c r="AO65" s="24"/>
      <c r="AP65" s="24"/>
      <c r="AQ65" s="30"/>
      <c r="AS65" s="17"/>
    </row>
    <row r="66" spans="2:45" x14ac:dyDescent="0.2">
      <c r="B66" s="17"/>
      <c r="D66" s="12" t="s">
        <v>7</v>
      </c>
      <c r="E66" s="13" t="str">
        <f>VLOOKUP(LOWER(G59),experiments_specs!$A:$J,8,FALSE)</f>
        <v>False</v>
      </c>
      <c r="F66" s="16" t="s">
        <v>177</v>
      </c>
      <c r="G66" s="7"/>
      <c r="H66" s="20"/>
      <c r="I66" s="20"/>
      <c r="J66" s="27"/>
      <c r="K66" s="24"/>
      <c r="L66" s="24"/>
      <c r="M66" s="30"/>
      <c r="O66" s="17"/>
      <c r="Q66" s="17"/>
      <c r="S66" s="12" t="s">
        <v>7</v>
      </c>
      <c r="T66" s="13" t="str">
        <f>VLOOKUP(LOWER(V59),experiments_specs!$A:$J,8,FALSE)</f>
        <v>False</v>
      </c>
      <c r="U66" s="16" t="s">
        <v>183</v>
      </c>
      <c r="V66" s="7" t="s">
        <v>16</v>
      </c>
      <c r="W66" s="20"/>
      <c r="X66" s="20"/>
      <c r="Y66" s="27"/>
      <c r="Z66" s="24"/>
      <c r="AA66" s="24"/>
      <c r="AB66" s="30"/>
      <c r="AD66" s="17"/>
      <c r="AF66" s="17"/>
      <c r="AH66" s="12" t="s">
        <v>7</v>
      </c>
      <c r="AI66" s="13" t="str">
        <f>VLOOKUP(LOWER(AK59),experiments_specs!$A:$J,8,FALSE)</f>
        <v>False</v>
      </c>
      <c r="AJ66" s="16" t="s">
        <v>189</v>
      </c>
      <c r="AK66" s="7"/>
      <c r="AL66" s="20"/>
      <c r="AM66" s="20"/>
      <c r="AN66" s="27"/>
      <c r="AO66" s="24"/>
      <c r="AP66" s="24"/>
      <c r="AQ66" s="30"/>
      <c r="AS66" s="17"/>
    </row>
    <row r="67" spans="2:45" x14ac:dyDescent="0.2">
      <c r="B67" s="17"/>
      <c r="D67" s="12" t="s">
        <v>8</v>
      </c>
      <c r="E67" s="13" t="str">
        <f>VLOOKUP(LOWER(G59),experiments_specs!$A:$J,9,FALSE)</f>
        <v>wup_similarity</v>
      </c>
      <c r="F67" s="16" t="s">
        <v>177</v>
      </c>
      <c r="G67" s="7"/>
      <c r="H67" s="20"/>
      <c r="I67" s="20"/>
      <c r="J67" s="27"/>
      <c r="K67" s="23"/>
      <c r="L67" s="23"/>
      <c r="M67" s="30"/>
      <c r="O67" s="17"/>
      <c r="Q67" s="17"/>
      <c r="S67" s="12" t="s">
        <v>8</v>
      </c>
      <c r="T67" s="13" t="str">
        <f>VLOOKUP(LOWER(V59),experiments_specs!$A:$J,9,FALSE)</f>
        <v>wup_similarity</v>
      </c>
      <c r="U67" s="16" t="s">
        <v>183</v>
      </c>
      <c r="V67" s="7" t="s">
        <v>17</v>
      </c>
      <c r="W67" s="20"/>
      <c r="X67" s="20"/>
      <c r="Y67" s="27"/>
      <c r="Z67" s="23"/>
      <c r="AA67" s="23"/>
      <c r="AB67" s="30"/>
      <c r="AD67" s="17"/>
      <c r="AF67" s="17"/>
      <c r="AH67" s="12" t="s">
        <v>8</v>
      </c>
      <c r="AI67" s="13" t="str">
        <f>VLOOKUP(LOWER(AK59),experiments_specs!$A:$J,9,FALSE)</f>
        <v>wup_similarity</v>
      </c>
      <c r="AJ67" s="16" t="s">
        <v>189</v>
      </c>
      <c r="AK67" s="7"/>
      <c r="AL67" s="19"/>
      <c r="AM67" s="19"/>
      <c r="AN67" s="27"/>
      <c r="AO67" s="24"/>
      <c r="AP67" s="24"/>
      <c r="AQ67" s="30"/>
      <c r="AS67" s="17"/>
    </row>
    <row r="68" spans="2:45" x14ac:dyDescent="0.2">
      <c r="B68" s="17"/>
      <c r="D68" s="12" t="s">
        <v>9</v>
      </c>
      <c r="E68" s="13" t="str">
        <f>VLOOKUP(LOWER(G59),experiments_specs!$A:$J,10,FALSE)</f>
        <v>False</v>
      </c>
      <c r="F68" s="16" t="s">
        <v>177</v>
      </c>
      <c r="G68" s="8"/>
      <c r="H68" s="21"/>
      <c r="I68" s="21"/>
      <c r="J68" s="28"/>
      <c r="K68" s="25"/>
      <c r="L68" s="25"/>
      <c r="M68" s="31"/>
      <c r="O68" s="17"/>
      <c r="Q68" s="17"/>
      <c r="S68" s="12" t="s">
        <v>9</v>
      </c>
      <c r="T68" s="13" t="str">
        <f>VLOOKUP(LOWER(V59),experiments_specs!$A:$J,10,FALSE)</f>
        <v>False</v>
      </c>
      <c r="U68" s="16" t="s">
        <v>183</v>
      </c>
      <c r="V68" s="8" t="s">
        <v>18</v>
      </c>
      <c r="W68" s="21"/>
      <c r="X68" s="21"/>
      <c r="Y68" s="28"/>
      <c r="Z68" s="25"/>
      <c r="AA68" s="25"/>
      <c r="AB68" s="31"/>
      <c r="AD68" s="17"/>
      <c r="AF68" s="17"/>
      <c r="AH68" s="12" t="s">
        <v>9</v>
      </c>
      <c r="AI68" s="13" t="str">
        <f>VLOOKUP(LOWER(AK59),experiments_specs!$A:$J,10,FALSE)</f>
        <v>True</v>
      </c>
      <c r="AJ68" s="16" t="s">
        <v>189</v>
      </c>
      <c r="AK68" s="8"/>
      <c r="AL68" s="21"/>
      <c r="AM68" s="21"/>
      <c r="AN68" s="28"/>
      <c r="AO68" s="25"/>
      <c r="AP68" s="25"/>
      <c r="AQ68" s="31"/>
      <c r="AS68" s="17"/>
    </row>
    <row r="69" spans="2:45" x14ac:dyDescent="0.2">
      <c r="B69" s="17"/>
      <c r="O69" s="17"/>
      <c r="Q69" s="17"/>
      <c r="AD69" s="17"/>
      <c r="AF69" s="17"/>
      <c r="AS69" s="17"/>
    </row>
    <row r="70" spans="2:45" x14ac:dyDescent="0.2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</sheetData>
  <mergeCells count="39">
    <mergeCell ref="AO59:AQ59"/>
    <mergeCell ref="H48:J48"/>
    <mergeCell ref="K48:M48"/>
    <mergeCell ref="W48:Y48"/>
    <mergeCell ref="Z48:AB48"/>
    <mergeCell ref="AL48:AN48"/>
    <mergeCell ref="AO48:AQ48"/>
    <mergeCell ref="H59:J59"/>
    <mergeCell ref="K59:M59"/>
    <mergeCell ref="W59:Y59"/>
    <mergeCell ref="Z59:AB59"/>
    <mergeCell ref="AL59:AN59"/>
    <mergeCell ref="AO37:AQ37"/>
    <mergeCell ref="H26:J26"/>
    <mergeCell ref="K26:M26"/>
    <mergeCell ref="W26:Y26"/>
    <mergeCell ref="Z26:AB26"/>
    <mergeCell ref="AL26:AN26"/>
    <mergeCell ref="AO26:AQ26"/>
    <mergeCell ref="H37:J37"/>
    <mergeCell ref="K37:M37"/>
    <mergeCell ref="W37:Y37"/>
    <mergeCell ref="Z37:AB37"/>
    <mergeCell ref="AL37:AN37"/>
    <mergeCell ref="AO15:AQ15"/>
    <mergeCell ref="D2:M2"/>
    <mergeCell ref="S2:AB2"/>
    <mergeCell ref="AH2:AQ2"/>
    <mergeCell ref="H4:J4"/>
    <mergeCell ref="K4:M4"/>
    <mergeCell ref="W4:Y4"/>
    <mergeCell ref="Z4:AB4"/>
    <mergeCell ref="AL4:AN4"/>
    <mergeCell ref="AO4:AQ4"/>
    <mergeCell ref="H15:J15"/>
    <mergeCell ref="K15:M15"/>
    <mergeCell ref="W15:Y15"/>
    <mergeCell ref="Z15:AB15"/>
    <mergeCell ref="AL15:AN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AE84-955B-B44B-9786-7EFAA76D5F17}">
  <sheetPr codeName="Foglio7"/>
  <dimension ref="B2:AS70"/>
  <sheetViews>
    <sheetView workbookViewId="0">
      <selection activeCell="AK61" sqref="AK61:AQ68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9" width="25.83203125" customWidth="1"/>
    <col min="10" max="10" width="12.1640625" bestFit="1" customWidth="1"/>
    <col min="11" max="12" width="25.83203125" customWidth="1"/>
    <col min="13" max="13" width="12.1640625" bestFit="1" customWidth="1"/>
    <col min="14" max="18" width="3.1640625" customWidth="1"/>
    <col min="19" max="19" width="22.33203125" bestFit="1" customWidth="1"/>
    <col min="20" max="20" width="29" bestFit="1" customWidth="1"/>
    <col min="21" max="21" width="1.83203125" customWidth="1"/>
    <col min="22" max="22" width="24.1640625" bestFit="1" customWidth="1"/>
    <col min="23" max="24" width="25.83203125" customWidth="1"/>
    <col min="25" max="25" width="12.1640625" bestFit="1" customWidth="1"/>
    <col min="26" max="27" width="25.83203125" customWidth="1"/>
    <col min="28" max="28" width="12.1640625" bestFit="1" customWidth="1"/>
    <col min="29" max="33" width="3.1640625" customWidth="1"/>
    <col min="34" max="34" width="22.33203125" bestFit="1" customWidth="1"/>
    <col min="35" max="35" width="29" bestFit="1" customWidth="1"/>
    <col min="36" max="36" width="1.83203125" customWidth="1"/>
    <col min="37" max="37" width="24.1640625" bestFit="1" customWidth="1"/>
    <col min="38" max="39" width="25.83203125" customWidth="1"/>
    <col min="40" max="40" width="12.1640625" bestFit="1" customWidth="1"/>
    <col min="41" max="42" width="25.83203125" customWidth="1"/>
    <col min="43" max="43" width="12.1640625" bestFit="1" customWidth="1"/>
    <col min="44" max="45" width="3.1640625" customWidth="1"/>
  </cols>
  <sheetData>
    <row r="2" spans="2:45" ht="19" x14ac:dyDescent="0.25">
      <c r="B2" s="17"/>
      <c r="C2" s="17"/>
      <c r="D2" s="38" t="s">
        <v>199</v>
      </c>
      <c r="E2" s="38"/>
      <c r="F2" s="38"/>
      <c r="G2" s="38"/>
      <c r="H2" s="38"/>
      <c r="I2" s="38"/>
      <c r="J2" s="38"/>
      <c r="K2" s="38"/>
      <c r="L2" s="38"/>
      <c r="M2" s="38"/>
      <c r="N2" s="17"/>
      <c r="O2" s="17"/>
      <c r="Q2" s="17"/>
      <c r="R2" s="17"/>
      <c r="S2" s="38" t="s">
        <v>200</v>
      </c>
      <c r="T2" s="38"/>
      <c r="U2" s="38"/>
      <c r="V2" s="38"/>
      <c r="W2" s="38"/>
      <c r="X2" s="38"/>
      <c r="Y2" s="38"/>
      <c r="Z2" s="38"/>
      <c r="AA2" s="38"/>
      <c r="AB2" s="38"/>
      <c r="AC2" s="17"/>
      <c r="AD2" s="17"/>
      <c r="AF2" s="17"/>
      <c r="AG2" s="17"/>
      <c r="AH2" s="38" t="s">
        <v>201</v>
      </c>
      <c r="AI2" s="38"/>
      <c r="AJ2" s="38"/>
      <c r="AK2" s="38"/>
      <c r="AL2" s="38"/>
      <c r="AM2" s="38"/>
      <c r="AN2" s="38"/>
      <c r="AO2" s="38"/>
      <c r="AP2" s="38"/>
      <c r="AQ2" s="38"/>
      <c r="AR2" s="17"/>
      <c r="AS2" s="17"/>
    </row>
    <row r="3" spans="2:45" ht="17" thickBot="1" x14ac:dyDescent="0.25">
      <c r="B3" s="17"/>
      <c r="O3" s="17"/>
      <c r="Q3" s="17"/>
      <c r="AD3" s="17"/>
      <c r="AF3" s="17"/>
      <c r="AS3" s="17"/>
    </row>
    <row r="4" spans="2:45" ht="20" thickBot="1" x14ac:dyDescent="0.3">
      <c r="B4" s="17"/>
      <c r="D4" s="14" t="s">
        <v>198</v>
      </c>
      <c r="E4" s="15"/>
      <c r="F4" s="10"/>
      <c r="G4" s="11" t="s">
        <v>256</v>
      </c>
      <c r="H4" s="36" t="s">
        <v>196</v>
      </c>
      <c r="I4" s="36"/>
      <c r="J4" s="36"/>
      <c r="K4" s="37" t="s">
        <v>195</v>
      </c>
      <c r="L4" s="37"/>
      <c r="M4" s="37"/>
      <c r="N4" s="3"/>
      <c r="O4" s="17"/>
      <c r="Q4" s="17"/>
      <c r="S4" s="14" t="s">
        <v>198</v>
      </c>
      <c r="T4" s="15"/>
      <c r="U4" s="10"/>
      <c r="V4" s="11" t="str">
        <f>"TEST_"&amp;TEXT(RIGHT(G59,2)+1, "00")</f>
        <v>TEST_79</v>
      </c>
      <c r="W4" s="36" t="s">
        <v>196</v>
      </c>
      <c r="X4" s="36"/>
      <c r="Y4" s="36"/>
      <c r="Z4" s="37" t="s">
        <v>195</v>
      </c>
      <c r="AA4" s="37"/>
      <c r="AB4" s="37"/>
      <c r="AC4" s="3"/>
      <c r="AD4" s="17"/>
      <c r="AF4" s="17"/>
      <c r="AH4" s="14" t="s">
        <v>198</v>
      </c>
      <c r="AI4" s="15"/>
      <c r="AJ4" s="10"/>
      <c r="AK4" s="11" t="str">
        <f>"TEST_"&amp;TEXT(RIGHT(V59,2)+1, "00")</f>
        <v>TEST_85</v>
      </c>
      <c r="AL4" s="36" t="s">
        <v>196</v>
      </c>
      <c r="AM4" s="36"/>
      <c r="AN4" s="36"/>
      <c r="AO4" s="37" t="s">
        <v>195</v>
      </c>
      <c r="AP4" s="37"/>
      <c r="AQ4" s="37"/>
      <c r="AR4" s="3"/>
      <c r="AS4" s="17"/>
    </row>
    <row r="5" spans="2:45" x14ac:dyDescent="0.2">
      <c r="B5" s="17"/>
      <c r="D5" s="12" t="s">
        <v>1</v>
      </c>
      <c r="E5" s="13" t="str">
        <f>VLOOKUP(LOWER(G4),experiments_specs!$A:$J,2,FALSE)</f>
        <v>NN</v>
      </c>
      <c r="F5" s="16" t="str">
        <f>"{"&amp;LOWER(G4)&amp;".csv}"</f>
        <v>{test_73.csv}</v>
      </c>
      <c r="G5" s="9" t="s">
        <v>190</v>
      </c>
      <c r="H5" s="4" t="s">
        <v>191</v>
      </c>
      <c r="I5" s="4" t="s">
        <v>192</v>
      </c>
      <c r="J5" s="4" t="s">
        <v>193</v>
      </c>
      <c r="K5" s="5" t="s">
        <v>194</v>
      </c>
      <c r="L5" s="5" t="s">
        <v>192</v>
      </c>
      <c r="M5" s="5" t="s">
        <v>193</v>
      </c>
      <c r="O5" s="17"/>
      <c r="Q5" s="17"/>
      <c r="S5" s="12" t="s">
        <v>1</v>
      </c>
      <c r="T5" s="13" t="str">
        <f>VLOOKUP(LOWER(V4),experiments_specs!$A:$J,2,FALSE)</f>
        <v>NN</v>
      </c>
      <c r="U5" s="16" t="str">
        <f>"{"&amp;LOWER(V4)&amp;".csv}"</f>
        <v>{test_79.csv}</v>
      </c>
      <c r="V5" s="9" t="s">
        <v>190</v>
      </c>
      <c r="W5" s="4" t="s">
        <v>191</v>
      </c>
      <c r="X5" s="4" t="s">
        <v>192</v>
      </c>
      <c r="Y5" s="4" t="s">
        <v>193</v>
      </c>
      <c r="Z5" s="5" t="s">
        <v>194</v>
      </c>
      <c r="AA5" s="5" t="s">
        <v>192</v>
      </c>
      <c r="AB5" s="5" t="s">
        <v>193</v>
      </c>
      <c r="AD5" s="17"/>
      <c r="AF5" s="17"/>
      <c r="AH5" s="12" t="s">
        <v>1</v>
      </c>
      <c r="AI5" s="13" t="str">
        <f>VLOOKUP(LOWER(AK4),experiments_specs!$A:$J,2,FALSE)</f>
        <v>NN</v>
      </c>
      <c r="AJ5" s="16" t="str">
        <f>"{"&amp;LOWER(AK4)&amp;".csv}"</f>
        <v>{test_85.csv}</v>
      </c>
      <c r="AK5" s="9" t="s">
        <v>190</v>
      </c>
      <c r="AL5" s="4" t="s">
        <v>191</v>
      </c>
      <c r="AM5" s="4" t="s">
        <v>192</v>
      </c>
      <c r="AN5" s="4" t="s">
        <v>193</v>
      </c>
      <c r="AO5" s="5" t="s">
        <v>194</v>
      </c>
      <c r="AP5" s="5" t="s">
        <v>192</v>
      </c>
      <c r="AQ5" s="5" t="s">
        <v>193</v>
      </c>
      <c r="AS5" s="17"/>
    </row>
    <row r="6" spans="2:45" x14ac:dyDescent="0.2">
      <c r="B6" s="17"/>
      <c r="D6" s="12" t="s">
        <v>2</v>
      </c>
      <c r="E6" s="13">
        <f>VLOOKUP(LOWER(G4),experiments_specs!$A:$J,3,FALSE)</f>
        <v>1</v>
      </c>
      <c r="F6" s="16" t="s">
        <v>172</v>
      </c>
      <c r="G6" s="6"/>
      <c r="H6" s="18"/>
      <c r="I6" s="18"/>
      <c r="J6" s="26"/>
      <c r="K6" s="22"/>
      <c r="L6" s="22"/>
      <c r="M6" s="29"/>
      <c r="O6" s="17"/>
      <c r="Q6" s="17"/>
      <c r="S6" s="12" t="s">
        <v>2</v>
      </c>
      <c r="T6" s="13">
        <f>VLOOKUP(LOWER(V4),experiments_specs!$A:$J,3,FALSE)</f>
        <v>1</v>
      </c>
      <c r="U6" s="16" t="s">
        <v>178</v>
      </c>
      <c r="V6" s="6" t="s">
        <v>19</v>
      </c>
      <c r="W6" s="18"/>
      <c r="X6" s="18"/>
      <c r="Y6" s="26"/>
      <c r="Z6" s="22"/>
      <c r="AA6" s="22"/>
      <c r="AB6" s="29"/>
      <c r="AD6" s="17"/>
      <c r="AF6" s="17"/>
      <c r="AH6" s="12" t="s">
        <v>2</v>
      </c>
      <c r="AI6" s="13">
        <f>VLOOKUP(LOWER(AK4),experiments_specs!$A:$J,3,FALSE)</f>
        <v>1</v>
      </c>
      <c r="AJ6" s="16" t="s">
        <v>184</v>
      </c>
      <c r="AK6" s="6"/>
      <c r="AL6" s="18"/>
      <c r="AM6" s="18"/>
      <c r="AN6" s="26"/>
      <c r="AO6" s="22"/>
      <c r="AP6" s="22"/>
      <c r="AQ6" s="29"/>
      <c r="AS6" s="17"/>
    </row>
    <row r="7" spans="2:45" x14ac:dyDescent="0.2">
      <c r="B7" s="17"/>
      <c r="D7" s="12" t="s">
        <v>3</v>
      </c>
      <c r="E7" s="13">
        <f>VLOOKUP(LOWER(G4),experiments_specs!$A:$J,4,FALSE)</f>
        <v>2</v>
      </c>
      <c r="F7" s="16" t="s">
        <v>172</v>
      </c>
      <c r="G7" s="7"/>
      <c r="H7" s="19"/>
      <c r="I7" s="19"/>
      <c r="J7" s="27"/>
      <c r="K7" s="23"/>
      <c r="L7" s="23"/>
      <c r="M7" s="30"/>
      <c r="O7" s="17"/>
      <c r="Q7" s="17"/>
      <c r="S7" s="12" t="s">
        <v>3</v>
      </c>
      <c r="T7" s="13">
        <f>VLOOKUP(LOWER(V4),experiments_specs!$A:$J,4,FALSE)</f>
        <v>2</v>
      </c>
      <c r="U7" s="16" t="s">
        <v>178</v>
      </c>
      <c r="V7" s="7" t="s">
        <v>12</v>
      </c>
      <c r="W7" s="19"/>
      <c r="X7" s="19"/>
      <c r="Y7" s="27"/>
      <c r="Z7" s="23"/>
      <c r="AA7" s="23"/>
      <c r="AB7" s="30"/>
      <c r="AD7" s="17"/>
      <c r="AF7" s="17"/>
      <c r="AH7" s="12" t="s">
        <v>3</v>
      </c>
      <c r="AI7" s="13">
        <f>VLOOKUP(LOWER(AK4),experiments_specs!$A:$J,4,FALSE)</f>
        <v>2</v>
      </c>
      <c r="AJ7" s="16" t="s">
        <v>184</v>
      </c>
      <c r="AK7" s="7"/>
      <c r="AL7" s="19"/>
      <c r="AM7" s="19"/>
      <c r="AN7" s="27"/>
      <c r="AO7" s="23"/>
      <c r="AP7" s="23"/>
      <c r="AQ7" s="30"/>
      <c r="AS7" s="17"/>
    </row>
    <row r="8" spans="2:45" x14ac:dyDescent="0.2">
      <c r="B8" s="17"/>
      <c r="D8" s="12" t="s">
        <v>4</v>
      </c>
      <c r="E8" s="13" t="str">
        <f>VLOOKUP(LOWER(G4),experiments_specs!$A:$J,5,FALSE)</f>
        <v>False</v>
      </c>
      <c r="F8" s="16" t="s">
        <v>172</v>
      </c>
      <c r="G8" s="7"/>
      <c r="H8" s="20"/>
      <c r="I8" s="20"/>
      <c r="J8" s="27"/>
      <c r="K8" s="23"/>
      <c r="L8" s="23"/>
      <c r="M8" s="30"/>
      <c r="O8" s="17"/>
      <c r="Q8" s="17"/>
      <c r="S8" s="12" t="s">
        <v>4</v>
      </c>
      <c r="T8" s="13" t="str">
        <f>VLOOKUP(LOWER(V4),experiments_specs!$A:$J,5,FALSE)</f>
        <v>True</v>
      </c>
      <c r="U8" s="16" t="s">
        <v>178</v>
      </c>
      <c r="V8" s="7" t="s">
        <v>13</v>
      </c>
      <c r="W8" s="20"/>
      <c r="X8" s="20"/>
      <c r="Y8" s="27"/>
      <c r="Z8" s="23"/>
      <c r="AA8" s="23"/>
      <c r="AB8" s="30"/>
      <c r="AD8" s="17"/>
      <c r="AF8" s="17"/>
      <c r="AH8" s="12" t="s">
        <v>4</v>
      </c>
      <c r="AI8" s="13" t="str">
        <f>VLOOKUP(LOWER(AK4),experiments_specs!$A:$J,5,FALSE)</f>
        <v>False</v>
      </c>
      <c r="AJ8" s="16" t="s">
        <v>184</v>
      </c>
      <c r="AK8" s="7"/>
      <c r="AL8" s="20"/>
      <c r="AM8" s="20"/>
      <c r="AN8" s="27"/>
      <c r="AO8" s="23"/>
      <c r="AP8" s="23"/>
      <c r="AQ8" s="30"/>
      <c r="AS8" s="17"/>
    </row>
    <row r="9" spans="2:45" x14ac:dyDescent="0.2">
      <c r="B9" s="17"/>
      <c r="D9" s="12" t="s">
        <v>5</v>
      </c>
      <c r="E9" s="13" t="str">
        <f>VLOOKUP(LOWER(G4),experiments_specs!$A:$J,6,FALSE)</f>
        <v>False</v>
      </c>
      <c r="F9" s="16" t="s">
        <v>172</v>
      </c>
      <c r="G9" s="7"/>
      <c r="H9" s="20"/>
      <c r="I9" s="20"/>
      <c r="J9" s="27"/>
      <c r="K9" s="23"/>
      <c r="L9" s="23"/>
      <c r="M9" s="30"/>
      <c r="O9" s="17"/>
      <c r="Q9" s="17"/>
      <c r="S9" s="12" t="s">
        <v>5</v>
      </c>
      <c r="T9" s="13" t="str">
        <f>VLOOKUP(LOWER(V4),experiments_specs!$A:$J,6,FALSE)</f>
        <v>False</v>
      </c>
      <c r="U9" s="16" t="s">
        <v>178</v>
      </c>
      <c r="V9" s="7" t="s">
        <v>14</v>
      </c>
      <c r="W9" s="20"/>
      <c r="X9" s="20"/>
      <c r="Y9" s="27"/>
      <c r="Z9" s="23"/>
      <c r="AA9" s="23"/>
      <c r="AB9" s="30"/>
      <c r="AD9" s="17"/>
      <c r="AF9" s="17"/>
      <c r="AH9" s="12" t="s">
        <v>5</v>
      </c>
      <c r="AI9" s="13" t="str">
        <f>VLOOKUP(LOWER(AK4),experiments_specs!$A:$J,6,FALSE)</f>
        <v>False</v>
      </c>
      <c r="AJ9" s="16" t="s">
        <v>184</v>
      </c>
      <c r="AK9" s="7"/>
      <c r="AL9" s="20"/>
      <c r="AM9" s="20"/>
      <c r="AN9" s="27"/>
      <c r="AO9" s="23"/>
      <c r="AP9" s="23"/>
      <c r="AQ9" s="30"/>
      <c r="AS9" s="17"/>
    </row>
    <row r="10" spans="2:45" x14ac:dyDescent="0.2">
      <c r="B10" s="17"/>
      <c r="D10" s="12" t="s">
        <v>6</v>
      </c>
      <c r="E10" s="13" t="str">
        <f>VLOOKUP(LOWER(G4),experiments_specs!$A:$J,7,FALSE)</f>
        <v>False</v>
      </c>
      <c r="F10" s="16" t="s">
        <v>172</v>
      </c>
      <c r="G10" s="7"/>
      <c r="H10" s="20"/>
      <c r="I10" s="20"/>
      <c r="J10" s="27"/>
      <c r="K10" s="24"/>
      <c r="L10" s="24"/>
      <c r="M10" s="30"/>
      <c r="O10" s="17"/>
      <c r="Q10" s="17"/>
      <c r="S10" s="12" t="s">
        <v>6</v>
      </c>
      <c r="T10" s="13" t="str">
        <f>VLOOKUP(LOWER(V4),experiments_specs!$A:$J,7,FALSE)</f>
        <v>False</v>
      </c>
      <c r="U10" s="16" t="s">
        <v>178</v>
      </c>
      <c r="V10" s="7" t="s">
        <v>15</v>
      </c>
      <c r="W10" s="20"/>
      <c r="X10" s="20"/>
      <c r="Y10" s="27"/>
      <c r="Z10" s="24"/>
      <c r="AA10" s="24"/>
      <c r="AB10" s="30"/>
      <c r="AD10" s="17"/>
      <c r="AF10" s="17"/>
      <c r="AH10" s="12" t="s">
        <v>6</v>
      </c>
      <c r="AI10" s="13" t="str">
        <f>VLOOKUP(LOWER(AK4),experiments_specs!$A:$J,7,FALSE)</f>
        <v>False</v>
      </c>
      <c r="AJ10" s="16" t="s">
        <v>184</v>
      </c>
      <c r="AK10" s="7"/>
      <c r="AL10" s="20"/>
      <c r="AM10" s="20"/>
      <c r="AN10" s="27"/>
      <c r="AO10" s="24"/>
      <c r="AP10" s="24"/>
      <c r="AQ10" s="30"/>
      <c r="AS10" s="17"/>
    </row>
    <row r="11" spans="2:45" x14ac:dyDescent="0.2">
      <c r="B11" s="17"/>
      <c r="D11" s="12" t="s">
        <v>7</v>
      </c>
      <c r="E11" s="13" t="str">
        <f>VLOOKUP(LOWER(G4),experiments_specs!$A:$J,8,FALSE)</f>
        <v>True</v>
      </c>
      <c r="F11" s="16" t="s">
        <v>172</v>
      </c>
      <c r="G11" s="7"/>
      <c r="H11" s="20"/>
      <c r="I11" s="20"/>
      <c r="J11" s="27"/>
      <c r="K11" s="24"/>
      <c r="L11" s="24"/>
      <c r="M11" s="30"/>
      <c r="O11" s="17"/>
      <c r="Q11" s="17"/>
      <c r="S11" s="12" t="s">
        <v>7</v>
      </c>
      <c r="T11" s="13" t="str">
        <f>VLOOKUP(LOWER(V4),experiments_specs!$A:$J,8,FALSE)</f>
        <v>True</v>
      </c>
      <c r="U11" s="16" t="s">
        <v>178</v>
      </c>
      <c r="V11" s="7" t="s">
        <v>16</v>
      </c>
      <c r="W11" s="20"/>
      <c r="X11" s="20"/>
      <c r="Y11" s="27"/>
      <c r="Z11" s="24"/>
      <c r="AA11" s="24"/>
      <c r="AB11" s="30"/>
      <c r="AD11" s="17"/>
      <c r="AF11" s="17"/>
      <c r="AH11" s="12" t="s">
        <v>7</v>
      </c>
      <c r="AI11" s="13" t="str">
        <f>VLOOKUP(LOWER(AK4),experiments_specs!$A:$J,8,FALSE)</f>
        <v>True</v>
      </c>
      <c r="AJ11" s="16" t="s">
        <v>184</v>
      </c>
      <c r="AK11" s="7"/>
      <c r="AL11" s="20"/>
      <c r="AM11" s="20"/>
      <c r="AN11" s="27"/>
      <c r="AO11" s="24"/>
      <c r="AP11" s="24"/>
      <c r="AQ11" s="30"/>
      <c r="AS11" s="17"/>
    </row>
    <row r="12" spans="2:45" x14ac:dyDescent="0.2">
      <c r="B12" s="17"/>
      <c r="D12" s="12" t="s">
        <v>8</v>
      </c>
      <c r="E12" s="13" t="str">
        <f>VLOOKUP(LOWER(G4),experiments_specs!$A:$J,9,FALSE)</f>
        <v>wup_similarity</v>
      </c>
      <c r="F12" s="16" t="s">
        <v>172</v>
      </c>
      <c r="G12" s="7"/>
      <c r="H12" s="20"/>
      <c r="I12" s="20"/>
      <c r="J12" s="27"/>
      <c r="K12" s="23"/>
      <c r="L12" s="23"/>
      <c r="M12" s="30"/>
      <c r="O12" s="17"/>
      <c r="Q12" s="17"/>
      <c r="S12" s="12" t="s">
        <v>8</v>
      </c>
      <c r="T12" s="13" t="str">
        <f>VLOOKUP(LOWER(V4),experiments_specs!$A:$J,9,FALSE)</f>
        <v>wup_similarity</v>
      </c>
      <c r="U12" s="16" t="s">
        <v>178</v>
      </c>
      <c r="V12" s="7" t="s">
        <v>17</v>
      </c>
      <c r="W12" s="20"/>
      <c r="X12" s="20"/>
      <c r="Y12" s="27"/>
      <c r="Z12" s="23"/>
      <c r="AA12" s="23"/>
      <c r="AB12" s="30"/>
      <c r="AD12" s="17"/>
      <c r="AF12" s="17"/>
      <c r="AH12" s="12" t="s">
        <v>8</v>
      </c>
      <c r="AI12" s="13" t="str">
        <f>VLOOKUP(LOWER(AK4),experiments_specs!$A:$J,9,FALSE)</f>
        <v>wup_similarity</v>
      </c>
      <c r="AJ12" s="16" t="s">
        <v>184</v>
      </c>
      <c r="AK12" s="7"/>
      <c r="AL12" s="20"/>
      <c r="AM12" s="20"/>
      <c r="AN12" s="27"/>
      <c r="AO12" s="23"/>
      <c r="AP12" s="23"/>
      <c r="AQ12" s="30"/>
      <c r="AS12" s="17"/>
    </row>
    <row r="13" spans="2:45" x14ac:dyDescent="0.2">
      <c r="B13" s="17"/>
      <c r="D13" s="12" t="s">
        <v>9</v>
      </c>
      <c r="E13" s="13" t="str">
        <f>VLOOKUP(LOWER(G4),experiments_specs!$A:$J,10,FALSE)</f>
        <v>False</v>
      </c>
      <c r="F13" s="16" t="s">
        <v>172</v>
      </c>
      <c r="G13" s="8"/>
      <c r="H13" s="21"/>
      <c r="I13" s="21"/>
      <c r="J13" s="28"/>
      <c r="K13" s="25"/>
      <c r="L13" s="25"/>
      <c r="M13" s="31"/>
      <c r="O13" s="17"/>
      <c r="Q13" s="17"/>
      <c r="S13" s="12" t="s">
        <v>9</v>
      </c>
      <c r="T13" s="13" t="str">
        <f>VLOOKUP(LOWER(V4),experiments_specs!$A:$J,10,FALSE)</f>
        <v>False</v>
      </c>
      <c r="U13" s="16" t="s">
        <v>178</v>
      </c>
      <c r="V13" s="8" t="s">
        <v>18</v>
      </c>
      <c r="W13" s="21"/>
      <c r="X13" s="21"/>
      <c r="Y13" s="28"/>
      <c r="Z13" s="25"/>
      <c r="AA13" s="25"/>
      <c r="AB13" s="31"/>
      <c r="AD13" s="17"/>
      <c r="AF13" s="17"/>
      <c r="AH13" s="12" t="s">
        <v>9</v>
      </c>
      <c r="AI13" s="13" t="str">
        <f>VLOOKUP(LOWER(AK4),experiments_specs!$A:$J,10,FALSE)</f>
        <v>True</v>
      </c>
      <c r="AJ13" s="16" t="s">
        <v>184</v>
      </c>
      <c r="AK13" s="8"/>
      <c r="AL13" s="21"/>
      <c r="AM13" s="21"/>
      <c r="AN13" s="28"/>
      <c r="AO13" s="25"/>
      <c r="AP13" s="25"/>
      <c r="AQ13" s="31"/>
      <c r="AS13" s="17"/>
    </row>
    <row r="14" spans="2:45" ht="17" thickBot="1" x14ac:dyDescent="0.25">
      <c r="B14" s="17"/>
      <c r="O14" s="17"/>
      <c r="Q14" s="17"/>
      <c r="AD14" s="17"/>
      <c r="AF14" s="17"/>
      <c r="AS14" s="17"/>
    </row>
    <row r="15" spans="2:45" ht="20" thickBot="1" x14ac:dyDescent="0.3">
      <c r="B15" s="17"/>
      <c r="D15" s="14" t="s">
        <v>198</v>
      </c>
      <c r="E15" s="15"/>
      <c r="F15" s="10"/>
      <c r="G15" s="11" t="str">
        <f>"TEST_"&amp;TEXT(RIGHT(G4,2)+1, "00")</f>
        <v>TEST_74</v>
      </c>
      <c r="H15" s="36" t="s">
        <v>196</v>
      </c>
      <c r="I15" s="36"/>
      <c r="J15" s="36"/>
      <c r="K15" s="37" t="s">
        <v>195</v>
      </c>
      <c r="L15" s="37"/>
      <c r="M15" s="37"/>
      <c r="N15" s="3"/>
      <c r="O15" s="17"/>
      <c r="Q15" s="17"/>
      <c r="S15" s="14" t="s">
        <v>198</v>
      </c>
      <c r="T15" s="15"/>
      <c r="U15" s="10"/>
      <c r="V15" s="11" t="str">
        <f>"TEST_"&amp;TEXT(RIGHT(V4,2)+1, "00")</f>
        <v>TEST_80</v>
      </c>
      <c r="W15" s="36" t="s">
        <v>196</v>
      </c>
      <c r="X15" s="36"/>
      <c r="Y15" s="36"/>
      <c r="Z15" s="37" t="s">
        <v>195</v>
      </c>
      <c r="AA15" s="37"/>
      <c r="AB15" s="37"/>
      <c r="AC15" s="3"/>
      <c r="AD15" s="17"/>
      <c r="AF15" s="17"/>
      <c r="AH15" s="14" t="s">
        <v>198</v>
      </c>
      <c r="AI15" s="15"/>
      <c r="AJ15" s="10"/>
      <c r="AK15" s="11" t="str">
        <f>"TEST_"&amp;TEXT(RIGHT(AK4,2)+1, "00")</f>
        <v>TEST_86</v>
      </c>
      <c r="AL15" s="36" t="s">
        <v>196</v>
      </c>
      <c r="AM15" s="36"/>
      <c r="AN15" s="36"/>
      <c r="AO15" s="37" t="s">
        <v>195</v>
      </c>
      <c r="AP15" s="37"/>
      <c r="AQ15" s="37"/>
      <c r="AR15" s="3"/>
      <c r="AS15" s="17"/>
    </row>
    <row r="16" spans="2:45" x14ac:dyDescent="0.2">
      <c r="B16" s="17"/>
      <c r="D16" s="12" t="s">
        <v>1</v>
      </c>
      <c r="E16" s="13" t="str">
        <f>VLOOKUP(LOWER(G15),experiments_specs!$A:$J,2,FALSE)</f>
        <v>NN,JJ</v>
      </c>
      <c r="F16" s="16" t="str">
        <f>"{"&amp;LOWER(G15)&amp;".csv}"</f>
        <v>{test_74.csv}</v>
      </c>
      <c r="G16" s="9" t="s">
        <v>190</v>
      </c>
      <c r="H16" s="4" t="s">
        <v>191</v>
      </c>
      <c r="I16" s="4" t="s">
        <v>192</v>
      </c>
      <c r="J16" s="4" t="s">
        <v>193</v>
      </c>
      <c r="K16" s="5" t="s">
        <v>194</v>
      </c>
      <c r="L16" s="5" t="s">
        <v>192</v>
      </c>
      <c r="M16" s="5" t="s">
        <v>193</v>
      </c>
      <c r="O16" s="17"/>
      <c r="Q16" s="17"/>
      <c r="S16" s="12" t="s">
        <v>1</v>
      </c>
      <c r="T16" s="13" t="str">
        <f>VLOOKUP(LOWER(V15),experiments_specs!$A:$J,2,FALSE)</f>
        <v>NN,JJ</v>
      </c>
      <c r="U16" s="16" t="str">
        <f>"{"&amp;LOWER(V15)&amp;".csv}"</f>
        <v>{test_80.csv}</v>
      </c>
      <c r="V16" s="9" t="s">
        <v>190</v>
      </c>
      <c r="W16" s="4" t="s">
        <v>191</v>
      </c>
      <c r="X16" s="4" t="s">
        <v>192</v>
      </c>
      <c r="Y16" s="4" t="s">
        <v>193</v>
      </c>
      <c r="Z16" s="5" t="s">
        <v>194</v>
      </c>
      <c r="AA16" s="5" t="s">
        <v>192</v>
      </c>
      <c r="AB16" s="5" t="s">
        <v>193</v>
      </c>
      <c r="AD16" s="17"/>
      <c r="AF16" s="17"/>
      <c r="AH16" s="12" t="s">
        <v>1</v>
      </c>
      <c r="AI16" s="13" t="str">
        <f>VLOOKUP(LOWER(AK15),experiments_specs!$A:$J,2,FALSE)</f>
        <v>NN,JJ</v>
      </c>
      <c r="AJ16" s="16" t="str">
        <f>"{"&amp;LOWER(AK15)&amp;".csv}"</f>
        <v>{test_86.csv}</v>
      </c>
      <c r="AK16" s="9" t="s">
        <v>190</v>
      </c>
      <c r="AL16" s="4" t="s">
        <v>191</v>
      </c>
      <c r="AM16" s="4" t="s">
        <v>192</v>
      </c>
      <c r="AN16" s="4" t="s">
        <v>193</v>
      </c>
      <c r="AO16" s="5" t="s">
        <v>194</v>
      </c>
      <c r="AP16" s="5" t="s">
        <v>192</v>
      </c>
      <c r="AQ16" s="5" t="s">
        <v>193</v>
      </c>
      <c r="AS16" s="17"/>
    </row>
    <row r="17" spans="2:45" x14ac:dyDescent="0.2">
      <c r="B17" s="17"/>
      <c r="D17" s="12" t="s">
        <v>2</v>
      </c>
      <c r="E17" s="13">
        <f>VLOOKUP(LOWER(G15),experiments_specs!$A:$J,3,FALSE)</f>
        <v>1</v>
      </c>
      <c r="F17" s="16" t="s">
        <v>173</v>
      </c>
      <c r="G17" s="6"/>
      <c r="H17" s="18"/>
      <c r="I17" s="18"/>
      <c r="J17" s="26"/>
      <c r="K17" s="22"/>
      <c r="L17" s="22"/>
      <c r="M17" s="29"/>
      <c r="O17" s="17"/>
      <c r="Q17" s="17"/>
      <c r="S17" s="12" t="s">
        <v>2</v>
      </c>
      <c r="T17" s="13">
        <f>VLOOKUP(LOWER(V15),experiments_specs!$A:$J,3,FALSE)</f>
        <v>1</v>
      </c>
      <c r="U17" s="16" t="s">
        <v>179</v>
      </c>
      <c r="V17" s="6" t="s">
        <v>19</v>
      </c>
      <c r="W17" s="18"/>
      <c r="X17" s="18"/>
      <c r="Y17" s="26"/>
      <c r="Z17" s="22"/>
      <c r="AA17" s="22"/>
      <c r="AB17" s="29"/>
      <c r="AD17" s="17"/>
      <c r="AF17" s="17"/>
      <c r="AH17" s="12" t="s">
        <v>2</v>
      </c>
      <c r="AI17" s="13">
        <f>VLOOKUP(LOWER(AK15),experiments_specs!$A:$J,3,FALSE)</f>
        <v>1</v>
      </c>
      <c r="AJ17" s="16" t="s">
        <v>185</v>
      </c>
      <c r="AK17" s="6"/>
      <c r="AL17" s="18"/>
      <c r="AM17" s="18"/>
      <c r="AN17" s="26"/>
      <c r="AO17" s="22"/>
      <c r="AP17" s="22"/>
      <c r="AQ17" s="29"/>
      <c r="AS17" s="17"/>
    </row>
    <row r="18" spans="2:45" x14ac:dyDescent="0.2">
      <c r="B18" s="17"/>
      <c r="D18" s="12" t="s">
        <v>3</v>
      </c>
      <c r="E18" s="13">
        <f>VLOOKUP(LOWER(G15),experiments_specs!$A:$J,4,FALSE)</f>
        <v>2</v>
      </c>
      <c r="F18" s="16" t="s">
        <v>173</v>
      </c>
      <c r="G18" s="7"/>
      <c r="H18" s="19"/>
      <c r="I18" s="19"/>
      <c r="J18" s="27"/>
      <c r="K18" s="23"/>
      <c r="L18" s="23"/>
      <c r="M18" s="30"/>
      <c r="O18" s="17"/>
      <c r="Q18" s="17"/>
      <c r="S18" s="12" t="s">
        <v>3</v>
      </c>
      <c r="T18" s="13">
        <f>VLOOKUP(LOWER(V15),experiments_specs!$A:$J,4,FALSE)</f>
        <v>2</v>
      </c>
      <c r="U18" s="16" t="s">
        <v>179</v>
      </c>
      <c r="V18" s="7" t="s">
        <v>12</v>
      </c>
      <c r="W18" s="19"/>
      <c r="X18" s="19"/>
      <c r="Y18" s="27"/>
      <c r="Z18" s="24"/>
      <c r="AA18" s="24"/>
      <c r="AB18" s="30"/>
      <c r="AD18" s="17"/>
      <c r="AF18" s="17"/>
      <c r="AH18" s="12" t="s">
        <v>3</v>
      </c>
      <c r="AI18" s="13">
        <f>VLOOKUP(LOWER(AK15),experiments_specs!$A:$J,4,FALSE)</f>
        <v>2</v>
      </c>
      <c r="AJ18" s="16" t="s">
        <v>185</v>
      </c>
      <c r="AK18" s="7"/>
      <c r="AL18" s="19"/>
      <c r="AM18" s="19"/>
      <c r="AN18" s="27"/>
      <c r="AO18" s="24"/>
      <c r="AP18" s="24"/>
      <c r="AQ18" s="30"/>
      <c r="AS18" s="17"/>
    </row>
    <row r="19" spans="2:45" x14ac:dyDescent="0.2">
      <c r="B19" s="17"/>
      <c r="D19" s="12" t="s">
        <v>4</v>
      </c>
      <c r="E19" s="13" t="str">
        <f>VLOOKUP(LOWER(G15),experiments_specs!$A:$J,5,FALSE)</f>
        <v>False</v>
      </c>
      <c r="F19" s="16" t="s">
        <v>173</v>
      </c>
      <c r="G19" s="7"/>
      <c r="H19" s="20"/>
      <c r="I19" s="20"/>
      <c r="J19" s="27"/>
      <c r="K19" s="23"/>
      <c r="L19" s="23"/>
      <c r="M19" s="30"/>
      <c r="O19" s="17"/>
      <c r="Q19" s="17"/>
      <c r="S19" s="12" t="s">
        <v>4</v>
      </c>
      <c r="T19" s="13" t="str">
        <f>VLOOKUP(LOWER(V15),experiments_specs!$A:$J,5,FALSE)</f>
        <v>True</v>
      </c>
      <c r="U19" s="16" t="s">
        <v>179</v>
      </c>
      <c r="V19" s="7" t="s">
        <v>13</v>
      </c>
      <c r="W19" s="20"/>
      <c r="X19" s="20"/>
      <c r="Y19" s="27"/>
      <c r="Z19" s="23"/>
      <c r="AA19" s="23"/>
      <c r="AB19" s="30"/>
      <c r="AD19" s="17"/>
      <c r="AF19" s="17"/>
      <c r="AH19" s="12" t="s">
        <v>4</v>
      </c>
      <c r="AI19" s="13" t="str">
        <f>VLOOKUP(LOWER(AK15),experiments_specs!$A:$J,5,FALSE)</f>
        <v>True</v>
      </c>
      <c r="AJ19" s="16" t="s">
        <v>185</v>
      </c>
      <c r="AK19" s="7"/>
      <c r="AL19" s="20"/>
      <c r="AM19" s="20"/>
      <c r="AN19" s="27"/>
      <c r="AO19" s="23"/>
      <c r="AP19" s="23"/>
      <c r="AQ19" s="30"/>
      <c r="AS19" s="17"/>
    </row>
    <row r="20" spans="2:45" x14ac:dyDescent="0.2">
      <c r="B20" s="17"/>
      <c r="D20" s="12" t="s">
        <v>5</v>
      </c>
      <c r="E20" s="13" t="str">
        <f>VLOOKUP(LOWER(G15),experiments_specs!$A:$J,6,FALSE)</f>
        <v>False</v>
      </c>
      <c r="F20" s="16" t="s">
        <v>173</v>
      </c>
      <c r="G20" s="7"/>
      <c r="H20" s="20"/>
      <c r="I20" s="20"/>
      <c r="J20" s="27"/>
      <c r="K20" s="23"/>
      <c r="L20" s="23"/>
      <c r="M20" s="30"/>
      <c r="O20" s="17"/>
      <c r="Q20" s="17"/>
      <c r="S20" s="12" t="s">
        <v>5</v>
      </c>
      <c r="T20" s="13" t="str">
        <f>VLOOKUP(LOWER(V15),experiments_specs!$A:$J,6,FALSE)</f>
        <v>False</v>
      </c>
      <c r="U20" s="16" t="s">
        <v>179</v>
      </c>
      <c r="V20" s="7" t="s">
        <v>14</v>
      </c>
      <c r="W20" s="19"/>
      <c r="X20" s="19"/>
      <c r="Y20" s="27"/>
      <c r="Z20" s="24"/>
      <c r="AA20" s="24"/>
      <c r="AB20" s="30"/>
      <c r="AD20" s="17"/>
      <c r="AF20" s="17"/>
      <c r="AH20" s="12" t="s">
        <v>5</v>
      </c>
      <c r="AI20" s="13" t="str">
        <f>VLOOKUP(LOWER(AK15),experiments_specs!$A:$J,6,FALSE)</f>
        <v>False</v>
      </c>
      <c r="AJ20" s="16" t="s">
        <v>185</v>
      </c>
      <c r="AK20" s="7"/>
      <c r="AL20" s="19"/>
      <c r="AM20" s="19"/>
      <c r="AN20" s="27"/>
      <c r="AO20" s="24"/>
      <c r="AP20" s="24"/>
      <c r="AQ20" s="30"/>
      <c r="AS20" s="17"/>
    </row>
    <row r="21" spans="2:45" x14ac:dyDescent="0.2">
      <c r="B21" s="17"/>
      <c r="D21" s="12" t="s">
        <v>6</v>
      </c>
      <c r="E21" s="13" t="str">
        <f>VLOOKUP(LOWER(G15),experiments_specs!$A:$J,7,FALSE)</f>
        <v>False</v>
      </c>
      <c r="F21" s="16" t="s">
        <v>173</v>
      </c>
      <c r="G21" s="7"/>
      <c r="H21" s="20"/>
      <c r="I21" s="20"/>
      <c r="J21" s="27"/>
      <c r="K21" s="24"/>
      <c r="L21" s="24"/>
      <c r="M21" s="30"/>
      <c r="O21" s="17"/>
      <c r="Q21" s="17"/>
      <c r="S21" s="12" t="s">
        <v>6</v>
      </c>
      <c r="T21" s="13" t="str">
        <f>VLOOKUP(LOWER(V15),experiments_specs!$A:$J,7,FALSE)</f>
        <v>False</v>
      </c>
      <c r="U21" s="16" t="s">
        <v>179</v>
      </c>
      <c r="V21" s="7" t="s">
        <v>15</v>
      </c>
      <c r="W21" s="20"/>
      <c r="X21" s="20"/>
      <c r="Y21" s="27"/>
      <c r="Z21" s="24"/>
      <c r="AA21" s="24"/>
      <c r="AB21" s="30"/>
      <c r="AD21" s="17"/>
      <c r="AF21" s="17"/>
      <c r="AH21" s="12" t="s">
        <v>6</v>
      </c>
      <c r="AI21" s="13" t="str">
        <f>VLOOKUP(LOWER(AK15),experiments_specs!$A:$J,7,FALSE)</f>
        <v>False</v>
      </c>
      <c r="AJ21" s="16" t="s">
        <v>185</v>
      </c>
      <c r="AK21" s="7"/>
      <c r="AL21" s="20"/>
      <c r="AM21" s="20"/>
      <c r="AN21" s="27"/>
      <c r="AO21" s="24"/>
      <c r="AP21" s="24"/>
      <c r="AQ21" s="30"/>
      <c r="AS21" s="17"/>
    </row>
    <row r="22" spans="2:45" x14ac:dyDescent="0.2">
      <c r="B22" s="17"/>
      <c r="D22" s="12" t="s">
        <v>7</v>
      </c>
      <c r="E22" s="13" t="str">
        <f>VLOOKUP(LOWER(G15),experiments_specs!$A:$J,8,FALSE)</f>
        <v>True</v>
      </c>
      <c r="F22" s="16" t="s">
        <v>173</v>
      </c>
      <c r="G22" s="7"/>
      <c r="H22" s="20"/>
      <c r="I22" s="20"/>
      <c r="J22" s="27"/>
      <c r="K22" s="24"/>
      <c r="L22" s="24"/>
      <c r="M22" s="30"/>
      <c r="O22" s="17"/>
      <c r="Q22" s="17"/>
      <c r="S22" s="12" t="s">
        <v>7</v>
      </c>
      <c r="T22" s="13" t="str">
        <f>VLOOKUP(LOWER(V15),experiments_specs!$A:$J,8,FALSE)</f>
        <v>True</v>
      </c>
      <c r="U22" s="16" t="s">
        <v>179</v>
      </c>
      <c r="V22" s="7" t="s">
        <v>16</v>
      </c>
      <c r="W22" s="20"/>
      <c r="X22" s="20"/>
      <c r="Y22" s="27"/>
      <c r="Z22" s="24"/>
      <c r="AA22" s="24"/>
      <c r="AB22" s="30"/>
      <c r="AD22" s="17"/>
      <c r="AF22" s="17"/>
      <c r="AH22" s="12" t="s">
        <v>7</v>
      </c>
      <c r="AI22" s="13" t="str">
        <f>VLOOKUP(LOWER(AK15),experiments_specs!$A:$J,8,FALSE)</f>
        <v>True</v>
      </c>
      <c r="AJ22" s="16" t="s">
        <v>185</v>
      </c>
      <c r="AK22" s="7"/>
      <c r="AL22" s="20"/>
      <c r="AM22" s="20"/>
      <c r="AN22" s="27"/>
      <c r="AO22" s="24"/>
      <c r="AP22" s="24"/>
      <c r="AQ22" s="30"/>
      <c r="AS22" s="17"/>
    </row>
    <row r="23" spans="2:45" x14ac:dyDescent="0.2">
      <c r="B23" s="17"/>
      <c r="D23" s="12" t="s">
        <v>8</v>
      </c>
      <c r="E23" s="13" t="str">
        <f>VLOOKUP(LOWER(G15),experiments_specs!$A:$J,9,FALSE)</f>
        <v>wup_similarity</v>
      </c>
      <c r="F23" s="16" t="s">
        <v>173</v>
      </c>
      <c r="G23" s="7"/>
      <c r="H23" s="20"/>
      <c r="I23" s="20"/>
      <c r="J23" s="27"/>
      <c r="K23" s="23"/>
      <c r="L23" s="23"/>
      <c r="M23" s="30"/>
      <c r="O23" s="17"/>
      <c r="Q23" s="17"/>
      <c r="S23" s="12" t="s">
        <v>8</v>
      </c>
      <c r="T23" s="13" t="str">
        <f>VLOOKUP(LOWER(V15),experiments_specs!$A:$J,9,FALSE)</f>
        <v>wup_similarity</v>
      </c>
      <c r="U23" s="16" t="s">
        <v>179</v>
      </c>
      <c r="V23" s="7" t="s">
        <v>17</v>
      </c>
      <c r="W23" s="19"/>
      <c r="X23" s="19"/>
      <c r="Y23" s="27"/>
      <c r="Z23" s="24"/>
      <c r="AA23" s="24"/>
      <c r="AB23" s="30"/>
      <c r="AD23" s="17"/>
      <c r="AF23" s="17"/>
      <c r="AH23" s="12" t="s">
        <v>8</v>
      </c>
      <c r="AI23" s="13" t="str">
        <f>VLOOKUP(LOWER(AK15),experiments_specs!$A:$J,9,FALSE)</f>
        <v>wup_similarity</v>
      </c>
      <c r="AJ23" s="16" t="s">
        <v>185</v>
      </c>
      <c r="AK23" s="7"/>
      <c r="AL23" s="19"/>
      <c r="AM23" s="19"/>
      <c r="AN23" s="27"/>
      <c r="AO23" s="24"/>
      <c r="AP23" s="24"/>
      <c r="AQ23" s="30"/>
      <c r="AS23" s="17"/>
    </row>
    <row r="24" spans="2:45" x14ac:dyDescent="0.2">
      <c r="B24" s="17"/>
      <c r="D24" s="12" t="s">
        <v>9</v>
      </c>
      <c r="E24" s="13" t="str">
        <f>VLOOKUP(LOWER(G15),experiments_specs!$A:$J,10,FALSE)</f>
        <v>False</v>
      </c>
      <c r="F24" s="16" t="s">
        <v>173</v>
      </c>
      <c r="G24" s="8"/>
      <c r="H24" s="21"/>
      <c r="I24" s="21"/>
      <c r="J24" s="28"/>
      <c r="K24" s="25"/>
      <c r="L24" s="25"/>
      <c r="M24" s="31"/>
      <c r="O24" s="17"/>
      <c r="Q24" s="17"/>
      <c r="S24" s="12" t="s">
        <v>9</v>
      </c>
      <c r="T24" s="13" t="str">
        <f>VLOOKUP(LOWER(V15),experiments_specs!$A:$J,10,FALSE)</f>
        <v>False</v>
      </c>
      <c r="U24" s="16" t="s">
        <v>179</v>
      </c>
      <c r="V24" s="8" t="s">
        <v>18</v>
      </c>
      <c r="W24" s="21"/>
      <c r="X24" s="21"/>
      <c r="Y24" s="28"/>
      <c r="Z24" s="25"/>
      <c r="AA24" s="25"/>
      <c r="AB24" s="31"/>
      <c r="AD24" s="17"/>
      <c r="AF24" s="17"/>
      <c r="AH24" s="12" t="s">
        <v>9</v>
      </c>
      <c r="AI24" s="13" t="str">
        <f>VLOOKUP(LOWER(AK15),experiments_specs!$A:$J,10,FALSE)</f>
        <v>True</v>
      </c>
      <c r="AJ24" s="16" t="s">
        <v>185</v>
      </c>
      <c r="AK24" s="8"/>
      <c r="AL24" s="21"/>
      <c r="AM24" s="21"/>
      <c r="AN24" s="28"/>
      <c r="AO24" s="25"/>
      <c r="AP24" s="25"/>
      <c r="AQ24" s="31"/>
      <c r="AS24" s="17"/>
    </row>
    <row r="25" spans="2:45" ht="17" thickBot="1" x14ac:dyDescent="0.25">
      <c r="B25" s="17"/>
      <c r="O25" s="17"/>
      <c r="Q25" s="17"/>
      <c r="AD25" s="17"/>
      <c r="AF25" s="17"/>
      <c r="AS25" s="17"/>
    </row>
    <row r="26" spans="2:45" ht="20" thickBot="1" x14ac:dyDescent="0.3">
      <c r="B26" s="17"/>
      <c r="D26" s="14" t="s">
        <v>198</v>
      </c>
      <c r="E26" s="15"/>
      <c r="F26" s="10"/>
      <c r="G26" s="11" t="str">
        <f>"TEST_"&amp;TEXT(RIGHT(G15,2)+1, "00")</f>
        <v>TEST_75</v>
      </c>
      <c r="H26" s="36" t="s">
        <v>196</v>
      </c>
      <c r="I26" s="36"/>
      <c r="J26" s="36"/>
      <c r="K26" s="37" t="s">
        <v>195</v>
      </c>
      <c r="L26" s="37"/>
      <c r="M26" s="37"/>
      <c r="N26" s="3"/>
      <c r="O26" s="17"/>
      <c r="Q26" s="17"/>
      <c r="S26" s="14" t="s">
        <v>198</v>
      </c>
      <c r="T26" s="15"/>
      <c r="U26" s="10"/>
      <c r="V26" s="11" t="str">
        <f>"TEST_"&amp;TEXT(RIGHT(V15,2)+1, "00")</f>
        <v>TEST_81</v>
      </c>
      <c r="W26" s="36" t="s">
        <v>196</v>
      </c>
      <c r="X26" s="36"/>
      <c r="Y26" s="36"/>
      <c r="Z26" s="37" t="s">
        <v>195</v>
      </c>
      <c r="AA26" s="37"/>
      <c r="AB26" s="37"/>
      <c r="AC26" s="3"/>
      <c r="AD26" s="17"/>
      <c r="AF26" s="17"/>
      <c r="AH26" s="14" t="s">
        <v>198</v>
      </c>
      <c r="AI26" s="15"/>
      <c r="AJ26" s="10"/>
      <c r="AK26" s="11" t="str">
        <f>"TEST_"&amp;TEXT(RIGHT(AK15,2)+1, "00")</f>
        <v>TEST_87</v>
      </c>
      <c r="AL26" s="36" t="s">
        <v>196</v>
      </c>
      <c r="AM26" s="36"/>
      <c r="AN26" s="36"/>
      <c r="AO26" s="37" t="s">
        <v>195</v>
      </c>
      <c r="AP26" s="37"/>
      <c r="AQ26" s="37"/>
      <c r="AR26" s="3"/>
      <c r="AS26" s="17"/>
    </row>
    <row r="27" spans="2:45" x14ac:dyDescent="0.2">
      <c r="B27" s="17"/>
      <c r="D27" s="12" t="s">
        <v>1</v>
      </c>
      <c r="E27" s="13" t="str">
        <f>VLOOKUP(LOWER(G26),experiments_specs!$A:$J,2,FALSE)</f>
        <v>NN,VB</v>
      </c>
      <c r="F27" s="16" t="str">
        <f>"{"&amp;LOWER(G26)&amp;".csv}"</f>
        <v>{test_75.csv}</v>
      </c>
      <c r="G27" s="9" t="s">
        <v>190</v>
      </c>
      <c r="H27" s="4" t="s">
        <v>191</v>
      </c>
      <c r="I27" s="4" t="s">
        <v>192</v>
      </c>
      <c r="J27" s="4" t="s">
        <v>193</v>
      </c>
      <c r="K27" s="5" t="s">
        <v>194</v>
      </c>
      <c r="L27" s="5" t="s">
        <v>192</v>
      </c>
      <c r="M27" s="5" t="s">
        <v>193</v>
      </c>
      <c r="O27" s="17"/>
      <c r="Q27" s="17"/>
      <c r="S27" s="12" t="s">
        <v>1</v>
      </c>
      <c r="T27" s="13" t="str">
        <f>VLOOKUP(LOWER(V26),experiments_specs!$A:$J,2,FALSE)</f>
        <v>NN,VB</v>
      </c>
      <c r="U27" s="16" t="str">
        <f>"{"&amp;LOWER(V26)&amp;".csv}"</f>
        <v>{test_81.csv}</v>
      </c>
      <c r="V27" s="9" t="s">
        <v>190</v>
      </c>
      <c r="W27" s="4" t="s">
        <v>191</v>
      </c>
      <c r="X27" s="4" t="s">
        <v>192</v>
      </c>
      <c r="Y27" s="4" t="s">
        <v>193</v>
      </c>
      <c r="Z27" s="5" t="s">
        <v>194</v>
      </c>
      <c r="AA27" s="5" t="s">
        <v>192</v>
      </c>
      <c r="AB27" s="5" t="s">
        <v>193</v>
      </c>
      <c r="AD27" s="17"/>
      <c r="AF27" s="17"/>
      <c r="AH27" s="12" t="s">
        <v>1</v>
      </c>
      <c r="AI27" s="13" t="str">
        <f>VLOOKUP(LOWER(AK26),experiments_specs!$A:$J,2,FALSE)</f>
        <v>NN,VB</v>
      </c>
      <c r="AJ27" s="16" t="str">
        <f>"{"&amp;LOWER(AK26)&amp;".csv}"</f>
        <v>{test_87.csv}</v>
      </c>
      <c r="AK27" s="9" t="s">
        <v>190</v>
      </c>
      <c r="AL27" s="4" t="s">
        <v>191</v>
      </c>
      <c r="AM27" s="4" t="s">
        <v>192</v>
      </c>
      <c r="AN27" s="4" t="s">
        <v>193</v>
      </c>
      <c r="AO27" s="5" t="s">
        <v>194</v>
      </c>
      <c r="AP27" s="5" t="s">
        <v>192</v>
      </c>
      <c r="AQ27" s="5" t="s">
        <v>193</v>
      </c>
      <c r="AS27" s="17"/>
    </row>
    <row r="28" spans="2:45" x14ac:dyDescent="0.2">
      <c r="B28" s="17"/>
      <c r="D28" s="12" t="s">
        <v>2</v>
      </c>
      <c r="E28" s="13">
        <f>VLOOKUP(LOWER(G26),experiments_specs!$A:$J,3,FALSE)</f>
        <v>1</v>
      </c>
      <c r="F28" s="16" t="s">
        <v>174</v>
      </c>
      <c r="G28" s="6"/>
      <c r="H28" s="18"/>
      <c r="I28" s="18"/>
      <c r="J28" s="26"/>
      <c r="K28" s="22"/>
      <c r="L28" s="22"/>
      <c r="M28" s="29"/>
      <c r="O28" s="17"/>
      <c r="Q28" s="17"/>
      <c r="S28" s="12" t="s">
        <v>2</v>
      </c>
      <c r="T28" s="13">
        <f>VLOOKUP(LOWER(V26),experiments_specs!$A:$J,3,FALSE)</f>
        <v>1</v>
      </c>
      <c r="U28" s="16" t="s">
        <v>180</v>
      </c>
      <c r="V28" s="6" t="s">
        <v>19</v>
      </c>
      <c r="W28" s="18"/>
      <c r="X28" s="18"/>
      <c r="Y28" s="26"/>
      <c r="Z28" s="22"/>
      <c r="AA28" s="22"/>
      <c r="AB28" s="29"/>
      <c r="AD28" s="17"/>
      <c r="AF28" s="17"/>
      <c r="AH28" s="12" t="s">
        <v>2</v>
      </c>
      <c r="AI28" s="13">
        <f>VLOOKUP(LOWER(AK26),experiments_specs!$A:$J,3,FALSE)</f>
        <v>1</v>
      </c>
      <c r="AJ28" s="16" t="s">
        <v>186</v>
      </c>
      <c r="AK28" s="6"/>
      <c r="AL28" s="18"/>
      <c r="AM28" s="18"/>
      <c r="AN28" s="26"/>
      <c r="AO28" s="22"/>
      <c r="AP28" s="22"/>
      <c r="AQ28" s="29"/>
      <c r="AS28" s="17"/>
    </row>
    <row r="29" spans="2:45" x14ac:dyDescent="0.2">
      <c r="B29" s="17"/>
      <c r="D29" s="12" t="s">
        <v>3</v>
      </c>
      <c r="E29" s="13">
        <f>VLOOKUP(LOWER(G26),experiments_specs!$A:$J,4,FALSE)</f>
        <v>2</v>
      </c>
      <c r="F29" s="16" t="s">
        <v>174</v>
      </c>
      <c r="G29" s="7"/>
      <c r="H29" s="19"/>
      <c r="I29" s="19"/>
      <c r="J29" s="27"/>
      <c r="K29" s="23"/>
      <c r="L29" s="23"/>
      <c r="M29" s="30"/>
      <c r="O29" s="17"/>
      <c r="Q29" s="17"/>
      <c r="S29" s="12" t="s">
        <v>3</v>
      </c>
      <c r="T29" s="13">
        <f>VLOOKUP(LOWER(V26),experiments_specs!$A:$J,4,FALSE)</f>
        <v>2</v>
      </c>
      <c r="U29" s="16" t="s">
        <v>180</v>
      </c>
      <c r="V29" s="7" t="s">
        <v>12</v>
      </c>
      <c r="W29" s="19"/>
      <c r="X29" s="19"/>
      <c r="Y29" s="27"/>
      <c r="Z29" s="24"/>
      <c r="AA29" s="24"/>
      <c r="AB29" s="30"/>
      <c r="AD29" s="17"/>
      <c r="AF29" s="17"/>
      <c r="AH29" s="12" t="s">
        <v>3</v>
      </c>
      <c r="AI29" s="13">
        <f>VLOOKUP(LOWER(AK26),experiments_specs!$A:$J,4,FALSE)</f>
        <v>2</v>
      </c>
      <c r="AJ29" s="16" t="s">
        <v>186</v>
      </c>
      <c r="AK29" s="7"/>
      <c r="AL29" s="19"/>
      <c r="AM29" s="19"/>
      <c r="AN29" s="27"/>
      <c r="AO29" s="24"/>
      <c r="AP29" s="24"/>
      <c r="AQ29" s="30"/>
      <c r="AS29" s="17"/>
    </row>
    <row r="30" spans="2:45" x14ac:dyDescent="0.2">
      <c r="B30" s="17"/>
      <c r="D30" s="12" t="s">
        <v>4</v>
      </c>
      <c r="E30" s="13" t="str">
        <f>VLOOKUP(LOWER(G26),experiments_specs!$A:$J,5,FALSE)</f>
        <v>False</v>
      </c>
      <c r="F30" s="16" t="s">
        <v>174</v>
      </c>
      <c r="G30" s="7"/>
      <c r="H30" s="20"/>
      <c r="I30" s="20"/>
      <c r="J30" s="27"/>
      <c r="K30" s="23"/>
      <c r="L30" s="23"/>
      <c r="M30" s="30"/>
      <c r="O30" s="17"/>
      <c r="Q30" s="17"/>
      <c r="S30" s="12" t="s">
        <v>4</v>
      </c>
      <c r="T30" s="13" t="str">
        <f>VLOOKUP(LOWER(V26),experiments_specs!$A:$J,5,FALSE)</f>
        <v>True</v>
      </c>
      <c r="U30" s="16" t="s">
        <v>180</v>
      </c>
      <c r="V30" s="7" t="s">
        <v>13</v>
      </c>
      <c r="W30" s="20"/>
      <c r="X30" s="20"/>
      <c r="Y30" s="27"/>
      <c r="Z30" s="23"/>
      <c r="AA30" s="23"/>
      <c r="AB30" s="30"/>
      <c r="AD30" s="17"/>
      <c r="AF30" s="17"/>
      <c r="AH30" s="12" t="s">
        <v>4</v>
      </c>
      <c r="AI30" s="13" t="str">
        <f>VLOOKUP(LOWER(AK26),experiments_specs!$A:$J,5,FALSE)</f>
        <v>True</v>
      </c>
      <c r="AJ30" s="16" t="s">
        <v>186</v>
      </c>
      <c r="AK30" s="7"/>
      <c r="AL30" s="20"/>
      <c r="AM30" s="20"/>
      <c r="AN30" s="27"/>
      <c r="AO30" s="23"/>
      <c r="AP30" s="23"/>
      <c r="AQ30" s="30"/>
      <c r="AS30" s="17"/>
    </row>
    <row r="31" spans="2:45" x14ac:dyDescent="0.2">
      <c r="B31" s="17"/>
      <c r="D31" s="12" t="s">
        <v>5</v>
      </c>
      <c r="E31" s="13" t="str">
        <f>VLOOKUP(LOWER(G26),experiments_specs!$A:$J,6,FALSE)</f>
        <v>False</v>
      </c>
      <c r="F31" s="16" t="s">
        <v>174</v>
      </c>
      <c r="G31" s="7"/>
      <c r="H31" s="20"/>
      <c r="I31" s="20"/>
      <c r="J31" s="27"/>
      <c r="K31" s="23"/>
      <c r="L31" s="23"/>
      <c r="M31" s="30"/>
      <c r="O31" s="17"/>
      <c r="Q31" s="17"/>
      <c r="S31" s="12" t="s">
        <v>5</v>
      </c>
      <c r="T31" s="13" t="str">
        <f>VLOOKUP(LOWER(V26),experiments_specs!$A:$J,6,FALSE)</f>
        <v>False</v>
      </c>
      <c r="U31" s="16" t="s">
        <v>180</v>
      </c>
      <c r="V31" s="7" t="s">
        <v>14</v>
      </c>
      <c r="W31" s="19"/>
      <c r="X31" s="19"/>
      <c r="Y31" s="27"/>
      <c r="Z31" s="24"/>
      <c r="AA31" s="24"/>
      <c r="AB31" s="30"/>
      <c r="AD31" s="17"/>
      <c r="AF31" s="17"/>
      <c r="AH31" s="12" t="s">
        <v>5</v>
      </c>
      <c r="AI31" s="13" t="str">
        <f>VLOOKUP(LOWER(AK26),experiments_specs!$A:$J,6,FALSE)</f>
        <v>False</v>
      </c>
      <c r="AJ31" s="16" t="s">
        <v>186</v>
      </c>
      <c r="AK31" s="7"/>
      <c r="AL31" s="19"/>
      <c r="AM31" s="19"/>
      <c r="AN31" s="27"/>
      <c r="AO31" s="24"/>
      <c r="AP31" s="24"/>
      <c r="AQ31" s="30"/>
      <c r="AS31" s="17"/>
    </row>
    <row r="32" spans="2:45" x14ac:dyDescent="0.2">
      <c r="B32" s="17"/>
      <c r="D32" s="12" t="s">
        <v>6</v>
      </c>
      <c r="E32" s="13" t="str">
        <f>VLOOKUP(LOWER(G26),experiments_specs!$A:$J,7,FALSE)</f>
        <v>False</v>
      </c>
      <c r="F32" s="16" t="s">
        <v>174</v>
      </c>
      <c r="G32" s="7"/>
      <c r="H32" s="20"/>
      <c r="I32" s="20"/>
      <c r="J32" s="27"/>
      <c r="K32" s="24"/>
      <c r="L32" s="24"/>
      <c r="M32" s="30"/>
      <c r="O32" s="17"/>
      <c r="Q32" s="17"/>
      <c r="S32" s="12" t="s">
        <v>6</v>
      </c>
      <c r="T32" s="13" t="str">
        <f>VLOOKUP(LOWER(V26),experiments_specs!$A:$J,7,FALSE)</f>
        <v>False</v>
      </c>
      <c r="U32" s="16" t="s">
        <v>180</v>
      </c>
      <c r="V32" s="7" t="s">
        <v>15</v>
      </c>
      <c r="W32" s="20"/>
      <c r="X32" s="20"/>
      <c r="Y32" s="27"/>
      <c r="Z32" s="24"/>
      <c r="AA32" s="24"/>
      <c r="AB32" s="30"/>
      <c r="AD32" s="17"/>
      <c r="AF32" s="17"/>
      <c r="AH32" s="12" t="s">
        <v>6</v>
      </c>
      <c r="AI32" s="13" t="str">
        <f>VLOOKUP(LOWER(AK26),experiments_specs!$A:$J,7,FALSE)</f>
        <v>False</v>
      </c>
      <c r="AJ32" s="16" t="s">
        <v>186</v>
      </c>
      <c r="AK32" s="7"/>
      <c r="AL32" s="20"/>
      <c r="AM32" s="20"/>
      <c r="AN32" s="27"/>
      <c r="AO32" s="24"/>
      <c r="AP32" s="24"/>
      <c r="AQ32" s="30"/>
      <c r="AS32" s="17"/>
    </row>
    <row r="33" spans="2:45" x14ac:dyDescent="0.2">
      <c r="B33" s="17"/>
      <c r="D33" s="12" t="s">
        <v>7</v>
      </c>
      <c r="E33" s="13" t="str">
        <f>VLOOKUP(LOWER(G26),experiments_specs!$A:$J,8,FALSE)</f>
        <v>True</v>
      </c>
      <c r="F33" s="16" t="s">
        <v>174</v>
      </c>
      <c r="G33" s="7"/>
      <c r="H33" s="20"/>
      <c r="I33" s="20"/>
      <c r="J33" s="27"/>
      <c r="K33" s="24"/>
      <c r="L33" s="24"/>
      <c r="M33" s="30"/>
      <c r="O33" s="17"/>
      <c r="Q33" s="17"/>
      <c r="S33" s="12" t="s">
        <v>7</v>
      </c>
      <c r="T33" s="13" t="str">
        <f>VLOOKUP(LOWER(V26),experiments_specs!$A:$J,8,FALSE)</f>
        <v>True</v>
      </c>
      <c r="U33" s="16" t="s">
        <v>180</v>
      </c>
      <c r="V33" s="7" t="s">
        <v>16</v>
      </c>
      <c r="W33" s="20"/>
      <c r="X33" s="20"/>
      <c r="Y33" s="27"/>
      <c r="Z33" s="24"/>
      <c r="AA33" s="24"/>
      <c r="AB33" s="30"/>
      <c r="AD33" s="17"/>
      <c r="AF33" s="17"/>
      <c r="AH33" s="12" t="s">
        <v>7</v>
      </c>
      <c r="AI33" s="13" t="str">
        <f>VLOOKUP(LOWER(AK26),experiments_specs!$A:$J,8,FALSE)</f>
        <v>True</v>
      </c>
      <c r="AJ33" s="16" t="s">
        <v>186</v>
      </c>
      <c r="AK33" s="7"/>
      <c r="AL33" s="20"/>
      <c r="AM33" s="20"/>
      <c r="AN33" s="27"/>
      <c r="AO33" s="24"/>
      <c r="AP33" s="24"/>
      <c r="AQ33" s="30"/>
      <c r="AS33" s="17"/>
    </row>
    <row r="34" spans="2:45" x14ac:dyDescent="0.2">
      <c r="B34" s="17"/>
      <c r="D34" s="12" t="s">
        <v>8</v>
      </c>
      <c r="E34" s="13" t="str">
        <f>VLOOKUP(LOWER(G26),experiments_specs!$A:$J,9,FALSE)</f>
        <v>wup_similarity</v>
      </c>
      <c r="F34" s="16" t="s">
        <v>174</v>
      </c>
      <c r="G34" s="7"/>
      <c r="H34" s="20"/>
      <c r="I34" s="20"/>
      <c r="J34" s="27"/>
      <c r="K34" s="23"/>
      <c r="L34" s="23"/>
      <c r="M34" s="30"/>
      <c r="O34" s="17"/>
      <c r="Q34" s="17"/>
      <c r="S34" s="12" t="s">
        <v>8</v>
      </c>
      <c r="T34" s="13" t="str">
        <f>VLOOKUP(LOWER(V26),experiments_specs!$A:$J,9,FALSE)</f>
        <v>wup_similarity</v>
      </c>
      <c r="U34" s="16" t="s">
        <v>180</v>
      </c>
      <c r="V34" s="7" t="s">
        <v>17</v>
      </c>
      <c r="W34" s="20"/>
      <c r="X34" s="20"/>
      <c r="Y34" s="27"/>
      <c r="Z34" s="24"/>
      <c r="AA34" s="24"/>
      <c r="AB34" s="30"/>
      <c r="AD34" s="17"/>
      <c r="AF34" s="17"/>
      <c r="AH34" s="12" t="s">
        <v>8</v>
      </c>
      <c r="AI34" s="13" t="str">
        <f>VLOOKUP(LOWER(AK26),experiments_specs!$A:$J,9,FALSE)</f>
        <v>wup_similarity</v>
      </c>
      <c r="AJ34" s="16" t="s">
        <v>186</v>
      </c>
      <c r="AK34" s="7"/>
      <c r="AL34" s="19"/>
      <c r="AM34" s="19"/>
      <c r="AN34" s="27"/>
      <c r="AO34" s="24"/>
      <c r="AP34" s="24"/>
      <c r="AQ34" s="30"/>
      <c r="AS34" s="17"/>
    </row>
    <row r="35" spans="2:45" x14ac:dyDescent="0.2">
      <c r="B35" s="17"/>
      <c r="D35" s="12" t="s">
        <v>9</v>
      </c>
      <c r="E35" s="13" t="str">
        <f>VLOOKUP(LOWER(G26),experiments_specs!$A:$J,10,FALSE)</f>
        <v>False</v>
      </c>
      <c r="F35" s="16" t="s">
        <v>174</v>
      </c>
      <c r="G35" s="8"/>
      <c r="H35" s="21"/>
      <c r="I35" s="21"/>
      <c r="J35" s="28"/>
      <c r="K35" s="25"/>
      <c r="L35" s="25"/>
      <c r="M35" s="31"/>
      <c r="O35" s="17"/>
      <c r="Q35" s="17"/>
      <c r="S35" s="12" t="s">
        <v>9</v>
      </c>
      <c r="T35" s="13" t="str">
        <f>VLOOKUP(LOWER(V26),experiments_specs!$A:$J,10,FALSE)</f>
        <v>False</v>
      </c>
      <c r="U35" s="16" t="s">
        <v>180</v>
      </c>
      <c r="V35" s="8" t="s">
        <v>18</v>
      </c>
      <c r="W35" s="21"/>
      <c r="X35" s="21"/>
      <c r="Y35" s="28"/>
      <c r="Z35" s="25"/>
      <c r="AA35" s="25"/>
      <c r="AB35" s="31"/>
      <c r="AD35" s="17"/>
      <c r="AF35" s="17"/>
      <c r="AH35" s="12" t="s">
        <v>9</v>
      </c>
      <c r="AI35" s="13" t="str">
        <f>VLOOKUP(LOWER(AK26),experiments_specs!$A:$J,10,FALSE)</f>
        <v>True</v>
      </c>
      <c r="AJ35" s="16" t="s">
        <v>186</v>
      </c>
      <c r="AK35" s="8"/>
      <c r="AL35" s="21"/>
      <c r="AM35" s="21"/>
      <c r="AN35" s="28"/>
      <c r="AO35" s="25"/>
      <c r="AP35" s="25"/>
      <c r="AQ35" s="31"/>
      <c r="AS35" s="17"/>
    </row>
    <row r="36" spans="2:45" ht="17" thickBot="1" x14ac:dyDescent="0.25">
      <c r="B36" s="17"/>
      <c r="O36" s="17"/>
      <c r="Q36" s="17"/>
      <c r="AD36" s="17"/>
      <c r="AF36" s="17"/>
      <c r="AS36" s="17"/>
    </row>
    <row r="37" spans="2:45" ht="20" thickBot="1" x14ac:dyDescent="0.3">
      <c r="B37" s="17"/>
      <c r="D37" s="14" t="s">
        <v>198</v>
      </c>
      <c r="E37" s="15"/>
      <c r="F37" s="10"/>
      <c r="G37" s="11" t="str">
        <f>"TEST_"&amp;TEXT(RIGHT(G26,2)+1, "00")</f>
        <v>TEST_76</v>
      </c>
      <c r="H37" s="36" t="s">
        <v>196</v>
      </c>
      <c r="I37" s="36"/>
      <c r="J37" s="36"/>
      <c r="K37" s="37" t="s">
        <v>195</v>
      </c>
      <c r="L37" s="37"/>
      <c r="M37" s="37"/>
      <c r="N37" s="3"/>
      <c r="O37" s="17"/>
      <c r="Q37" s="17"/>
      <c r="S37" s="14" t="s">
        <v>198</v>
      </c>
      <c r="T37" s="15"/>
      <c r="U37" s="10"/>
      <c r="V37" s="11" t="str">
        <f>"TEST_"&amp;TEXT(RIGHT(V26,2)+1, "00")</f>
        <v>TEST_82</v>
      </c>
      <c r="W37" s="36" t="s">
        <v>196</v>
      </c>
      <c r="X37" s="36"/>
      <c r="Y37" s="36"/>
      <c r="Z37" s="37" t="s">
        <v>195</v>
      </c>
      <c r="AA37" s="37"/>
      <c r="AB37" s="37"/>
      <c r="AC37" s="3"/>
      <c r="AD37" s="17"/>
      <c r="AF37" s="17"/>
      <c r="AH37" s="14" t="s">
        <v>198</v>
      </c>
      <c r="AI37" s="15"/>
      <c r="AJ37" s="10"/>
      <c r="AK37" s="11" t="str">
        <f>"TEST_"&amp;TEXT(RIGHT(AK26,2)+1, "00")</f>
        <v>TEST_88</v>
      </c>
      <c r="AL37" s="36" t="s">
        <v>196</v>
      </c>
      <c r="AM37" s="36"/>
      <c r="AN37" s="36"/>
      <c r="AO37" s="37" t="s">
        <v>195</v>
      </c>
      <c r="AP37" s="37"/>
      <c r="AQ37" s="37"/>
      <c r="AR37" s="3"/>
      <c r="AS37" s="17"/>
    </row>
    <row r="38" spans="2:45" x14ac:dyDescent="0.2">
      <c r="B38" s="17"/>
      <c r="D38" s="12" t="s">
        <v>1</v>
      </c>
      <c r="E38" s="13" t="str">
        <f>VLOOKUP(LOWER(G37),experiments_specs!$A:$J,2,FALSE)</f>
        <v>NN,VB,VBD,VBG,VBN,VBP,VBZ</v>
      </c>
      <c r="F38" s="16" t="str">
        <f>"{"&amp;LOWER(G37)&amp;".csv}"</f>
        <v>{test_76.csv}</v>
      </c>
      <c r="G38" s="9" t="s">
        <v>190</v>
      </c>
      <c r="H38" s="4" t="s">
        <v>191</v>
      </c>
      <c r="I38" s="4" t="s">
        <v>192</v>
      </c>
      <c r="J38" s="4" t="s">
        <v>193</v>
      </c>
      <c r="K38" s="5" t="s">
        <v>194</v>
      </c>
      <c r="L38" s="5" t="s">
        <v>192</v>
      </c>
      <c r="M38" s="5" t="s">
        <v>193</v>
      </c>
      <c r="O38" s="17"/>
      <c r="Q38" s="17"/>
      <c r="S38" s="12" t="s">
        <v>1</v>
      </c>
      <c r="T38" s="13" t="str">
        <f>VLOOKUP(LOWER(V37),experiments_specs!$A:$J,2,FALSE)</f>
        <v>NN,VB,VBD,VBG,VBN,VBP,VBZ</v>
      </c>
      <c r="U38" s="16" t="str">
        <f>"{"&amp;LOWER(V37)&amp;".csv}"</f>
        <v>{test_82.csv}</v>
      </c>
      <c r="V38" s="9" t="s">
        <v>190</v>
      </c>
      <c r="W38" s="4" t="s">
        <v>191</v>
      </c>
      <c r="X38" s="4" t="s">
        <v>192</v>
      </c>
      <c r="Y38" s="4" t="s">
        <v>193</v>
      </c>
      <c r="Z38" s="5" t="s">
        <v>194</v>
      </c>
      <c r="AA38" s="5" t="s">
        <v>192</v>
      </c>
      <c r="AB38" s="5" t="s">
        <v>193</v>
      </c>
      <c r="AD38" s="17"/>
      <c r="AF38" s="17"/>
      <c r="AH38" s="12" t="s">
        <v>1</v>
      </c>
      <c r="AI38" s="13" t="str">
        <f>VLOOKUP(LOWER(AK37),experiments_specs!$A:$J,2,FALSE)</f>
        <v>NN,VB,VBD,VBG,VBN,VBP,VBZ</v>
      </c>
      <c r="AJ38" s="16" t="str">
        <f>"{"&amp;LOWER(AK37)&amp;".csv}"</f>
        <v>{test_88.csv}</v>
      </c>
      <c r="AK38" s="9" t="s">
        <v>190</v>
      </c>
      <c r="AL38" s="4" t="s">
        <v>191</v>
      </c>
      <c r="AM38" s="4" t="s">
        <v>192</v>
      </c>
      <c r="AN38" s="4" t="s">
        <v>193</v>
      </c>
      <c r="AO38" s="5" t="s">
        <v>194</v>
      </c>
      <c r="AP38" s="5" t="s">
        <v>192</v>
      </c>
      <c r="AQ38" s="5" t="s">
        <v>193</v>
      </c>
      <c r="AS38" s="17"/>
    </row>
    <row r="39" spans="2:45" x14ac:dyDescent="0.2">
      <c r="B39" s="17"/>
      <c r="D39" s="12" t="s">
        <v>2</v>
      </c>
      <c r="E39" s="13">
        <f>VLOOKUP(LOWER(G37),experiments_specs!$A:$J,3,FALSE)</f>
        <v>1</v>
      </c>
      <c r="F39" s="16" t="s">
        <v>175</v>
      </c>
      <c r="G39" s="6"/>
      <c r="H39" s="18"/>
      <c r="I39" s="18"/>
      <c r="J39" s="26"/>
      <c r="K39" s="22"/>
      <c r="L39" s="22"/>
      <c r="M39" s="29"/>
      <c r="O39" s="17"/>
      <c r="Q39" s="17"/>
      <c r="S39" s="12" t="s">
        <v>2</v>
      </c>
      <c r="T39" s="13">
        <f>VLOOKUP(LOWER(V37),experiments_specs!$A:$J,3,FALSE)</f>
        <v>1</v>
      </c>
      <c r="U39" s="16" t="s">
        <v>181</v>
      </c>
      <c r="V39" s="6" t="s">
        <v>19</v>
      </c>
      <c r="W39" s="18"/>
      <c r="X39" s="18"/>
      <c r="Y39" s="26"/>
      <c r="Z39" s="22"/>
      <c r="AA39" s="22"/>
      <c r="AB39" s="29"/>
      <c r="AD39" s="17"/>
      <c r="AF39" s="17"/>
      <c r="AH39" s="12" t="s">
        <v>2</v>
      </c>
      <c r="AI39" s="13">
        <f>VLOOKUP(LOWER(AK37),experiments_specs!$A:$J,3,FALSE)</f>
        <v>1</v>
      </c>
      <c r="AJ39" s="16" t="s">
        <v>187</v>
      </c>
      <c r="AK39" s="6"/>
      <c r="AL39" s="18"/>
      <c r="AM39" s="18"/>
      <c r="AN39" s="26"/>
      <c r="AO39" s="22"/>
      <c r="AP39" s="22"/>
      <c r="AQ39" s="29"/>
      <c r="AS39" s="17"/>
    </row>
    <row r="40" spans="2:45" x14ac:dyDescent="0.2">
      <c r="B40" s="17"/>
      <c r="D40" s="12" t="s">
        <v>3</v>
      </c>
      <c r="E40" s="13">
        <f>VLOOKUP(LOWER(G37),experiments_specs!$A:$J,4,FALSE)</f>
        <v>2</v>
      </c>
      <c r="F40" s="16" t="s">
        <v>175</v>
      </c>
      <c r="G40" s="7"/>
      <c r="H40" s="19"/>
      <c r="I40" s="19"/>
      <c r="J40" s="27"/>
      <c r="K40" s="23"/>
      <c r="L40" s="23"/>
      <c r="M40" s="30"/>
      <c r="O40" s="17"/>
      <c r="Q40" s="17"/>
      <c r="S40" s="12" t="s">
        <v>3</v>
      </c>
      <c r="T40" s="13">
        <f>VLOOKUP(LOWER(V37),experiments_specs!$A:$J,4,FALSE)</f>
        <v>2</v>
      </c>
      <c r="U40" s="16" t="s">
        <v>181</v>
      </c>
      <c r="V40" s="7" t="s">
        <v>12</v>
      </c>
      <c r="W40" s="19"/>
      <c r="X40" s="19"/>
      <c r="Y40" s="27"/>
      <c r="Z40" s="24"/>
      <c r="AA40" s="24"/>
      <c r="AB40" s="30"/>
      <c r="AD40" s="17"/>
      <c r="AF40" s="17"/>
      <c r="AH40" s="12" t="s">
        <v>3</v>
      </c>
      <c r="AI40" s="13">
        <f>VLOOKUP(LOWER(AK37),experiments_specs!$A:$J,4,FALSE)</f>
        <v>2</v>
      </c>
      <c r="AJ40" s="16" t="s">
        <v>187</v>
      </c>
      <c r="AK40" s="7"/>
      <c r="AL40" s="19"/>
      <c r="AM40" s="19"/>
      <c r="AN40" s="27"/>
      <c r="AO40" s="24"/>
      <c r="AP40" s="24"/>
      <c r="AQ40" s="30"/>
      <c r="AS40" s="17"/>
    </row>
    <row r="41" spans="2:45" x14ac:dyDescent="0.2">
      <c r="B41" s="17"/>
      <c r="D41" s="12" t="s">
        <v>4</v>
      </c>
      <c r="E41" s="13" t="str">
        <f>VLOOKUP(LOWER(G37),experiments_specs!$A:$J,5,FALSE)</f>
        <v>False</v>
      </c>
      <c r="F41" s="16" t="s">
        <v>175</v>
      </c>
      <c r="G41" s="7"/>
      <c r="H41" s="20"/>
      <c r="I41" s="20"/>
      <c r="J41" s="27"/>
      <c r="K41" s="23"/>
      <c r="L41" s="23"/>
      <c r="M41" s="30"/>
      <c r="O41" s="17"/>
      <c r="Q41" s="17"/>
      <c r="S41" s="12" t="s">
        <v>4</v>
      </c>
      <c r="T41" s="13" t="str">
        <f>VLOOKUP(LOWER(V37),experiments_specs!$A:$J,5,FALSE)</f>
        <v>True</v>
      </c>
      <c r="U41" s="16" t="s">
        <v>181</v>
      </c>
      <c r="V41" s="7" t="s">
        <v>13</v>
      </c>
      <c r="W41" s="20"/>
      <c r="X41" s="20"/>
      <c r="Y41" s="27"/>
      <c r="Z41" s="23"/>
      <c r="AA41" s="23"/>
      <c r="AB41" s="30"/>
      <c r="AD41" s="17"/>
      <c r="AF41" s="17"/>
      <c r="AH41" s="12" t="s">
        <v>4</v>
      </c>
      <c r="AI41" s="13" t="str">
        <f>VLOOKUP(LOWER(AK37),experiments_specs!$A:$J,5,FALSE)</f>
        <v>True</v>
      </c>
      <c r="AJ41" s="16" t="s">
        <v>187</v>
      </c>
      <c r="AK41" s="7"/>
      <c r="AL41" s="20"/>
      <c r="AM41" s="20"/>
      <c r="AN41" s="27"/>
      <c r="AO41" s="23"/>
      <c r="AP41" s="23"/>
      <c r="AQ41" s="30"/>
      <c r="AS41" s="17"/>
    </row>
    <row r="42" spans="2:45" x14ac:dyDescent="0.2">
      <c r="B42" s="17"/>
      <c r="D42" s="12" t="s">
        <v>5</v>
      </c>
      <c r="E42" s="13" t="str">
        <f>VLOOKUP(LOWER(G37),experiments_specs!$A:$J,6,FALSE)</f>
        <v>False</v>
      </c>
      <c r="F42" s="16" t="s">
        <v>175</v>
      </c>
      <c r="G42" s="7"/>
      <c r="H42" s="20"/>
      <c r="I42" s="20"/>
      <c r="J42" s="27"/>
      <c r="K42" s="23"/>
      <c r="L42" s="23"/>
      <c r="M42" s="30"/>
      <c r="O42" s="17"/>
      <c r="Q42" s="17"/>
      <c r="S42" s="12" t="s">
        <v>5</v>
      </c>
      <c r="T42" s="13" t="str">
        <f>VLOOKUP(LOWER(V37),experiments_specs!$A:$J,6,FALSE)</f>
        <v>False</v>
      </c>
      <c r="U42" s="16" t="s">
        <v>181</v>
      </c>
      <c r="V42" s="7" t="s">
        <v>14</v>
      </c>
      <c r="W42" s="19"/>
      <c r="X42" s="19"/>
      <c r="Y42" s="27"/>
      <c r="Z42" s="24"/>
      <c r="AA42" s="24"/>
      <c r="AB42" s="30"/>
      <c r="AD42" s="17"/>
      <c r="AF42" s="17"/>
      <c r="AH42" s="12" t="s">
        <v>5</v>
      </c>
      <c r="AI42" s="13" t="str">
        <f>VLOOKUP(LOWER(AK37),experiments_specs!$A:$J,6,FALSE)</f>
        <v>False</v>
      </c>
      <c r="AJ42" s="16" t="s">
        <v>187</v>
      </c>
      <c r="AK42" s="7"/>
      <c r="AL42" s="19"/>
      <c r="AM42" s="19"/>
      <c r="AN42" s="27"/>
      <c r="AO42" s="24"/>
      <c r="AP42" s="24"/>
      <c r="AQ42" s="30"/>
      <c r="AS42" s="17"/>
    </row>
    <row r="43" spans="2:45" x14ac:dyDescent="0.2">
      <c r="B43" s="17"/>
      <c r="D43" s="12" t="s">
        <v>6</v>
      </c>
      <c r="E43" s="13" t="str">
        <f>VLOOKUP(LOWER(G37),experiments_specs!$A:$J,7,FALSE)</f>
        <v>False</v>
      </c>
      <c r="F43" s="16" t="s">
        <v>175</v>
      </c>
      <c r="G43" s="7"/>
      <c r="H43" s="20"/>
      <c r="I43" s="20"/>
      <c r="J43" s="27"/>
      <c r="K43" s="24"/>
      <c r="L43" s="24"/>
      <c r="M43" s="30"/>
      <c r="O43" s="17"/>
      <c r="Q43" s="17"/>
      <c r="S43" s="12" t="s">
        <v>6</v>
      </c>
      <c r="T43" s="13" t="str">
        <f>VLOOKUP(LOWER(V37),experiments_specs!$A:$J,7,FALSE)</f>
        <v>False</v>
      </c>
      <c r="U43" s="16" t="s">
        <v>181</v>
      </c>
      <c r="V43" s="7" t="s">
        <v>15</v>
      </c>
      <c r="W43" s="20"/>
      <c r="X43" s="20"/>
      <c r="Y43" s="27"/>
      <c r="Z43" s="24"/>
      <c r="AA43" s="24"/>
      <c r="AB43" s="30"/>
      <c r="AD43" s="17"/>
      <c r="AF43" s="17"/>
      <c r="AH43" s="12" t="s">
        <v>6</v>
      </c>
      <c r="AI43" s="13" t="str">
        <f>VLOOKUP(LOWER(AK37),experiments_specs!$A:$J,7,FALSE)</f>
        <v>False</v>
      </c>
      <c r="AJ43" s="16" t="s">
        <v>187</v>
      </c>
      <c r="AK43" s="7"/>
      <c r="AL43" s="20"/>
      <c r="AM43" s="20"/>
      <c r="AN43" s="27"/>
      <c r="AO43" s="24"/>
      <c r="AP43" s="24"/>
      <c r="AQ43" s="30"/>
      <c r="AS43" s="17"/>
    </row>
    <row r="44" spans="2:45" x14ac:dyDescent="0.2">
      <c r="B44" s="17"/>
      <c r="D44" s="12" t="s">
        <v>7</v>
      </c>
      <c r="E44" s="13" t="str">
        <f>VLOOKUP(LOWER(G37),experiments_specs!$A:$J,8,FALSE)</f>
        <v>True</v>
      </c>
      <c r="F44" s="16" t="s">
        <v>175</v>
      </c>
      <c r="G44" s="7"/>
      <c r="H44" s="20"/>
      <c r="I44" s="20"/>
      <c r="J44" s="27"/>
      <c r="K44" s="24"/>
      <c r="L44" s="24"/>
      <c r="M44" s="30"/>
      <c r="O44" s="17"/>
      <c r="Q44" s="17"/>
      <c r="S44" s="12" t="s">
        <v>7</v>
      </c>
      <c r="T44" s="13" t="str">
        <f>VLOOKUP(LOWER(V37),experiments_specs!$A:$J,8,FALSE)</f>
        <v>True</v>
      </c>
      <c r="U44" s="16" t="s">
        <v>181</v>
      </c>
      <c r="V44" s="7" t="s">
        <v>16</v>
      </c>
      <c r="W44" s="20"/>
      <c r="X44" s="20"/>
      <c r="Y44" s="27"/>
      <c r="Z44" s="24"/>
      <c r="AA44" s="24"/>
      <c r="AB44" s="30"/>
      <c r="AD44" s="17"/>
      <c r="AF44" s="17"/>
      <c r="AH44" s="12" t="s">
        <v>7</v>
      </c>
      <c r="AI44" s="13" t="str">
        <f>VLOOKUP(LOWER(AK37),experiments_specs!$A:$J,8,FALSE)</f>
        <v>True</v>
      </c>
      <c r="AJ44" s="16" t="s">
        <v>187</v>
      </c>
      <c r="AK44" s="7"/>
      <c r="AL44" s="20"/>
      <c r="AM44" s="20"/>
      <c r="AN44" s="27"/>
      <c r="AO44" s="24"/>
      <c r="AP44" s="24"/>
      <c r="AQ44" s="30"/>
      <c r="AS44" s="17"/>
    </row>
    <row r="45" spans="2:45" x14ac:dyDescent="0.2">
      <c r="B45" s="17"/>
      <c r="D45" s="12" t="s">
        <v>8</v>
      </c>
      <c r="E45" s="13" t="str">
        <f>VLOOKUP(LOWER(G37),experiments_specs!$A:$J,9,FALSE)</f>
        <v>wup_similarity</v>
      </c>
      <c r="F45" s="16" t="s">
        <v>175</v>
      </c>
      <c r="G45" s="7"/>
      <c r="H45" s="20"/>
      <c r="I45" s="20"/>
      <c r="J45" s="27"/>
      <c r="K45" s="23"/>
      <c r="L45" s="23"/>
      <c r="M45" s="30"/>
      <c r="O45" s="17"/>
      <c r="Q45" s="17"/>
      <c r="S45" s="12" t="s">
        <v>8</v>
      </c>
      <c r="T45" s="13" t="str">
        <f>VLOOKUP(LOWER(V37),experiments_specs!$A:$J,9,FALSE)</f>
        <v>wup_similarity</v>
      </c>
      <c r="U45" s="16" t="s">
        <v>181</v>
      </c>
      <c r="V45" s="7" t="s">
        <v>17</v>
      </c>
      <c r="W45" s="20"/>
      <c r="X45" s="20"/>
      <c r="Y45" s="27"/>
      <c r="Z45" s="23"/>
      <c r="AA45" s="23"/>
      <c r="AB45" s="30"/>
      <c r="AD45" s="17"/>
      <c r="AF45" s="17"/>
      <c r="AH45" s="12" t="s">
        <v>8</v>
      </c>
      <c r="AI45" s="13" t="str">
        <f>VLOOKUP(LOWER(AK37),experiments_specs!$A:$J,9,FALSE)</f>
        <v>wup_similarity</v>
      </c>
      <c r="AJ45" s="16" t="s">
        <v>187</v>
      </c>
      <c r="AK45" s="7"/>
      <c r="AL45" s="19"/>
      <c r="AM45" s="19"/>
      <c r="AN45" s="27"/>
      <c r="AO45" s="24"/>
      <c r="AP45" s="24"/>
      <c r="AQ45" s="30"/>
      <c r="AS45" s="17"/>
    </row>
    <row r="46" spans="2:45" x14ac:dyDescent="0.2">
      <c r="B46" s="17"/>
      <c r="D46" s="12" t="s">
        <v>9</v>
      </c>
      <c r="E46" s="13" t="str">
        <f>VLOOKUP(LOWER(G37),experiments_specs!$A:$J,10,FALSE)</f>
        <v>False</v>
      </c>
      <c r="F46" s="16" t="s">
        <v>175</v>
      </c>
      <c r="G46" s="8"/>
      <c r="H46" s="21"/>
      <c r="I46" s="21"/>
      <c r="J46" s="28"/>
      <c r="K46" s="25"/>
      <c r="L46" s="25"/>
      <c r="M46" s="31"/>
      <c r="O46" s="17"/>
      <c r="Q46" s="17"/>
      <c r="S46" s="12" t="s">
        <v>9</v>
      </c>
      <c r="T46" s="13" t="str">
        <f>VLOOKUP(LOWER(V37),experiments_specs!$A:$J,10,FALSE)</f>
        <v>False</v>
      </c>
      <c r="U46" s="16" t="s">
        <v>181</v>
      </c>
      <c r="V46" s="8" t="s">
        <v>18</v>
      </c>
      <c r="W46" s="21"/>
      <c r="X46" s="21"/>
      <c r="Y46" s="28"/>
      <c r="Z46" s="25"/>
      <c r="AA46" s="25"/>
      <c r="AB46" s="31"/>
      <c r="AD46" s="17"/>
      <c r="AF46" s="17"/>
      <c r="AH46" s="12" t="s">
        <v>9</v>
      </c>
      <c r="AI46" s="13" t="str">
        <f>VLOOKUP(LOWER(AK37),experiments_specs!$A:$J,10,FALSE)</f>
        <v>True</v>
      </c>
      <c r="AJ46" s="16" t="s">
        <v>187</v>
      </c>
      <c r="AK46" s="8"/>
      <c r="AL46" s="21"/>
      <c r="AM46" s="21"/>
      <c r="AN46" s="28"/>
      <c r="AO46" s="25"/>
      <c r="AP46" s="25"/>
      <c r="AQ46" s="31"/>
      <c r="AS46" s="17"/>
    </row>
    <row r="47" spans="2:45" ht="17" thickBot="1" x14ac:dyDescent="0.25">
      <c r="B47" s="17"/>
      <c r="O47" s="17"/>
      <c r="Q47" s="17"/>
      <c r="AD47" s="17"/>
      <c r="AF47" s="17"/>
      <c r="AS47" s="17"/>
    </row>
    <row r="48" spans="2:45" ht="20" thickBot="1" x14ac:dyDescent="0.3">
      <c r="B48" s="17"/>
      <c r="D48" s="14" t="s">
        <v>198</v>
      </c>
      <c r="E48" s="15"/>
      <c r="F48" s="10"/>
      <c r="G48" s="11" t="str">
        <f>"TEST_"&amp;TEXT(RIGHT(G37,2)+1, "00")</f>
        <v>TEST_77</v>
      </c>
      <c r="H48" s="36" t="s">
        <v>196</v>
      </c>
      <c r="I48" s="36"/>
      <c r="J48" s="36"/>
      <c r="K48" s="37" t="s">
        <v>195</v>
      </c>
      <c r="L48" s="37"/>
      <c r="M48" s="37"/>
      <c r="N48" s="3"/>
      <c r="O48" s="17"/>
      <c r="Q48" s="17"/>
      <c r="S48" s="14" t="s">
        <v>198</v>
      </c>
      <c r="T48" s="15"/>
      <c r="U48" s="10"/>
      <c r="V48" s="11" t="str">
        <f>"TEST_"&amp;TEXT(RIGHT(V37,2)+1, "00")</f>
        <v>TEST_83</v>
      </c>
      <c r="W48" s="36" t="s">
        <v>196</v>
      </c>
      <c r="X48" s="36"/>
      <c r="Y48" s="36"/>
      <c r="Z48" s="37" t="s">
        <v>195</v>
      </c>
      <c r="AA48" s="37"/>
      <c r="AB48" s="37"/>
      <c r="AC48" s="3"/>
      <c r="AD48" s="17"/>
      <c r="AF48" s="17"/>
      <c r="AH48" s="14" t="s">
        <v>198</v>
      </c>
      <c r="AI48" s="15"/>
      <c r="AJ48" s="10"/>
      <c r="AK48" s="11" t="str">
        <f>"TEST_"&amp;TEXT(RIGHT(AK37,2)+1, "00")</f>
        <v>TEST_89</v>
      </c>
      <c r="AL48" s="36" t="s">
        <v>196</v>
      </c>
      <c r="AM48" s="36"/>
      <c r="AN48" s="36"/>
      <c r="AO48" s="37" t="s">
        <v>195</v>
      </c>
      <c r="AP48" s="37"/>
      <c r="AQ48" s="37"/>
      <c r="AR48" s="3"/>
      <c r="AS48" s="17"/>
    </row>
    <row r="49" spans="2:45" x14ac:dyDescent="0.2">
      <c r="B49" s="17"/>
      <c r="D49" s="12" t="s">
        <v>1</v>
      </c>
      <c r="E49" s="13" t="str">
        <f>VLOOKUP(LOWER(G48),experiments_specs!$A:$J,2,FALSE)</f>
        <v>NN,RB</v>
      </c>
      <c r="F49" s="16" t="str">
        <f>"{"&amp;LOWER(G48)&amp;".csv}"</f>
        <v>{test_77.csv}</v>
      </c>
      <c r="G49" s="9" t="s">
        <v>190</v>
      </c>
      <c r="H49" s="4" t="s">
        <v>191</v>
      </c>
      <c r="I49" s="4" t="s">
        <v>192</v>
      </c>
      <c r="J49" s="4" t="s">
        <v>193</v>
      </c>
      <c r="K49" s="5" t="s">
        <v>194</v>
      </c>
      <c r="L49" s="5" t="s">
        <v>192</v>
      </c>
      <c r="M49" s="5" t="s">
        <v>193</v>
      </c>
      <c r="O49" s="17"/>
      <c r="Q49" s="17"/>
      <c r="S49" s="12" t="s">
        <v>1</v>
      </c>
      <c r="T49" s="13" t="str">
        <f>VLOOKUP(LOWER(V48),experiments_specs!$A:$J,2,FALSE)</f>
        <v>NN,RB</v>
      </c>
      <c r="U49" s="16" t="str">
        <f>"{"&amp;LOWER(V48)&amp;".csv}"</f>
        <v>{test_83.csv}</v>
      </c>
      <c r="V49" s="9" t="s">
        <v>190</v>
      </c>
      <c r="W49" s="4" t="s">
        <v>191</v>
      </c>
      <c r="X49" s="4" t="s">
        <v>192</v>
      </c>
      <c r="Y49" s="4" t="s">
        <v>193</v>
      </c>
      <c r="Z49" s="5" t="s">
        <v>194</v>
      </c>
      <c r="AA49" s="5" t="s">
        <v>192</v>
      </c>
      <c r="AB49" s="5" t="s">
        <v>193</v>
      </c>
      <c r="AD49" s="17"/>
      <c r="AF49" s="17"/>
      <c r="AH49" s="12" t="s">
        <v>1</v>
      </c>
      <c r="AI49" s="13" t="str">
        <f>VLOOKUP(LOWER(AK48),experiments_specs!$A:$J,2,FALSE)</f>
        <v>NN,RB</v>
      </c>
      <c r="AJ49" s="16" t="str">
        <f>"{"&amp;LOWER(AK48)&amp;".csv}"</f>
        <v>{test_89.csv}</v>
      </c>
      <c r="AK49" s="9" t="s">
        <v>190</v>
      </c>
      <c r="AL49" s="4" t="s">
        <v>191</v>
      </c>
      <c r="AM49" s="4" t="s">
        <v>192</v>
      </c>
      <c r="AN49" s="4" t="s">
        <v>193</v>
      </c>
      <c r="AO49" s="5" t="s">
        <v>194</v>
      </c>
      <c r="AP49" s="5" t="s">
        <v>192</v>
      </c>
      <c r="AQ49" s="5" t="s">
        <v>193</v>
      </c>
      <c r="AS49" s="17"/>
    </row>
    <row r="50" spans="2:45" x14ac:dyDescent="0.2">
      <c r="B50" s="17"/>
      <c r="D50" s="12" t="s">
        <v>2</v>
      </c>
      <c r="E50" s="13">
        <f>VLOOKUP(LOWER(G48),experiments_specs!$A:$J,3,FALSE)</f>
        <v>1</v>
      </c>
      <c r="F50" s="16" t="s">
        <v>176</v>
      </c>
      <c r="G50" s="6"/>
      <c r="H50" s="18"/>
      <c r="I50" s="18"/>
      <c r="J50" s="26"/>
      <c r="K50" s="22"/>
      <c r="L50" s="22"/>
      <c r="M50" s="29"/>
      <c r="O50" s="17"/>
      <c r="Q50" s="17"/>
      <c r="S50" s="12" t="s">
        <v>2</v>
      </c>
      <c r="T50" s="13">
        <f>VLOOKUP(LOWER(V48),experiments_specs!$A:$J,3,FALSE)</f>
        <v>1</v>
      </c>
      <c r="U50" s="16" t="s">
        <v>182</v>
      </c>
      <c r="V50" s="6" t="s">
        <v>19</v>
      </c>
      <c r="W50" s="18"/>
      <c r="X50" s="18"/>
      <c r="Y50" s="26"/>
      <c r="Z50" s="22"/>
      <c r="AA50" s="22"/>
      <c r="AB50" s="29"/>
      <c r="AD50" s="17"/>
      <c r="AF50" s="17"/>
      <c r="AH50" s="12" t="s">
        <v>2</v>
      </c>
      <c r="AI50" s="13">
        <f>VLOOKUP(LOWER(AK48),experiments_specs!$A:$J,3,FALSE)</f>
        <v>1</v>
      </c>
      <c r="AJ50" s="16" t="s">
        <v>188</v>
      </c>
      <c r="AK50" s="6"/>
      <c r="AL50" s="18"/>
      <c r="AM50" s="18"/>
      <c r="AN50" s="26"/>
      <c r="AO50" s="22"/>
      <c r="AP50" s="22"/>
      <c r="AQ50" s="29"/>
      <c r="AS50" s="17"/>
    </row>
    <row r="51" spans="2:45" x14ac:dyDescent="0.2">
      <c r="B51" s="17"/>
      <c r="D51" s="12" t="s">
        <v>3</v>
      </c>
      <c r="E51" s="13">
        <f>VLOOKUP(LOWER(G48),experiments_specs!$A:$J,4,FALSE)</f>
        <v>2</v>
      </c>
      <c r="F51" s="16" t="s">
        <v>176</v>
      </c>
      <c r="G51" s="7"/>
      <c r="H51" s="19"/>
      <c r="I51" s="19"/>
      <c r="J51" s="27"/>
      <c r="K51" s="23"/>
      <c r="L51" s="23"/>
      <c r="M51" s="30"/>
      <c r="O51" s="17"/>
      <c r="Q51" s="17"/>
      <c r="S51" s="12" t="s">
        <v>3</v>
      </c>
      <c r="T51" s="13">
        <f>VLOOKUP(LOWER(V48),experiments_specs!$A:$J,4,FALSE)</f>
        <v>2</v>
      </c>
      <c r="U51" s="16" t="s">
        <v>182</v>
      </c>
      <c r="V51" s="7" t="s">
        <v>12</v>
      </c>
      <c r="W51" s="19"/>
      <c r="X51" s="19"/>
      <c r="Y51" s="27"/>
      <c r="Z51" s="24"/>
      <c r="AA51" s="24"/>
      <c r="AB51" s="30"/>
      <c r="AD51" s="17"/>
      <c r="AF51" s="17"/>
      <c r="AH51" s="12" t="s">
        <v>3</v>
      </c>
      <c r="AI51" s="13">
        <f>VLOOKUP(LOWER(AK48),experiments_specs!$A:$J,4,FALSE)</f>
        <v>2</v>
      </c>
      <c r="AJ51" s="16" t="s">
        <v>188</v>
      </c>
      <c r="AK51" s="7"/>
      <c r="AL51" s="19"/>
      <c r="AM51" s="19"/>
      <c r="AN51" s="27"/>
      <c r="AO51" s="24"/>
      <c r="AP51" s="24"/>
      <c r="AQ51" s="30"/>
      <c r="AS51" s="17"/>
    </row>
    <row r="52" spans="2:45" x14ac:dyDescent="0.2">
      <c r="B52" s="17"/>
      <c r="D52" s="12" t="s">
        <v>4</v>
      </c>
      <c r="E52" s="13" t="str">
        <f>VLOOKUP(LOWER(G48),experiments_specs!$A:$J,5,FALSE)</f>
        <v>False</v>
      </c>
      <c r="F52" s="16" t="s">
        <v>176</v>
      </c>
      <c r="G52" s="7"/>
      <c r="H52" s="20"/>
      <c r="I52" s="20"/>
      <c r="J52" s="27"/>
      <c r="K52" s="23"/>
      <c r="L52" s="23"/>
      <c r="M52" s="30"/>
      <c r="O52" s="17"/>
      <c r="Q52" s="17"/>
      <c r="S52" s="12" t="s">
        <v>4</v>
      </c>
      <c r="T52" s="13" t="str">
        <f>VLOOKUP(LOWER(V48),experiments_specs!$A:$J,5,FALSE)</f>
        <v>True</v>
      </c>
      <c r="U52" s="16" t="s">
        <v>182</v>
      </c>
      <c r="V52" s="7" t="s">
        <v>13</v>
      </c>
      <c r="W52" s="20"/>
      <c r="X52" s="20"/>
      <c r="Y52" s="27"/>
      <c r="Z52" s="23"/>
      <c r="AA52" s="23"/>
      <c r="AB52" s="30"/>
      <c r="AD52" s="17"/>
      <c r="AF52" s="17"/>
      <c r="AH52" s="12" t="s">
        <v>4</v>
      </c>
      <c r="AI52" s="13" t="str">
        <f>VLOOKUP(LOWER(AK48),experiments_specs!$A:$J,5,FALSE)</f>
        <v>True</v>
      </c>
      <c r="AJ52" s="16" t="s">
        <v>188</v>
      </c>
      <c r="AK52" s="7"/>
      <c r="AL52" s="20"/>
      <c r="AM52" s="20"/>
      <c r="AN52" s="27"/>
      <c r="AO52" s="23"/>
      <c r="AP52" s="23"/>
      <c r="AQ52" s="30"/>
      <c r="AS52" s="17"/>
    </row>
    <row r="53" spans="2:45" x14ac:dyDescent="0.2">
      <c r="B53" s="17"/>
      <c r="D53" s="12" t="s">
        <v>5</v>
      </c>
      <c r="E53" s="13" t="str">
        <f>VLOOKUP(LOWER(G48),experiments_specs!$A:$J,6,FALSE)</f>
        <v>False</v>
      </c>
      <c r="F53" s="16" t="s">
        <v>176</v>
      </c>
      <c r="G53" s="7"/>
      <c r="H53" s="20"/>
      <c r="I53" s="20"/>
      <c r="J53" s="27"/>
      <c r="K53" s="23"/>
      <c r="L53" s="23"/>
      <c r="M53" s="30"/>
      <c r="O53" s="17"/>
      <c r="Q53" s="17"/>
      <c r="S53" s="12" t="s">
        <v>5</v>
      </c>
      <c r="T53" s="13" t="str">
        <f>VLOOKUP(LOWER(V48),experiments_specs!$A:$J,6,FALSE)</f>
        <v>False</v>
      </c>
      <c r="U53" s="16" t="s">
        <v>182</v>
      </c>
      <c r="V53" s="7" t="s">
        <v>14</v>
      </c>
      <c r="W53" s="19"/>
      <c r="X53" s="19"/>
      <c r="Y53" s="27"/>
      <c r="Z53" s="24"/>
      <c r="AA53" s="24"/>
      <c r="AB53" s="30"/>
      <c r="AD53" s="17"/>
      <c r="AF53" s="17"/>
      <c r="AH53" s="12" t="s">
        <v>5</v>
      </c>
      <c r="AI53" s="13" t="str">
        <f>VLOOKUP(LOWER(AK48),experiments_specs!$A:$J,6,FALSE)</f>
        <v>False</v>
      </c>
      <c r="AJ53" s="16" t="s">
        <v>188</v>
      </c>
      <c r="AK53" s="7"/>
      <c r="AL53" s="19"/>
      <c r="AM53" s="19"/>
      <c r="AN53" s="27"/>
      <c r="AO53" s="24"/>
      <c r="AP53" s="24"/>
      <c r="AQ53" s="30"/>
      <c r="AS53" s="17"/>
    </row>
    <row r="54" spans="2:45" x14ac:dyDescent="0.2">
      <c r="B54" s="17"/>
      <c r="D54" s="12" t="s">
        <v>6</v>
      </c>
      <c r="E54" s="13" t="str">
        <f>VLOOKUP(LOWER(G48),experiments_specs!$A:$J,7,FALSE)</f>
        <v>False</v>
      </c>
      <c r="F54" s="16" t="s">
        <v>176</v>
      </c>
      <c r="G54" s="7"/>
      <c r="H54" s="20"/>
      <c r="I54" s="20"/>
      <c r="J54" s="27"/>
      <c r="K54" s="24"/>
      <c r="L54" s="24"/>
      <c r="M54" s="30"/>
      <c r="O54" s="17"/>
      <c r="Q54" s="17"/>
      <c r="S54" s="12" t="s">
        <v>6</v>
      </c>
      <c r="T54" s="13" t="str">
        <f>VLOOKUP(LOWER(V48),experiments_specs!$A:$J,7,FALSE)</f>
        <v>False</v>
      </c>
      <c r="U54" s="16" t="s">
        <v>182</v>
      </c>
      <c r="V54" s="7" t="s">
        <v>15</v>
      </c>
      <c r="W54" s="20"/>
      <c r="X54" s="20"/>
      <c r="Y54" s="27"/>
      <c r="Z54" s="24"/>
      <c r="AA54" s="24"/>
      <c r="AB54" s="30"/>
      <c r="AD54" s="17"/>
      <c r="AF54" s="17"/>
      <c r="AH54" s="12" t="s">
        <v>6</v>
      </c>
      <c r="AI54" s="13" t="str">
        <f>VLOOKUP(LOWER(AK48),experiments_specs!$A:$J,7,FALSE)</f>
        <v>False</v>
      </c>
      <c r="AJ54" s="16" t="s">
        <v>188</v>
      </c>
      <c r="AK54" s="7"/>
      <c r="AL54" s="20"/>
      <c r="AM54" s="20"/>
      <c r="AN54" s="27"/>
      <c r="AO54" s="24"/>
      <c r="AP54" s="24"/>
      <c r="AQ54" s="30"/>
      <c r="AS54" s="17"/>
    </row>
    <row r="55" spans="2:45" x14ac:dyDescent="0.2">
      <c r="B55" s="17"/>
      <c r="D55" s="12" t="s">
        <v>7</v>
      </c>
      <c r="E55" s="13" t="str">
        <f>VLOOKUP(LOWER(G48),experiments_specs!$A:$J,8,FALSE)</f>
        <v>True</v>
      </c>
      <c r="F55" s="16" t="s">
        <v>176</v>
      </c>
      <c r="G55" s="7"/>
      <c r="H55" s="20"/>
      <c r="I55" s="20"/>
      <c r="J55" s="27"/>
      <c r="K55" s="24"/>
      <c r="L55" s="24"/>
      <c r="M55" s="30"/>
      <c r="O55" s="17"/>
      <c r="Q55" s="17"/>
      <c r="S55" s="12" t="s">
        <v>7</v>
      </c>
      <c r="T55" s="13" t="str">
        <f>VLOOKUP(LOWER(V48),experiments_specs!$A:$J,8,FALSE)</f>
        <v>True</v>
      </c>
      <c r="U55" s="16" t="s">
        <v>182</v>
      </c>
      <c r="V55" s="7" t="s">
        <v>16</v>
      </c>
      <c r="W55" s="20"/>
      <c r="X55" s="20"/>
      <c r="Y55" s="27"/>
      <c r="Z55" s="24"/>
      <c r="AA55" s="24"/>
      <c r="AB55" s="30"/>
      <c r="AD55" s="17"/>
      <c r="AF55" s="17"/>
      <c r="AH55" s="12" t="s">
        <v>7</v>
      </c>
      <c r="AI55" s="13" t="str">
        <f>VLOOKUP(LOWER(AK48),experiments_specs!$A:$J,8,FALSE)</f>
        <v>True</v>
      </c>
      <c r="AJ55" s="16" t="s">
        <v>188</v>
      </c>
      <c r="AK55" s="7"/>
      <c r="AL55" s="20"/>
      <c r="AM55" s="20"/>
      <c r="AN55" s="27"/>
      <c r="AO55" s="24"/>
      <c r="AP55" s="24"/>
      <c r="AQ55" s="30"/>
      <c r="AS55" s="17"/>
    </row>
    <row r="56" spans="2:45" x14ac:dyDescent="0.2">
      <c r="B56" s="17"/>
      <c r="D56" s="12" t="s">
        <v>8</v>
      </c>
      <c r="E56" s="13" t="str">
        <f>VLOOKUP(LOWER(G48),experiments_specs!$A:$J,9,FALSE)</f>
        <v>wup_similarity</v>
      </c>
      <c r="F56" s="16" t="s">
        <v>176</v>
      </c>
      <c r="G56" s="7"/>
      <c r="H56" s="20"/>
      <c r="I56" s="20"/>
      <c r="J56" s="27"/>
      <c r="K56" s="23"/>
      <c r="L56" s="23"/>
      <c r="M56" s="30"/>
      <c r="O56" s="17"/>
      <c r="Q56" s="17"/>
      <c r="S56" s="12" t="s">
        <v>8</v>
      </c>
      <c r="T56" s="13" t="str">
        <f>VLOOKUP(LOWER(V48),experiments_specs!$A:$J,9,FALSE)</f>
        <v>wup_similarity</v>
      </c>
      <c r="U56" s="16" t="s">
        <v>182</v>
      </c>
      <c r="V56" s="7" t="s">
        <v>17</v>
      </c>
      <c r="W56" s="19"/>
      <c r="X56" s="19"/>
      <c r="Y56" s="27"/>
      <c r="Z56" s="24"/>
      <c r="AA56" s="24"/>
      <c r="AB56" s="30"/>
      <c r="AD56" s="17"/>
      <c r="AF56" s="17"/>
      <c r="AH56" s="12" t="s">
        <v>8</v>
      </c>
      <c r="AI56" s="13" t="str">
        <f>VLOOKUP(LOWER(AK48),experiments_specs!$A:$J,9,FALSE)</f>
        <v>wup_similarity</v>
      </c>
      <c r="AJ56" s="16" t="s">
        <v>188</v>
      </c>
      <c r="AK56" s="7"/>
      <c r="AL56" s="19"/>
      <c r="AM56" s="19"/>
      <c r="AN56" s="27"/>
      <c r="AO56" s="24"/>
      <c r="AP56" s="24"/>
      <c r="AQ56" s="30"/>
      <c r="AS56" s="17"/>
    </row>
    <row r="57" spans="2:45" x14ac:dyDescent="0.2">
      <c r="B57" s="17"/>
      <c r="D57" s="12" t="s">
        <v>9</v>
      </c>
      <c r="E57" s="13" t="str">
        <f>VLOOKUP(LOWER(G48),experiments_specs!$A:$J,10,FALSE)</f>
        <v>False</v>
      </c>
      <c r="F57" s="16" t="s">
        <v>176</v>
      </c>
      <c r="G57" s="8"/>
      <c r="H57" s="21"/>
      <c r="I57" s="21"/>
      <c r="J57" s="28"/>
      <c r="K57" s="25"/>
      <c r="L57" s="25"/>
      <c r="M57" s="31"/>
      <c r="O57" s="17"/>
      <c r="Q57" s="17"/>
      <c r="S57" s="12" t="s">
        <v>9</v>
      </c>
      <c r="T57" s="13" t="str">
        <f>VLOOKUP(LOWER(V48),experiments_specs!$A:$J,10,FALSE)</f>
        <v>False</v>
      </c>
      <c r="U57" s="16" t="s">
        <v>182</v>
      </c>
      <c r="V57" s="8" t="s">
        <v>18</v>
      </c>
      <c r="W57" s="21"/>
      <c r="X57" s="21"/>
      <c r="Y57" s="28"/>
      <c r="Z57" s="25"/>
      <c r="AA57" s="25"/>
      <c r="AB57" s="31"/>
      <c r="AD57" s="17"/>
      <c r="AF57" s="17"/>
      <c r="AH57" s="12" t="s">
        <v>9</v>
      </c>
      <c r="AI57" s="13" t="str">
        <f>VLOOKUP(LOWER(AK48),experiments_specs!$A:$J,10,FALSE)</f>
        <v>True</v>
      </c>
      <c r="AJ57" s="16" t="s">
        <v>188</v>
      </c>
      <c r="AK57" s="8"/>
      <c r="AL57" s="21"/>
      <c r="AM57" s="21"/>
      <c r="AN57" s="28"/>
      <c r="AO57" s="25"/>
      <c r="AP57" s="25"/>
      <c r="AQ57" s="31"/>
      <c r="AS57" s="17"/>
    </row>
    <row r="58" spans="2:45" ht="17" thickBot="1" x14ac:dyDescent="0.25">
      <c r="B58" s="17"/>
      <c r="O58" s="17"/>
      <c r="Q58" s="17"/>
      <c r="AD58" s="17"/>
      <c r="AF58" s="17"/>
      <c r="AS58" s="17"/>
    </row>
    <row r="59" spans="2:45" ht="20" thickBot="1" x14ac:dyDescent="0.3">
      <c r="B59" s="17"/>
      <c r="D59" s="14" t="s">
        <v>198</v>
      </c>
      <c r="E59" s="15"/>
      <c r="F59" s="10"/>
      <c r="G59" s="11" t="str">
        <f>"TEST_"&amp;TEXT(RIGHT(G48,2)+1, "00")</f>
        <v>TEST_78</v>
      </c>
      <c r="H59" s="36" t="s">
        <v>196</v>
      </c>
      <c r="I59" s="36"/>
      <c r="J59" s="36"/>
      <c r="K59" s="37" t="s">
        <v>195</v>
      </c>
      <c r="L59" s="37"/>
      <c r="M59" s="37"/>
      <c r="N59" s="3"/>
      <c r="O59" s="17"/>
      <c r="Q59" s="17"/>
      <c r="S59" s="14" t="s">
        <v>198</v>
      </c>
      <c r="T59" s="15"/>
      <c r="U59" s="10"/>
      <c r="V59" s="11" t="str">
        <f>"TEST_"&amp;TEXT(RIGHT(V48,2)+1, "00")</f>
        <v>TEST_84</v>
      </c>
      <c r="W59" s="36" t="s">
        <v>196</v>
      </c>
      <c r="X59" s="36"/>
      <c r="Y59" s="36"/>
      <c r="Z59" s="37" t="s">
        <v>195</v>
      </c>
      <c r="AA59" s="37"/>
      <c r="AB59" s="37"/>
      <c r="AC59" s="3"/>
      <c r="AD59" s="17"/>
      <c r="AF59" s="17"/>
      <c r="AH59" s="14" t="s">
        <v>198</v>
      </c>
      <c r="AI59" s="15"/>
      <c r="AJ59" s="10"/>
      <c r="AK59" s="11" t="str">
        <f>"TEST_"&amp;TEXT(RIGHT(AK48,2)+1, "00")</f>
        <v>TEST_90</v>
      </c>
      <c r="AL59" s="36" t="s">
        <v>196</v>
      </c>
      <c r="AM59" s="36"/>
      <c r="AN59" s="36"/>
      <c r="AO59" s="37" t="s">
        <v>195</v>
      </c>
      <c r="AP59" s="37"/>
      <c r="AQ59" s="37"/>
      <c r="AR59" s="3"/>
      <c r="AS59" s="17"/>
    </row>
    <row r="60" spans="2:45" x14ac:dyDescent="0.2">
      <c r="B60" s="17"/>
      <c r="D60" s="12" t="s">
        <v>1</v>
      </c>
      <c r="E60" s="13" t="str">
        <f>VLOOKUP(LOWER(G59),experiments_specs!$A:$J,2,FALSE)</f>
        <v>NN,JJ,VB,VBD,VBG,VBN,VBP,VBZ</v>
      </c>
      <c r="F60" s="16" t="str">
        <f>"{"&amp;LOWER(G59)&amp;".csv}"</f>
        <v>{test_78.csv}</v>
      </c>
      <c r="G60" s="9" t="s">
        <v>190</v>
      </c>
      <c r="H60" s="4" t="s">
        <v>191</v>
      </c>
      <c r="I60" s="4" t="s">
        <v>192</v>
      </c>
      <c r="J60" s="4" t="s">
        <v>193</v>
      </c>
      <c r="K60" s="5" t="s">
        <v>194</v>
      </c>
      <c r="L60" s="5" t="s">
        <v>192</v>
      </c>
      <c r="M60" s="5" t="s">
        <v>193</v>
      </c>
      <c r="O60" s="17"/>
      <c r="Q60" s="17"/>
      <c r="S60" s="12" t="s">
        <v>1</v>
      </c>
      <c r="T60" s="13" t="str">
        <f>VLOOKUP(LOWER(V59),experiments_specs!$A:$J,2,FALSE)</f>
        <v>NN,JJ,VB,VBD,VBG,VBN,VBP,VBZ</v>
      </c>
      <c r="U60" s="16" t="str">
        <f>"{"&amp;LOWER(V59)&amp;".csv}"</f>
        <v>{test_84.csv}</v>
      </c>
      <c r="V60" s="9" t="s">
        <v>190</v>
      </c>
      <c r="W60" s="4" t="s">
        <v>191</v>
      </c>
      <c r="X60" s="4" t="s">
        <v>192</v>
      </c>
      <c r="Y60" s="4" t="s">
        <v>193</v>
      </c>
      <c r="Z60" s="5" t="s">
        <v>194</v>
      </c>
      <c r="AA60" s="5" t="s">
        <v>192</v>
      </c>
      <c r="AB60" s="5" t="s">
        <v>193</v>
      </c>
      <c r="AD60" s="17"/>
      <c r="AF60" s="17"/>
      <c r="AH60" s="12" t="s">
        <v>1</v>
      </c>
      <c r="AI60" s="13" t="str">
        <f>VLOOKUP(LOWER(AK59),experiments_specs!$A:$J,2,FALSE)</f>
        <v>NN,JJ,VB,VBD,VBG,VBN,VBP,VBZ</v>
      </c>
      <c r="AJ60" s="16" t="str">
        <f>"{"&amp;LOWER(AK59)&amp;".csv}"</f>
        <v>{test_90.csv}</v>
      </c>
      <c r="AK60" s="9" t="s">
        <v>190</v>
      </c>
      <c r="AL60" s="4" t="s">
        <v>191</v>
      </c>
      <c r="AM60" s="4" t="s">
        <v>192</v>
      </c>
      <c r="AN60" s="4" t="s">
        <v>193</v>
      </c>
      <c r="AO60" s="5" t="s">
        <v>194</v>
      </c>
      <c r="AP60" s="5" t="s">
        <v>192</v>
      </c>
      <c r="AQ60" s="5" t="s">
        <v>193</v>
      </c>
      <c r="AS60" s="17"/>
    </row>
    <row r="61" spans="2:45" x14ac:dyDescent="0.2">
      <c r="B61" s="17"/>
      <c r="D61" s="12" t="s">
        <v>2</v>
      </c>
      <c r="E61" s="13">
        <f>VLOOKUP(LOWER(G59),experiments_specs!$A:$J,3,FALSE)</f>
        <v>1</v>
      </c>
      <c r="F61" s="16" t="s">
        <v>177</v>
      </c>
      <c r="G61" s="6"/>
      <c r="H61" s="18"/>
      <c r="I61" s="18"/>
      <c r="J61" s="26"/>
      <c r="K61" s="22"/>
      <c r="L61" s="22"/>
      <c r="M61" s="29"/>
      <c r="O61" s="17"/>
      <c r="Q61" s="17"/>
      <c r="S61" s="12" t="s">
        <v>2</v>
      </c>
      <c r="T61" s="13">
        <f>VLOOKUP(LOWER(V59),experiments_specs!$A:$J,3,FALSE)</f>
        <v>1</v>
      </c>
      <c r="U61" s="16" t="s">
        <v>183</v>
      </c>
      <c r="V61" s="6" t="s">
        <v>19</v>
      </c>
      <c r="W61" s="18"/>
      <c r="X61" s="18"/>
      <c r="Y61" s="26"/>
      <c r="Z61" s="22"/>
      <c r="AA61" s="22"/>
      <c r="AB61" s="29"/>
      <c r="AD61" s="17"/>
      <c r="AF61" s="17"/>
      <c r="AH61" s="12" t="s">
        <v>2</v>
      </c>
      <c r="AI61" s="13">
        <f>VLOOKUP(LOWER(AK59),experiments_specs!$A:$J,3,FALSE)</f>
        <v>1</v>
      </c>
      <c r="AJ61" s="16" t="s">
        <v>189</v>
      </c>
      <c r="AK61" s="6"/>
      <c r="AL61" s="18"/>
      <c r="AM61" s="18"/>
      <c r="AN61" s="26"/>
      <c r="AO61" s="22"/>
      <c r="AP61" s="22"/>
      <c r="AQ61" s="29"/>
      <c r="AS61" s="17"/>
    </row>
    <row r="62" spans="2:45" x14ac:dyDescent="0.2">
      <c r="B62" s="17"/>
      <c r="D62" s="12" t="s">
        <v>3</v>
      </c>
      <c r="E62" s="13">
        <f>VLOOKUP(LOWER(G59),experiments_specs!$A:$J,4,FALSE)</f>
        <v>2</v>
      </c>
      <c r="F62" s="16" t="s">
        <v>177</v>
      </c>
      <c r="G62" s="7"/>
      <c r="H62" s="19"/>
      <c r="I62" s="19"/>
      <c r="J62" s="27"/>
      <c r="K62" s="23"/>
      <c r="L62" s="23"/>
      <c r="M62" s="30"/>
      <c r="O62" s="17"/>
      <c r="Q62" s="17"/>
      <c r="S62" s="12" t="s">
        <v>3</v>
      </c>
      <c r="T62" s="13">
        <f>VLOOKUP(LOWER(V59),experiments_specs!$A:$J,4,FALSE)</f>
        <v>2</v>
      </c>
      <c r="U62" s="16" t="s">
        <v>183</v>
      </c>
      <c r="V62" s="7" t="s">
        <v>12</v>
      </c>
      <c r="W62" s="19"/>
      <c r="X62" s="19"/>
      <c r="Y62" s="27"/>
      <c r="Z62" s="24"/>
      <c r="AA62" s="24"/>
      <c r="AB62" s="30"/>
      <c r="AD62" s="17"/>
      <c r="AF62" s="17"/>
      <c r="AH62" s="12" t="s">
        <v>3</v>
      </c>
      <c r="AI62" s="13">
        <f>VLOOKUP(LOWER(AK59),experiments_specs!$A:$J,4,FALSE)</f>
        <v>2</v>
      </c>
      <c r="AJ62" s="16" t="s">
        <v>189</v>
      </c>
      <c r="AK62" s="7"/>
      <c r="AL62" s="19"/>
      <c r="AM62" s="19"/>
      <c r="AN62" s="27"/>
      <c r="AO62" s="24"/>
      <c r="AP62" s="24"/>
      <c r="AQ62" s="30"/>
      <c r="AS62" s="17"/>
    </row>
    <row r="63" spans="2:45" x14ac:dyDescent="0.2">
      <c r="B63" s="17"/>
      <c r="D63" s="12" t="s">
        <v>4</v>
      </c>
      <c r="E63" s="13" t="str">
        <f>VLOOKUP(LOWER(G59),experiments_specs!$A:$J,5,FALSE)</f>
        <v>False</v>
      </c>
      <c r="F63" s="16" t="s">
        <v>177</v>
      </c>
      <c r="G63" s="7"/>
      <c r="H63" s="20"/>
      <c r="I63" s="20"/>
      <c r="J63" s="27"/>
      <c r="K63" s="23"/>
      <c r="L63" s="23"/>
      <c r="M63" s="30"/>
      <c r="O63" s="17"/>
      <c r="Q63" s="17"/>
      <c r="S63" s="12" t="s">
        <v>4</v>
      </c>
      <c r="T63" s="13" t="str">
        <f>VLOOKUP(LOWER(V59),experiments_specs!$A:$J,5,FALSE)</f>
        <v>True</v>
      </c>
      <c r="U63" s="16" t="s">
        <v>183</v>
      </c>
      <c r="V63" s="7" t="s">
        <v>13</v>
      </c>
      <c r="W63" s="20"/>
      <c r="X63" s="20"/>
      <c r="Y63" s="27"/>
      <c r="Z63" s="23"/>
      <c r="AA63" s="23"/>
      <c r="AB63" s="30"/>
      <c r="AD63" s="17"/>
      <c r="AF63" s="17"/>
      <c r="AH63" s="12" t="s">
        <v>4</v>
      </c>
      <c r="AI63" s="13" t="str">
        <f>VLOOKUP(LOWER(AK59),experiments_specs!$A:$J,5,FALSE)</f>
        <v>True</v>
      </c>
      <c r="AJ63" s="16" t="s">
        <v>189</v>
      </c>
      <c r="AK63" s="7"/>
      <c r="AL63" s="20"/>
      <c r="AM63" s="20"/>
      <c r="AN63" s="27"/>
      <c r="AO63" s="23"/>
      <c r="AP63" s="23"/>
      <c r="AQ63" s="30"/>
      <c r="AS63" s="17"/>
    </row>
    <row r="64" spans="2:45" x14ac:dyDescent="0.2">
      <c r="B64" s="17"/>
      <c r="D64" s="12" t="s">
        <v>5</v>
      </c>
      <c r="E64" s="13" t="str">
        <f>VLOOKUP(LOWER(G59),experiments_specs!$A:$J,6,FALSE)</f>
        <v>False</v>
      </c>
      <c r="F64" s="16" t="s">
        <v>177</v>
      </c>
      <c r="G64" s="7"/>
      <c r="H64" s="20"/>
      <c r="I64" s="20"/>
      <c r="J64" s="27"/>
      <c r="K64" s="23"/>
      <c r="L64" s="23"/>
      <c r="M64" s="30"/>
      <c r="O64" s="17"/>
      <c r="Q64" s="17"/>
      <c r="S64" s="12" t="s">
        <v>5</v>
      </c>
      <c r="T64" s="13" t="str">
        <f>VLOOKUP(LOWER(V59),experiments_specs!$A:$J,6,FALSE)</f>
        <v>False</v>
      </c>
      <c r="U64" s="16" t="s">
        <v>183</v>
      </c>
      <c r="V64" s="7" t="s">
        <v>14</v>
      </c>
      <c r="W64" s="19"/>
      <c r="X64" s="19"/>
      <c r="Y64" s="27"/>
      <c r="Z64" s="24"/>
      <c r="AA64" s="24"/>
      <c r="AB64" s="30"/>
      <c r="AD64" s="17"/>
      <c r="AF64" s="17"/>
      <c r="AH64" s="12" t="s">
        <v>5</v>
      </c>
      <c r="AI64" s="13" t="str">
        <f>VLOOKUP(LOWER(AK59),experiments_specs!$A:$J,6,FALSE)</f>
        <v>False</v>
      </c>
      <c r="AJ64" s="16" t="s">
        <v>189</v>
      </c>
      <c r="AK64" s="7"/>
      <c r="AL64" s="19"/>
      <c r="AM64" s="19"/>
      <c r="AN64" s="27"/>
      <c r="AO64" s="24"/>
      <c r="AP64" s="24"/>
      <c r="AQ64" s="30"/>
      <c r="AS64" s="17"/>
    </row>
    <row r="65" spans="2:45" x14ac:dyDescent="0.2">
      <c r="B65" s="17"/>
      <c r="D65" s="12" t="s">
        <v>6</v>
      </c>
      <c r="E65" s="13" t="str">
        <f>VLOOKUP(LOWER(G59),experiments_specs!$A:$J,7,FALSE)</f>
        <v>False</v>
      </c>
      <c r="F65" s="16" t="s">
        <v>177</v>
      </c>
      <c r="G65" s="7"/>
      <c r="H65" s="20"/>
      <c r="I65" s="20"/>
      <c r="J65" s="27"/>
      <c r="K65" s="24"/>
      <c r="L65" s="24"/>
      <c r="M65" s="30"/>
      <c r="O65" s="17"/>
      <c r="Q65" s="17"/>
      <c r="S65" s="12" t="s">
        <v>6</v>
      </c>
      <c r="T65" s="13" t="str">
        <f>VLOOKUP(LOWER(V59),experiments_specs!$A:$J,7,FALSE)</f>
        <v>False</v>
      </c>
      <c r="U65" s="16" t="s">
        <v>183</v>
      </c>
      <c r="V65" s="7" t="s">
        <v>15</v>
      </c>
      <c r="W65" s="20"/>
      <c r="X65" s="20"/>
      <c r="Y65" s="27"/>
      <c r="Z65" s="24"/>
      <c r="AA65" s="24"/>
      <c r="AB65" s="30"/>
      <c r="AD65" s="17"/>
      <c r="AF65" s="17"/>
      <c r="AH65" s="12" t="s">
        <v>6</v>
      </c>
      <c r="AI65" s="13" t="str">
        <f>VLOOKUP(LOWER(AK59),experiments_specs!$A:$J,7,FALSE)</f>
        <v>False</v>
      </c>
      <c r="AJ65" s="16" t="s">
        <v>189</v>
      </c>
      <c r="AK65" s="7"/>
      <c r="AL65" s="20"/>
      <c r="AM65" s="20"/>
      <c r="AN65" s="27"/>
      <c r="AO65" s="24"/>
      <c r="AP65" s="24"/>
      <c r="AQ65" s="30"/>
      <c r="AS65" s="17"/>
    </row>
    <row r="66" spans="2:45" x14ac:dyDescent="0.2">
      <c r="B66" s="17"/>
      <c r="D66" s="12" t="s">
        <v>7</v>
      </c>
      <c r="E66" s="13" t="str">
        <f>VLOOKUP(LOWER(G59),experiments_specs!$A:$J,8,FALSE)</f>
        <v>True</v>
      </c>
      <c r="F66" s="16" t="s">
        <v>177</v>
      </c>
      <c r="G66" s="7"/>
      <c r="H66" s="20"/>
      <c r="I66" s="20"/>
      <c r="J66" s="27"/>
      <c r="K66" s="24"/>
      <c r="L66" s="24"/>
      <c r="M66" s="30"/>
      <c r="O66" s="17"/>
      <c r="Q66" s="17"/>
      <c r="S66" s="12" t="s">
        <v>7</v>
      </c>
      <c r="T66" s="13" t="str">
        <f>VLOOKUP(LOWER(V59),experiments_specs!$A:$J,8,FALSE)</f>
        <v>True</v>
      </c>
      <c r="U66" s="16" t="s">
        <v>183</v>
      </c>
      <c r="V66" s="7" t="s">
        <v>16</v>
      </c>
      <c r="W66" s="20"/>
      <c r="X66" s="20"/>
      <c r="Y66" s="27"/>
      <c r="Z66" s="24"/>
      <c r="AA66" s="24"/>
      <c r="AB66" s="30"/>
      <c r="AD66" s="17"/>
      <c r="AF66" s="17"/>
      <c r="AH66" s="12" t="s">
        <v>7</v>
      </c>
      <c r="AI66" s="13" t="str">
        <f>VLOOKUP(LOWER(AK59),experiments_specs!$A:$J,8,FALSE)</f>
        <v>True</v>
      </c>
      <c r="AJ66" s="16" t="s">
        <v>189</v>
      </c>
      <c r="AK66" s="7"/>
      <c r="AL66" s="20"/>
      <c r="AM66" s="20"/>
      <c r="AN66" s="27"/>
      <c r="AO66" s="24"/>
      <c r="AP66" s="24"/>
      <c r="AQ66" s="30"/>
      <c r="AS66" s="17"/>
    </row>
    <row r="67" spans="2:45" x14ac:dyDescent="0.2">
      <c r="B67" s="17"/>
      <c r="D67" s="12" t="s">
        <v>8</v>
      </c>
      <c r="E67" s="13" t="str">
        <f>VLOOKUP(LOWER(G59),experiments_specs!$A:$J,9,FALSE)</f>
        <v>wup_similarity</v>
      </c>
      <c r="F67" s="16" t="s">
        <v>177</v>
      </c>
      <c r="G67" s="7"/>
      <c r="H67" s="20"/>
      <c r="I67" s="20"/>
      <c r="J67" s="27"/>
      <c r="K67" s="23"/>
      <c r="L67" s="23"/>
      <c r="M67" s="30"/>
      <c r="O67" s="17"/>
      <c r="Q67" s="17"/>
      <c r="S67" s="12" t="s">
        <v>8</v>
      </c>
      <c r="T67" s="13" t="str">
        <f>VLOOKUP(LOWER(V59),experiments_specs!$A:$J,9,FALSE)</f>
        <v>wup_similarity</v>
      </c>
      <c r="U67" s="16" t="s">
        <v>183</v>
      </c>
      <c r="V67" s="7" t="s">
        <v>17</v>
      </c>
      <c r="W67" s="20"/>
      <c r="X67" s="20"/>
      <c r="Y67" s="27"/>
      <c r="Z67" s="23"/>
      <c r="AA67" s="23"/>
      <c r="AB67" s="30"/>
      <c r="AD67" s="17"/>
      <c r="AF67" s="17"/>
      <c r="AH67" s="12" t="s">
        <v>8</v>
      </c>
      <c r="AI67" s="13" t="str">
        <f>VLOOKUP(LOWER(AK59),experiments_specs!$A:$J,9,FALSE)</f>
        <v>wup_similarity</v>
      </c>
      <c r="AJ67" s="16" t="s">
        <v>189</v>
      </c>
      <c r="AK67" s="7"/>
      <c r="AL67" s="19"/>
      <c r="AM67" s="19"/>
      <c r="AN67" s="27"/>
      <c r="AO67" s="24"/>
      <c r="AP67" s="24"/>
      <c r="AQ67" s="30"/>
      <c r="AS67" s="17"/>
    </row>
    <row r="68" spans="2:45" x14ac:dyDescent="0.2">
      <c r="B68" s="17"/>
      <c r="D68" s="12" t="s">
        <v>9</v>
      </c>
      <c r="E68" s="13" t="str">
        <f>VLOOKUP(LOWER(G59),experiments_specs!$A:$J,10,FALSE)</f>
        <v>False</v>
      </c>
      <c r="F68" s="16" t="s">
        <v>177</v>
      </c>
      <c r="G68" s="8"/>
      <c r="H68" s="21"/>
      <c r="I68" s="21"/>
      <c r="J68" s="28"/>
      <c r="K68" s="25"/>
      <c r="L68" s="25"/>
      <c r="M68" s="31"/>
      <c r="O68" s="17"/>
      <c r="Q68" s="17"/>
      <c r="S68" s="12" t="s">
        <v>9</v>
      </c>
      <c r="T68" s="13" t="str">
        <f>VLOOKUP(LOWER(V59),experiments_specs!$A:$J,10,FALSE)</f>
        <v>False</v>
      </c>
      <c r="U68" s="16" t="s">
        <v>183</v>
      </c>
      <c r="V68" s="8" t="s">
        <v>18</v>
      </c>
      <c r="W68" s="21"/>
      <c r="X68" s="21"/>
      <c r="Y68" s="28"/>
      <c r="Z68" s="25"/>
      <c r="AA68" s="25"/>
      <c r="AB68" s="31"/>
      <c r="AD68" s="17"/>
      <c r="AF68" s="17"/>
      <c r="AH68" s="12" t="s">
        <v>9</v>
      </c>
      <c r="AI68" s="13" t="str">
        <f>VLOOKUP(LOWER(AK59),experiments_specs!$A:$J,10,FALSE)</f>
        <v>True</v>
      </c>
      <c r="AJ68" s="16" t="s">
        <v>189</v>
      </c>
      <c r="AK68" s="8"/>
      <c r="AL68" s="21"/>
      <c r="AM68" s="21"/>
      <c r="AN68" s="28"/>
      <c r="AO68" s="25"/>
      <c r="AP68" s="25"/>
      <c r="AQ68" s="31"/>
      <c r="AS68" s="17"/>
    </row>
    <row r="69" spans="2:45" x14ac:dyDescent="0.2">
      <c r="B69" s="17"/>
      <c r="O69" s="17"/>
      <c r="Q69" s="17"/>
      <c r="AD69" s="17"/>
      <c r="AF69" s="17"/>
      <c r="AS69" s="17"/>
    </row>
    <row r="70" spans="2:45" x14ac:dyDescent="0.2"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</row>
  </sheetData>
  <mergeCells count="39">
    <mergeCell ref="AO59:AQ59"/>
    <mergeCell ref="H48:J48"/>
    <mergeCell ref="K48:M48"/>
    <mergeCell ref="W48:Y48"/>
    <mergeCell ref="Z48:AB48"/>
    <mergeCell ref="AL48:AN48"/>
    <mergeCell ref="AO48:AQ48"/>
    <mergeCell ref="H59:J59"/>
    <mergeCell ref="K59:M59"/>
    <mergeCell ref="W59:Y59"/>
    <mergeCell ref="Z59:AB59"/>
    <mergeCell ref="AL59:AN59"/>
    <mergeCell ref="AO37:AQ37"/>
    <mergeCell ref="H26:J26"/>
    <mergeCell ref="K26:M26"/>
    <mergeCell ref="W26:Y26"/>
    <mergeCell ref="Z26:AB26"/>
    <mergeCell ref="AL26:AN26"/>
    <mergeCell ref="AO26:AQ26"/>
    <mergeCell ref="H37:J37"/>
    <mergeCell ref="K37:M37"/>
    <mergeCell ref="W37:Y37"/>
    <mergeCell ref="Z37:AB37"/>
    <mergeCell ref="AL37:AN37"/>
    <mergeCell ref="AO15:AQ15"/>
    <mergeCell ref="D2:M2"/>
    <mergeCell ref="S2:AB2"/>
    <mergeCell ref="AH2:AQ2"/>
    <mergeCell ref="H4:J4"/>
    <mergeCell ref="K4:M4"/>
    <mergeCell ref="W4:Y4"/>
    <mergeCell ref="Z4:AB4"/>
    <mergeCell ref="AL4:AN4"/>
    <mergeCell ref="AO4:AQ4"/>
    <mergeCell ref="H15:J15"/>
    <mergeCell ref="K15:M15"/>
    <mergeCell ref="W15:Y15"/>
    <mergeCell ref="Z15:AB15"/>
    <mergeCell ref="AL15:AN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7348-3735-E746-801B-610D87A806D8}">
  <sheetPr codeName="Foglio2"/>
  <dimension ref="A1:Q298"/>
  <sheetViews>
    <sheetView workbookViewId="0">
      <selection activeCell="G1" sqref="G1"/>
    </sheetView>
  </sheetViews>
  <sheetFormatPr baseColWidth="10" defaultRowHeight="17" customHeight="1" x14ac:dyDescent="0.2"/>
  <cols>
    <col min="1" max="1" width="8.33203125" customWidth="1"/>
    <col min="2" max="2" width="6.5" customWidth="1"/>
    <col min="3" max="3" width="6.6640625" customWidth="1"/>
    <col min="4" max="4" width="6.5" customWidth="1"/>
    <col min="5" max="5" width="7.6640625" customWidth="1"/>
    <col min="6" max="6" width="9.83203125" customWidth="1"/>
    <col min="7" max="7" width="10.33203125" customWidth="1"/>
    <col min="8" max="8" width="9" customWidth="1"/>
    <col min="9" max="9" width="13.33203125" bestFit="1" customWidth="1"/>
    <col min="10" max="10" width="5.83203125" customWidth="1"/>
    <col min="11" max="11" width="24.1640625" bestFit="1" customWidth="1"/>
    <col min="12" max="12" width="23.1640625" bestFit="1" customWidth="1"/>
    <col min="13" max="13" width="22.83203125" bestFit="1" customWidth="1"/>
    <col min="14" max="14" width="19.83203125" bestFit="1" customWidth="1"/>
    <col min="15" max="15" width="20.33203125" bestFit="1" customWidth="1"/>
    <col min="16" max="16" width="28.5" bestFit="1" customWidth="1"/>
    <col min="17" max="17" width="19.83203125" style="33" bestFit="1" customWidth="1"/>
  </cols>
  <sheetData>
    <row r="1" spans="1:17" s="2" customFormat="1" ht="76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121</v>
      </c>
      <c r="L1" s="2" t="s">
        <v>122</v>
      </c>
      <c r="M1" s="2" t="s">
        <v>123</v>
      </c>
      <c r="N1" s="2" t="s">
        <v>126</v>
      </c>
      <c r="O1" s="2" t="s">
        <v>124</v>
      </c>
      <c r="P1" s="2" t="s">
        <v>125</v>
      </c>
      <c r="Q1" s="32" t="s">
        <v>127</v>
      </c>
    </row>
    <row r="2" spans="1:17" ht="16" x14ac:dyDescent="0.2">
      <c r="B2" t="e">
        <f>VLOOKUP(Tabella1[[#This Row],[test_id]],experiments_specs!A:J,2,FALSE)</f>
        <v>#N/A</v>
      </c>
      <c r="C2" t="e">
        <f>VLOOKUP(Tabella1[[#This Row],[test_id]],experiments_specs!A:J,3,FALSE)</f>
        <v>#N/A</v>
      </c>
      <c r="D2" t="e">
        <f>VLOOKUP(Tabella1[[#This Row],[test_id]],experiments_specs!A:J,4,FALSE)</f>
        <v>#N/A</v>
      </c>
      <c r="E2" t="e">
        <f>VLOOKUP(Tabella1[[#This Row],[test_id]],experiments_specs!A:J,5,FALSE)</f>
        <v>#N/A</v>
      </c>
      <c r="F2" t="e">
        <f>VLOOKUP(Tabella1[[#This Row],[test_id]],experiments_specs!A:J,6,FALSE)</f>
        <v>#N/A</v>
      </c>
      <c r="G2" t="e">
        <f>VLOOKUP(Tabella1[[#This Row],[test_id]],experiments_specs!A:J,7,FALSE)</f>
        <v>#N/A</v>
      </c>
      <c r="H2" t="e">
        <f>VLOOKUP(Tabella1[[#This Row],[test_id]],experiments_specs!A:J,8,FALSE)</f>
        <v>#N/A</v>
      </c>
      <c r="I2" t="e">
        <f>VLOOKUP(Tabella1[[#This Row],[test_id]],experiments_specs!A:J,9,FALSE)</f>
        <v>#N/A</v>
      </c>
      <c r="J2" t="e">
        <f>VLOOKUP(Tabella1[[#This Row],[test_id]],experiments_specs!A:J,10,FALSE)</f>
        <v>#N/A</v>
      </c>
    </row>
    <row r="3" spans="1:17" ht="16" x14ac:dyDescent="0.2">
      <c r="A3" t="s">
        <v>10</v>
      </c>
      <c r="B3" s="1" t="str">
        <f>VLOOKUP(Tabella1[[#This Row],[test_id]],experiments_specs!A:J,2,FALSE)</f>
        <v>NN</v>
      </c>
      <c r="C3" s="1">
        <f>VLOOKUP(Tabella1[[#This Row],[test_id]],experiments_specs!A:J,3,FALSE)</f>
        <v>1</v>
      </c>
      <c r="D3" s="1">
        <f>VLOOKUP(Tabella1[[#This Row],[test_id]],experiments_specs!A:J,4,FALSE)</f>
        <v>2</v>
      </c>
      <c r="E3" s="1" t="str">
        <f>VLOOKUP(Tabella1[[#This Row],[test_id]],experiments_specs!A:J,5,FALSE)</f>
        <v>False</v>
      </c>
      <c r="F3" s="1" t="str">
        <f>VLOOKUP(Tabella1[[#This Row],[test_id]],experiments_specs!A:J,6,FALSE)</f>
        <v>True</v>
      </c>
      <c r="G3" s="1" t="str">
        <f>VLOOKUP(Tabella1[[#This Row],[test_id]],experiments_specs!A:J,7,FALSE)</f>
        <v>False</v>
      </c>
      <c r="H3" s="1" t="str">
        <f>VLOOKUP(Tabella1[[#This Row],[test_id]],experiments_specs!A:J,8,FALSE)</f>
        <v>False</v>
      </c>
      <c r="I3" s="1" t="str">
        <f>VLOOKUP(Tabella1[[#This Row],[test_id]],experiments_specs!A:J,9,FALSE)</f>
        <v>wup_similarity</v>
      </c>
      <c r="J3" s="1" t="str">
        <f>VLOOKUP(Tabella1[[#This Row],[test_id]],experiments_specs!A:J,10,FALSE)</f>
        <v>False</v>
      </c>
      <c r="K3" t="s">
        <v>19</v>
      </c>
      <c r="L3" t="s">
        <v>20</v>
      </c>
      <c r="M3" t="s">
        <v>21</v>
      </c>
      <c r="N3">
        <v>0.19047619047619047</v>
      </c>
      <c r="O3" t="s">
        <v>22</v>
      </c>
      <c r="P3" t="s">
        <v>23</v>
      </c>
      <c r="Q3" s="33">
        <v>9.5238095238095233E-2</v>
      </c>
    </row>
    <row r="4" spans="1:17" ht="16" x14ac:dyDescent="0.2">
      <c r="A4" t="s">
        <v>10</v>
      </c>
      <c r="B4" s="1" t="str">
        <f>VLOOKUP(Tabella1[[#This Row],[test_id]],experiments_specs!A:J,2,FALSE)</f>
        <v>NN</v>
      </c>
      <c r="C4" s="1">
        <f>VLOOKUP(Tabella1[[#This Row],[test_id]],experiments_specs!A:J,3,FALSE)</f>
        <v>1</v>
      </c>
      <c r="D4" s="1">
        <f>VLOOKUP(Tabella1[[#This Row],[test_id]],experiments_specs!A:J,4,FALSE)</f>
        <v>2</v>
      </c>
      <c r="E4" s="1" t="str">
        <f>VLOOKUP(Tabella1[[#This Row],[test_id]],experiments_specs!A:J,5,FALSE)</f>
        <v>False</v>
      </c>
      <c r="F4" s="1" t="str">
        <f>VLOOKUP(Tabella1[[#This Row],[test_id]],experiments_specs!A:J,6,FALSE)</f>
        <v>True</v>
      </c>
      <c r="G4" s="1" t="str">
        <f>VLOOKUP(Tabella1[[#This Row],[test_id]],experiments_specs!A:J,7,FALSE)</f>
        <v>False</v>
      </c>
      <c r="H4" s="1" t="str">
        <f>VLOOKUP(Tabella1[[#This Row],[test_id]],experiments_specs!A:J,8,FALSE)</f>
        <v>False</v>
      </c>
      <c r="I4" s="1" t="str">
        <f>VLOOKUP(Tabella1[[#This Row],[test_id]],experiments_specs!A:J,9,FALSE)</f>
        <v>wup_similarity</v>
      </c>
      <c r="J4" s="1" t="str">
        <f>VLOOKUP(Tabella1[[#This Row],[test_id]],experiments_specs!A:J,10,FALSE)</f>
        <v>False</v>
      </c>
      <c r="K4" t="s">
        <v>12</v>
      </c>
      <c r="L4" t="s">
        <v>24</v>
      </c>
      <c r="M4" t="s">
        <v>25</v>
      </c>
      <c r="N4">
        <v>0.42857142857142855</v>
      </c>
      <c r="O4" t="s">
        <v>26</v>
      </c>
      <c r="P4" t="s">
        <v>25</v>
      </c>
      <c r="Q4" s="33">
        <v>0.42857142857142855</v>
      </c>
    </row>
    <row r="5" spans="1:17" ht="16" x14ac:dyDescent="0.2">
      <c r="A5" t="s">
        <v>10</v>
      </c>
      <c r="B5" s="1" t="str">
        <f>VLOOKUP(Tabella1[[#This Row],[test_id]],experiments_specs!A:J,2,FALSE)</f>
        <v>NN</v>
      </c>
      <c r="C5" s="1">
        <f>VLOOKUP(Tabella1[[#This Row],[test_id]],experiments_specs!A:J,3,FALSE)</f>
        <v>1</v>
      </c>
      <c r="D5" s="1">
        <f>VLOOKUP(Tabella1[[#This Row],[test_id]],experiments_specs!A:J,4,FALSE)</f>
        <v>2</v>
      </c>
      <c r="E5" s="1" t="str">
        <f>VLOOKUP(Tabella1[[#This Row],[test_id]],experiments_specs!A:J,5,FALSE)</f>
        <v>False</v>
      </c>
      <c r="F5" s="1" t="str">
        <f>VLOOKUP(Tabella1[[#This Row],[test_id]],experiments_specs!A:J,6,FALSE)</f>
        <v>True</v>
      </c>
      <c r="G5" s="1" t="str">
        <f>VLOOKUP(Tabella1[[#This Row],[test_id]],experiments_specs!A:J,7,FALSE)</f>
        <v>False</v>
      </c>
      <c r="H5" s="1" t="str">
        <f>VLOOKUP(Tabella1[[#This Row],[test_id]],experiments_specs!A:J,8,FALSE)</f>
        <v>False</v>
      </c>
      <c r="I5" s="1" t="str">
        <f>VLOOKUP(Tabella1[[#This Row],[test_id]],experiments_specs!A:J,9,FALSE)</f>
        <v>wup_similarity</v>
      </c>
      <c r="J5" s="1" t="str">
        <f>VLOOKUP(Tabella1[[#This Row],[test_id]],experiments_specs!A:J,10,FALSE)</f>
        <v>False</v>
      </c>
      <c r="K5" t="s">
        <v>13</v>
      </c>
      <c r="L5" t="s">
        <v>27</v>
      </c>
      <c r="M5" t="s">
        <v>28</v>
      </c>
      <c r="N5" t="s">
        <v>29</v>
      </c>
      <c r="O5" t="s">
        <v>30</v>
      </c>
      <c r="P5" t="s">
        <v>28</v>
      </c>
      <c r="Q5" s="33" t="s">
        <v>29</v>
      </c>
    </row>
    <row r="6" spans="1:17" ht="16" x14ac:dyDescent="0.2">
      <c r="A6" t="s">
        <v>10</v>
      </c>
      <c r="B6" s="1" t="str">
        <f>VLOOKUP(Tabella1[[#This Row],[test_id]],experiments_specs!A:J,2,FALSE)</f>
        <v>NN</v>
      </c>
      <c r="C6" s="1">
        <f>VLOOKUP(Tabella1[[#This Row],[test_id]],experiments_specs!A:J,3,FALSE)</f>
        <v>1</v>
      </c>
      <c r="D6" s="1">
        <f>VLOOKUP(Tabella1[[#This Row],[test_id]],experiments_specs!A:J,4,FALSE)</f>
        <v>2</v>
      </c>
      <c r="E6" s="1" t="str">
        <f>VLOOKUP(Tabella1[[#This Row],[test_id]],experiments_specs!A:J,5,FALSE)</f>
        <v>False</v>
      </c>
      <c r="F6" s="1" t="str">
        <f>VLOOKUP(Tabella1[[#This Row],[test_id]],experiments_specs!A:J,6,FALSE)</f>
        <v>True</v>
      </c>
      <c r="G6" s="1" t="str">
        <f>VLOOKUP(Tabella1[[#This Row],[test_id]],experiments_specs!A:J,7,FALSE)</f>
        <v>False</v>
      </c>
      <c r="H6" s="1" t="str">
        <f>VLOOKUP(Tabella1[[#This Row],[test_id]],experiments_specs!A:J,8,FALSE)</f>
        <v>False</v>
      </c>
      <c r="I6" s="1" t="str">
        <f>VLOOKUP(Tabella1[[#This Row],[test_id]],experiments_specs!A:J,9,FALSE)</f>
        <v>wup_similarity</v>
      </c>
      <c r="J6" s="1" t="str">
        <f>VLOOKUP(Tabella1[[#This Row],[test_id]],experiments_specs!A:J,10,FALSE)</f>
        <v>False</v>
      </c>
      <c r="K6" t="s">
        <v>14</v>
      </c>
      <c r="L6" t="s">
        <v>31</v>
      </c>
      <c r="M6" t="s">
        <v>32</v>
      </c>
      <c r="N6">
        <v>0.14285714285714285</v>
      </c>
      <c r="O6" t="s">
        <v>33</v>
      </c>
      <c r="P6" t="s">
        <v>32</v>
      </c>
      <c r="Q6" s="33">
        <v>0.14285714285714285</v>
      </c>
    </row>
    <row r="7" spans="1:17" ht="16" x14ac:dyDescent="0.2">
      <c r="A7" t="s">
        <v>10</v>
      </c>
      <c r="B7" s="1" t="str">
        <f>VLOOKUP(Tabella1[[#This Row],[test_id]],experiments_specs!A:J,2,FALSE)</f>
        <v>NN</v>
      </c>
      <c r="C7" s="1">
        <f>VLOOKUP(Tabella1[[#This Row],[test_id]],experiments_specs!A:J,3,FALSE)</f>
        <v>1</v>
      </c>
      <c r="D7" s="1">
        <f>VLOOKUP(Tabella1[[#This Row],[test_id]],experiments_specs!A:J,4,FALSE)</f>
        <v>2</v>
      </c>
      <c r="E7" s="1" t="str">
        <f>VLOOKUP(Tabella1[[#This Row],[test_id]],experiments_specs!A:J,5,FALSE)</f>
        <v>False</v>
      </c>
      <c r="F7" s="1" t="str">
        <f>VLOOKUP(Tabella1[[#This Row],[test_id]],experiments_specs!A:J,6,FALSE)</f>
        <v>True</v>
      </c>
      <c r="G7" s="1" t="str">
        <f>VLOOKUP(Tabella1[[#This Row],[test_id]],experiments_specs!A:J,7,FALSE)</f>
        <v>False</v>
      </c>
      <c r="H7" s="1" t="str">
        <f>VLOOKUP(Tabella1[[#This Row],[test_id]],experiments_specs!A:J,8,FALSE)</f>
        <v>False</v>
      </c>
      <c r="I7" s="1" t="str">
        <f>VLOOKUP(Tabella1[[#This Row],[test_id]],experiments_specs!A:J,9,FALSE)</f>
        <v>wup_similarity</v>
      </c>
      <c r="J7" s="1" t="str">
        <f>VLOOKUP(Tabella1[[#This Row],[test_id]],experiments_specs!A:J,10,FALSE)</f>
        <v>False</v>
      </c>
      <c r="K7" t="s">
        <v>15</v>
      </c>
      <c r="L7" t="s">
        <v>34</v>
      </c>
      <c r="M7" t="s">
        <v>35</v>
      </c>
      <c r="N7">
        <v>0.16666666666666666</v>
      </c>
      <c r="O7" t="s">
        <v>36</v>
      </c>
      <c r="P7" t="s">
        <v>37</v>
      </c>
      <c r="Q7" s="33">
        <v>0.18181818181818182</v>
      </c>
    </row>
    <row r="8" spans="1:17" ht="16" x14ac:dyDescent="0.2">
      <c r="A8" t="s">
        <v>10</v>
      </c>
      <c r="B8" s="1" t="str">
        <f>VLOOKUP(Tabella1[[#This Row],[test_id]],experiments_specs!A:J,2,FALSE)</f>
        <v>NN</v>
      </c>
      <c r="C8" s="1">
        <f>VLOOKUP(Tabella1[[#This Row],[test_id]],experiments_specs!A:J,3,FALSE)</f>
        <v>1</v>
      </c>
      <c r="D8" s="1">
        <f>VLOOKUP(Tabella1[[#This Row],[test_id]],experiments_specs!A:J,4,FALSE)</f>
        <v>2</v>
      </c>
      <c r="E8" s="1" t="str">
        <f>VLOOKUP(Tabella1[[#This Row],[test_id]],experiments_specs!A:J,5,FALSE)</f>
        <v>False</v>
      </c>
      <c r="F8" s="1" t="str">
        <f>VLOOKUP(Tabella1[[#This Row],[test_id]],experiments_specs!A:J,6,FALSE)</f>
        <v>True</v>
      </c>
      <c r="G8" s="1" t="str">
        <f>VLOOKUP(Tabella1[[#This Row],[test_id]],experiments_specs!A:J,7,FALSE)</f>
        <v>False</v>
      </c>
      <c r="H8" s="1" t="str">
        <f>VLOOKUP(Tabella1[[#This Row],[test_id]],experiments_specs!A:J,8,FALSE)</f>
        <v>False</v>
      </c>
      <c r="I8" s="1" t="str">
        <f>VLOOKUP(Tabella1[[#This Row],[test_id]],experiments_specs!A:J,9,FALSE)</f>
        <v>wup_similarity</v>
      </c>
      <c r="J8" s="1" t="str">
        <f>VLOOKUP(Tabella1[[#This Row],[test_id]],experiments_specs!A:J,10,FALSE)</f>
        <v>False</v>
      </c>
      <c r="K8" t="s">
        <v>16</v>
      </c>
      <c r="L8" t="s">
        <v>38</v>
      </c>
      <c r="M8" t="s">
        <v>39</v>
      </c>
      <c r="N8">
        <v>0.55555555555555558</v>
      </c>
      <c r="O8" t="s">
        <v>40</v>
      </c>
      <c r="P8" t="s">
        <v>41</v>
      </c>
      <c r="Q8" s="33">
        <v>0.13333333333333333</v>
      </c>
    </row>
    <row r="9" spans="1:17" ht="16" x14ac:dyDescent="0.2">
      <c r="A9" t="s">
        <v>10</v>
      </c>
      <c r="B9" s="1" t="str">
        <f>VLOOKUP(Tabella1[[#This Row],[test_id]],experiments_specs!A:J,2,FALSE)</f>
        <v>NN</v>
      </c>
      <c r="C9" s="1">
        <f>VLOOKUP(Tabella1[[#This Row],[test_id]],experiments_specs!A:J,3,FALSE)</f>
        <v>1</v>
      </c>
      <c r="D9" s="1">
        <f>VLOOKUP(Tabella1[[#This Row],[test_id]],experiments_specs!A:J,4,FALSE)</f>
        <v>2</v>
      </c>
      <c r="E9" s="1" t="str">
        <f>VLOOKUP(Tabella1[[#This Row],[test_id]],experiments_specs!A:J,5,FALSE)</f>
        <v>False</v>
      </c>
      <c r="F9" s="1" t="str">
        <f>VLOOKUP(Tabella1[[#This Row],[test_id]],experiments_specs!A:J,6,FALSE)</f>
        <v>True</v>
      </c>
      <c r="G9" s="1" t="str">
        <f>VLOOKUP(Tabella1[[#This Row],[test_id]],experiments_specs!A:J,7,FALSE)</f>
        <v>False</v>
      </c>
      <c r="H9" s="1" t="str">
        <f>VLOOKUP(Tabella1[[#This Row],[test_id]],experiments_specs!A:J,8,FALSE)</f>
        <v>False</v>
      </c>
      <c r="I9" s="1" t="str">
        <f>VLOOKUP(Tabella1[[#This Row],[test_id]],experiments_specs!A:J,9,FALSE)</f>
        <v>wup_similarity</v>
      </c>
      <c r="J9" s="1" t="str">
        <f>VLOOKUP(Tabella1[[#This Row],[test_id]],experiments_specs!A:J,10,FALSE)</f>
        <v>False</v>
      </c>
      <c r="K9" t="s">
        <v>17</v>
      </c>
      <c r="L9" t="s">
        <v>42</v>
      </c>
      <c r="M9" t="s">
        <v>43</v>
      </c>
      <c r="N9">
        <v>0.13333333333333333</v>
      </c>
      <c r="O9" t="s">
        <v>44</v>
      </c>
      <c r="P9" t="s">
        <v>45</v>
      </c>
      <c r="Q9" s="33">
        <v>0.33333333333333331</v>
      </c>
    </row>
    <row r="10" spans="1:17" ht="16" x14ac:dyDescent="0.2">
      <c r="A10" t="s">
        <v>10</v>
      </c>
      <c r="B10" s="1" t="str">
        <f>VLOOKUP(Tabella1[[#This Row],[test_id]],experiments_specs!A:J,2,FALSE)</f>
        <v>NN</v>
      </c>
      <c r="C10" s="1">
        <f>VLOOKUP(Tabella1[[#This Row],[test_id]],experiments_specs!A:J,3,FALSE)</f>
        <v>1</v>
      </c>
      <c r="D10" s="1">
        <f>VLOOKUP(Tabella1[[#This Row],[test_id]],experiments_specs!A:J,4,FALSE)</f>
        <v>2</v>
      </c>
      <c r="E10" s="1" t="str">
        <f>VLOOKUP(Tabella1[[#This Row],[test_id]],experiments_specs!A:J,5,FALSE)</f>
        <v>False</v>
      </c>
      <c r="F10" s="1" t="str">
        <f>VLOOKUP(Tabella1[[#This Row],[test_id]],experiments_specs!A:J,6,FALSE)</f>
        <v>True</v>
      </c>
      <c r="G10" s="1" t="str">
        <f>VLOOKUP(Tabella1[[#This Row],[test_id]],experiments_specs!A:J,7,FALSE)</f>
        <v>False</v>
      </c>
      <c r="H10" s="1" t="str">
        <f>VLOOKUP(Tabella1[[#This Row],[test_id]],experiments_specs!A:J,8,FALSE)</f>
        <v>False</v>
      </c>
      <c r="I10" s="1" t="str">
        <f>VLOOKUP(Tabella1[[#This Row],[test_id]],experiments_specs!A:J,9,FALSE)</f>
        <v>wup_similarity</v>
      </c>
      <c r="J10" s="1" t="str">
        <f>VLOOKUP(Tabella1[[#This Row],[test_id]],experiments_specs!A:J,10,FALSE)</f>
        <v>False</v>
      </c>
      <c r="K10" t="s">
        <v>18</v>
      </c>
      <c r="L10" t="s">
        <v>46</v>
      </c>
      <c r="M10" t="s">
        <v>47</v>
      </c>
      <c r="N10">
        <v>0.21052631578947367</v>
      </c>
      <c r="O10" t="s">
        <v>48</v>
      </c>
      <c r="P10" t="s">
        <v>47</v>
      </c>
      <c r="Q10" s="33">
        <v>0.21052631578947367</v>
      </c>
    </row>
    <row r="11" spans="1:17" ht="16" x14ac:dyDescent="0.2">
      <c r="A11" t="s">
        <v>132</v>
      </c>
      <c r="B11" s="1" t="str">
        <f>VLOOKUP(Tabella1[[#This Row],[test_id]],experiments_specs!A:J,2,FALSE)</f>
        <v>NN,JJ</v>
      </c>
      <c r="C11" s="1">
        <f>VLOOKUP(Tabella1[[#This Row],[test_id]],experiments_specs!A:J,3,FALSE)</f>
        <v>1</v>
      </c>
      <c r="D11" s="1">
        <f>VLOOKUP(Tabella1[[#This Row],[test_id]],experiments_specs!A:J,4,FALSE)</f>
        <v>2</v>
      </c>
      <c r="E11" s="1" t="str">
        <f>VLOOKUP(Tabella1[[#This Row],[test_id]],experiments_specs!A:J,5,FALSE)</f>
        <v>False</v>
      </c>
      <c r="F11" s="1" t="str">
        <f>VLOOKUP(Tabella1[[#This Row],[test_id]],experiments_specs!A:J,6,FALSE)</f>
        <v>True</v>
      </c>
      <c r="G11" s="1" t="str">
        <f>VLOOKUP(Tabella1[[#This Row],[test_id]],experiments_specs!A:J,7,FALSE)</f>
        <v>False</v>
      </c>
      <c r="H11" s="1" t="str">
        <f>VLOOKUP(Tabella1[[#This Row],[test_id]],experiments_specs!A:J,8,FALSE)</f>
        <v>False</v>
      </c>
      <c r="I11" s="1" t="str">
        <f>VLOOKUP(Tabella1[[#This Row],[test_id]],experiments_specs!A:J,9,FALSE)</f>
        <v>wup_similarity</v>
      </c>
      <c r="J11" s="1" t="str">
        <f>VLOOKUP(Tabella1[[#This Row],[test_id]],experiments_specs!A:J,10,FALSE)</f>
        <v>False</v>
      </c>
      <c r="K11" t="s">
        <v>19</v>
      </c>
      <c r="L11" t="s">
        <v>59</v>
      </c>
      <c r="M11" t="s">
        <v>60</v>
      </c>
      <c r="N11">
        <v>0.17391304347826086</v>
      </c>
      <c r="O11" t="s">
        <v>61</v>
      </c>
      <c r="P11" t="s">
        <v>62</v>
      </c>
      <c r="Q11" s="33">
        <v>0.11764705882352941</v>
      </c>
    </row>
    <row r="12" spans="1:17" ht="16" x14ac:dyDescent="0.2">
      <c r="A12" t="s">
        <v>132</v>
      </c>
      <c r="B12" s="1" t="str">
        <f>VLOOKUP(Tabella1[[#This Row],[test_id]],experiments_specs!A:J,2,FALSE)</f>
        <v>NN,JJ</v>
      </c>
      <c r="C12" s="1">
        <f>VLOOKUP(Tabella1[[#This Row],[test_id]],experiments_specs!A:J,3,FALSE)</f>
        <v>1</v>
      </c>
      <c r="D12" s="1">
        <f>VLOOKUP(Tabella1[[#This Row],[test_id]],experiments_specs!A:J,4,FALSE)</f>
        <v>2</v>
      </c>
      <c r="E12" s="1" t="str">
        <f>VLOOKUP(Tabella1[[#This Row],[test_id]],experiments_specs!A:J,5,FALSE)</f>
        <v>False</v>
      </c>
      <c r="F12" s="1" t="str">
        <f>VLOOKUP(Tabella1[[#This Row],[test_id]],experiments_specs!A:J,6,FALSE)</f>
        <v>True</v>
      </c>
      <c r="G12" s="1" t="str">
        <f>VLOOKUP(Tabella1[[#This Row],[test_id]],experiments_specs!A:J,7,FALSE)</f>
        <v>False</v>
      </c>
      <c r="H12" s="1" t="str">
        <f>VLOOKUP(Tabella1[[#This Row],[test_id]],experiments_specs!A:J,8,FALSE)</f>
        <v>False</v>
      </c>
      <c r="I12" s="1" t="str">
        <f>VLOOKUP(Tabella1[[#This Row],[test_id]],experiments_specs!A:J,9,FALSE)</f>
        <v>wup_similarity</v>
      </c>
      <c r="J12" s="1" t="str">
        <f>VLOOKUP(Tabella1[[#This Row],[test_id]],experiments_specs!A:J,10,FALSE)</f>
        <v>False</v>
      </c>
      <c r="K12" t="s">
        <v>12</v>
      </c>
      <c r="L12" t="s">
        <v>24</v>
      </c>
      <c r="M12" t="s">
        <v>25</v>
      </c>
      <c r="N12">
        <v>0.42857142857142855</v>
      </c>
      <c r="O12" t="s">
        <v>26</v>
      </c>
      <c r="P12" t="s">
        <v>25</v>
      </c>
      <c r="Q12" s="33">
        <v>0.42857142857142855</v>
      </c>
    </row>
    <row r="13" spans="1:17" ht="16" x14ac:dyDescent="0.2">
      <c r="A13" t="s">
        <v>132</v>
      </c>
      <c r="B13" s="1" t="str">
        <f>VLOOKUP(Tabella1[[#This Row],[test_id]],experiments_specs!A:J,2,FALSE)</f>
        <v>NN,JJ</v>
      </c>
      <c r="C13" s="1">
        <f>VLOOKUP(Tabella1[[#This Row],[test_id]],experiments_specs!A:J,3,FALSE)</f>
        <v>1</v>
      </c>
      <c r="D13" s="1">
        <f>VLOOKUP(Tabella1[[#This Row],[test_id]],experiments_specs!A:J,4,FALSE)</f>
        <v>2</v>
      </c>
      <c r="E13" s="1" t="str">
        <f>VLOOKUP(Tabella1[[#This Row],[test_id]],experiments_specs!A:J,5,FALSE)</f>
        <v>False</v>
      </c>
      <c r="F13" s="1" t="str">
        <f>VLOOKUP(Tabella1[[#This Row],[test_id]],experiments_specs!A:J,6,FALSE)</f>
        <v>True</v>
      </c>
      <c r="G13" s="1" t="str">
        <f>VLOOKUP(Tabella1[[#This Row],[test_id]],experiments_specs!A:J,7,FALSE)</f>
        <v>False</v>
      </c>
      <c r="H13" s="1" t="str">
        <f>VLOOKUP(Tabella1[[#This Row],[test_id]],experiments_specs!A:J,8,FALSE)</f>
        <v>False</v>
      </c>
      <c r="I13" s="1" t="str">
        <f>VLOOKUP(Tabella1[[#This Row],[test_id]],experiments_specs!A:J,9,FALSE)</f>
        <v>wup_similarity</v>
      </c>
      <c r="J13" s="1" t="str">
        <f>VLOOKUP(Tabella1[[#This Row],[test_id]],experiments_specs!A:J,10,FALSE)</f>
        <v>False</v>
      </c>
      <c r="K13" t="s">
        <v>13</v>
      </c>
      <c r="L13" t="s">
        <v>27</v>
      </c>
      <c r="M13" t="s">
        <v>28</v>
      </c>
      <c r="N13" t="s">
        <v>29</v>
      </c>
      <c r="O13" t="s">
        <v>30</v>
      </c>
      <c r="P13" t="s">
        <v>28</v>
      </c>
      <c r="Q13" s="33" t="s">
        <v>29</v>
      </c>
    </row>
    <row r="14" spans="1:17" ht="16" x14ac:dyDescent="0.2">
      <c r="A14" t="s">
        <v>132</v>
      </c>
      <c r="B14" s="1" t="str">
        <f>VLOOKUP(Tabella1[[#This Row],[test_id]],experiments_specs!A:J,2,FALSE)</f>
        <v>NN,JJ</v>
      </c>
      <c r="C14" s="1">
        <f>VLOOKUP(Tabella1[[#This Row],[test_id]],experiments_specs!A:J,3,FALSE)</f>
        <v>1</v>
      </c>
      <c r="D14" s="1">
        <f>VLOOKUP(Tabella1[[#This Row],[test_id]],experiments_specs!A:J,4,FALSE)</f>
        <v>2</v>
      </c>
      <c r="E14" s="1" t="str">
        <f>VLOOKUP(Tabella1[[#This Row],[test_id]],experiments_specs!A:J,5,FALSE)</f>
        <v>False</v>
      </c>
      <c r="F14" s="1" t="str">
        <f>VLOOKUP(Tabella1[[#This Row],[test_id]],experiments_specs!A:J,6,FALSE)</f>
        <v>True</v>
      </c>
      <c r="G14" s="1" t="str">
        <f>VLOOKUP(Tabella1[[#This Row],[test_id]],experiments_specs!A:J,7,FALSE)</f>
        <v>False</v>
      </c>
      <c r="H14" s="1" t="str">
        <f>VLOOKUP(Tabella1[[#This Row],[test_id]],experiments_specs!A:J,8,FALSE)</f>
        <v>False</v>
      </c>
      <c r="I14" s="1" t="str">
        <f>VLOOKUP(Tabella1[[#This Row],[test_id]],experiments_specs!A:J,9,FALSE)</f>
        <v>wup_similarity</v>
      </c>
      <c r="J14" s="1" t="str">
        <f>VLOOKUP(Tabella1[[#This Row],[test_id]],experiments_specs!A:J,10,FALSE)</f>
        <v>False</v>
      </c>
      <c r="K14" t="s">
        <v>14</v>
      </c>
      <c r="L14" t="s">
        <v>31</v>
      </c>
      <c r="M14" t="s">
        <v>32</v>
      </c>
      <c r="N14">
        <v>0.14285714285714285</v>
      </c>
      <c r="O14" t="s">
        <v>33</v>
      </c>
      <c r="P14" t="s">
        <v>32</v>
      </c>
      <c r="Q14" s="33">
        <v>0.14285714285714285</v>
      </c>
    </row>
    <row r="15" spans="1:17" ht="16" x14ac:dyDescent="0.2">
      <c r="A15" t="s">
        <v>132</v>
      </c>
      <c r="B15" s="1" t="str">
        <f>VLOOKUP(Tabella1[[#This Row],[test_id]],experiments_specs!A:J,2,FALSE)</f>
        <v>NN,JJ</v>
      </c>
      <c r="C15" s="1">
        <f>VLOOKUP(Tabella1[[#This Row],[test_id]],experiments_specs!A:J,3,FALSE)</f>
        <v>1</v>
      </c>
      <c r="D15" s="1">
        <f>VLOOKUP(Tabella1[[#This Row],[test_id]],experiments_specs!A:J,4,FALSE)</f>
        <v>2</v>
      </c>
      <c r="E15" s="1" t="str">
        <f>VLOOKUP(Tabella1[[#This Row],[test_id]],experiments_specs!A:J,5,FALSE)</f>
        <v>False</v>
      </c>
      <c r="F15" s="1" t="str">
        <f>VLOOKUP(Tabella1[[#This Row],[test_id]],experiments_specs!A:J,6,FALSE)</f>
        <v>True</v>
      </c>
      <c r="G15" s="1" t="str">
        <f>VLOOKUP(Tabella1[[#This Row],[test_id]],experiments_specs!A:J,7,FALSE)</f>
        <v>False</v>
      </c>
      <c r="H15" s="1" t="str">
        <f>VLOOKUP(Tabella1[[#This Row],[test_id]],experiments_specs!A:J,8,FALSE)</f>
        <v>False</v>
      </c>
      <c r="I15" s="1" t="str">
        <f>VLOOKUP(Tabella1[[#This Row],[test_id]],experiments_specs!A:J,9,FALSE)</f>
        <v>wup_similarity</v>
      </c>
      <c r="J15" s="1" t="str">
        <f>VLOOKUP(Tabella1[[#This Row],[test_id]],experiments_specs!A:J,10,FALSE)</f>
        <v>False</v>
      </c>
      <c r="K15" t="s">
        <v>15</v>
      </c>
      <c r="L15" t="s">
        <v>34</v>
      </c>
      <c r="M15" t="s">
        <v>35</v>
      </c>
      <c r="N15">
        <v>0.16666666666666666</v>
      </c>
      <c r="O15" t="s">
        <v>36</v>
      </c>
      <c r="P15" t="s">
        <v>37</v>
      </c>
      <c r="Q15" s="33">
        <v>0.18181818181818182</v>
      </c>
    </row>
    <row r="16" spans="1:17" ht="16" x14ac:dyDescent="0.2">
      <c r="A16" t="s">
        <v>132</v>
      </c>
      <c r="B16" s="1" t="str">
        <f>VLOOKUP(Tabella1[[#This Row],[test_id]],experiments_specs!A:J,2,FALSE)</f>
        <v>NN,JJ</v>
      </c>
      <c r="C16" s="1">
        <f>VLOOKUP(Tabella1[[#This Row],[test_id]],experiments_specs!A:J,3,FALSE)</f>
        <v>1</v>
      </c>
      <c r="D16" s="1">
        <f>VLOOKUP(Tabella1[[#This Row],[test_id]],experiments_specs!A:J,4,FALSE)</f>
        <v>2</v>
      </c>
      <c r="E16" s="1" t="str">
        <f>VLOOKUP(Tabella1[[#This Row],[test_id]],experiments_specs!A:J,5,FALSE)</f>
        <v>False</v>
      </c>
      <c r="F16" s="1" t="str">
        <f>VLOOKUP(Tabella1[[#This Row],[test_id]],experiments_specs!A:J,6,FALSE)</f>
        <v>True</v>
      </c>
      <c r="G16" s="1" t="str">
        <f>VLOOKUP(Tabella1[[#This Row],[test_id]],experiments_specs!A:J,7,FALSE)</f>
        <v>False</v>
      </c>
      <c r="H16" s="1" t="str">
        <f>VLOOKUP(Tabella1[[#This Row],[test_id]],experiments_specs!A:J,8,FALSE)</f>
        <v>False</v>
      </c>
      <c r="I16" s="1" t="str">
        <f>VLOOKUP(Tabella1[[#This Row],[test_id]],experiments_specs!A:J,9,FALSE)</f>
        <v>wup_similarity</v>
      </c>
      <c r="J16" s="1" t="str">
        <f>VLOOKUP(Tabella1[[#This Row],[test_id]],experiments_specs!A:J,10,FALSE)</f>
        <v>False</v>
      </c>
      <c r="K16" t="s">
        <v>16</v>
      </c>
      <c r="L16" t="s">
        <v>38</v>
      </c>
      <c r="M16" t="s">
        <v>39</v>
      </c>
      <c r="N16">
        <v>0.55555555555555558</v>
      </c>
      <c r="O16" t="s">
        <v>40</v>
      </c>
      <c r="P16" t="s">
        <v>41</v>
      </c>
      <c r="Q16" s="33">
        <v>0.13333333333333333</v>
      </c>
    </row>
    <row r="17" spans="1:17" ht="16" x14ac:dyDescent="0.2">
      <c r="A17" t="s">
        <v>132</v>
      </c>
      <c r="B17" s="1" t="str">
        <f>VLOOKUP(Tabella1[[#This Row],[test_id]],experiments_specs!A:J,2,FALSE)</f>
        <v>NN,JJ</v>
      </c>
      <c r="C17" s="1">
        <f>VLOOKUP(Tabella1[[#This Row],[test_id]],experiments_specs!A:J,3,FALSE)</f>
        <v>1</v>
      </c>
      <c r="D17" s="1">
        <f>VLOOKUP(Tabella1[[#This Row],[test_id]],experiments_specs!A:J,4,FALSE)</f>
        <v>2</v>
      </c>
      <c r="E17" s="1" t="str">
        <f>VLOOKUP(Tabella1[[#This Row],[test_id]],experiments_specs!A:J,5,FALSE)</f>
        <v>False</v>
      </c>
      <c r="F17" s="1" t="str">
        <f>VLOOKUP(Tabella1[[#This Row],[test_id]],experiments_specs!A:J,6,FALSE)</f>
        <v>True</v>
      </c>
      <c r="G17" s="1" t="str">
        <f>VLOOKUP(Tabella1[[#This Row],[test_id]],experiments_specs!A:J,7,FALSE)</f>
        <v>False</v>
      </c>
      <c r="H17" s="1" t="str">
        <f>VLOOKUP(Tabella1[[#This Row],[test_id]],experiments_specs!A:J,8,FALSE)</f>
        <v>False</v>
      </c>
      <c r="I17" s="1" t="str">
        <f>VLOOKUP(Tabella1[[#This Row],[test_id]],experiments_specs!A:J,9,FALSE)</f>
        <v>wup_similarity</v>
      </c>
      <c r="J17" s="1" t="str">
        <f>VLOOKUP(Tabella1[[#This Row],[test_id]],experiments_specs!A:J,10,FALSE)</f>
        <v>False</v>
      </c>
      <c r="K17" t="s">
        <v>17</v>
      </c>
      <c r="L17" t="s">
        <v>42</v>
      </c>
      <c r="M17" t="s">
        <v>43</v>
      </c>
      <c r="N17">
        <v>0.13333333333333333</v>
      </c>
      <c r="O17" t="s">
        <v>44</v>
      </c>
      <c r="P17" t="s">
        <v>45</v>
      </c>
      <c r="Q17" s="33">
        <v>0.33333333333333331</v>
      </c>
    </row>
    <row r="18" spans="1:17" ht="16" x14ac:dyDescent="0.2">
      <c r="A18" t="s">
        <v>132</v>
      </c>
      <c r="B18" s="1" t="str">
        <f>VLOOKUP(Tabella1[[#This Row],[test_id]],experiments_specs!A:J,2,FALSE)</f>
        <v>NN,JJ</v>
      </c>
      <c r="C18" s="1">
        <f>VLOOKUP(Tabella1[[#This Row],[test_id]],experiments_specs!A:J,3,FALSE)</f>
        <v>1</v>
      </c>
      <c r="D18" s="1">
        <f>VLOOKUP(Tabella1[[#This Row],[test_id]],experiments_specs!A:J,4,FALSE)</f>
        <v>2</v>
      </c>
      <c r="E18" s="1" t="str">
        <f>VLOOKUP(Tabella1[[#This Row],[test_id]],experiments_specs!A:J,5,FALSE)</f>
        <v>False</v>
      </c>
      <c r="F18" s="1" t="str">
        <f>VLOOKUP(Tabella1[[#This Row],[test_id]],experiments_specs!A:J,6,FALSE)</f>
        <v>True</v>
      </c>
      <c r="G18" s="1" t="str">
        <f>VLOOKUP(Tabella1[[#This Row],[test_id]],experiments_specs!A:J,7,FALSE)</f>
        <v>False</v>
      </c>
      <c r="H18" s="1" t="str">
        <f>VLOOKUP(Tabella1[[#This Row],[test_id]],experiments_specs!A:J,8,FALSE)</f>
        <v>False</v>
      </c>
      <c r="I18" s="1" t="str">
        <f>VLOOKUP(Tabella1[[#This Row],[test_id]],experiments_specs!A:J,9,FALSE)</f>
        <v>wup_similarity</v>
      </c>
      <c r="J18" s="1" t="str">
        <f>VLOOKUP(Tabella1[[#This Row],[test_id]],experiments_specs!A:J,10,FALSE)</f>
        <v>False</v>
      </c>
      <c r="K18" t="s">
        <v>18</v>
      </c>
      <c r="L18" t="s">
        <v>46</v>
      </c>
      <c r="M18" t="s">
        <v>47</v>
      </c>
      <c r="N18">
        <v>0.21052631578947367</v>
      </c>
      <c r="O18" t="s">
        <v>48</v>
      </c>
      <c r="P18" t="s">
        <v>47</v>
      </c>
      <c r="Q18" s="33">
        <v>0.21052631578947367</v>
      </c>
    </row>
    <row r="19" spans="1:17" ht="16" x14ac:dyDescent="0.2">
      <c r="A19" t="s">
        <v>134</v>
      </c>
      <c r="B19" s="1" t="str">
        <f>VLOOKUP(Tabella1[[#This Row],[test_id]],experiments_specs!A:J,2,FALSE)</f>
        <v>NN,VB</v>
      </c>
      <c r="C19" s="1">
        <f>VLOOKUP(Tabella1[[#This Row],[test_id]],experiments_specs!A:J,3,FALSE)</f>
        <v>1</v>
      </c>
      <c r="D19" s="1">
        <f>VLOOKUP(Tabella1[[#This Row],[test_id]],experiments_specs!A:J,4,FALSE)</f>
        <v>2</v>
      </c>
      <c r="E19" s="1" t="str">
        <f>VLOOKUP(Tabella1[[#This Row],[test_id]],experiments_specs!A:J,5,FALSE)</f>
        <v>False</v>
      </c>
      <c r="F19" s="1" t="str">
        <f>VLOOKUP(Tabella1[[#This Row],[test_id]],experiments_specs!A:J,6,FALSE)</f>
        <v>True</v>
      </c>
      <c r="G19" s="1" t="str">
        <f>VLOOKUP(Tabella1[[#This Row],[test_id]],experiments_specs!A:J,7,FALSE)</f>
        <v>False</v>
      </c>
      <c r="H19" s="1" t="str">
        <f>VLOOKUP(Tabella1[[#This Row],[test_id]],experiments_specs!A:J,8,FALSE)</f>
        <v>False</v>
      </c>
      <c r="I19" s="1" t="str">
        <f>VLOOKUP(Tabella1[[#This Row],[test_id]],experiments_specs!A:J,9,FALSE)</f>
        <v>wup_similarity</v>
      </c>
      <c r="J19" s="1" t="str">
        <f>VLOOKUP(Tabella1[[#This Row],[test_id]],experiments_specs!A:J,10,FALSE)</f>
        <v>False</v>
      </c>
      <c r="K19" t="s">
        <v>19</v>
      </c>
      <c r="L19" t="s">
        <v>20</v>
      </c>
      <c r="M19" t="s">
        <v>21</v>
      </c>
      <c r="N19">
        <v>0.19047619047619047</v>
      </c>
      <c r="O19" t="s">
        <v>22</v>
      </c>
      <c r="P19" t="s">
        <v>23</v>
      </c>
      <c r="Q19" s="33">
        <v>9.5238095238095233E-2</v>
      </c>
    </row>
    <row r="20" spans="1:17" ht="16" x14ac:dyDescent="0.2">
      <c r="A20" t="s">
        <v>134</v>
      </c>
      <c r="B20" s="1" t="str">
        <f>VLOOKUP(Tabella1[[#This Row],[test_id]],experiments_specs!A:J,2,FALSE)</f>
        <v>NN,VB</v>
      </c>
      <c r="C20" s="1">
        <f>VLOOKUP(Tabella1[[#This Row],[test_id]],experiments_specs!A:J,3,FALSE)</f>
        <v>1</v>
      </c>
      <c r="D20" s="1">
        <f>VLOOKUP(Tabella1[[#This Row],[test_id]],experiments_specs!A:J,4,FALSE)</f>
        <v>2</v>
      </c>
      <c r="E20" s="1" t="str">
        <f>VLOOKUP(Tabella1[[#This Row],[test_id]],experiments_specs!A:J,5,FALSE)</f>
        <v>False</v>
      </c>
      <c r="F20" s="1" t="str">
        <f>VLOOKUP(Tabella1[[#This Row],[test_id]],experiments_specs!A:J,6,FALSE)</f>
        <v>True</v>
      </c>
      <c r="G20" s="1" t="str">
        <f>VLOOKUP(Tabella1[[#This Row],[test_id]],experiments_specs!A:J,7,FALSE)</f>
        <v>False</v>
      </c>
      <c r="H20" s="1" t="str">
        <f>VLOOKUP(Tabella1[[#This Row],[test_id]],experiments_specs!A:J,8,FALSE)</f>
        <v>False</v>
      </c>
      <c r="I20" s="1" t="str">
        <f>VLOOKUP(Tabella1[[#This Row],[test_id]],experiments_specs!A:J,9,FALSE)</f>
        <v>wup_similarity</v>
      </c>
      <c r="J20" s="1" t="str">
        <f>VLOOKUP(Tabella1[[#This Row],[test_id]],experiments_specs!A:J,10,FALSE)</f>
        <v>False</v>
      </c>
      <c r="K20" t="s">
        <v>12</v>
      </c>
      <c r="L20" t="s">
        <v>24</v>
      </c>
      <c r="M20" t="s">
        <v>25</v>
      </c>
      <c r="N20">
        <v>0.42857142857142855</v>
      </c>
      <c r="O20" t="s">
        <v>63</v>
      </c>
      <c r="P20" t="s">
        <v>64</v>
      </c>
      <c r="Q20" s="33">
        <v>0.125</v>
      </c>
    </row>
    <row r="21" spans="1:17" ht="16" x14ac:dyDescent="0.2">
      <c r="A21" t="s">
        <v>134</v>
      </c>
      <c r="B21" s="1" t="str">
        <f>VLOOKUP(Tabella1[[#This Row],[test_id]],experiments_specs!A:J,2,FALSE)</f>
        <v>NN,VB</v>
      </c>
      <c r="C21" s="1">
        <f>VLOOKUP(Tabella1[[#This Row],[test_id]],experiments_specs!A:J,3,FALSE)</f>
        <v>1</v>
      </c>
      <c r="D21" s="1">
        <f>VLOOKUP(Tabella1[[#This Row],[test_id]],experiments_specs!A:J,4,FALSE)</f>
        <v>2</v>
      </c>
      <c r="E21" s="1" t="str">
        <f>VLOOKUP(Tabella1[[#This Row],[test_id]],experiments_specs!A:J,5,FALSE)</f>
        <v>False</v>
      </c>
      <c r="F21" s="1" t="str">
        <f>VLOOKUP(Tabella1[[#This Row],[test_id]],experiments_specs!A:J,6,FALSE)</f>
        <v>True</v>
      </c>
      <c r="G21" s="1" t="str">
        <f>VLOOKUP(Tabella1[[#This Row],[test_id]],experiments_specs!A:J,7,FALSE)</f>
        <v>False</v>
      </c>
      <c r="H21" s="1" t="str">
        <f>VLOOKUP(Tabella1[[#This Row],[test_id]],experiments_specs!A:J,8,FALSE)</f>
        <v>False</v>
      </c>
      <c r="I21" s="1" t="str">
        <f>VLOOKUP(Tabella1[[#This Row],[test_id]],experiments_specs!A:J,9,FALSE)</f>
        <v>wup_similarity</v>
      </c>
      <c r="J21" s="1" t="str">
        <f>VLOOKUP(Tabella1[[#This Row],[test_id]],experiments_specs!A:J,10,FALSE)</f>
        <v>False</v>
      </c>
      <c r="K21" t="s">
        <v>13</v>
      </c>
      <c r="L21" t="s">
        <v>27</v>
      </c>
      <c r="M21" t="s">
        <v>28</v>
      </c>
      <c r="N21" t="s">
        <v>29</v>
      </c>
      <c r="O21" t="s">
        <v>30</v>
      </c>
      <c r="P21" t="s">
        <v>28</v>
      </c>
      <c r="Q21" s="33" t="s">
        <v>29</v>
      </c>
    </row>
    <row r="22" spans="1:17" ht="16" x14ac:dyDescent="0.2">
      <c r="A22" t="s">
        <v>134</v>
      </c>
      <c r="B22" s="1" t="str">
        <f>VLOOKUP(Tabella1[[#This Row],[test_id]],experiments_specs!A:J,2,FALSE)</f>
        <v>NN,VB</v>
      </c>
      <c r="C22" s="1">
        <f>VLOOKUP(Tabella1[[#This Row],[test_id]],experiments_specs!A:J,3,FALSE)</f>
        <v>1</v>
      </c>
      <c r="D22" s="1">
        <f>VLOOKUP(Tabella1[[#This Row],[test_id]],experiments_specs!A:J,4,FALSE)</f>
        <v>2</v>
      </c>
      <c r="E22" s="1" t="str">
        <f>VLOOKUP(Tabella1[[#This Row],[test_id]],experiments_specs!A:J,5,FALSE)</f>
        <v>False</v>
      </c>
      <c r="F22" s="1" t="str">
        <f>VLOOKUP(Tabella1[[#This Row],[test_id]],experiments_specs!A:J,6,FALSE)</f>
        <v>True</v>
      </c>
      <c r="G22" s="1" t="str">
        <f>VLOOKUP(Tabella1[[#This Row],[test_id]],experiments_specs!A:J,7,FALSE)</f>
        <v>False</v>
      </c>
      <c r="H22" s="1" t="str">
        <f>VLOOKUP(Tabella1[[#This Row],[test_id]],experiments_specs!A:J,8,FALSE)</f>
        <v>False</v>
      </c>
      <c r="I22" s="1" t="str">
        <f>VLOOKUP(Tabella1[[#This Row],[test_id]],experiments_specs!A:J,9,FALSE)</f>
        <v>wup_similarity</v>
      </c>
      <c r="J22" s="1" t="str">
        <f>VLOOKUP(Tabella1[[#This Row],[test_id]],experiments_specs!A:J,10,FALSE)</f>
        <v>False</v>
      </c>
      <c r="K22" t="s">
        <v>14</v>
      </c>
      <c r="L22" t="s">
        <v>31</v>
      </c>
      <c r="M22" t="s">
        <v>32</v>
      </c>
      <c r="N22">
        <v>0.14285714285714285</v>
      </c>
      <c r="O22" t="s">
        <v>33</v>
      </c>
      <c r="P22" t="s">
        <v>32</v>
      </c>
      <c r="Q22" s="33">
        <v>0.14285714285714285</v>
      </c>
    </row>
    <row r="23" spans="1:17" ht="16" x14ac:dyDescent="0.2">
      <c r="A23" t="s">
        <v>134</v>
      </c>
      <c r="B23" s="1" t="str">
        <f>VLOOKUP(Tabella1[[#This Row],[test_id]],experiments_specs!A:J,2,FALSE)</f>
        <v>NN,VB</v>
      </c>
      <c r="C23" s="1">
        <f>VLOOKUP(Tabella1[[#This Row],[test_id]],experiments_specs!A:J,3,FALSE)</f>
        <v>1</v>
      </c>
      <c r="D23" s="1">
        <f>VLOOKUP(Tabella1[[#This Row],[test_id]],experiments_specs!A:J,4,FALSE)</f>
        <v>2</v>
      </c>
      <c r="E23" s="1" t="str">
        <f>VLOOKUP(Tabella1[[#This Row],[test_id]],experiments_specs!A:J,5,FALSE)</f>
        <v>False</v>
      </c>
      <c r="F23" s="1" t="str">
        <f>VLOOKUP(Tabella1[[#This Row],[test_id]],experiments_specs!A:J,6,FALSE)</f>
        <v>True</v>
      </c>
      <c r="G23" s="1" t="str">
        <f>VLOOKUP(Tabella1[[#This Row],[test_id]],experiments_specs!A:J,7,FALSE)</f>
        <v>False</v>
      </c>
      <c r="H23" s="1" t="str">
        <f>VLOOKUP(Tabella1[[#This Row],[test_id]],experiments_specs!A:J,8,FALSE)</f>
        <v>False</v>
      </c>
      <c r="I23" s="1" t="str">
        <f>VLOOKUP(Tabella1[[#This Row],[test_id]],experiments_specs!A:J,9,FALSE)</f>
        <v>wup_similarity</v>
      </c>
      <c r="J23" s="1" t="str">
        <f>VLOOKUP(Tabella1[[#This Row],[test_id]],experiments_specs!A:J,10,FALSE)</f>
        <v>False</v>
      </c>
      <c r="K23" t="s">
        <v>15</v>
      </c>
      <c r="L23" t="s">
        <v>65</v>
      </c>
      <c r="M23" t="s">
        <v>66</v>
      </c>
      <c r="N23">
        <v>0.2</v>
      </c>
      <c r="O23" t="s">
        <v>67</v>
      </c>
      <c r="P23" t="s">
        <v>68</v>
      </c>
      <c r="Q23" s="33">
        <v>0.2</v>
      </c>
    </row>
    <row r="24" spans="1:17" ht="16" x14ac:dyDescent="0.2">
      <c r="A24" t="s">
        <v>134</v>
      </c>
      <c r="B24" s="1" t="str">
        <f>VLOOKUP(Tabella1[[#This Row],[test_id]],experiments_specs!A:J,2,FALSE)</f>
        <v>NN,VB</v>
      </c>
      <c r="C24" s="1">
        <f>VLOOKUP(Tabella1[[#This Row],[test_id]],experiments_specs!A:J,3,FALSE)</f>
        <v>1</v>
      </c>
      <c r="D24" s="1">
        <f>VLOOKUP(Tabella1[[#This Row],[test_id]],experiments_specs!A:J,4,FALSE)</f>
        <v>2</v>
      </c>
      <c r="E24" s="1" t="str">
        <f>VLOOKUP(Tabella1[[#This Row],[test_id]],experiments_specs!A:J,5,FALSE)</f>
        <v>False</v>
      </c>
      <c r="F24" s="1" t="str">
        <f>VLOOKUP(Tabella1[[#This Row],[test_id]],experiments_specs!A:J,6,FALSE)</f>
        <v>True</v>
      </c>
      <c r="G24" s="1" t="str">
        <f>VLOOKUP(Tabella1[[#This Row],[test_id]],experiments_specs!A:J,7,FALSE)</f>
        <v>False</v>
      </c>
      <c r="H24" s="1" t="str">
        <f>VLOOKUP(Tabella1[[#This Row],[test_id]],experiments_specs!A:J,8,FALSE)</f>
        <v>False</v>
      </c>
      <c r="I24" s="1" t="str">
        <f>VLOOKUP(Tabella1[[#This Row],[test_id]],experiments_specs!A:J,9,FALSE)</f>
        <v>wup_similarity</v>
      </c>
      <c r="J24" s="1" t="str">
        <f>VLOOKUP(Tabella1[[#This Row],[test_id]],experiments_specs!A:J,10,FALSE)</f>
        <v>False</v>
      </c>
      <c r="K24" t="s">
        <v>16</v>
      </c>
      <c r="L24" t="s">
        <v>38</v>
      </c>
      <c r="M24" t="s">
        <v>39</v>
      </c>
      <c r="N24">
        <v>0.55555555555555558</v>
      </c>
      <c r="O24" t="s">
        <v>61</v>
      </c>
      <c r="P24" t="s">
        <v>69</v>
      </c>
      <c r="Q24" s="33">
        <v>0.14285714285714285</v>
      </c>
    </row>
    <row r="25" spans="1:17" ht="16" x14ac:dyDescent="0.2">
      <c r="A25" t="s">
        <v>134</v>
      </c>
      <c r="B25" s="1" t="str">
        <f>VLOOKUP(Tabella1[[#This Row],[test_id]],experiments_specs!A:J,2,FALSE)</f>
        <v>NN,VB</v>
      </c>
      <c r="C25" s="1">
        <f>VLOOKUP(Tabella1[[#This Row],[test_id]],experiments_specs!A:J,3,FALSE)</f>
        <v>1</v>
      </c>
      <c r="D25" s="1">
        <f>VLOOKUP(Tabella1[[#This Row],[test_id]],experiments_specs!A:J,4,FALSE)</f>
        <v>2</v>
      </c>
      <c r="E25" s="1" t="str">
        <f>VLOOKUP(Tabella1[[#This Row],[test_id]],experiments_specs!A:J,5,FALSE)</f>
        <v>False</v>
      </c>
      <c r="F25" s="1" t="str">
        <f>VLOOKUP(Tabella1[[#This Row],[test_id]],experiments_specs!A:J,6,FALSE)</f>
        <v>True</v>
      </c>
      <c r="G25" s="1" t="str">
        <f>VLOOKUP(Tabella1[[#This Row],[test_id]],experiments_specs!A:J,7,FALSE)</f>
        <v>False</v>
      </c>
      <c r="H25" s="1" t="str">
        <f>VLOOKUP(Tabella1[[#This Row],[test_id]],experiments_specs!A:J,8,FALSE)</f>
        <v>False</v>
      </c>
      <c r="I25" s="1" t="str">
        <f>VLOOKUP(Tabella1[[#This Row],[test_id]],experiments_specs!A:J,9,FALSE)</f>
        <v>wup_similarity</v>
      </c>
      <c r="J25" s="1" t="str">
        <f>VLOOKUP(Tabella1[[#This Row],[test_id]],experiments_specs!A:J,10,FALSE)</f>
        <v>False</v>
      </c>
      <c r="K25" t="s">
        <v>17</v>
      </c>
      <c r="L25" t="s">
        <v>42</v>
      </c>
      <c r="M25" t="s">
        <v>43</v>
      </c>
      <c r="N25">
        <v>0.13333333333333333</v>
      </c>
      <c r="O25" t="s">
        <v>70</v>
      </c>
      <c r="P25" t="s">
        <v>71</v>
      </c>
      <c r="Q25" s="33">
        <v>0.14285714285714285</v>
      </c>
    </row>
    <row r="26" spans="1:17" ht="16" x14ac:dyDescent="0.2">
      <c r="A26" t="s">
        <v>134</v>
      </c>
      <c r="B26" s="1" t="str">
        <f>VLOOKUP(Tabella1[[#This Row],[test_id]],experiments_specs!A:J,2,FALSE)</f>
        <v>NN,VB</v>
      </c>
      <c r="C26" s="1">
        <f>VLOOKUP(Tabella1[[#This Row],[test_id]],experiments_specs!A:J,3,FALSE)</f>
        <v>1</v>
      </c>
      <c r="D26" s="1">
        <f>VLOOKUP(Tabella1[[#This Row],[test_id]],experiments_specs!A:J,4,FALSE)</f>
        <v>2</v>
      </c>
      <c r="E26" s="1" t="str">
        <f>VLOOKUP(Tabella1[[#This Row],[test_id]],experiments_specs!A:J,5,FALSE)</f>
        <v>False</v>
      </c>
      <c r="F26" s="1" t="str">
        <f>VLOOKUP(Tabella1[[#This Row],[test_id]],experiments_specs!A:J,6,FALSE)</f>
        <v>True</v>
      </c>
      <c r="G26" s="1" t="str">
        <f>VLOOKUP(Tabella1[[#This Row],[test_id]],experiments_specs!A:J,7,FALSE)</f>
        <v>False</v>
      </c>
      <c r="H26" s="1" t="str">
        <f>VLOOKUP(Tabella1[[#This Row],[test_id]],experiments_specs!A:J,8,FALSE)</f>
        <v>False</v>
      </c>
      <c r="I26" s="1" t="str">
        <f>VLOOKUP(Tabella1[[#This Row],[test_id]],experiments_specs!A:J,9,FALSE)</f>
        <v>wup_similarity</v>
      </c>
      <c r="J26" s="1" t="str">
        <f>VLOOKUP(Tabella1[[#This Row],[test_id]],experiments_specs!A:J,10,FALSE)</f>
        <v>False</v>
      </c>
      <c r="K26" t="s">
        <v>18</v>
      </c>
      <c r="L26" t="s">
        <v>46</v>
      </c>
      <c r="M26" t="s">
        <v>47</v>
      </c>
      <c r="N26">
        <v>0.21052631578947367</v>
      </c>
      <c r="O26" t="s">
        <v>61</v>
      </c>
      <c r="P26" t="s">
        <v>72</v>
      </c>
      <c r="Q26" s="33">
        <v>0.11764705882352941</v>
      </c>
    </row>
    <row r="27" spans="1:17" ht="16" x14ac:dyDescent="0.2">
      <c r="A27" t="s">
        <v>136</v>
      </c>
      <c r="B27" s="1" t="str">
        <f>VLOOKUP(Tabella1[[#This Row],[test_id]],experiments_specs!A:J,2,FALSE)</f>
        <v>NN,VB,VBD,VBG,VBN,VBP,VBZ</v>
      </c>
      <c r="C27" s="1">
        <f>VLOOKUP(Tabella1[[#This Row],[test_id]],experiments_specs!A:J,3,FALSE)</f>
        <v>1</v>
      </c>
      <c r="D27" s="1">
        <f>VLOOKUP(Tabella1[[#This Row],[test_id]],experiments_specs!A:J,4,FALSE)</f>
        <v>2</v>
      </c>
      <c r="E27" s="1" t="str">
        <f>VLOOKUP(Tabella1[[#This Row],[test_id]],experiments_specs!A:J,5,FALSE)</f>
        <v>False</v>
      </c>
      <c r="F27" s="1" t="str">
        <f>VLOOKUP(Tabella1[[#This Row],[test_id]],experiments_specs!A:J,6,FALSE)</f>
        <v>True</v>
      </c>
      <c r="G27" s="1" t="str">
        <f>VLOOKUP(Tabella1[[#This Row],[test_id]],experiments_specs!A:J,7,FALSE)</f>
        <v>False</v>
      </c>
      <c r="H27" s="1" t="str">
        <f>VLOOKUP(Tabella1[[#This Row],[test_id]],experiments_specs!A:J,8,FALSE)</f>
        <v>False</v>
      </c>
      <c r="I27" s="1" t="str">
        <f>VLOOKUP(Tabella1[[#This Row],[test_id]],experiments_specs!A:J,9,FALSE)</f>
        <v>wup_similarity</v>
      </c>
      <c r="J27" s="1" t="str">
        <f>VLOOKUP(Tabella1[[#This Row],[test_id]],experiments_specs!A:J,10,FALSE)</f>
        <v>False</v>
      </c>
      <c r="K27" t="s">
        <v>19</v>
      </c>
      <c r="L27" t="s">
        <v>20</v>
      </c>
      <c r="M27" t="s">
        <v>21</v>
      </c>
      <c r="N27">
        <v>0.19047619047619047</v>
      </c>
      <c r="O27" t="s">
        <v>22</v>
      </c>
      <c r="P27" t="s">
        <v>23</v>
      </c>
      <c r="Q27" s="33">
        <v>9.5238095238095233E-2</v>
      </c>
    </row>
    <row r="28" spans="1:17" ht="16" x14ac:dyDescent="0.2">
      <c r="A28" t="s">
        <v>136</v>
      </c>
      <c r="B28" s="1" t="str">
        <f>VLOOKUP(Tabella1[[#This Row],[test_id]],experiments_specs!A:J,2,FALSE)</f>
        <v>NN,VB,VBD,VBG,VBN,VBP,VBZ</v>
      </c>
      <c r="C28" s="1">
        <f>VLOOKUP(Tabella1[[#This Row],[test_id]],experiments_specs!A:J,3,FALSE)</f>
        <v>1</v>
      </c>
      <c r="D28" s="1">
        <f>VLOOKUP(Tabella1[[#This Row],[test_id]],experiments_specs!A:J,4,FALSE)</f>
        <v>2</v>
      </c>
      <c r="E28" s="1" t="str">
        <f>VLOOKUP(Tabella1[[#This Row],[test_id]],experiments_specs!A:J,5,FALSE)</f>
        <v>False</v>
      </c>
      <c r="F28" s="1" t="str">
        <f>VLOOKUP(Tabella1[[#This Row],[test_id]],experiments_specs!A:J,6,FALSE)</f>
        <v>True</v>
      </c>
      <c r="G28" s="1" t="str">
        <f>VLOOKUP(Tabella1[[#This Row],[test_id]],experiments_specs!A:J,7,FALSE)</f>
        <v>False</v>
      </c>
      <c r="H28" s="1" t="str">
        <f>VLOOKUP(Tabella1[[#This Row],[test_id]],experiments_specs!A:J,8,FALSE)</f>
        <v>False</v>
      </c>
      <c r="I28" s="1" t="str">
        <f>VLOOKUP(Tabella1[[#This Row],[test_id]],experiments_specs!A:J,9,FALSE)</f>
        <v>wup_similarity</v>
      </c>
      <c r="J28" s="1" t="str">
        <f>VLOOKUP(Tabella1[[#This Row],[test_id]],experiments_specs!A:J,10,FALSE)</f>
        <v>False</v>
      </c>
      <c r="K28" t="s">
        <v>12</v>
      </c>
      <c r="L28" t="s">
        <v>73</v>
      </c>
      <c r="M28" t="s">
        <v>64</v>
      </c>
      <c r="N28">
        <v>0.125</v>
      </c>
      <c r="O28" t="s">
        <v>63</v>
      </c>
      <c r="P28" t="s">
        <v>64</v>
      </c>
      <c r="Q28" s="33">
        <v>0.125</v>
      </c>
    </row>
    <row r="29" spans="1:17" ht="16" x14ac:dyDescent="0.2">
      <c r="A29" t="s">
        <v>136</v>
      </c>
      <c r="B29" s="1" t="str">
        <f>VLOOKUP(Tabella1[[#This Row],[test_id]],experiments_specs!A:J,2,FALSE)</f>
        <v>NN,VB,VBD,VBG,VBN,VBP,VBZ</v>
      </c>
      <c r="C29" s="1">
        <f>VLOOKUP(Tabella1[[#This Row],[test_id]],experiments_specs!A:J,3,FALSE)</f>
        <v>1</v>
      </c>
      <c r="D29" s="1">
        <f>VLOOKUP(Tabella1[[#This Row],[test_id]],experiments_specs!A:J,4,FALSE)</f>
        <v>2</v>
      </c>
      <c r="E29" s="1" t="str">
        <f>VLOOKUP(Tabella1[[#This Row],[test_id]],experiments_specs!A:J,5,FALSE)</f>
        <v>False</v>
      </c>
      <c r="F29" s="1" t="str">
        <f>VLOOKUP(Tabella1[[#This Row],[test_id]],experiments_specs!A:J,6,FALSE)</f>
        <v>True</v>
      </c>
      <c r="G29" s="1" t="str">
        <f>VLOOKUP(Tabella1[[#This Row],[test_id]],experiments_specs!A:J,7,FALSE)</f>
        <v>False</v>
      </c>
      <c r="H29" s="1" t="str">
        <f>VLOOKUP(Tabella1[[#This Row],[test_id]],experiments_specs!A:J,8,FALSE)</f>
        <v>False</v>
      </c>
      <c r="I29" s="1" t="str">
        <f>VLOOKUP(Tabella1[[#This Row],[test_id]],experiments_specs!A:J,9,FALSE)</f>
        <v>wup_similarity</v>
      </c>
      <c r="J29" s="1" t="str">
        <f>VLOOKUP(Tabella1[[#This Row],[test_id]],experiments_specs!A:J,10,FALSE)</f>
        <v>False</v>
      </c>
      <c r="K29" t="s">
        <v>13</v>
      </c>
      <c r="L29" t="s">
        <v>27</v>
      </c>
      <c r="M29" t="s">
        <v>28</v>
      </c>
      <c r="N29" t="s">
        <v>29</v>
      </c>
      <c r="O29" t="s">
        <v>74</v>
      </c>
      <c r="P29" t="s">
        <v>75</v>
      </c>
      <c r="Q29" s="33">
        <v>0.4</v>
      </c>
    </row>
    <row r="30" spans="1:17" ht="16" x14ac:dyDescent="0.2">
      <c r="A30" t="s">
        <v>136</v>
      </c>
      <c r="B30" s="1" t="str">
        <f>VLOOKUP(Tabella1[[#This Row],[test_id]],experiments_specs!A:J,2,FALSE)</f>
        <v>NN,VB,VBD,VBG,VBN,VBP,VBZ</v>
      </c>
      <c r="C30" s="1">
        <f>VLOOKUP(Tabella1[[#This Row],[test_id]],experiments_specs!A:J,3,FALSE)</f>
        <v>1</v>
      </c>
      <c r="D30" s="1">
        <f>VLOOKUP(Tabella1[[#This Row],[test_id]],experiments_specs!A:J,4,FALSE)</f>
        <v>2</v>
      </c>
      <c r="E30" s="1" t="str">
        <f>VLOOKUP(Tabella1[[#This Row],[test_id]],experiments_specs!A:J,5,FALSE)</f>
        <v>False</v>
      </c>
      <c r="F30" s="1" t="str">
        <f>VLOOKUP(Tabella1[[#This Row],[test_id]],experiments_specs!A:J,6,FALSE)</f>
        <v>True</v>
      </c>
      <c r="G30" s="1" t="str">
        <f>VLOOKUP(Tabella1[[#This Row],[test_id]],experiments_specs!A:J,7,FALSE)</f>
        <v>False</v>
      </c>
      <c r="H30" s="1" t="str">
        <f>VLOOKUP(Tabella1[[#This Row],[test_id]],experiments_specs!A:J,8,FALSE)</f>
        <v>False</v>
      </c>
      <c r="I30" s="1" t="str">
        <f>VLOOKUP(Tabella1[[#This Row],[test_id]],experiments_specs!A:J,9,FALSE)</f>
        <v>wup_similarity</v>
      </c>
      <c r="J30" s="1" t="str">
        <f>VLOOKUP(Tabella1[[#This Row],[test_id]],experiments_specs!A:J,10,FALSE)</f>
        <v>False</v>
      </c>
      <c r="K30" t="s">
        <v>14</v>
      </c>
      <c r="L30" t="s">
        <v>31</v>
      </c>
      <c r="M30" t="s">
        <v>32</v>
      </c>
      <c r="N30">
        <v>0.14285714285714285</v>
      </c>
      <c r="O30" t="s">
        <v>76</v>
      </c>
      <c r="P30" t="s">
        <v>77</v>
      </c>
      <c r="Q30" s="33">
        <v>0.625</v>
      </c>
    </row>
    <row r="31" spans="1:17" ht="16" x14ac:dyDescent="0.2">
      <c r="A31" t="s">
        <v>136</v>
      </c>
      <c r="B31" s="1" t="str">
        <f>VLOOKUP(Tabella1[[#This Row],[test_id]],experiments_specs!A:J,2,FALSE)</f>
        <v>NN,VB,VBD,VBG,VBN,VBP,VBZ</v>
      </c>
      <c r="C31" s="1">
        <f>VLOOKUP(Tabella1[[#This Row],[test_id]],experiments_specs!A:J,3,FALSE)</f>
        <v>1</v>
      </c>
      <c r="D31" s="1">
        <f>VLOOKUP(Tabella1[[#This Row],[test_id]],experiments_specs!A:J,4,FALSE)</f>
        <v>2</v>
      </c>
      <c r="E31" s="1" t="str">
        <f>VLOOKUP(Tabella1[[#This Row],[test_id]],experiments_specs!A:J,5,FALSE)</f>
        <v>False</v>
      </c>
      <c r="F31" s="1" t="str">
        <f>VLOOKUP(Tabella1[[#This Row],[test_id]],experiments_specs!A:J,6,FALSE)</f>
        <v>True</v>
      </c>
      <c r="G31" s="1" t="str">
        <f>VLOOKUP(Tabella1[[#This Row],[test_id]],experiments_specs!A:J,7,FALSE)</f>
        <v>False</v>
      </c>
      <c r="H31" s="1" t="str">
        <f>VLOOKUP(Tabella1[[#This Row],[test_id]],experiments_specs!A:J,8,FALSE)</f>
        <v>False</v>
      </c>
      <c r="I31" s="1" t="str">
        <f>VLOOKUP(Tabella1[[#This Row],[test_id]],experiments_specs!A:J,9,FALSE)</f>
        <v>wup_similarity</v>
      </c>
      <c r="J31" s="1" t="str">
        <f>VLOOKUP(Tabella1[[#This Row],[test_id]],experiments_specs!A:J,10,FALSE)</f>
        <v>False</v>
      </c>
      <c r="K31" t="s">
        <v>15</v>
      </c>
      <c r="L31" t="s">
        <v>65</v>
      </c>
      <c r="M31" t="s">
        <v>66</v>
      </c>
      <c r="N31">
        <v>0.2</v>
      </c>
      <c r="O31" t="s">
        <v>78</v>
      </c>
      <c r="P31" t="s">
        <v>79</v>
      </c>
      <c r="Q31" s="33">
        <v>0.22222222222222221</v>
      </c>
    </row>
    <row r="32" spans="1:17" ht="16" x14ac:dyDescent="0.2">
      <c r="A32" t="s">
        <v>136</v>
      </c>
      <c r="B32" s="1" t="str">
        <f>VLOOKUP(Tabella1[[#This Row],[test_id]],experiments_specs!A:J,2,FALSE)</f>
        <v>NN,VB,VBD,VBG,VBN,VBP,VBZ</v>
      </c>
      <c r="C32" s="1">
        <f>VLOOKUP(Tabella1[[#This Row],[test_id]],experiments_specs!A:J,3,FALSE)</f>
        <v>1</v>
      </c>
      <c r="D32" s="1">
        <f>VLOOKUP(Tabella1[[#This Row],[test_id]],experiments_specs!A:J,4,FALSE)</f>
        <v>2</v>
      </c>
      <c r="E32" s="1" t="str">
        <f>VLOOKUP(Tabella1[[#This Row],[test_id]],experiments_specs!A:J,5,FALSE)</f>
        <v>False</v>
      </c>
      <c r="F32" s="1" t="str">
        <f>VLOOKUP(Tabella1[[#This Row],[test_id]],experiments_specs!A:J,6,FALSE)</f>
        <v>True</v>
      </c>
      <c r="G32" s="1" t="str">
        <f>VLOOKUP(Tabella1[[#This Row],[test_id]],experiments_specs!A:J,7,FALSE)</f>
        <v>False</v>
      </c>
      <c r="H32" s="1" t="str">
        <f>VLOOKUP(Tabella1[[#This Row],[test_id]],experiments_specs!A:J,8,FALSE)</f>
        <v>False</v>
      </c>
      <c r="I32" s="1" t="str">
        <f>VLOOKUP(Tabella1[[#This Row],[test_id]],experiments_specs!A:J,9,FALSE)</f>
        <v>wup_similarity</v>
      </c>
      <c r="J32" s="1" t="str">
        <f>VLOOKUP(Tabella1[[#This Row],[test_id]],experiments_specs!A:J,10,FALSE)</f>
        <v>False</v>
      </c>
      <c r="K32" t="s">
        <v>16</v>
      </c>
      <c r="L32" t="s">
        <v>38</v>
      </c>
      <c r="M32" t="s">
        <v>39</v>
      </c>
      <c r="N32">
        <v>0.55555555555555558</v>
      </c>
      <c r="O32" t="s">
        <v>61</v>
      </c>
      <c r="P32" t="s">
        <v>69</v>
      </c>
      <c r="Q32" s="33">
        <v>0.14285714285714285</v>
      </c>
    </row>
    <row r="33" spans="1:17" ht="16" x14ac:dyDescent="0.2">
      <c r="A33" t="s">
        <v>136</v>
      </c>
      <c r="B33" s="1" t="str">
        <f>VLOOKUP(Tabella1[[#This Row],[test_id]],experiments_specs!A:J,2,FALSE)</f>
        <v>NN,VB,VBD,VBG,VBN,VBP,VBZ</v>
      </c>
      <c r="C33" s="1">
        <f>VLOOKUP(Tabella1[[#This Row],[test_id]],experiments_specs!A:J,3,FALSE)</f>
        <v>1</v>
      </c>
      <c r="D33" s="1">
        <f>VLOOKUP(Tabella1[[#This Row],[test_id]],experiments_specs!A:J,4,FALSE)</f>
        <v>2</v>
      </c>
      <c r="E33" s="1" t="str">
        <f>VLOOKUP(Tabella1[[#This Row],[test_id]],experiments_specs!A:J,5,FALSE)</f>
        <v>False</v>
      </c>
      <c r="F33" s="1" t="str">
        <f>VLOOKUP(Tabella1[[#This Row],[test_id]],experiments_specs!A:J,6,FALSE)</f>
        <v>True</v>
      </c>
      <c r="G33" s="1" t="str">
        <f>VLOOKUP(Tabella1[[#This Row],[test_id]],experiments_specs!A:J,7,FALSE)</f>
        <v>False</v>
      </c>
      <c r="H33" s="1" t="str">
        <f>VLOOKUP(Tabella1[[#This Row],[test_id]],experiments_specs!A:J,8,FALSE)</f>
        <v>False</v>
      </c>
      <c r="I33" s="1" t="str">
        <f>VLOOKUP(Tabella1[[#This Row],[test_id]],experiments_specs!A:J,9,FALSE)</f>
        <v>wup_similarity</v>
      </c>
      <c r="J33" s="1" t="str">
        <f>VLOOKUP(Tabella1[[#This Row],[test_id]],experiments_specs!A:J,10,FALSE)</f>
        <v>False</v>
      </c>
      <c r="K33" t="s">
        <v>17</v>
      </c>
      <c r="L33" t="s">
        <v>80</v>
      </c>
      <c r="M33" t="s">
        <v>81</v>
      </c>
      <c r="N33">
        <v>0.22222222222222221</v>
      </c>
      <c r="O33" t="s">
        <v>80</v>
      </c>
      <c r="P33" t="s">
        <v>81</v>
      </c>
      <c r="Q33" s="33">
        <v>0.22222222222222221</v>
      </c>
    </row>
    <row r="34" spans="1:17" ht="16" x14ac:dyDescent="0.2">
      <c r="A34" t="s">
        <v>136</v>
      </c>
      <c r="B34" s="1" t="str">
        <f>VLOOKUP(Tabella1[[#This Row],[test_id]],experiments_specs!A:J,2,FALSE)</f>
        <v>NN,VB,VBD,VBG,VBN,VBP,VBZ</v>
      </c>
      <c r="C34" s="1">
        <f>VLOOKUP(Tabella1[[#This Row],[test_id]],experiments_specs!A:J,3,FALSE)</f>
        <v>1</v>
      </c>
      <c r="D34" s="1">
        <f>VLOOKUP(Tabella1[[#This Row],[test_id]],experiments_specs!A:J,4,FALSE)</f>
        <v>2</v>
      </c>
      <c r="E34" s="1" t="str">
        <f>VLOOKUP(Tabella1[[#This Row],[test_id]],experiments_specs!A:J,5,FALSE)</f>
        <v>False</v>
      </c>
      <c r="F34" s="1" t="str">
        <f>VLOOKUP(Tabella1[[#This Row],[test_id]],experiments_specs!A:J,6,FALSE)</f>
        <v>True</v>
      </c>
      <c r="G34" s="1" t="str">
        <f>VLOOKUP(Tabella1[[#This Row],[test_id]],experiments_specs!A:J,7,FALSE)</f>
        <v>False</v>
      </c>
      <c r="H34" s="1" t="str">
        <f>VLOOKUP(Tabella1[[#This Row],[test_id]],experiments_specs!A:J,8,FALSE)</f>
        <v>False</v>
      </c>
      <c r="I34" s="1" t="str">
        <f>VLOOKUP(Tabella1[[#This Row],[test_id]],experiments_specs!A:J,9,FALSE)</f>
        <v>wup_similarity</v>
      </c>
      <c r="J34" s="1" t="str">
        <f>VLOOKUP(Tabella1[[#This Row],[test_id]],experiments_specs!A:J,10,FALSE)</f>
        <v>False</v>
      </c>
      <c r="K34" t="s">
        <v>18</v>
      </c>
      <c r="L34" t="s">
        <v>46</v>
      </c>
      <c r="M34" t="s">
        <v>47</v>
      </c>
      <c r="N34">
        <v>0.21052631578947367</v>
      </c>
      <c r="O34" t="s">
        <v>61</v>
      </c>
      <c r="P34" t="s">
        <v>72</v>
      </c>
      <c r="Q34" s="33">
        <v>0.11764705882352941</v>
      </c>
    </row>
    <row r="35" spans="1:17" ht="16" x14ac:dyDescent="0.2">
      <c r="A35" t="s">
        <v>138</v>
      </c>
      <c r="B35" s="1" t="str">
        <f>VLOOKUP(Tabella1[[#This Row],[test_id]],experiments_specs!A:J,2,FALSE)</f>
        <v>NN,RB</v>
      </c>
      <c r="C35" s="1">
        <f>VLOOKUP(Tabella1[[#This Row],[test_id]],experiments_specs!A:J,3,FALSE)</f>
        <v>1</v>
      </c>
      <c r="D35" s="1">
        <f>VLOOKUP(Tabella1[[#This Row],[test_id]],experiments_specs!A:J,4,FALSE)</f>
        <v>2</v>
      </c>
      <c r="E35" s="1" t="str">
        <f>VLOOKUP(Tabella1[[#This Row],[test_id]],experiments_specs!A:J,5,FALSE)</f>
        <v>False</v>
      </c>
      <c r="F35" s="1" t="str">
        <f>VLOOKUP(Tabella1[[#This Row],[test_id]],experiments_specs!A:J,6,FALSE)</f>
        <v>True</v>
      </c>
      <c r="G35" s="1" t="str">
        <f>VLOOKUP(Tabella1[[#This Row],[test_id]],experiments_specs!A:J,7,FALSE)</f>
        <v>False</v>
      </c>
      <c r="H35" s="1" t="str">
        <f>VLOOKUP(Tabella1[[#This Row],[test_id]],experiments_specs!A:J,8,FALSE)</f>
        <v>False</v>
      </c>
      <c r="I35" s="1" t="str">
        <f>VLOOKUP(Tabella1[[#This Row],[test_id]],experiments_specs!A:J,9,FALSE)</f>
        <v>wup_similarity</v>
      </c>
      <c r="J35" s="1" t="str">
        <f>VLOOKUP(Tabella1[[#This Row],[test_id]],experiments_specs!A:J,10,FALSE)</f>
        <v>False</v>
      </c>
      <c r="K35" t="s">
        <v>19</v>
      </c>
      <c r="L35" t="s">
        <v>20</v>
      </c>
      <c r="M35" t="s">
        <v>21</v>
      </c>
      <c r="N35">
        <v>0.19047619047619047</v>
      </c>
      <c r="O35" t="s">
        <v>22</v>
      </c>
      <c r="P35" t="s">
        <v>23</v>
      </c>
      <c r="Q35" s="33">
        <v>9.5238095238095233E-2</v>
      </c>
    </row>
    <row r="36" spans="1:17" ht="16" x14ac:dyDescent="0.2">
      <c r="A36" t="s">
        <v>138</v>
      </c>
      <c r="B36" s="1" t="str">
        <f>VLOOKUP(Tabella1[[#This Row],[test_id]],experiments_specs!A:J,2,FALSE)</f>
        <v>NN,RB</v>
      </c>
      <c r="C36" s="1">
        <f>VLOOKUP(Tabella1[[#This Row],[test_id]],experiments_specs!A:J,3,FALSE)</f>
        <v>1</v>
      </c>
      <c r="D36" s="1">
        <f>VLOOKUP(Tabella1[[#This Row],[test_id]],experiments_specs!A:J,4,FALSE)</f>
        <v>2</v>
      </c>
      <c r="E36" s="1" t="str">
        <f>VLOOKUP(Tabella1[[#This Row],[test_id]],experiments_specs!A:J,5,FALSE)</f>
        <v>False</v>
      </c>
      <c r="F36" s="1" t="str">
        <f>VLOOKUP(Tabella1[[#This Row],[test_id]],experiments_specs!A:J,6,FALSE)</f>
        <v>True</v>
      </c>
      <c r="G36" s="1" t="str">
        <f>VLOOKUP(Tabella1[[#This Row],[test_id]],experiments_specs!A:J,7,FALSE)</f>
        <v>False</v>
      </c>
      <c r="H36" s="1" t="str">
        <f>VLOOKUP(Tabella1[[#This Row],[test_id]],experiments_specs!A:J,8,FALSE)</f>
        <v>False</v>
      </c>
      <c r="I36" s="1" t="str">
        <f>VLOOKUP(Tabella1[[#This Row],[test_id]],experiments_specs!A:J,9,FALSE)</f>
        <v>wup_similarity</v>
      </c>
      <c r="J36" s="1" t="str">
        <f>VLOOKUP(Tabella1[[#This Row],[test_id]],experiments_specs!A:J,10,FALSE)</f>
        <v>False</v>
      </c>
      <c r="K36" t="s">
        <v>12</v>
      </c>
      <c r="L36" t="s">
        <v>24</v>
      </c>
      <c r="M36" t="s">
        <v>25</v>
      </c>
      <c r="N36">
        <v>0.42857142857142855</v>
      </c>
      <c r="O36" t="s">
        <v>26</v>
      </c>
      <c r="P36" t="s">
        <v>25</v>
      </c>
      <c r="Q36" s="33">
        <v>0.42857142857142855</v>
      </c>
    </row>
    <row r="37" spans="1:17" ht="16" x14ac:dyDescent="0.2">
      <c r="A37" t="s">
        <v>138</v>
      </c>
      <c r="B37" s="1" t="str">
        <f>VLOOKUP(Tabella1[[#This Row],[test_id]],experiments_specs!A:J,2,FALSE)</f>
        <v>NN,RB</v>
      </c>
      <c r="C37" s="1">
        <f>VLOOKUP(Tabella1[[#This Row],[test_id]],experiments_specs!A:J,3,FALSE)</f>
        <v>1</v>
      </c>
      <c r="D37" s="1">
        <f>VLOOKUP(Tabella1[[#This Row],[test_id]],experiments_specs!A:J,4,FALSE)</f>
        <v>2</v>
      </c>
      <c r="E37" s="1" t="str">
        <f>VLOOKUP(Tabella1[[#This Row],[test_id]],experiments_specs!A:J,5,FALSE)</f>
        <v>False</v>
      </c>
      <c r="F37" s="1" t="str">
        <f>VLOOKUP(Tabella1[[#This Row],[test_id]],experiments_specs!A:J,6,FALSE)</f>
        <v>True</v>
      </c>
      <c r="G37" s="1" t="str">
        <f>VLOOKUP(Tabella1[[#This Row],[test_id]],experiments_specs!A:J,7,FALSE)</f>
        <v>False</v>
      </c>
      <c r="H37" s="1" t="str">
        <f>VLOOKUP(Tabella1[[#This Row],[test_id]],experiments_specs!A:J,8,FALSE)</f>
        <v>False</v>
      </c>
      <c r="I37" s="1" t="str">
        <f>VLOOKUP(Tabella1[[#This Row],[test_id]],experiments_specs!A:J,9,FALSE)</f>
        <v>wup_similarity</v>
      </c>
      <c r="J37" s="1" t="str">
        <f>VLOOKUP(Tabella1[[#This Row],[test_id]],experiments_specs!A:J,10,FALSE)</f>
        <v>False</v>
      </c>
      <c r="K37" t="s">
        <v>13</v>
      </c>
      <c r="L37" t="s">
        <v>27</v>
      </c>
      <c r="M37" t="s">
        <v>28</v>
      </c>
      <c r="N37" t="s">
        <v>29</v>
      </c>
      <c r="O37" t="s">
        <v>30</v>
      </c>
      <c r="P37" t="s">
        <v>28</v>
      </c>
      <c r="Q37" s="33" t="s">
        <v>29</v>
      </c>
    </row>
    <row r="38" spans="1:17" ht="16" x14ac:dyDescent="0.2">
      <c r="A38" t="s">
        <v>138</v>
      </c>
      <c r="B38" s="1" t="str">
        <f>VLOOKUP(Tabella1[[#This Row],[test_id]],experiments_specs!A:J,2,FALSE)</f>
        <v>NN,RB</v>
      </c>
      <c r="C38" s="1">
        <f>VLOOKUP(Tabella1[[#This Row],[test_id]],experiments_specs!A:J,3,FALSE)</f>
        <v>1</v>
      </c>
      <c r="D38" s="1">
        <f>VLOOKUP(Tabella1[[#This Row],[test_id]],experiments_specs!A:J,4,FALSE)</f>
        <v>2</v>
      </c>
      <c r="E38" s="1" t="str">
        <f>VLOOKUP(Tabella1[[#This Row],[test_id]],experiments_specs!A:J,5,FALSE)</f>
        <v>False</v>
      </c>
      <c r="F38" s="1" t="str">
        <f>VLOOKUP(Tabella1[[#This Row],[test_id]],experiments_specs!A:J,6,FALSE)</f>
        <v>True</v>
      </c>
      <c r="G38" s="1" t="str">
        <f>VLOOKUP(Tabella1[[#This Row],[test_id]],experiments_specs!A:J,7,FALSE)</f>
        <v>False</v>
      </c>
      <c r="H38" s="1" t="str">
        <f>VLOOKUP(Tabella1[[#This Row],[test_id]],experiments_specs!A:J,8,FALSE)</f>
        <v>False</v>
      </c>
      <c r="I38" s="1" t="str">
        <f>VLOOKUP(Tabella1[[#This Row],[test_id]],experiments_specs!A:J,9,FALSE)</f>
        <v>wup_similarity</v>
      </c>
      <c r="J38" s="1" t="str">
        <f>VLOOKUP(Tabella1[[#This Row],[test_id]],experiments_specs!A:J,10,FALSE)</f>
        <v>False</v>
      </c>
      <c r="K38" t="s">
        <v>14</v>
      </c>
      <c r="L38" t="s">
        <v>31</v>
      </c>
      <c r="M38" t="s">
        <v>32</v>
      </c>
      <c r="N38">
        <v>0.14285714285714285</v>
      </c>
      <c r="O38" t="s">
        <v>33</v>
      </c>
      <c r="P38" t="s">
        <v>32</v>
      </c>
      <c r="Q38" s="33">
        <v>0.14285714285714285</v>
      </c>
    </row>
    <row r="39" spans="1:17" ht="16" x14ac:dyDescent="0.2">
      <c r="A39" t="s">
        <v>138</v>
      </c>
      <c r="B39" s="1" t="str">
        <f>VLOOKUP(Tabella1[[#This Row],[test_id]],experiments_specs!A:J,2,FALSE)</f>
        <v>NN,RB</v>
      </c>
      <c r="C39" s="1">
        <f>VLOOKUP(Tabella1[[#This Row],[test_id]],experiments_specs!A:J,3,FALSE)</f>
        <v>1</v>
      </c>
      <c r="D39" s="1">
        <f>VLOOKUP(Tabella1[[#This Row],[test_id]],experiments_specs!A:J,4,FALSE)</f>
        <v>2</v>
      </c>
      <c r="E39" s="1" t="str">
        <f>VLOOKUP(Tabella1[[#This Row],[test_id]],experiments_specs!A:J,5,FALSE)</f>
        <v>False</v>
      </c>
      <c r="F39" s="1" t="str">
        <f>VLOOKUP(Tabella1[[#This Row],[test_id]],experiments_specs!A:J,6,FALSE)</f>
        <v>True</v>
      </c>
      <c r="G39" s="1" t="str">
        <f>VLOOKUP(Tabella1[[#This Row],[test_id]],experiments_specs!A:J,7,FALSE)</f>
        <v>False</v>
      </c>
      <c r="H39" s="1" t="str">
        <f>VLOOKUP(Tabella1[[#This Row],[test_id]],experiments_specs!A:J,8,FALSE)</f>
        <v>False</v>
      </c>
      <c r="I39" s="1" t="str">
        <f>VLOOKUP(Tabella1[[#This Row],[test_id]],experiments_specs!A:J,9,FALSE)</f>
        <v>wup_similarity</v>
      </c>
      <c r="J39" s="1" t="str">
        <f>VLOOKUP(Tabella1[[#This Row],[test_id]],experiments_specs!A:J,10,FALSE)</f>
        <v>False</v>
      </c>
      <c r="K39" t="s">
        <v>15</v>
      </c>
      <c r="L39" t="s">
        <v>34</v>
      </c>
      <c r="M39" t="s">
        <v>35</v>
      </c>
      <c r="N39">
        <v>0.16666666666666666</v>
      </c>
      <c r="O39" t="s">
        <v>36</v>
      </c>
      <c r="P39" t="s">
        <v>37</v>
      </c>
      <c r="Q39" s="33">
        <v>0.18181818181818182</v>
      </c>
    </row>
    <row r="40" spans="1:17" ht="16" x14ac:dyDescent="0.2">
      <c r="A40" t="s">
        <v>138</v>
      </c>
      <c r="B40" s="1" t="str">
        <f>VLOOKUP(Tabella1[[#This Row],[test_id]],experiments_specs!A:J,2,FALSE)</f>
        <v>NN,RB</v>
      </c>
      <c r="C40" s="1">
        <f>VLOOKUP(Tabella1[[#This Row],[test_id]],experiments_specs!A:J,3,FALSE)</f>
        <v>1</v>
      </c>
      <c r="D40" s="1">
        <f>VLOOKUP(Tabella1[[#This Row],[test_id]],experiments_specs!A:J,4,FALSE)</f>
        <v>2</v>
      </c>
      <c r="E40" s="1" t="str">
        <f>VLOOKUP(Tabella1[[#This Row],[test_id]],experiments_specs!A:J,5,FALSE)</f>
        <v>False</v>
      </c>
      <c r="F40" s="1" t="str">
        <f>VLOOKUP(Tabella1[[#This Row],[test_id]],experiments_specs!A:J,6,FALSE)</f>
        <v>True</v>
      </c>
      <c r="G40" s="1" t="str">
        <f>VLOOKUP(Tabella1[[#This Row],[test_id]],experiments_specs!A:J,7,FALSE)</f>
        <v>False</v>
      </c>
      <c r="H40" s="1" t="str">
        <f>VLOOKUP(Tabella1[[#This Row],[test_id]],experiments_specs!A:J,8,FALSE)</f>
        <v>False</v>
      </c>
      <c r="I40" s="1" t="str">
        <f>VLOOKUP(Tabella1[[#This Row],[test_id]],experiments_specs!A:J,9,FALSE)</f>
        <v>wup_similarity</v>
      </c>
      <c r="J40" s="1" t="str">
        <f>VLOOKUP(Tabella1[[#This Row],[test_id]],experiments_specs!A:J,10,FALSE)</f>
        <v>False</v>
      </c>
      <c r="K40" t="s">
        <v>16</v>
      </c>
      <c r="L40" t="s">
        <v>38</v>
      </c>
      <c r="M40" t="s">
        <v>39</v>
      </c>
      <c r="N40">
        <v>0.55555555555555558</v>
      </c>
      <c r="O40" t="s">
        <v>40</v>
      </c>
      <c r="P40" t="s">
        <v>41</v>
      </c>
      <c r="Q40" s="33">
        <v>0.13333333333333333</v>
      </c>
    </row>
    <row r="41" spans="1:17" ht="16" x14ac:dyDescent="0.2">
      <c r="A41" t="s">
        <v>138</v>
      </c>
      <c r="B41" s="1" t="str">
        <f>VLOOKUP(Tabella1[[#This Row],[test_id]],experiments_specs!A:J,2,FALSE)</f>
        <v>NN,RB</v>
      </c>
      <c r="C41" s="1">
        <f>VLOOKUP(Tabella1[[#This Row],[test_id]],experiments_specs!A:J,3,FALSE)</f>
        <v>1</v>
      </c>
      <c r="D41" s="1">
        <f>VLOOKUP(Tabella1[[#This Row],[test_id]],experiments_specs!A:J,4,FALSE)</f>
        <v>2</v>
      </c>
      <c r="E41" s="1" t="str">
        <f>VLOOKUP(Tabella1[[#This Row],[test_id]],experiments_specs!A:J,5,FALSE)</f>
        <v>False</v>
      </c>
      <c r="F41" s="1" t="str">
        <f>VLOOKUP(Tabella1[[#This Row],[test_id]],experiments_specs!A:J,6,FALSE)</f>
        <v>True</v>
      </c>
      <c r="G41" s="1" t="str">
        <f>VLOOKUP(Tabella1[[#This Row],[test_id]],experiments_specs!A:J,7,FALSE)</f>
        <v>False</v>
      </c>
      <c r="H41" s="1" t="str">
        <f>VLOOKUP(Tabella1[[#This Row],[test_id]],experiments_specs!A:J,8,FALSE)</f>
        <v>False</v>
      </c>
      <c r="I41" s="1" t="str">
        <f>VLOOKUP(Tabella1[[#This Row],[test_id]],experiments_specs!A:J,9,FALSE)</f>
        <v>wup_similarity</v>
      </c>
      <c r="J41" s="1" t="str">
        <f>VLOOKUP(Tabella1[[#This Row],[test_id]],experiments_specs!A:J,10,FALSE)</f>
        <v>False</v>
      </c>
      <c r="K41" t="s">
        <v>17</v>
      </c>
      <c r="L41" t="s">
        <v>42</v>
      </c>
      <c r="M41" t="s">
        <v>43</v>
      </c>
      <c r="N41">
        <v>0.13333333333333333</v>
      </c>
      <c r="O41" t="s">
        <v>44</v>
      </c>
      <c r="P41" t="s">
        <v>45</v>
      </c>
      <c r="Q41" s="33">
        <v>0.33333333333333331</v>
      </c>
    </row>
    <row r="42" spans="1:17" ht="16" x14ac:dyDescent="0.2">
      <c r="A42" t="s">
        <v>138</v>
      </c>
      <c r="B42" s="1" t="str">
        <f>VLOOKUP(Tabella1[[#This Row],[test_id]],experiments_specs!A:J,2,FALSE)</f>
        <v>NN,RB</v>
      </c>
      <c r="C42" s="1">
        <f>VLOOKUP(Tabella1[[#This Row],[test_id]],experiments_specs!A:J,3,FALSE)</f>
        <v>1</v>
      </c>
      <c r="D42" s="1">
        <f>VLOOKUP(Tabella1[[#This Row],[test_id]],experiments_specs!A:J,4,FALSE)</f>
        <v>2</v>
      </c>
      <c r="E42" s="1" t="str">
        <f>VLOOKUP(Tabella1[[#This Row],[test_id]],experiments_specs!A:J,5,FALSE)</f>
        <v>False</v>
      </c>
      <c r="F42" s="1" t="str">
        <f>VLOOKUP(Tabella1[[#This Row],[test_id]],experiments_specs!A:J,6,FALSE)</f>
        <v>True</v>
      </c>
      <c r="G42" s="1" t="str">
        <f>VLOOKUP(Tabella1[[#This Row],[test_id]],experiments_specs!A:J,7,FALSE)</f>
        <v>False</v>
      </c>
      <c r="H42" s="1" t="str">
        <f>VLOOKUP(Tabella1[[#This Row],[test_id]],experiments_specs!A:J,8,FALSE)</f>
        <v>False</v>
      </c>
      <c r="I42" s="1" t="str">
        <f>VLOOKUP(Tabella1[[#This Row],[test_id]],experiments_specs!A:J,9,FALSE)</f>
        <v>wup_similarity</v>
      </c>
      <c r="J42" s="1" t="str">
        <f>VLOOKUP(Tabella1[[#This Row],[test_id]],experiments_specs!A:J,10,FALSE)</f>
        <v>False</v>
      </c>
      <c r="K42" t="s">
        <v>18</v>
      </c>
      <c r="L42" t="s">
        <v>46</v>
      </c>
      <c r="M42" t="s">
        <v>47</v>
      </c>
      <c r="N42">
        <v>0.21052631578947367</v>
      </c>
      <c r="O42" t="s">
        <v>48</v>
      </c>
      <c r="P42" t="s">
        <v>47</v>
      </c>
      <c r="Q42" s="33">
        <v>0.21052631578947367</v>
      </c>
    </row>
    <row r="43" spans="1:17" ht="16" x14ac:dyDescent="0.2">
      <c r="A43" t="s">
        <v>140</v>
      </c>
      <c r="B43" s="1" t="str">
        <f>VLOOKUP(Tabella1[[#This Row],[test_id]],experiments_specs!A:J,2,FALSE)</f>
        <v>NN,JJ,VB,VBD,VBG,VBN,VBP,VBZ</v>
      </c>
      <c r="C43" s="1">
        <f>VLOOKUP(Tabella1[[#This Row],[test_id]],experiments_specs!A:J,3,FALSE)</f>
        <v>1</v>
      </c>
      <c r="D43" s="1">
        <f>VLOOKUP(Tabella1[[#This Row],[test_id]],experiments_specs!A:J,4,FALSE)</f>
        <v>2</v>
      </c>
      <c r="E43" s="1" t="str">
        <f>VLOOKUP(Tabella1[[#This Row],[test_id]],experiments_specs!A:J,5,FALSE)</f>
        <v>False</v>
      </c>
      <c r="F43" s="1" t="str">
        <f>VLOOKUP(Tabella1[[#This Row],[test_id]],experiments_specs!A:J,6,FALSE)</f>
        <v>True</v>
      </c>
      <c r="G43" s="1" t="str">
        <f>VLOOKUP(Tabella1[[#This Row],[test_id]],experiments_specs!A:J,7,FALSE)</f>
        <v>False</v>
      </c>
      <c r="H43" s="1" t="str">
        <f>VLOOKUP(Tabella1[[#This Row],[test_id]],experiments_specs!A:J,8,FALSE)</f>
        <v>False</v>
      </c>
      <c r="I43" s="1" t="str">
        <f>VLOOKUP(Tabella1[[#This Row],[test_id]],experiments_specs!A:J,9,FALSE)</f>
        <v>wup_similarity</v>
      </c>
      <c r="J43" s="1" t="str">
        <f>VLOOKUP(Tabella1[[#This Row],[test_id]],experiments_specs!A:J,10,FALSE)</f>
        <v>False</v>
      </c>
      <c r="K43" t="s">
        <v>19</v>
      </c>
      <c r="L43" t="s">
        <v>59</v>
      </c>
      <c r="M43" t="s">
        <v>60</v>
      </c>
      <c r="N43">
        <v>0.17391304347826086</v>
      </c>
      <c r="O43" t="s">
        <v>61</v>
      </c>
      <c r="P43" t="s">
        <v>62</v>
      </c>
      <c r="Q43" s="33">
        <v>0.11764705882352941</v>
      </c>
    </row>
    <row r="44" spans="1:17" ht="16" x14ac:dyDescent="0.2">
      <c r="A44" t="s">
        <v>140</v>
      </c>
      <c r="B44" s="1" t="str">
        <f>VLOOKUP(Tabella1[[#This Row],[test_id]],experiments_specs!A:J,2,FALSE)</f>
        <v>NN,JJ,VB,VBD,VBG,VBN,VBP,VBZ</v>
      </c>
      <c r="C44" s="1">
        <f>VLOOKUP(Tabella1[[#This Row],[test_id]],experiments_specs!A:J,3,FALSE)</f>
        <v>1</v>
      </c>
      <c r="D44" s="1">
        <f>VLOOKUP(Tabella1[[#This Row],[test_id]],experiments_specs!A:J,4,FALSE)</f>
        <v>2</v>
      </c>
      <c r="E44" s="1" t="str">
        <f>VLOOKUP(Tabella1[[#This Row],[test_id]],experiments_specs!A:J,5,FALSE)</f>
        <v>False</v>
      </c>
      <c r="F44" s="1" t="str">
        <f>VLOOKUP(Tabella1[[#This Row],[test_id]],experiments_specs!A:J,6,FALSE)</f>
        <v>True</v>
      </c>
      <c r="G44" s="1" t="str">
        <f>VLOOKUP(Tabella1[[#This Row],[test_id]],experiments_specs!A:J,7,FALSE)</f>
        <v>False</v>
      </c>
      <c r="H44" s="1" t="str">
        <f>VLOOKUP(Tabella1[[#This Row],[test_id]],experiments_specs!A:J,8,FALSE)</f>
        <v>False</v>
      </c>
      <c r="I44" s="1" t="str">
        <f>VLOOKUP(Tabella1[[#This Row],[test_id]],experiments_specs!A:J,9,FALSE)</f>
        <v>wup_similarity</v>
      </c>
      <c r="J44" s="1" t="str">
        <f>VLOOKUP(Tabella1[[#This Row],[test_id]],experiments_specs!A:J,10,FALSE)</f>
        <v>False</v>
      </c>
      <c r="K44" t="s">
        <v>12</v>
      </c>
      <c r="L44" t="s">
        <v>73</v>
      </c>
      <c r="M44" t="s">
        <v>64</v>
      </c>
      <c r="N44">
        <v>0.125</v>
      </c>
      <c r="O44" t="s">
        <v>63</v>
      </c>
      <c r="P44" t="s">
        <v>64</v>
      </c>
      <c r="Q44" s="33">
        <v>0.125</v>
      </c>
    </row>
    <row r="45" spans="1:17" ht="16" x14ac:dyDescent="0.2">
      <c r="A45" t="s">
        <v>140</v>
      </c>
      <c r="B45" s="1" t="str">
        <f>VLOOKUP(Tabella1[[#This Row],[test_id]],experiments_specs!A:J,2,FALSE)</f>
        <v>NN,JJ,VB,VBD,VBG,VBN,VBP,VBZ</v>
      </c>
      <c r="C45" s="1">
        <f>VLOOKUP(Tabella1[[#This Row],[test_id]],experiments_specs!A:J,3,FALSE)</f>
        <v>1</v>
      </c>
      <c r="D45" s="1">
        <f>VLOOKUP(Tabella1[[#This Row],[test_id]],experiments_specs!A:J,4,FALSE)</f>
        <v>2</v>
      </c>
      <c r="E45" s="1" t="str">
        <f>VLOOKUP(Tabella1[[#This Row],[test_id]],experiments_specs!A:J,5,FALSE)</f>
        <v>False</v>
      </c>
      <c r="F45" s="1" t="str">
        <f>VLOOKUP(Tabella1[[#This Row],[test_id]],experiments_specs!A:J,6,FALSE)</f>
        <v>True</v>
      </c>
      <c r="G45" s="1" t="str">
        <f>VLOOKUP(Tabella1[[#This Row],[test_id]],experiments_specs!A:J,7,FALSE)</f>
        <v>False</v>
      </c>
      <c r="H45" s="1" t="str">
        <f>VLOOKUP(Tabella1[[#This Row],[test_id]],experiments_specs!A:J,8,FALSE)</f>
        <v>False</v>
      </c>
      <c r="I45" s="1" t="str">
        <f>VLOOKUP(Tabella1[[#This Row],[test_id]],experiments_specs!A:J,9,FALSE)</f>
        <v>wup_similarity</v>
      </c>
      <c r="J45" s="1" t="str">
        <f>VLOOKUP(Tabella1[[#This Row],[test_id]],experiments_specs!A:J,10,FALSE)</f>
        <v>False</v>
      </c>
      <c r="K45" t="s">
        <v>13</v>
      </c>
      <c r="L45" t="s">
        <v>27</v>
      </c>
      <c r="M45" t="s">
        <v>28</v>
      </c>
      <c r="N45" t="s">
        <v>29</v>
      </c>
      <c r="O45" t="s">
        <v>74</v>
      </c>
      <c r="P45" t="s">
        <v>75</v>
      </c>
      <c r="Q45" s="33">
        <v>0.4</v>
      </c>
    </row>
    <row r="46" spans="1:17" ht="16" x14ac:dyDescent="0.2">
      <c r="A46" t="s">
        <v>140</v>
      </c>
      <c r="B46" s="1" t="str">
        <f>VLOOKUP(Tabella1[[#This Row],[test_id]],experiments_specs!A:J,2,FALSE)</f>
        <v>NN,JJ,VB,VBD,VBG,VBN,VBP,VBZ</v>
      </c>
      <c r="C46" s="1">
        <f>VLOOKUP(Tabella1[[#This Row],[test_id]],experiments_specs!A:J,3,FALSE)</f>
        <v>1</v>
      </c>
      <c r="D46" s="1">
        <f>VLOOKUP(Tabella1[[#This Row],[test_id]],experiments_specs!A:J,4,FALSE)</f>
        <v>2</v>
      </c>
      <c r="E46" s="1" t="str">
        <f>VLOOKUP(Tabella1[[#This Row],[test_id]],experiments_specs!A:J,5,FALSE)</f>
        <v>False</v>
      </c>
      <c r="F46" s="1" t="str">
        <f>VLOOKUP(Tabella1[[#This Row],[test_id]],experiments_specs!A:J,6,FALSE)</f>
        <v>True</v>
      </c>
      <c r="G46" s="1" t="str">
        <f>VLOOKUP(Tabella1[[#This Row],[test_id]],experiments_specs!A:J,7,FALSE)</f>
        <v>False</v>
      </c>
      <c r="H46" s="1" t="str">
        <f>VLOOKUP(Tabella1[[#This Row],[test_id]],experiments_specs!A:J,8,FALSE)</f>
        <v>False</v>
      </c>
      <c r="I46" s="1" t="str">
        <f>VLOOKUP(Tabella1[[#This Row],[test_id]],experiments_specs!A:J,9,FALSE)</f>
        <v>wup_similarity</v>
      </c>
      <c r="J46" s="1" t="str">
        <f>VLOOKUP(Tabella1[[#This Row],[test_id]],experiments_specs!A:J,10,FALSE)</f>
        <v>False</v>
      </c>
      <c r="K46" t="s">
        <v>14</v>
      </c>
      <c r="L46" t="s">
        <v>31</v>
      </c>
      <c r="M46" t="s">
        <v>32</v>
      </c>
      <c r="N46">
        <v>0.14285714285714285</v>
      </c>
      <c r="O46" t="s">
        <v>76</v>
      </c>
      <c r="P46" t="s">
        <v>77</v>
      </c>
      <c r="Q46" s="33">
        <v>0.625</v>
      </c>
    </row>
    <row r="47" spans="1:17" ht="16" x14ac:dyDescent="0.2">
      <c r="A47" t="s">
        <v>140</v>
      </c>
      <c r="B47" s="1" t="str">
        <f>VLOOKUP(Tabella1[[#This Row],[test_id]],experiments_specs!A:J,2,FALSE)</f>
        <v>NN,JJ,VB,VBD,VBG,VBN,VBP,VBZ</v>
      </c>
      <c r="C47" s="1">
        <f>VLOOKUP(Tabella1[[#This Row],[test_id]],experiments_specs!A:J,3,FALSE)</f>
        <v>1</v>
      </c>
      <c r="D47" s="1">
        <f>VLOOKUP(Tabella1[[#This Row],[test_id]],experiments_specs!A:J,4,FALSE)</f>
        <v>2</v>
      </c>
      <c r="E47" s="1" t="str">
        <f>VLOOKUP(Tabella1[[#This Row],[test_id]],experiments_specs!A:J,5,FALSE)</f>
        <v>False</v>
      </c>
      <c r="F47" s="1" t="str">
        <f>VLOOKUP(Tabella1[[#This Row],[test_id]],experiments_specs!A:J,6,FALSE)</f>
        <v>True</v>
      </c>
      <c r="G47" s="1" t="str">
        <f>VLOOKUP(Tabella1[[#This Row],[test_id]],experiments_specs!A:J,7,FALSE)</f>
        <v>False</v>
      </c>
      <c r="H47" s="1" t="str">
        <f>VLOOKUP(Tabella1[[#This Row],[test_id]],experiments_specs!A:J,8,FALSE)</f>
        <v>False</v>
      </c>
      <c r="I47" s="1" t="str">
        <f>VLOOKUP(Tabella1[[#This Row],[test_id]],experiments_specs!A:J,9,FALSE)</f>
        <v>wup_similarity</v>
      </c>
      <c r="J47" s="1" t="str">
        <f>VLOOKUP(Tabella1[[#This Row],[test_id]],experiments_specs!A:J,10,FALSE)</f>
        <v>False</v>
      </c>
      <c r="K47" t="s">
        <v>15</v>
      </c>
      <c r="L47" t="s">
        <v>65</v>
      </c>
      <c r="M47" t="s">
        <v>66</v>
      </c>
      <c r="N47">
        <v>0.2</v>
      </c>
      <c r="O47" t="s">
        <v>78</v>
      </c>
      <c r="P47" t="s">
        <v>79</v>
      </c>
      <c r="Q47" s="33">
        <v>0.22222222222222221</v>
      </c>
    </row>
    <row r="48" spans="1:17" ht="16" x14ac:dyDescent="0.2">
      <c r="A48" t="s">
        <v>140</v>
      </c>
      <c r="B48" s="1" t="str">
        <f>VLOOKUP(Tabella1[[#This Row],[test_id]],experiments_specs!A:J,2,FALSE)</f>
        <v>NN,JJ,VB,VBD,VBG,VBN,VBP,VBZ</v>
      </c>
      <c r="C48" s="1">
        <f>VLOOKUP(Tabella1[[#This Row],[test_id]],experiments_specs!A:J,3,FALSE)</f>
        <v>1</v>
      </c>
      <c r="D48" s="1">
        <f>VLOOKUP(Tabella1[[#This Row],[test_id]],experiments_specs!A:J,4,FALSE)</f>
        <v>2</v>
      </c>
      <c r="E48" s="1" t="str">
        <f>VLOOKUP(Tabella1[[#This Row],[test_id]],experiments_specs!A:J,5,FALSE)</f>
        <v>False</v>
      </c>
      <c r="F48" s="1" t="str">
        <f>VLOOKUP(Tabella1[[#This Row],[test_id]],experiments_specs!A:J,6,FALSE)</f>
        <v>True</v>
      </c>
      <c r="G48" s="1" t="str">
        <f>VLOOKUP(Tabella1[[#This Row],[test_id]],experiments_specs!A:J,7,FALSE)</f>
        <v>False</v>
      </c>
      <c r="H48" s="1" t="str">
        <f>VLOOKUP(Tabella1[[#This Row],[test_id]],experiments_specs!A:J,8,FALSE)</f>
        <v>False</v>
      </c>
      <c r="I48" s="1" t="str">
        <f>VLOOKUP(Tabella1[[#This Row],[test_id]],experiments_specs!A:J,9,FALSE)</f>
        <v>wup_similarity</v>
      </c>
      <c r="J48" s="1" t="str">
        <f>VLOOKUP(Tabella1[[#This Row],[test_id]],experiments_specs!A:J,10,FALSE)</f>
        <v>False</v>
      </c>
      <c r="K48" t="s">
        <v>16</v>
      </c>
      <c r="L48" t="s">
        <v>38</v>
      </c>
      <c r="M48" t="s">
        <v>39</v>
      </c>
      <c r="N48">
        <v>0.55555555555555558</v>
      </c>
      <c r="O48" t="s">
        <v>61</v>
      </c>
      <c r="P48" t="s">
        <v>69</v>
      </c>
      <c r="Q48" s="33">
        <v>0.14285714285714285</v>
      </c>
    </row>
    <row r="49" spans="1:17" ht="16" x14ac:dyDescent="0.2">
      <c r="A49" t="s">
        <v>140</v>
      </c>
      <c r="B49" s="1" t="str">
        <f>VLOOKUP(Tabella1[[#This Row],[test_id]],experiments_specs!A:J,2,FALSE)</f>
        <v>NN,JJ,VB,VBD,VBG,VBN,VBP,VBZ</v>
      </c>
      <c r="C49" s="1">
        <f>VLOOKUP(Tabella1[[#This Row],[test_id]],experiments_specs!A:J,3,FALSE)</f>
        <v>1</v>
      </c>
      <c r="D49" s="1">
        <f>VLOOKUP(Tabella1[[#This Row],[test_id]],experiments_specs!A:J,4,FALSE)</f>
        <v>2</v>
      </c>
      <c r="E49" s="1" t="str">
        <f>VLOOKUP(Tabella1[[#This Row],[test_id]],experiments_specs!A:J,5,FALSE)</f>
        <v>False</v>
      </c>
      <c r="F49" s="1" t="str">
        <f>VLOOKUP(Tabella1[[#This Row],[test_id]],experiments_specs!A:J,6,FALSE)</f>
        <v>True</v>
      </c>
      <c r="G49" s="1" t="str">
        <f>VLOOKUP(Tabella1[[#This Row],[test_id]],experiments_specs!A:J,7,FALSE)</f>
        <v>False</v>
      </c>
      <c r="H49" s="1" t="str">
        <f>VLOOKUP(Tabella1[[#This Row],[test_id]],experiments_specs!A:J,8,FALSE)</f>
        <v>False</v>
      </c>
      <c r="I49" s="1" t="str">
        <f>VLOOKUP(Tabella1[[#This Row],[test_id]],experiments_specs!A:J,9,FALSE)</f>
        <v>wup_similarity</v>
      </c>
      <c r="J49" s="1" t="str">
        <f>VLOOKUP(Tabella1[[#This Row],[test_id]],experiments_specs!A:J,10,FALSE)</f>
        <v>False</v>
      </c>
      <c r="K49" t="s">
        <v>17</v>
      </c>
      <c r="L49" t="s">
        <v>80</v>
      </c>
      <c r="M49" t="s">
        <v>81</v>
      </c>
      <c r="N49">
        <v>0.22222222222222221</v>
      </c>
      <c r="O49" t="s">
        <v>80</v>
      </c>
      <c r="P49" t="s">
        <v>81</v>
      </c>
      <c r="Q49" s="33">
        <v>0.22222222222222221</v>
      </c>
    </row>
    <row r="50" spans="1:17" ht="16" x14ac:dyDescent="0.2">
      <c r="A50" t="s">
        <v>140</v>
      </c>
      <c r="B50" s="1" t="str">
        <f>VLOOKUP(Tabella1[[#This Row],[test_id]],experiments_specs!A:J,2,FALSE)</f>
        <v>NN,JJ,VB,VBD,VBG,VBN,VBP,VBZ</v>
      </c>
      <c r="C50" s="1">
        <f>VLOOKUP(Tabella1[[#This Row],[test_id]],experiments_specs!A:J,3,FALSE)</f>
        <v>1</v>
      </c>
      <c r="D50" s="1">
        <f>VLOOKUP(Tabella1[[#This Row],[test_id]],experiments_specs!A:J,4,FALSE)</f>
        <v>2</v>
      </c>
      <c r="E50" s="1" t="str">
        <f>VLOOKUP(Tabella1[[#This Row],[test_id]],experiments_specs!A:J,5,FALSE)</f>
        <v>False</v>
      </c>
      <c r="F50" s="1" t="str">
        <f>VLOOKUP(Tabella1[[#This Row],[test_id]],experiments_specs!A:J,6,FALSE)</f>
        <v>True</v>
      </c>
      <c r="G50" s="1" t="str">
        <f>VLOOKUP(Tabella1[[#This Row],[test_id]],experiments_specs!A:J,7,FALSE)</f>
        <v>False</v>
      </c>
      <c r="H50" s="1" t="str">
        <f>VLOOKUP(Tabella1[[#This Row],[test_id]],experiments_specs!A:J,8,FALSE)</f>
        <v>False</v>
      </c>
      <c r="I50" s="1" t="str">
        <f>VLOOKUP(Tabella1[[#This Row],[test_id]],experiments_specs!A:J,9,FALSE)</f>
        <v>wup_similarity</v>
      </c>
      <c r="J50" s="1" t="str">
        <f>VLOOKUP(Tabella1[[#This Row],[test_id]],experiments_specs!A:J,10,FALSE)</f>
        <v>False</v>
      </c>
      <c r="K50" t="s">
        <v>18</v>
      </c>
      <c r="L50" t="s">
        <v>46</v>
      </c>
      <c r="M50" t="s">
        <v>47</v>
      </c>
      <c r="N50">
        <v>0.21052631578947367</v>
      </c>
      <c r="O50" t="s">
        <v>61</v>
      </c>
      <c r="P50" t="s">
        <v>72</v>
      </c>
      <c r="Q50" s="33">
        <v>0.11764705882352941</v>
      </c>
    </row>
    <row r="51" spans="1:17" ht="16" x14ac:dyDescent="0.2">
      <c r="A51" t="s">
        <v>142</v>
      </c>
      <c r="B51" s="1" t="str">
        <f>VLOOKUP(Tabella1[[#This Row],[test_id]],experiments_specs!A:J,2,FALSE)</f>
        <v>NN</v>
      </c>
      <c r="C51" s="1">
        <f>VLOOKUP(Tabella1[[#This Row],[test_id]],experiments_specs!A:J,3,FALSE)</f>
        <v>1</v>
      </c>
      <c r="D51" s="1">
        <f>VLOOKUP(Tabella1[[#This Row],[test_id]],experiments_specs!A:J,4,FALSE)</f>
        <v>2</v>
      </c>
      <c r="E51" s="1" t="str">
        <f>VLOOKUP(Tabella1[[#This Row],[test_id]],experiments_specs!A:J,5,FALSE)</f>
        <v>True</v>
      </c>
      <c r="F51" s="1" t="str">
        <f>VLOOKUP(Tabella1[[#This Row],[test_id]],experiments_specs!A:J,6,FALSE)</f>
        <v>True</v>
      </c>
      <c r="G51" s="1" t="str">
        <f>VLOOKUP(Tabella1[[#This Row],[test_id]],experiments_specs!A:J,7,FALSE)</f>
        <v>False</v>
      </c>
      <c r="H51" s="1" t="str">
        <f>VLOOKUP(Tabella1[[#This Row],[test_id]],experiments_specs!A:J,8,FALSE)</f>
        <v>False</v>
      </c>
      <c r="I51" s="1" t="str">
        <f>VLOOKUP(Tabella1[[#This Row],[test_id]],experiments_specs!A:J,9,FALSE)</f>
        <v>wup_similarity</v>
      </c>
      <c r="J51" s="1" t="str">
        <f>VLOOKUP(Tabella1[[#This Row],[test_id]],experiments_specs!A:J,10,FALSE)</f>
        <v>False</v>
      </c>
      <c r="K51" t="s">
        <v>19</v>
      </c>
      <c r="L51" t="s">
        <v>20</v>
      </c>
      <c r="M51" t="s">
        <v>21</v>
      </c>
      <c r="N51">
        <v>0.19047619047619047</v>
      </c>
      <c r="O51" t="s">
        <v>22</v>
      </c>
      <c r="P51" t="s">
        <v>23</v>
      </c>
      <c r="Q51" s="33">
        <v>9.5238095238095233E-2</v>
      </c>
    </row>
    <row r="52" spans="1:17" ht="16" x14ac:dyDescent="0.2">
      <c r="A52" t="s">
        <v>142</v>
      </c>
      <c r="B52" s="1" t="str">
        <f>VLOOKUP(Tabella1[[#This Row],[test_id]],experiments_specs!A:J,2,FALSE)</f>
        <v>NN</v>
      </c>
      <c r="C52" s="1">
        <f>VLOOKUP(Tabella1[[#This Row],[test_id]],experiments_specs!A:J,3,FALSE)</f>
        <v>1</v>
      </c>
      <c r="D52" s="1">
        <f>VLOOKUP(Tabella1[[#This Row],[test_id]],experiments_specs!A:J,4,FALSE)</f>
        <v>2</v>
      </c>
      <c r="E52" s="1" t="str">
        <f>VLOOKUP(Tabella1[[#This Row],[test_id]],experiments_specs!A:J,5,FALSE)</f>
        <v>True</v>
      </c>
      <c r="F52" s="1" t="str">
        <f>VLOOKUP(Tabella1[[#This Row],[test_id]],experiments_specs!A:J,6,FALSE)</f>
        <v>True</v>
      </c>
      <c r="G52" s="1" t="str">
        <f>VLOOKUP(Tabella1[[#This Row],[test_id]],experiments_specs!A:J,7,FALSE)</f>
        <v>False</v>
      </c>
      <c r="H52" s="1" t="str">
        <f>VLOOKUP(Tabella1[[#This Row],[test_id]],experiments_specs!A:J,8,FALSE)</f>
        <v>False</v>
      </c>
      <c r="I52" s="1" t="str">
        <f>VLOOKUP(Tabella1[[#This Row],[test_id]],experiments_specs!A:J,9,FALSE)</f>
        <v>wup_similarity</v>
      </c>
      <c r="J52" s="1" t="str">
        <f>VLOOKUP(Tabella1[[#This Row],[test_id]],experiments_specs!A:J,10,FALSE)</f>
        <v>False</v>
      </c>
      <c r="K52" t="s">
        <v>12</v>
      </c>
      <c r="L52" t="s">
        <v>24</v>
      </c>
      <c r="M52" t="s">
        <v>25</v>
      </c>
      <c r="N52">
        <v>0.42857142857142855</v>
      </c>
      <c r="O52" t="s">
        <v>26</v>
      </c>
      <c r="P52" t="s">
        <v>25</v>
      </c>
      <c r="Q52" s="33">
        <v>0.42857142857142855</v>
      </c>
    </row>
    <row r="53" spans="1:17" ht="16" x14ac:dyDescent="0.2">
      <c r="A53" t="s">
        <v>142</v>
      </c>
      <c r="B53" s="1" t="str">
        <f>VLOOKUP(Tabella1[[#This Row],[test_id]],experiments_specs!A:J,2,FALSE)</f>
        <v>NN</v>
      </c>
      <c r="C53" s="1">
        <f>VLOOKUP(Tabella1[[#This Row],[test_id]],experiments_specs!A:J,3,FALSE)</f>
        <v>1</v>
      </c>
      <c r="D53" s="1">
        <f>VLOOKUP(Tabella1[[#This Row],[test_id]],experiments_specs!A:J,4,FALSE)</f>
        <v>2</v>
      </c>
      <c r="E53" s="1" t="str">
        <f>VLOOKUP(Tabella1[[#This Row],[test_id]],experiments_specs!A:J,5,FALSE)</f>
        <v>True</v>
      </c>
      <c r="F53" s="1" t="str">
        <f>VLOOKUP(Tabella1[[#This Row],[test_id]],experiments_specs!A:J,6,FALSE)</f>
        <v>True</v>
      </c>
      <c r="G53" s="1" t="str">
        <f>VLOOKUP(Tabella1[[#This Row],[test_id]],experiments_specs!A:J,7,FALSE)</f>
        <v>False</v>
      </c>
      <c r="H53" s="1" t="str">
        <f>VLOOKUP(Tabella1[[#This Row],[test_id]],experiments_specs!A:J,8,FALSE)</f>
        <v>False</v>
      </c>
      <c r="I53" s="1" t="str">
        <f>VLOOKUP(Tabella1[[#This Row],[test_id]],experiments_specs!A:J,9,FALSE)</f>
        <v>wup_similarity</v>
      </c>
      <c r="J53" s="1" t="str">
        <f>VLOOKUP(Tabella1[[#This Row],[test_id]],experiments_specs!A:J,10,FALSE)</f>
        <v>False</v>
      </c>
      <c r="K53" t="s">
        <v>13</v>
      </c>
      <c r="L53" t="s">
        <v>27</v>
      </c>
      <c r="M53" t="s">
        <v>28</v>
      </c>
      <c r="N53" t="s">
        <v>29</v>
      </c>
      <c r="O53" t="s">
        <v>30</v>
      </c>
      <c r="P53" t="s">
        <v>28</v>
      </c>
      <c r="Q53" s="33" t="s">
        <v>29</v>
      </c>
    </row>
    <row r="54" spans="1:17" ht="16" x14ac:dyDescent="0.2">
      <c r="A54" t="s">
        <v>142</v>
      </c>
      <c r="B54" s="1" t="str">
        <f>VLOOKUP(Tabella1[[#This Row],[test_id]],experiments_specs!A:J,2,FALSE)</f>
        <v>NN</v>
      </c>
      <c r="C54" s="1">
        <f>VLOOKUP(Tabella1[[#This Row],[test_id]],experiments_specs!A:J,3,FALSE)</f>
        <v>1</v>
      </c>
      <c r="D54" s="1">
        <f>VLOOKUP(Tabella1[[#This Row],[test_id]],experiments_specs!A:J,4,FALSE)</f>
        <v>2</v>
      </c>
      <c r="E54" s="1" t="str">
        <f>VLOOKUP(Tabella1[[#This Row],[test_id]],experiments_specs!A:J,5,FALSE)</f>
        <v>True</v>
      </c>
      <c r="F54" s="1" t="str">
        <f>VLOOKUP(Tabella1[[#This Row],[test_id]],experiments_specs!A:J,6,FALSE)</f>
        <v>True</v>
      </c>
      <c r="G54" s="1" t="str">
        <f>VLOOKUP(Tabella1[[#This Row],[test_id]],experiments_specs!A:J,7,FALSE)</f>
        <v>False</v>
      </c>
      <c r="H54" s="1" t="str">
        <f>VLOOKUP(Tabella1[[#This Row],[test_id]],experiments_specs!A:J,8,FALSE)</f>
        <v>False</v>
      </c>
      <c r="I54" s="1" t="str">
        <f>VLOOKUP(Tabella1[[#This Row],[test_id]],experiments_specs!A:J,9,FALSE)</f>
        <v>wup_similarity</v>
      </c>
      <c r="J54" s="1" t="str">
        <f>VLOOKUP(Tabella1[[#This Row],[test_id]],experiments_specs!A:J,10,FALSE)</f>
        <v>False</v>
      </c>
      <c r="K54" t="s">
        <v>14</v>
      </c>
      <c r="L54" t="s">
        <v>31</v>
      </c>
      <c r="M54" t="s">
        <v>32</v>
      </c>
      <c r="N54">
        <v>0.14285714285714285</v>
      </c>
      <c r="O54" t="s">
        <v>33</v>
      </c>
      <c r="P54" t="s">
        <v>32</v>
      </c>
      <c r="Q54" s="33">
        <v>0.14285714285714285</v>
      </c>
    </row>
    <row r="55" spans="1:17" ht="16" x14ac:dyDescent="0.2">
      <c r="A55" t="s">
        <v>142</v>
      </c>
      <c r="B55" s="1" t="str">
        <f>VLOOKUP(Tabella1[[#This Row],[test_id]],experiments_specs!A:J,2,FALSE)</f>
        <v>NN</v>
      </c>
      <c r="C55" s="1">
        <f>VLOOKUP(Tabella1[[#This Row],[test_id]],experiments_specs!A:J,3,FALSE)</f>
        <v>1</v>
      </c>
      <c r="D55" s="1">
        <f>VLOOKUP(Tabella1[[#This Row],[test_id]],experiments_specs!A:J,4,FALSE)</f>
        <v>2</v>
      </c>
      <c r="E55" s="1" t="str">
        <f>VLOOKUP(Tabella1[[#This Row],[test_id]],experiments_specs!A:J,5,FALSE)</f>
        <v>True</v>
      </c>
      <c r="F55" s="1" t="str">
        <f>VLOOKUP(Tabella1[[#This Row],[test_id]],experiments_specs!A:J,6,FALSE)</f>
        <v>True</v>
      </c>
      <c r="G55" s="1" t="str">
        <f>VLOOKUP(Tabella1[[#This Row],[test_id]],experiments_specs!A:J,7,FALSE)</f>
        <v>False</v>
      </c>
      <c r="H55" s="1" t="str">
        <f>VLOOKUP(Tabella1[[#This Row],[test_id]],experiments_specs!A:J,8,FALSE)</f>
        <v>False</v>
      </c>
      <c r="I55" s="1" t="str">
        <f>VLOOKUP(Tabella1[[#This Row],[test_id]],experiments_specs!A:J,9,FALSE)</f>
        <v>wup_similarity</v>
      </c>
      <c r="J55" s="1" t="str">
        <f>VLOOKUP(Tabella1[[#This Row],[test_id]],experiments_specs!A:J,10,FALSE)</f>
        <v>False</v>
      </c>
      <c r="K55" t="s">
        <v>15</v>
      </c>
      <c r="L55" t="s">
        <v>34</v>
      </c>
      <c r="M55" t="s">
        <v>35</v>
      </c>
      <c r="N55">
        <v>0.16666666666666666</v>
      </c>
      <c r="O55" t="s">
        <v>36</v>
      </c>
      <c r="P55" t="s">
        <v>37</v>
      </c>
      <c r="Q55" s="33">
        <v>0.18181818181818182</v>
      </c>
    </row>
    <row r="56" spans="1:17" ht="16" x14ac:dyDescent="0.2">
      <c r="A56" t="s">
        <v>142</v>
      </c>
      <c r="B56" s="1" t="str">
        <f>VLOOKUP(Tabella1[[#This Row],[test_id]],experiments_specs!A:J,2,FALSE)</f>
        <v>NN</v>
      </c>
      <c r="C56" s="1">
        <f>VLOOKUP(Tabella1[[#This Row],[test_id]],experiments_specs!A:J,3,FALSE)</f>
        <v>1</v>
      </c>
      <c r="D56" s="1">
        <f>VLOOKUP(Tabella1[[#This Row],[test_id]],experiments_specs!A:J,4,FALSE)</f>
        <v>2</v>
      </c>
      <c r="E56" s="1" t="str">
        <f>VLOOKUP(Tabella1[[#This Row],[test_id]],experiments_specs!A:J,5,FALSE)</f>
        <v>True</v>
      </c>
      <c r="F56" s="1" t="str">
        <f>VLOOKUP(Tabella1[[#This Row],[test_id]],experiments_specs!A:J,6,FALSE)</f>
        <v>True</v>
      </c>
      <c r="G56" s="1" t="str">
        <f>VLOOKUP(Tabella1[[#This Row],[test_id]],experiments_specs!A:J,7,FALSE)</f>
        <v>False</v>
      </c>
      <c r="H56" s="1" t="str">
        <f>VLOOKUP(Tabella1[[#This Row],[test_id]],experiments_specs!A:J,8,FALSE)</f>
        <v>False</v>
      </c>
      <c r="I56" s="1" t="str">
        <f>VLOOKUP(Tabella1[[#This Row],[test_id]],experiments_specs!A:J,9,FALSE)</f>
        <v>wup_similarity</v>
      </c>
      <c r="J56" s="1" t="str">
        <f>VLOOKUP(Tabella1[[#This Row],[test_id]],experiments_specs!A:J,10,FALSE)</f>
        <v>False</v>
      </c>
      <c r="K56" t="s">
        <v>16</v>
      </c>
      <c r="L56" t="s">
        <v>38</v>
      </c>
      <c r="M56" t="s">
        <v>39</v>
      </c>
      <c r="N56">
        <v>0.55555555555555558</v>
      </c>
      <c r="O56" t="s">
        <v>40</v>
      </c>
      <c r="P56" t="s">
        <v>41</v>
      </c>
      <c r="Q56" s="33">
        <v>0.13333333333333333</v>
      </c>
    </row>
    <row r="57" spans="1:17" ht="16" x14ac:dyDescent="0.2">
      <c r="A57" t="s">
        <v>142</v>
      </c>
      <c r="B57" s="1" t="str">
        <f>VLOOKUP(Tabella1[[#This Row],[test_id]],experiments_specs!A:J,2,FALSE)</f>
        <v>NN</v>
      </c>
      <c r="C57" s="1">
        <f>VLOOKUP(Tabella1[[#This Row],[test_id]],experiments_specs!A:J,3,FALSE)</f>
        <v>1</v>
      </c>
      <c r="D57" s="1">
        <f>VLOOKUP(Tabella1[[#This Row],[test_id]],experiments_specs!A:J,4,FALSE)</f>
        <v>2</v>
      </c>
      <c r="E57" s="1" t="str">
        <f>VLOOKUP(Tabella1[[#This Row],[test_id]],experiments_specs!A:J,5,FALSE)</f>
        <v>True</v>
      </c>
      <c r="F57" s="1" t="str">
        <f>VLOOKUP(Tabella1[[#This Row],[test_id]],experiments_specs!A:J,6,FALSE)</f>
        <v>True</v>
      </c>
      <c r="G57" s="1" t="str">
        <f>VLOOKUP(Tabella1[[#This Row],[test_id]],experiments_specs!A:J,7,FALSE)</f>
        <v>False</v>
      </c>
      <c r="H57" s="1" t="str">
        <f>VLOOKUP(Tabella1[[#This Row],[test_id]],experiments_specs!A:J,8,FALSE)</f>
        <v>False</v>
      </c>
      <c r="I57" s="1" t="str">
        <f>VLOOKUP(Tabella1[[#This Row],[test_id]],experiments_specs!A:J,9,FALSE)</f>
        <v>wup_similarity</v>
      </c>
      <c r="J57" s="1" t="str">
        <f>VLOOKUP(Tabella1[[#This Row],[test_id]],experiments_specs!A:J,10,FALSE)</f>
        <v>False</v>
      </c>
      <c r="K57" t="s">
        <v>17</v>
      </c>
      <c r="L57" t="s">
        <v>42</v>
      </c>
      <c r="M57" t="s">
        <v>43</v>
      </c>
      <c r="N57">
        <v>0.13333333333333333</v>
      </c>
      <c r="O57" t="s">
        <v>44</v>
      </c>
      <c r="P57" t="s">
        <v>45</v>
      </c>
      <c r="Q57" s="33">
        <v>0.33333333333333331</v>
      </c>
    </row>
    <row r="58" spans="1:17" ht="16" x14ac:dyDescent="0.2">
      <c r="A58" t="s">
        <v>142</v>
      </c>
      <c r="B58" s="1" t="str">
        <f>VLOOKUP(Tabella1[[#This Row],[test_id]],experiments_specs!A:J,2,FALSE)</f>
        <v>NN</v>
      </c>
      <c r="C58" s="1">
        <f>VLOOKUP(Tabella1[[#This Row],[test_id]],experiments_specs!A:J,3,FALSE)</f>
        <v>1</v>
      </c>
      <c r="D58" s="1">
        <f>VLOOKUP(Tabella1[[#This Row],[test_id]],experiments_specs!A:J,4,FALSE)</f>
        <v>2</v>
      </c>
      <c r="E58" s="1" t="str">
        <f>VLOOKUP(Tabella1[[#This Row],[test_id]],experiments_specs!A:J,5,FALSE)</f>
        <v>True</v>
      </c>
      <c r="F58" s="1" t="str">
        <f>VLOOKUP(Tabella1[[#This Row],[test_id]],experiments_specs!A:J,6,FALSE)</f>
        <v>True</v>
      </c>
      <c r="G58" s="1" t="str">
        <f>VLOOKUP(Tabella1[[#This Row],[test_id]],experiments_specs!A:J,7,FALSE)</f>
        <v>False</v>
      </c>
      <c r="H58" s="1" t="str">
        <f>VLOOKUP(Tabella1[[#This Row],[test_id]],experiments_specs!A:J,8,FALSE)</f>
        <v>False</v>
      </c>
      <c r="I58" s="1" t="str">
        <f>VLOOKUP(Tabella1[[#This Row],[test_id]],experiments_specs!A:J,9,FALSE)</f>
        <v>wup_similarity</v>
      </c>
      <c r="J58" s="1" t="str">
        <f>VLOOKUP(Tabella1[[#This Row],[test_id]],experiments_specs!A:J,10,FALSE)</f>
        <v>False</v>
      </c>
      <c r="K58" t="s">
        <v>18</v>
      </c>
      <c r="L58" t="s">
        <v>46</v>
      </c>
      <c r="M58" t="s">
        <v>47</v>
      </c>
      <c r="N58">
        <v>0.21052631578947367</v>
      </c>
      <c r="O58" t="s">
        <v>48</v>
      </c>
      <c r="P58" t="s">
        <v>47</v>
      </c>
      <c r="Q58" s="33">
        <v>0.21052631578947367</v>
      </c>
    </row>
    <row r="59" spans="1:17" ht="16" x14ac:dyDescent="0.2">
      <c r="A59" t="s">
        <v>143</v>
      </c>
      <c r="B59" s="1" t="str">
        <f>VLOOKUP(Tabella1[[#This Row],[test_id]],experiments_specs!A:J,2,FALSE)</f>
        <v>NN,JJ</v>
      </c>
      <c r="C59" s="1">
        <f>VLOOKUP(Tabella1[[#This Row],[test_id]],experiments_specs!A:J,3,FALSE)</f>
        <v>1</v>
      </c>
      <c r="D59" s="1">
        <f>VLOOKUP(Tabella1[[#This Row],[test_id]],experiments_specs!A:J,4,FALSE)</f>
        <v>2</v>
      </c>
      <c r="E59" s="1" t="str">
        <f>VLOOKUP(Tabella1[[#This Row],[test_id]],experiments_specs!A:J,5,FALSE)</f>
        <v>True</v>
      </c>
      <c r="F59" s="1" t="str">
        <f>VLOOKUP(Tabella1[[#This Row],[test_id]],experiments_specs!A:J,6,FALSE)</f>
        <v>True</v>
      </c>
      <c r="G59" s="1" t="str">
        <f>VLOOKUP(Tabella1[[#This Row],[test_id]],experiments_specs!A:J,7,FALSE)</f>
        <v>False</v>
      </c>
      <c r="H59" s="1" t="str">
        <f>VLOOKUP(Tabella1[[#This Row],[test_id]],experiments_specs!A:J,8,FALSE)</f>
        <v>False</v>
      </c>
      <c r="I59" s="1" t="str">
        <f>VLOOKUP(Tabella1[[#This Row],[test_id]],experiments_specs!A:J,9,FALSE)</f>
        <v>wup_similarity</v>
      </c>
      <c r="J59" s="1" t="str">
        <f>VLOOKUP(Tabella1[[#This Row],[test_id]],experiments_specs!A:J,10,FALSE)</f>
        <v>False</v>
      </c>
      <c r="K59" t="s">
        <v>19</v>
      </c>
      <c r="L59" t="s">
        <v>59</v>
      </c>
      <c r="M59" t="s">
        <v>60</v>
      </c>
      <c r="N59">
        <v>0.17391304347826086</v>
      </c>
      <c r="O59" t="s">
        <v>49</v>
      </c>
      <c r="P59" t="s">
        <v>60</v>
      </c>
      <c r="Q59" s="33">
        <v>0.17391304347826086</v>
      </c>
    </row>
    <row r="60" spans="1:17" ht="16" x14ac:dyDescent="0.2">
      <c r="A60" t="s">
        <v>143</v>
      </c>
      <c r="B60" s="1" t="str">
        <f>VLOOKUP(Tabella1[[#This Row],[test_id]],experiments_specs!A:J,2,FALSE)</f>
        <v>NN,JJ</v>
      </c>
      <c r="C60" s="1">
        <f>VLOOKUP(Tabella1[[#This Row],[test_id]],experiments_specs!A:J,3,FALSE)</f>
        <v>1</v>
      </c>
      <c r="D60" s="1">
        <f>VLOOKUP(Tabella1[[#This Row],[test_id]],experiments_specs!A:J,4,FALSE)</f>
        <v>2</v>
      </c>
      <c r="E60" s="1" t="str">
        <f>VLOOKUP(Tabella1[[#This Row],[test_id]],experiments_specs!A:J,5,FALSE)</f>
        <v>True</v>
      </c>
      <c r="F60" s="1" t="str">
        <f>VLOOKUP(Tabella1[[#This Row],[test_id]],experiments_specs!A:J,6,FALSE)</f>
        <v>True</v>
      </c>
      <c r="G60" s="1" t="str">
        <f>VLOOKUP(Tabella1[[#This Row],[test_id]],experiments_specs!A:J,7,FALSE)</f>
        <v>False</v>
      </c>
      <c r="H60" s="1" t="str">
        <f>VLOOKUP(Tabella1[[#This Row],[test_id]],experiments_specs!A:J,8,FALSE)</f>
        <v>False</v>
      </c>
      <c r="I60" s="1" t="str">
        <f>VLOOKUP(Tabella1[[#This Row],[test_id]],experiments_specs!A:J,9,FALSE)</f>
        <v>wup_similarity</v>
      </c>
      <c r="J60" s="1" t="str">
        <f>VLOOKUP(Tabella1[[#This Row],[test_id]],experiments_specs!A:J,10,FALSE)</f>
        <v>False</v>
      </c>
      <c r="K60" t="s">
        <v>12</v>
      </c>
      <c r="L60" t="s">
        <v>24</v>
      </c>
      <c r="M60" t="s">
        <v>25</v>
      </c>
      <c r="N60">
        <v>0.42857142857142855</v>
      </c>
      <c r="O60" t="s">
        <v>26</v>
      </c>
      <c r="P60" t="s">
        <v>25</v>
      </c>
      <c r="Q60" s="33">
        <v>0.42857142857142855</v>
      </c>
    </row>
    <row r="61" spans="1:17" ht="16" x14ac:dyDescent="0.2">
      <c r="A61" t="s">
        <v>143</v>
      </c>
      <c r="B61" s="1" t="str">
        <f>VLOOKUP(Tabella1[[#This Row],[test_id]],experiments_specs!A:J,2,FALSE)</f>
        <v>NN,JJ</v>
      </c>
      <c r="C61" s="1">
        <f>VLOOKUP(Tabella1[[#This Row],[test_id]],experiments_specs!A:J,3,FALSE)</f>
        <v>1</v>
      </c>
      <c r="D61" s="1">
        <f>VLOOKUP(Tabella1[[#This Row],[test_id]],experiments_specs!A:J,4,FALSE)</f>
        <v>2</v>
      </c>
      <c r="E61" s="1" t="str">
        <f>VLOOKUP(Tabella1[[#This Row],[test_id]],experiments_specs!A:J,5,FALSE)</f>
        <v>True</v>
      </c>
      <c r="F61" s="1" t="str">
        <f>VLOOKUP(Tabella1[[#This Row],[test_id]],experiments_specs!A:J,6,FALSE)</f>
        <v>True</v>
      </c>
      <c r="G61" s="1" t="str">
        <f>VLOOKUP(Tabella1[[#This Row],[test_id]],experiments_specs!A:J,7,FALSE)</f>
        <v>False</v>
      </c>
      <c r="H61" s="1" t="str">
        <f>VLOOKUP(Tabella1[[#This Row],[test_id]],experiments_specs!A:J,8,FALSE)</f>
        <v>False</v>
      </c>
      <c r="I61" s="1" t="str">
        <f>VLOOKUP(Tabella1[[#This Row],[test_id]],experiments_specs!A:J,9,FALSE)</f>
        <v>wup_similarity</v>
      </c>
      <c r="J61" s="1" t="str">
        <f>VLOOKUP(Tabella1[[#This Row],[test_id]],experiments_specs!A:J,10,FALSE)</f>
        <v>False</v>
      </c>
      <c r="K61" t="s">
        <v>13</v>
      </c>
      <c r="L61" t="s">
        <v>82</v>
      </c>
      <c r="M61" t="s">
        <v>83</v>
      </c>
      <c r="N61">
        <v>0.4</v>
      </c>
      <c r="O61" t="s">
        <v>84</v>
      </c>
      <c r="P61" t="s">
        <v>85</v>
      </c>
      <c r="Q61" s="33" t="s">
        <v>29</v>
      </c>
    </row>
    <row r="62" spans="1:17" ht="16" x14ac:dyDescent="0.2">
      <c r="A62" t="s">
        <v>143</v>
      </c>
      <c r="B62" s="1" t="str">
        <f>VLOOKUP(Tabella1[[#This Row],[test_id]],experiments_specs!A:J,2,FALSE)</f>
        <v>NN,JJ</v>
      </c>
      <c r="C62" s="1">
        <f>VLOOKUP(Tabella1[[#This Row],[test_id]],experiments_specs!A:J,3,FALSE)</f>
        <v>1</v>
      </c>
      <c r="D62" s="1">
        <f>VLOOKUP(Tabella1[[#This Row],[test_id]],experiments_specs!A:J,4,FALSE)</f>
        <v>2</v>
      </c>
      <c r="E62" s="1" t="str">
        <f>VLOOKUP(Tabella1[[#This Row],[test_id]],experiments_specs!A:J,5,FALSE)</f>
        <v>True</v>
      </c>
      <c r="F62" s="1" t="str">
        <f>VLOOKUP(Tabella1[[#This Row],[test_id]],experiments_specs!A:J,6,FALSE)</f>
        <v>True</v>
      </c>
      <c r="G62" s="1" t="str">
        <f>VLOOKUP(Tabella1[[#This Row],[test_id]],experiments_specs!A:J,7,FALSE)</f>
        <v>False</v>
      </c>
      <c r="H62" s="1" t="str">
        <f>VLOOKUP(Tabella1[[#This Row],[test_id]],experiments_specs!A:J,8,FALSE)</f>
        <v>False</v>
      </c>
      <c r="I62" s="1" t="str">
        <f>VLOOKUP(Tabella1[[#This Row],[test_id]],experiments_specs!A:J,9,FALSE)</f>
        <v>wup_similarity</v>
      </c>
      <c r="J62" s="1" t="str">
        <f>VLOOKUP(Tabella1[[#This Row],[test_id]],experiments_specs!A:J,10,FALSE)</f>
        <v>False</v>
      </c>
      <c r="K62" t="s">
        <v>14</v>
      </c>
      <c r="L62" t="s">
        <v>86</v>
      </c>
      <c r="M62" t="s">
        <v>87</v>
      </c>
      <c r="N62">
        <v>0.33333333333333331</v>
      </c>
      <c r="O62" t="s">
        <v>88</v>
      </c>
      <c r="P62" t="s">
        <v>87</v>
      </c>
      <c r="Q62" s="33">
        <v>0.33333333333333331</v>
      </c>
    </row>
    <row r="63" spans="1:17" ht="16" x14ac:dyDescent="0.2">
      <c r="A63" t="s">
        <v>143</v>
      </c>
      <c r="B63" s="1" t="str">
        <f>VLOOKUP(Tabella1[[#This Row],[test_id]],experiments_specs!A:J,2,FALSE)</f>
        <v>NN,JJ</v>
      </c>
      <c r="C63" s="1">
        <f>VLOOKUP(Tabella1[[#This Row],[test_id]],experiments_specs!A:J,3,FALSE)</f>
        <v>1</v>
      </c>
      <c r="D63" s="1">
        <f>VLOOKUP(Tabella1[[#This Row],[test_id]],experiments_specs!A:J,4,FALSE)</f>
        <v>2</v>
      </c>
      <c r="E63" s="1" t="str">
        <f>VLOOKUP(Tabella1[[#This Row],[test_id]],experiments_specs!A:J,5,FALSE)</f>
        <v>True</v>
      </c>
      <c r="F63" s="1" t="str">
        <f>VLOOKUP(Tabella1[[#This Row],[test_id]],experiments_specs!A:J,6,FALSE)</f>
        <v>True</v>
      </c>
      <c r="G63" s="1" t="str">
        <f>VLOOKUP(Tabella1[[#This Row],[test_id]],experiments_specs!A:J,7,FALSE)</f>
        <v>False</v>
      </c>
      <c r="H63" s="1" t="str">
        <f>VLOOKUP(Tabella1[[#This Row],[test_id]],experiments_specs!A:J,8,FALSE)</f>
        <v>False</v>
      </c>
      <c r="I63" s="1" t="str">
        <f>VLOOKUP(Tabella1[[#This Row],[test_id]],experiments_specs!A:J,9,FALSE)</f>
        <v>wup_similarity</v>
      </c>
      <c r="J63" s="1" t="str">
        <f>VLOOKUP(Tabella1[[#This Row],[test_id]],experiments_specs!A:J,10,FALSE)</f>
        <v>False</v>
      </c>
      <c r="K63" t="s">
        <v>15</v>
      </c>
      <c r="L63" t="s">
        <v>34</v>
      </c>
      <c r="M63" t="s">
        <v>35</v>
      </c>
      <c r="N63">
        <v>0.16666666666666666</v>
      </c>
      <c r="O63" t="s">
        <v>15</v>
      </c>
      <c r="P63" t="s">
        <v>89</v>
      </c>
      <c r="Q63" s="33">
        <v>0.90909090909090906</v>
      </c>
    </row>
    <row r="64" spans="1:17" ht="16" x14ac:dyDescent="0.2">
      <c r="A64" t="s">
        <v>143</v>
      </c>
      <c r="B64" s="1" t="str">
        <f>VLOOKUP(Tabella1[[#This Row],[test_id]],experiments_specs!A:J,2,FALSE)</f>
        <v>NN,JJ</v>
      </c>
      <c r="C64" s="1">
        <f>VLOOKUP(Tabella1[[#This Row],[test_id]],experiments_specs!A:J,3,FALSE)</f>
        <v>1</v>
      </c>
      <c r="D64" s="1">
        <f>VLOOKUP(Tabella1[[#This Row],[test_id]],experiments_specs!A:J,4,FALSE)</f>
        <v>2</v>
      </c>
      <c r="E64" s="1" t="str">
        <f>VLOOKUP(Tabella1[[#This Row],[test_id]],experiments_specs!A:J,5,FALSE)</f>
        <v>True</v>
      </c>
      <c r="F64" s="1" t="str">
        <f>VLOOKUP(Tabella1[[#This Row],[test_id]],experiments_specs!A:J,6,FALSE)</f>
        <v>True</v>
      </c>
      <c r="G64" s="1" t="str">
        <f>VLOOKUP(Tabella1[[#This Row],[test_id]],experiments_specs!A:J,7,FALSE)</f>
        <v>False</v>
      </c>
      <c r="H64" s="1" t="str">
        <f>VLOOKUP(Tabella1[[#This Row],[test_id]],experiments_specs!A:J,8,FALSE)</f>
        <v>False</v>
      </c>
      <c r="I64" s="1" t="str">
        <f>VLOOKUP(Tabella1[[#This Row],[test_id]],experiments_specs!A:J,9,FALSE)</f>
        <v>wup_similarity</v>
      </c>
      <c r="J64" s="1" t="str">
        <f>VLOOKUP(Tabella1[[#This Row],[test_id]],experiments_specs!A:J,10,FALSE)</f>
        <v>False</v>
      </c>
      <c r="K64" t="s">
        <v>16</v>
      </c>
      <c r="L64" t="s">
        <v>90</v>
      </c>
      <c r="M64" t="s">
        <v>91</v>
      </c>
      <c r="N64">
        <v>0.22222222222222221</v>
      </c>
      <c r="O64" t="s">
        <v>92</v>
      </c>
      <c r="P64" t="s">
        <v>91</v>
      </c>
      <c r="Q64" s="33">
        <v>0.22222222222222221</v>
      </c>
    </row>
    <row r="65" spans="1:17" ht="16" x14ac:dyDescent="0.2">
      <c r="A65" t="s">
        <v>143</v>
      </c>
      <c r="B65" s="1" t="str">
        <f>VLOOKUP(Tabella1[[#This Row],[test_id]],experiments_specs!A:J,2,FALSE)</f>
        <v>NN,JJ</v>
      </c>
      <c r="C65" s="1">
        <f>VLOOKUP(Tabella1[[#This Row],[test_id]],experiments_specs!A:J,3,FALSE)</f>
        <v>1</v>
      </c>
      <c r="D65" s="1">
        <f>VLOOKUP(Tabella1[[#This Row],[test_id]],experiments_specs!A:J,4,FALSE)</f>
        <v>2</v>
      </c>
      <c r="E65" s="1" t="str">
        <f>VLOOKUP(Tabella1[[#This Row],[test_id]],experiments_specs!A:J,5,FALSE)</f>
        <v>True</v>
      </c>
      <c r="F65" s="1" t="str">
        <f>VLOOKUP(Tabella1[[#This Row],[test_id]],experiments_specs!A:J,6,FALSE)</f>
        <v>True</v>
      </c>
      <c r="G65" s="1" t="str">
        <f>VLOOKUP(Tabella1[[#This Row],[test_id]],experiments_specs!A:J,7,FALSE)</f>
        <v>False</v>
      </c>
      <c r="H65" s="1" t="str">
        <f>VLOOKUP(Tabella1[[#This Row],[test_id]],experiments_specs!A:J,8,FALSE)</f>
        <v>False</v>
      </c>
      <c r="I65" s="1" t="str">
        <f>VLOOKUP(Tabella1[[#This Row],[test_id]],experiments_specs!A:J,9,FALSE)</f>
        <v>wup_similarity</v>
      </c>
      <c r="J65" s="1" t="str">
        <f>VLOOKUP(Tabella1[[#This Row],[test_id]],experiments_specs!A:J,10,FALSE)</f>
        <v>False</v>
      </c>
      <c r="K65" t="s">
        <v>17</v>
      </c>
      <c r="L65" t="s">
        <v>93</v>
      </c>
      <c r="M65" t="s">
        <v>94</v>
      </c>
      <c r="N65">
        <v>0.30769230769230771</v>
      </c>
      <c r="O65" t="s">
        <v>95</v>
      </c>
      <c r="P65" t="s">
        <v>94</v>
      </c>
      <c r="Q65" s="33">
        <v>0.30769230769230771</v>
      </c>
    </row>
    <row r="66" spans="1:17" ht="16" x14ac:dyDescent="0.2">
      <c r="A66" t="s">
        <v>143</v>
      </c>
      <c r="B66" s="1" t="str">
        <f>VLOOKUP(Tabella1[[#This Row],[test_id]],experiments_specs!A:J,2,FALSE)</f>
        <v>NN,JJ</v>
      </c>
      <c r="C66" s="1">
        <f>VLOOKUP(Tabella1[[#This Row],[test_id]],experiments_specs!A:J,3,FALSE)</f>
        <v>1</v>
      </c>
      <c r="D66" s="1">
        <f>VLOOKUP(Tabella1[[#This Row],[test_id]],experiments_specs!A:J,4,FALSE)</f>
        <v>2</v>
      </c>
      <c r="E66" s="1" t="str">
        <f>VLOOKUP(Tabella1[[#This Row],[test_id]],experiments_specs!A:J,5,FALSE)</f>
        <v>True</v>
      </c>
      <c r="F66" s="1" t="str">
        <f>VLOOKUP(Tabella1[[#This Row],[test_id]],experiments_specs!A:J,6,FALSE)</f>
        <v>True</v>
      </c>
      <c r="G66" s="1" t="str">
        <f>VLOOKUP(Tabella1[[#This Row],[test_id]],experiments_specs!A:J,7,FALSE)</f>
        <v>False</v>
      </c>
      <c r="H66" s="1" t="str">
        <f>VLOOKUP(Tabella1[[#This Row],[test_id]],experiments_specs!A:J,8,FALSE)</f>
        <v>False</v>
      </c>
      <c r="I66" s="1" t="str">
        <f>VLOOKUP(Tabella1[[#This Row],[test_id]],experiments_specs!A:J,9,FALSE)</f>
        <v>wup_similarity</v>
      </c>
      <c r="J66" s="1" t="str">
        <f>VLOOKUP(Tabella1[[#This Row],[test_id]],experiments_specs!A:J,10,FALSE)</f>
        <v>False</v>
      </c>
      <c r="K66" t="s">
        <v>18</v>
      </c>
      <c r="L66" t="s">
        <v>96</v>
      </c>
      <c r="M66" t="s">
        <v>97</v>
      </c>
      <c r="N66">
        <v>0.21052631578947367</v>
      </c>
      <c r="O66" t="s">
        <v>98</v>
      </c>
      <c r="P66" t="s">
        <v>97</v>
      </c>
      <c r="Q66" s="33">
        <v>0.21052631578947367</v>
      </c>
    </row>
    <row r="67" spans="1:17" ht="16" x14ac:dyDescent="0.2">
      <c r="A67" t="s">
        <v>144</v>
      </c>
      <c r="B67" s="1" t="str">
        <f>VLOOKUP(Tabella1[[#This Row],[test_id]],experiments_specs!A:J,2,FALSE)</f>
        <v>NN,VB</v>
      </c>
      <c r="C67" s="1">
        <f>VLOOKUP(Tabella1[[#This Row],[test_id]],experiments_specs!A:J,3,FALSE)</f>
        <v>1</v>
      </c>
      <c r="D67" s="1">
        <f>VLOOKUP(Tabella1[[#This Row],[test_id]],experiments_specs!A:J,4,FALSE)</f>
        <v>2</v>
      </c>
      <c r="E67" s="1" t="str">
        <f>VLOOKUP(Tabella1[[#This Row],[test_id]],experiments_specs!A:J,5,FALSE)</f>
        <v>True</v>
      </c>
      <c r="F67" s="1" t="str">
        <f>VLOOKUP(Tabella1[[#This Row],[test_id]],experiments_specs!A:J,6,FALSE)</f>
        <v>True</v>
      </c>
      <c r="G67" s="1" t="str">
        <f>VLOOKUP(Tabella1[[#This Row],[test_id]],experiments_specs!A:J,7,FALSE)</f>
        <v>False</v>
      </c>
      <c r="H67" s="1" t="str">
        <f>VLOOKUP(Tabella1[[#This Row],[test_id]],experiments_specs!A:J,8,FALSE)</f>
        <v>False</v>
      </c>
      <c r="I67" s="1" t="str">
        <f>VLOOKUP(Tabella1[[#This Row],[test_id]],experiments_specs!A:J,9,FALSE)</f>
        <v>wup_similarity</v>
      </c>
      <c r="J67" s="1" t="str">
        <f>VLOOKUP(Tabella1[[#This Row],[test_id]],experiments_specs!A:J,10,FALSE)</f>
        <v>False</v>
      </c>
      <c r="K67" t="s">
        <v>19</v>
      </c>
      <c r="L67" t="s">
        <v>20</v>
      </c>
      <c r="M67" t="s">
        <v>21</v>
      </c>
      <c r="N67">
        <v>0.19047619047619047</v>
      </c>
      <c r="O67" t="s">
        <v>99</v>
      </c>
      <c r="P67" t="s">
        <v>100</v>
      </c>
      <c r="Q67" s="33">
        <v>0.2</v>
      </c>
    </row>
    <row r="68" spans="1:17" ht="16" x14ac:dyDescent="0.2">
      <c r="A68" t="s">
        <v>144</v>
      </c>
      <c r="B68" s="1" t="str">
        <f>VLOOKUP(Tabella1[[#This Row],[test_id]],experiments_specs!A:J,2,FALSE)</f>
        <v>NN,VB</v>
      </c>
      <c r="C68" s="1">
        <f>VLOOKUP(Tabella1[[#This Row],[test_id]],experiments_specs!A:J,3,FALSE)</f>
        <v>1</v>
      </c>
      <c r="D68" s="1">
        <f>VLOOKUP(Tabella1[[#This Row],[test_id]],experiments_specs!A:J,4,FALSE)</f>
        <v>2</v>
      </c>
      <c r="E68" s="1" t="str">
        <f>VLOOKUP(Tabella1[[#This Row],[test_id]],experiments_specs!A:J,5,FALSE)</f>
        <v>True</v>
      </c>
      <c r="F68" s="1" t="str">
        <f>VLOOKUP(Tabella1[[#This Row],[test_id]],experiments_specs!A:J,6,FALSE)</f>
        <v>True</v>
      </c>
      <c r="G68" s="1" t="str">
        <f>VLOOKUP(Tabella1[[#This Row],[test_id]],experiments_specs!A:J,7,FALSE)</f>
        <v>False</v>
      </c>
      <c r="H68" s="1" t="str">
        <f>VLOOKUP(Tabella1[[#This Row],[test_id]],experiments_specs!A:J,8,FALSE)</f>
        <v>False</v>
      </c>
      <c r="I68" s="1" t="str">
        <f>VLOOKUP(Tabella1[[#This Row],[test_id]],experiments_specs!A:J,9,FALSE)</f>
        <v>wup_similarity</v>
      </c>
      <c r="J68" s="1" t="str">
        <f>VLOOKUP(Tabella1[[#This Row],[test_id]],experiments_specs!A:J,10,FALSE)</f>
        <v>False</v>
      </c>
      <c r="K68" t="s">
        <v>12</v>
      </c>
      <c r="L68" t="s">
        <v>24</v>
      </c>
      <c r="M68" t="s">
        <v>25</v>
      </c>
      <c r="N68">
        <v>0.42857142857142855</v>
      </c>
      <c r="O68" t="s">
        <v>26</v>
      </c>
      <c r="P68" t="s">
        <v>25</v>
      </c>
      <c r="Q68" s="33">
        <v>0.42857142857142855</v>
      </c>
    </row>
    <row r="69" spans="1:17" ht="16" x14ac:dyDescent="0.2">
      <c r="A69" t="s">
        <v>144</v>
      </c>
      <c r="B69" s="1" t="str">
        <f>VLOOKUP(Tabella1[[#This Row],[test_id]],experiments_specs!A:J,2,FALSE)</f>
        <v>NN,VB</v>
      </c>
      <c r="C69" s="1">
        <f>VLOOKUP(Tabella1[[#This Row],[test_id]],experiments_specs!A:J,3,FALSE)</f>
        <v>1</v>
      </c>
      <c r="D69" s="1">
        <f>VLOOKUP(Tabella1[[#This Row],[test_id]],experiments_specs!A:J,4,FALSE)</f>
        <v>2</v>
      </c>
      <c r="E69" s="1" t="str">
        <f>VLOOKUP(Tabella1[[#This Row],[test_id]],experiments_specs!A:J,5,FALSE)</f>
        <v>True</v>
      </c>
      <c r="F69" s="1" t="str">
        <f>VLOOKUP(Tabella1[[#This Row],[test_id]],experiments_specs!A:J,6,FALSE)</f>
        <v>True</v>
      </c>
      <c r="G69" s="1" t="str">
        <f>VLOOKUP(Tabella1[[#This Row],[test_id]],experiments_specs!A:J,7,FALSE)</f>
        <v>False</v>
      </c>
      <c r="H69" s="1" t="str">
        <f>VLOOKUP(Tabella1[[#This Row],[test_id]],experiments_specs!A:J,8,FALSE)</f>
        <v>False</v>
      </c>
      <c r="I69" s="1" t="str">
        <f>VLOOKUP(Tabella1[[#This Row],[test_id]],experiments_specs!A:J,9,FALSE)</f>
        <v>wup_similarity</v>
      </c>
      <c r="J69" s="1" t="str">
        <f>VLOOKUP(Tabella1[[#This Row],[test_id]],experiments_specs!A:J,10,FALSE)</f>
        <v>False</v>
      </c>
      <c r="K69" t="s">
        <v>13</v>
      </c>
      <c r="L69" t="s">
        <v>82</v>
      </c>
      <c r="M69" t="s">
        <v>83</v>
      </c>
      <c r="N69">
        <v>0.4</v>
      </c>
      <c r="O69" t="s">
        <v>84</v>
      </c>
      <c r="P69" t="s">
        <v>85</v>
      </c>
      <c r="Q69" s="33" t="s">
        <v>29</v>
      </c>
    </row>
    <row r="70" spans="1:17" ht="16" x14ac:dyDescent="0.2">
      <c r="A70" t="s">
        <v>144</v>
      </c>
      <c r="B70" s="1" t="str">
        <f>VLOOKUP(Tabella1[[#This Row],[test_id]],experiments_specs!A:J,2,FALSE)</f>
        <v>NN,VB</v>
      </c>
      <c r="C70" s="1">
        <f>VLOOKUP(Tabella1[[#This Row],[test_id]],experiments_specs!A:J,3,FALSE)</f>
        <v>1</v>
      </c>
      <c r="D70" s="1">
        <f>VLOOKUP(Tabella1[[#This Row],[test_id]],experiments_specs!A:J,4,FALSE)</f>
        <v>2</v>
      </c>
      <c r="E70" s="1" t="str">
        <f>VLOOKUP(Tabella1[[#This Row],[test_id]],experiments_specs!A:J,5,FALSE)</f>
        <v>True</v>
      </c>
      <c r="F70" s="1" t="str">
        <f>VLOOKUP(Tabella1[[#This Row],[test_id]],experiments_specs!A:J,6,FALSE)</f>
        <v>True</v>
      </c>
      <c r="G70" s="1" t="str">
        <f>VLOOKUP(Tabella1[[#This Row],[test_id]],experiments_specs!A:J,7,FALSE)</f>
        <v>False</v>
      </c>
      <c r="H70" s="1" t="str">
        <f>VLOOKUP(Tabella1[[#This Row],[test_id]],experiments_specs!A:J,8,FALSE)</f>
        <v>False</v>
      </c>
      <c r="I70" s="1" t="str">
        <f>VLOOKUP(Tabella1[[#This Row],[test_id]],experiments_specs!A:J,9,FALSE)</f>
        <v>wup_similarity</v>
      </c>
      <c r="J70" s="1" t="str">
        <f>VLOOKUP(Tabella1[[#This Row],[test_id]],experiments_specs!A:J,10,FALSE)</f>
        <v>False</v>
      </c>
      <c r="K70" t="s">
        <v>14</v>
      </c>
      <c r="L70" t="s">
        <v>86</v>
      </c>
      <c r="M70" t="s">
        <v>87</v>
      </c>
      <c r="N70">
        <v>0.33333333333333331</v>
      </c>
      <c r="O70" t="s">
        <v>88</v>
      </c>
      <c r="P70" t="s">
        <v>87</v>
      </c>
      <c r="Q70" s="33">
        <v>0.33333333333333331</v>
      </c>
    </row>
    <row r="71" spans="1:17" ht="16" x14ac:dyDescent="0.2">
      <c r="A71" t="s">
        <v>144</v>
      </c>
      <c r="B71" s="1" t="str">
        <f>VLOOKUP(Tabella1[[#This Row],[test_id]],experiments_specs!A:J,2,FALSE)</f>
        <v>NN,VB</v>
      </c>
      <c r="C71" s="1">
        <f>VLOOKUP(Tabella1[[#This Row],[test_id]],experiments_specs!A:J,3,FALSE)</f>
        <v>1</v>
      </c>
      <c r="D71" s="1">
        <f>VLOOKUP(Tabella1[[#This Row],[test_id]],experiments_specs!A:J,4,FALSE)</f>
        <v>2</v>
      </c>
      <c r="E71" s="1" t="str">
        <f>VLOOKUP(Tabella1[[#This Row],[test_id]],experiments_specs!A:J,5,FALSE)</f>
        <v>True</v>
      </c>
      <c r="F71" s="1" t="str">
        <f>VLOOKUP(Tabella1[[#This Row],[test_id]],experiments_specs!A:J,6,FALSE)</f>
        <v>True</v>
      </c>
      <c r="G71" s="1" t="str">
        <f>VLOOKUP(Tabella1[[#This Row],[test_id]],experiments_specs!A:J,7,FALSE)</f>
        <v>False</v>
      </c>
      <c r="H71" s="1" t="str">
        <f>VLOOKUP(Tabella1[[#This Row],[test_id]],experiments_specs!A:J,8,FALSE)</f>
        <v>False</v>
      </c>
      <c r="I71" s="1" t="str">
        <f>VLOOKUP(Tabella1[[#This Row],[test_id]],experiments_specs!A:J,9,FALSE)</f>
        <v>wup_similarity</v>
      </c>
      <c r="J71" s="1" t="str">
        <f>VLOOKUP(Tabella1[[#This Row],[test_id]],experiments_specs!A:J,10,FALSE)</f>
        <v>False</v>
      </c>
      <c r="K71" t="s">
        <v>15</v>
      </c>
      <c r="L71" t="s">
        <v>34</v>
      </c>
      <c r="M71" t="s">
        <v>35</v>
      </c>
      <c r="N71">
        <v>0.16666666666666666</v>
      </c>
      <c r="O71" t="s">
        <v>36</v>
      </c>
      <c r="P71" t="s">
        <v>37</v>
      </c>
      <c r="Q71" s="33">
        <v>0.18181818181818182</v>
      </c>
    </row>
    <row r="72" spans="1:17" ht="16" x14ac:dyDescent="0.2">
      <c r="A72" t="s">
        <v>144</v>
      </c>
      <c r="B72" s="1" t="str">
        <f>VLOOKUP(Tabella1[[#This Row],[test_id]],experiments_specs!A:J,2,FALSE)</f>
        <v>NN,VB</v>
      </c>
      <c r="C72" s="1">
        <f>VLOOKUP(Tabella1[[#This Row],[test_id]],experiments_specs!A:J,3,FALSE)</f>
        <v>1</v>
      </c>
      <c r="D72" s="1">
        <f>VLOOKUP(Tabella1[[#This Row],[test_id]],experiments_specs!A:J,4,FALSE)</f>
        <v>2</v>
      </c>
      <c r="E72" s="1" t="str">
        <f>VLOOKUP(Tabella1[[#This Row],[test_id]],experiments_specs!A:J,5,FALSE)</f>
        <v>True</v>
      </c>
      <c r="F72" s="1" t="str">
        <f>VLOOKUP(Tabella1[[#This Row],[test_id]],experiments_specs!A:J,6,FALSE)</f>
        <v>True</v>
      </c>
      <c r="G72" s="1" t="str">
        <f>VLOOKUP(Tabella1[[#This Row],[test_id]],experiments_specs!A:J,7,FALSE)</f>
        <v>False</v>
      </c>
      <c r="H72" s="1" t="str">
        <f>VLOOKUP(Tabella1[[#This Row],[test_id]],experiments_specs!A:J,8,FALSE)</f>
        <v>False</v>
      </c>
      <c r="I72" s="1" t="str">
        <f>VLOOKUP(Tabella1[[#This Row],[test_id]],experiments_specs!A:J,9,FALSE)</f>
        <v>wup_similarity</v>
      </c>
      <c r="J72" s="1" t="str">
        <f>VLOOKUP(Tabella1[[#This Row],[test_id]],experiments_specs!A:J,10,FALSE)</f>
        <v>False</v>
      </c>
      <c r="K72" t="s">
        <v>16</v>
      </c>
      <c r="L72" t="s">
        <v>90</v>
      </c>
      <c r="M72" t="s">
        <v>91</v>
      </c>
      <c r="N72">
        <v>0.22222222222222221</v>
      </c>
      <c r="O72" t="s">
        <v>92</v>
      </c>
      <c r="P72" t="s">
        <v>91</v>
      </c>
      <c r="Q72" s="33">
        <v>0.22222222222222221</v>
      </c>
    </row>
    <row r="73" spans="1:17" ht="16" x14ac:dyDescent="0.2">
      <c r="A73" t="s">
        <v>144</v>
      </c>
      <c r="B73" s="1" t="str">
        <f>VLOOKUP(Tabella1[[#This Row],[test_id]],experiments_specs!A:J,2,FALSE)</f>
        <v>NN,VB</v>
      </c>
      <c r="C73" s="1">
        <f>VLOOKUP(Tabella1[[#This Row],[test_id]],experiments_specs!A:J,3,FALSE)</f>
        <v>1</v>
      </c>
      <c r="D73" s="1">
        <f>VLOOKUP(Tabella1[[#This Row],[test_id]],experiments_specs!A:J,4,FALSE)</f>
        <v>2</v>
      </c>
      <c r="E73" s="1" t="str">
        <f>VLOOKUP(Tabella1[[#This Row],[test_id]],experiments_specs!A:J,5,FALSE)</f>
        <v>True</v>
      </c>
      <c r="F73" s="1" t="str">
        <f>VLOOKUP(Tabella1[[#This Row],[test_id]],experiments_specs!A:J,6,FALSE)</f>
        <v>True</v>
      </c>
      <c r="G73" s="1" t="str">
        <f>VLOOKUP(Tabella1[[#This Row],[test_id]],experiments_specs!A:J,7,FALSE)</f>
        <v>False</v>
      </c>
      <c r="H73" s="1" t="str">
        <f>VLOOKUP(Tabella1[[#This Row],[test_id]],experiments_specs!A:J,8,FALSE)</f>
        <v>False</v>
      </c>
      <c r="I73" s="1" t="str">
        <f>VLOOKUP(Tabella1[[#This Row],[test_id]],experiments_specs!A:J,9,FALSE)</f>
        <v>wup_similarity</v>
      </c>
      <c r="J73" s="1" t="str">
        <f>VLOOKUP(Tabella1[[#This Row],[test_id]],experiments_specs!A:J,10,FALSE)</f>
        <v>False</v>
      </c>
      <c r="K73" t="s">
        <v>17</v>
      </c>
      <c r="L73" t="s">
        <v>80</v>
      </c>
      <c r="M73" t="s">
        <v>81</v>
      </c>
      <c r="N73">
        <v>0.22222222222222221</v>
      </c>
      <c r="O73" t="s">
        <v>95</v>
      </c>
      <c r="P73" t="s">
        <v>94</v>
      </c>
      <c r="Q73" s="33">
        <v>0.30769230769230771</v>
      </c>
    </row>
    <row r="74" spans="1:17" ht="16" x14ac:dyDescent="0.2">
      <c r="A74" t="s">
        <v>144</v>
      </c>
      <c r="B74" s="1" t="str">
        <f>VLOOKUP(Tabella1[[#This Row],[test_id]],experiments_specs!A:J,2,FALSE)</f>
        <v>NN,VB</v>
      </c>
      <c r="C74" s="1">
        <f>VLOOKUP(Tabella1[[#This Row],[test_id]],experiments_specs!A:J,3,FALSE)</f>
        <v>1</v>
      </c>
      <c r="D74" s="1">
        <f>VLOOKUP(Tabella1[[#This Row],[test_id]],experiments_specs!A:J,4,FALSE)</f>
        <v>2</v>
      </c>
      <c r="E74" s="1" t="str">
        <f>VLOOKUP(Tabella1[[#This Row],[test_id]],experiments_specs!A:J,5,FALSE)</f>
        <v>True</v>
      </c>
      <c r="F74" s="1" t="str">
        <f>VLOOKUP(Tabella1[[#This Row],[test_id]],experiments_specs!A:J,6,FALSE)</f>
        <v>True</v>
      </c>
      <c r="G74" s="1" t="str">
        <f>VLOOKUP(Tabella1[[#This Row],[test_id]],experiments_specs!A:J,7,FALSE)</f>
        <v>False</v>
      </c>
      <c r="H74" s="1" t="str">
        <f>VLOOKUP(Tabella1[[#This Row],[test_id]],experiments_specs!A:J,8,FALSE)</f>
        <v>False</v>
      </c>
      <c r="I74" s="1" t="str">
        <f>VLOOKUP(Tabella1[[#This Row],[test_id]],experiments_specs!A:J,9,FALSE)</f>
        <v>wup_similarity</v>
      </c>
      <c r="J74" s="1" t="str">
        <f>VLOOKUP(Tabella1[[#This Row],[test_id]],experiments_specs!A:J,10,FALSE)</f>
        <v>False</v>
      </c>
      <c r="K74" t="s">
        <v>18</v>
      </c>
      <c r="L74" t="s">
        <v>96</v>
      </c>
      <c r="M74" t="s">
        <v>97</v>
      </c>
      <c r="N74">
        <v>0.21052631578947367</v>
      </c>
      <c r="O74" t="s">
        <v>98</v>
      </c>
      <c r="P74" t="s">
        <v>97</v>
      </c>
      <c r="Q74" s="33">
        <v>0.21052631578947367</v>
      </c>
    </row>
    <row r="75" spans="1:17" ht="16" x14ac:dyDescent="0.2">
      <c r="A75" t="s">
        <v>145</v>
      </c>
      <c r="B75" s="1" t="str">
        <f>VLOOKUP(Tabella1[[#This Row],[test_id]],experiments_specs!A:J,2,FALSE)</f>
        <v>NN,VB,VBD,VBG,VBN,VBP,VBZ</v>
      </c>
      <c r="C75" s="1">
        <f>VLOOKUP(Tabella1[[#This Row],[test_id]],experiments_specs!A:J,3,FALSE)</f>
        <v>1</v>
      </c>
      <c r="D75" s="1">
        <f>VLOOKUP(Tabella1[[#This Row],[test_id]],experiments_specs!A:J,4,FALSE)</f>
        <v>2</v>
      </c>
      <c r="E75" s="1" t="str">
        <f>VLOOKUP(Tabella1[[#This Row],[test_id]],experiments_specs!A:J,5,FALSE)</f>
        <v>True</v>
      </c>
      <c r="F75" s="1" t="str">
        <f>VLOOKUP(Tabella1[[#This Row],[test_id]],experiments_specs!A:J,6,FALSE)</f>
        <v>True</v>
      </c>
      <c r="G75" s="1" t="str">
        <f>VLOOKUP(Tabella1[[#This Row],[test_id]],experiments_specs!A:J,7,FALSE)</f>
        <v>False</v>
      </c>
      <c r="H75" s="1" t="str">
        <f>VLOOKUP(Tabella1[[#This Row],[test_id]],experiments_specs!A:J,8,FALSE)</f>
        <v>False</v>
      </c>
      <c r="I75" s="1" t="str">
        <f>VLOOKUP(Tabella1[[#This Row],[test_id]],experiments_specs!A:J,9,FALSE)</f>
        <v>wup_similarity</v>
      </c>
      <c r="J75" s="1" t="str">
        <f>VLOOKUP(Tabella1[[#This Row],[test_id]],experiments_specs!A:J,10,FALSE)</f>
        <v>False</v>
      </c>
      <c r="K75" t="s">
        <v>19</v>
      </c>
      <c r="L75" t="s">
        <v>20</v>
      </c>
      <c r="M75" t="s">
        <v>21</v>
      </c>
      <c r="N75">
        <v>0.19047619047619047</v>
      </c>
      <c r="O75" t="s">
        <v>99</v>
      </c>
      <c r="P75" t="s">
        <v>100</v>
      </c>
      <c r="Q75" s="33">
        <v>0.2</v>
      </c>
    </row>
    <row r="76" spans="1:17" ht="16" x14ac:dyDescent="0.2">
      <c r="A76" t="s">
        <v>145</v>
      </c>
      <c r="B76" s="1" t="str">
        <f>VLOOKUP(Tabella1[[#This Row],[test_id]],experiments_specs!A:J,2,FALSE)</f>
        <v>NN,VB,VBD,VBG,VBN,VBP,VBZ</v>
      </c>
      <c r="C76" s="1">
        <f>VLOOKUP(Tabella1[[#This Row],[test_id]],experiments_specs!A:J,3,FALSE)</f>
        <v>1</v>
      </c>
      <c r="D76" s="1">
        <f>VLOOKUP(Tabella1[[#This Row],[test_id]],experiments_specs!A:J,4,FALSE)</f>
        <v>2</v>
      </c>
      <c r="E76" s="1" t="str">
        <f>VLOOKUP(Tabella1[[#This Row],[test_id]],experiments_specs!A:J,5,FALSE)</f>
        <v>True</v>
      </c>
      <c r="F76" s="1" t="str">
        <f>VLOOKUP(Tabella1[[#This Row],[test_id]],experiments_specs!A:J,6,FALSE)</f>
        <v>True</v>
      </c>
      <c r="G76" s="1" t="str">
        <f>VLOOKUP(Tabella1[[#This Row],[test_id]],experiments_specs!A:J,7,FALSE)</f>
        <v>False</v>
      </c>
      <c r="H76" s="1" t="str">
        <f>VLOOKUP(Tabella1[[#This Row],[test_id]],experiments_specs!A:J,8,FALSE)</f>
        <v>False</v>
      </c>
      <c r="I76" s="1" t="str">
        <f>VLOOKUP(Tabella1[[#This Row],[test_id]],experiments_specs!A:J,9,FALSE)</f>
        <v>wup_similarity</v>
      </c>
      <c r="J76" s="1" t="str">
        <f>VLOOKUP(Tabella1[[#This Row],[test_id]],experiments_specs!A:J,10,FALSE)</f>
        <v>False</v>
      </c>
      <c r="K76" t="s">
        <v>12</v>
      </c>
      <c r="L76" t="s">
        <v>24</v>
      </c>
      <c r="M76" t="s">
        <v>25</v>
      </c>
      <c r="N76">
        <v>0.42857142857142855</v>
      </c>
      <c r="O76" t="s">
        <v>26</v>
      </c>
      <c r="P76" t="s">
        <v>25</v>
      </c>
      <c r="Q76" s="33">
        <v>0.42857142857142855</v>
      </c>
    </row>
    <row r="77" spans="1:17" ht="16" x14ac:dyDescent="0.2">
      <c r="A77" t="s">
        <v>145</v>
      </c>
      <c r="B77" s="1" t="str">
        <f>VLOOKUP(Tabella1[[#This Row],[test_id]],experiments_specs!A:J,2,FALSE)</f>
        <v>NN,VB,VBD,VBG,VBN,VBP,VBZ</v>
      </c>
      <c r="C77" s="1">
        <f>VLOOKUP(Tabella1[[#This Row],[test_id]],experiments_specs!A:J,3,FALSE)</f>
        <v>1</v>
      </c>
      <c r="D77" s="1">
        <f>VLOOKUP(Tabella1[[#This Row],[test_id]],experiments_specs!A:J,4,FALSE)</f>
        <v>2</v>
      </c>
      <c r="E77" s="1" t="str">
        <f>VLOOKUP(Tabella1[[#This Row],[test_id]],experiments_specs!A:J,5,FALSE)</f>
        <v>True</v>
      </c>
      <c r="F77" s="1" t="str">
        <f>VLOOKUP(Tabella1[[#This Row],[test_id]],experiments_specs!A:J,6,FALSE)</f>
        <v>True</v>
      </c>
      <c r="G77" s="1" t="str">
        <f>VLOOKUP(Tabella1[[#This Row],[test_id]],experiments_specs!A:J,7,FALSE)</f>
        <v>False</v>
      </c>
      <c r="H77" s="1" t="str">
        <f>VLOOKUP(Tabella1[[#This Row],[test_id]],experiments_specs!A:J,8,FALSE)</f>
        <v>False</v>
      </c>
      <c r="I77" s="1" t="str">
        <f>VLOOKUP(Tabella1[[#This Row],[test_id]],experiments_specs!A:J,9,FALSE)</f>
        <v>wup_similarity</v>
      </c>
      <c r="J77" s="1" t="str">
        <f>VLOOKUP(Tabella1[[#This Row],[test_id]],experiments_specs!A:J,10,FALSE)</f>
        <v>False</v>
      </c>
      <c r="K77" t="s">
        <v>13</v>
      </c>
      <c r="L77" t="s">
        <v>82</v>
      </c>
      <c r="M77" t="s">
        <v>83</v>
      </c>
      <c r="N77">
        <v>0.4</v>
      </c>
      <c r="O77" t="s">
        <v>84</v>
      </c>
      <c r="P77" t="s">
        <v>85</v>
      </c>
      <c r="Q77" s="33" t="s">
        <v>29</v>
      </c>
    </row>
    <row r="78" spans="1:17" ht="16" x14ac:dyDescent="0.2">
      <c r="A78" t="s">
        <v>145</v>
      </c>
      <c r="B78" s="1" t="str">
        <f>VLOOKUP(Tabella1[[#This Row],[test_id]],experiments_specs!A:J,2,FALSE)</f>
        <v>NN,VB,VBD,VBG,VBN,VBP,VBZ</v>
      </c>
      <c r="C78" s="1">
        <f>VLOOKUP(Tabella1[[#This Row],[test_id]],experiments_specs!A:J,3,FALSE)</f>
        <v>1</v>
      </c>
      <c r="D78" s="1">
        <f>VLOOKUP(Tabella1[[#This Row],[test_id]],experiments_specs!A:J,4,FALSE)</f>
        <v>2</v>
      </c>
      <c r="E78" s="1" t="str">
        <f>VLOOKUP(Tabella1[[#This Row],[test_id]],experiments_specs!A:J,5,FALSE)</f>
        <v>True</v>
      </c>
      <c r="F78" s="1" t="str">
        <f>VLOOKUP(Tabella1[[#This Row],[test_id]],experiments_specs!A:J,6,FALSE)</f>
        <v>True</v>
      </c>
      <c r="G78" s="1" t="str">
        <f>VLOOKUP(Tabella1[[#This Row],[test_id]],experiments_specs!A:J,7,FALSE)</f>
        <v>False</v>
      </c>
      <c r="H78" s="1" t="str">
        <f>VLOOKUP(Tabella1[[#This Row],[test_id]],experiments_specs!A:J,8,FALSE)</f>
        <v>False</v>
      </c>
      <c r="I78" s="1" t="str">
        <f>VLOOKUP(Tabella1[[#This Row],[test_id]],experiments_specs!A:J,9,FALSE)</f>
        <v>wup_similarity</v>
      </c>
      <c r="J78" s="1" t="str">
        <f>VLOOKUP(Tabella1[[#This Row],[test_id]],experiments_specs!A:J,10,FALSE)</f>
        <v>False</v>
      </c>
      <c r="K78" t="s">
        <v>14</v>
      </c>
      <c r="L78" t="s">
        <v>86</v>
      </c>
      <c r="M78" t="s">
        <v>87</v>
      </c>
      <c r="N78">
        <v>0.33333333333333331</v>
      </c>
      <c r="O78" t="s">
        <v>88</v>
      </c>
      <c r="P78" t="s">
        <v>87</v>
      </c>
      <c r="Q78" s="33">
        <v>0.33333333333333331</v>
      </c>
    </row>
    <row r="79" spans="1:17" ht="16" x14ac:dyDescent="0.2">
      <c r="A79" t="s">
        <v>145</v>
      </c>
      <c r="B79" s="1" t="str">
        <f>VLOOKUP(Tabella1[[#This Row],[test_id]],experiments_specs!A:J,2,FALSE)</f>
        <v>NN,VB,VBD,VBG,VBN,VBP,VBZ</v>
      </c>
      <c r="C79" s="1">
        <f>VLOOKUP(Tabella1[[#This Row],[test_id]],experiments_specs!A:J,3,FALSE)</f>
        <v>1</v>
      </c>
      <c r="D79" s="1">
        <f>VLOOKUP(Tabella1[[#This Row],[test_id]],experiments_specs!A:J,4,FALSE)</f>
        <v>2</v>
      </c>
      <c r="E79" s="1" t="str">
        <f>VLOOKUP(Tabella1[[#This Row],[test_id]],experiments_specs!A:J,5,FALSE)</f>
        <v>True</v>
      </c>
      <c r="F79" s="1" t="str">
        <f>VLOOKUP(Tabella1[[#This Row],[test_id]],experiments_specs!A:J,6,FALSE)</f>
        <v>True</v>
      </c>
      <c r="G79" s="1" t="str">
        <f>VLOOKUP(Tabella1[[#This Row],[test_id]],experiments_specs!A:J,7,FALSE)</f>
        <v>False</v>
      </c>
      <c r="H79" s="1" t="str">
        <f>VLOOKUP(Tabella1[[#This Row],[test_id]],experiments_specs!A:J,8,FALSE)</f>
        <v>False</v>
      </c>
      <c r="I79" s="1" t="str">
        <f>VLOOKUP(Tabella1[[#This Row],[test_id]],experiments_specs!A:J,9,FALSE)</f>
        <v>wup_similarity</v>
      </c>
      <c r="J79" s="1" t="str">
        <f>VLOOKUP(Tabella1[[#This Row],[test_id]],experiments_specs!A:J,10,FALSE)</f>
        <v>False</v>
      </c>
      <c r="K79" t="s">
        <v>15</v>
      </c>
      <c r="L79" t="s">
        <v>34</v>
      </c>
      <c r="M79" t="s">
        <v>35</v>
      </c>
      <c r="N79">
        <v>0.16666666666666666</v>
      </c>
      <c r="O79" t="s">
        <v>36</v>
      </c>
      <c r="P79" t="s">
        <v>37</v>
      </c>
      <c r="Q79" s="33">
        <v>0.18181818181818182</v>
      </c>
    </row>
    <row r="80" spans="1:17" ht="16" x14ac:dyDescent="0.2">
      <c r="A80" t="s">
        <v>145</v>
      </c>
      <c r="B80" s="1" t="str">
        <f>VLOOKUP(Tabella1[[#This Row],[test_id]],experiments_specs!A:J,2,FALSE)</f>
        <v>NN,VB,VBD,VBG,VBN,VBP,VBZ</v>
      </c>
      <c r="C80" s="1">
        <f>VLOOKUP(Tabella1[[#This Row],[test_id]],experiments_specs!A:J,3,FALSE)</f>
        <v>1</v>
      </c>
      <c r="D80" s="1">
        <f>VLOOKUP(Tabella1[[#This Row],[test_id]],experiments_specs!A:J,4,FALSE)</f>
        <v>2</v>
      </c>
      <c r="E80" s="1" t="str">
        <f>VLOOKUP(Tabella1[[#This Row],[test_id]],experiments_specs!A:J,5,FALSE)</f>
        <v>True</v>
      </c>
      <c r="F80" s="1" t="str">
        <f>VLOOKUP(Tabella1[[#This Row],[test_id]],experiments_specs!A:J,6,FALSE)</f>
        <v>True</v>
      </c>
      <c r="G80" s="1" t="str">
        <f>VLOOKUP(Tabella1[[#This Row],[test_id]],experiments_specs!A:J,7,FALSE)</f>
        <v>False</v>
      </c>
      <c r="H80" s="1" t="str">
        <f>VLOOKUP(Tabella1[[#This Row],[test_id]],experiments_specs!A:J,8,FALSE)</f>
        <v>False</v>
      </c>
      <c r="I80" s="1" t="str">
        <f>VLOOKUP(Tabella1[[#This Row],[test_id]],experiments_specs!A:J,9,FALSE)</f>
        <v>wup_similarity</v>
      </c>
      <c r="J80" s="1" t="str">
        <f>VLOOKUP(Tabella1[[#This Row],[test_id]],experiments_specs!A:J,10,FALSE)</f>
        <v>False</v>
      </c>
      <c r="K80" t="s">
        <v>16</v>
      </c>
      <c r="L80" t="s">
        <v>90</v>
      </c>
      <c r="M80" t="s">
        <v>91</v>
      </c>
      <c r="N80">
        <v>0.22222222222222221</v>
      </c>
      <c r="O80" t="s">
        <v>92</v>
      </c>
      <c r="P80" t="s">
        <v>91</v>
      </c>
      <c r="Q80" s="33">
        <v>0.22222222222222221</v>
      </c>
    </row>
    <row r="81" spans="1:17" ht="16" x14ac:dyDescent="0.2">
      <c r="A81" t="s">
        <v>145</v>
      </c>
      <c r="B81" s="1" t="str">
        <f>VLOOKUP(Tabella1[[#This Row],[test_id]],experiments_specs!A:J,2,FALSE)</f>
        <v>NN,VB,VBD,VBG,VBN,VBP,VBZ</v>
      </c>
      <c r="C81" s="1">
        <f>VLOOKUP(Tabella1[[#This Row],[test_id]],experiments_specs!A:J,3,FALSE)</f>
        <v>1</v>
      </c>
      <c r="D81" s="1">
        <f>VLOOKUP(Tabella1[[#This Row],[test_id]],experiments_specs!A:J,4,FALSE)</f>
        <v>2</v>
      </c>
      <c r="E81" s="1" t="str">
        <f>VLOOKUP(Tabella1[[#This Row],[test_id]],experiments_specs!A:J,5,FALSE)</f>
        <v>True</v>
      </c>
      <c r="F81" s="1" t="str">
        <f>VLOOKUP(Tabella1[[#This Row],[test_id]],experiments_specs!A:J,6,FALSE)</f>
        <v>True</v>
      </c>
      <c r="G81" s="1" t="str">
        <f>VLOOKUP(Tabella1[[#This Row],[test_id]],experiments_specs!A:J,7,FALSE)</f>
        <v>False</v>
      </c>
      <c r="H81" s="1" t="str">
        <f>VLOOKUP(Tabella1[[#This Row],[test_id]],experiments_specs!A:J,8,FALSE)</f>
        <v>False</v>
      </c>
      <c r="I81" s="1" t="str">
        <f>VLOOKUP(Tabella1[[#This Row],[test_id]],experiments_specs!A:J,9,FALSE)</f>
        <v>wup_similarity</v>
      </c>
      <c r="J81" s="1" t="str">
        <f>VLOOKUP(Tabella1[[#This Row],[test_id]],experiments_specs!A:J,10,FALSE)</f>
        <v>False</v>
      </c>
      <c r="K81" t="s">
        <v>17</v>
      </c>
      <c r="L81" t="s">
        <v>80</v>
      </c>
      <c r="M81" t="s">
        <v>81</v>
      </c>
      <c r="N81">
        <v>0.22222222222222221</v>
      </c>
      <c r="O81" t="s">
        <v>80</v>
      </c>
      <c r="P81" t="s">
        <v>81</v>
      </c>
      <c r="Q81" s="33">
        <v>0.22222222222222221</v>
      </c>
    </row>
    <row r="82" spans="1:17" ht="16" x14ac:dyDescent="0.2">
      <c r="A82" t="s">
        <v>145</v>
      </c>
      <c r="B82" s="1" t="str">
        <f>VLOOKUP(Tabella1[[#This Row],[test_id]],experiments_specs!A:J,2,FALSE)</f>
        <v>NN,VB,VBD,VBG,VBN,VBP,VBZ</v>
      </c>
      <c r="C82" s="1">
        <f>VLOOKUP(Tabella1[[#This Row],[test_id]],experiments_specs!A:J,3,FALSE)</f>
        <v>1</v>
      </c>
      <c r="D82" s="1">
        <f>VLOOKUP(Tabella1[[#This Row],[test_id]],experiments_specs!A:J,4,FALSE)</f>
        <v>2</v>
      </c>
      <c r="E82" s="1" t="str">
        <f>VLOOKUP(Tabella1[[#This Row],[test_id]],experiments_specs!A:J,5,FALSE)</f>
        <v>True</v>
      </c>
      <c r="F82" s="1" t="str">
        <f>VLOOKUP(Tabella1[[#This Row],[test_id]],experiments_specs!A:J,6,FALSE)</f>
        <v>True</v>
      </c>
      <c r="G82" s="1" t="str">
        <f>VLOOKUP(Tabella1[[#This Row],[test_id]],experiments_specs!A:J,7,FALSE)</f>
        <v>False</v>
      </c>
      <c r="H82" s="1" t="str">
        <f>VLOOKUP(Tabella1[[#This Row],[test_id]],experiments_specs!A:J,8,FALSE)</f>
        <v>False</v>
      </c>
      <c r="I82" s="1" t="str">
        <f>VLOOKUP(Tabella1[[#This Row],[test_id]],experiments_specs!A:J,9,FALSE)</f>
        <v>wup_similarity</v>
      </c>
      <c r="J82" s="1" t="str">
        <f>VLOOKUP(Tabella1[[#This Row],[test_id]],experiments_specs!A:J,10,FALSE)</f>
        <v>False</v>
      </c>
      <c r="K82" t="s">
        <v>18</v>
      </c>
      <c r="L82" t="s">
        <v>96</v>
      </c>
      <c r="M82" t="s">
        <v>97</v>
      </c>
      <c r="N82">
        <v>0.21052631578947367</v>
      </c>
      <c r="O82" t="s">
        <v>98</v>
      </c>
      <c r="P82" t="s">
        <v>97</v>
      </c>
      <c r="Q82" s="33">
        <v>0.21052631578947367</v>
      </c>
    </row>
    <row r="83" spans="1:17" ht="16" x14ac:dyDescent="0.2">
      <c r="A83" t="s">
        <v>146</v>
      </c>
      <c r="B83" s="1" t="str">
        <f>VLOOKUP(Tabella1[[#This Row],[test_id]],experiments_specs!A:J,2,FALSE)</f>
        <v>NN,RB</v>
      </c>
      <c r="C83" s="1">
        <f>VLOOKUP(Tabella1[[#This Row],[test_id]],experiments_specs!A:J,3,FALSE)</f>
        <v>1</v>
      </c>
      <c r="D83" s="1">
        <f>VLOOKUP(Tabella1[[#This Row],[test_id]],experiments_specs!A:J,4,FALSE)</f>
        <v>2</v>
      </c>
      <c r="E83" s="1" t="str">
        <f>VLOOKUP(Tabella1[[#This Row],[test_id]],experiments_specs!A:J,5,FALSE)</f>
        <v>True</v>
      </c>
      <c r="F83" s="1" t="str">
        <f>VLOOKUP(Tabella1[[#This Row],[test_id]],experiments_specs!A:J,6,FALSE)</f>
        <v>True</v>
      </c>
      <c r="G83" s="1" t="str">
        <f>VLOOKUP(Tabella1[[#This Row],[test_id]],experiments_specs!A:J,7,FALSE)</f>
        <v>False</v>
      </c>
      <c r="H83" s="1" t="str">
        <f>VLOOKUP(Tabella1[[#This Row],[test_id]],experiments_specs!A:J,8,FALSE)</f>
        <v>False</v>
      </c>
      <c r="I83" s="1" t="str">
        <f>VLOOKUP(Tabella1[[#This Row],[test_id]],experiments_specs!A:J,9,FALSE)</f>
        <v>wup_similarity</v>
      </c>
      <c r="J83" s="1" t="str">
        <f>VLOOKUP(Tabella1[[#This Row],[test_id]],experiments_specs!A:J,10,FALSE)</f>
        <v>False</v>
      </c>
      <c r="K83" t="s">
        <v>19</v>
      </c>
      <c r="L83" t="s">
        <v>20</v>
      </c>
      <c r="M83" t="s">
        <v>21</v>
      </c>
      <c r="N83">
        <v>0.19047619047619047</v>
      </c>
      <c r="O83" t="s">
        <v>99</v>
      </c>
      <c r="P83" t="s">
        <v>100</v>
      </c>
      <c r="Q83" s="33">
        <v>0.2</v>
      </c>
    </row>
    <row r="84" spans="1:17" ht="16" x14ac:dyDescent="0.2">
      <c r="A84" t="s">
        <v>146</v>
      </c>
      <c r="B84" s="1" t="str">
        <f>VLOOKUP(Tabella1[[#This Row],[test_id]],experiments_specs!A:J,2,FALSE)</f>
        <v>NN,RB</v>
      </c>
      <c r="C84" s="1">
        <f>VLOOKUP(Tabella1[[#This Row],[test_id]],experiments_specs!A:J,3,FALSE)</f>
        <v>1</v>
      </c>
      <c r="D84" s="1">
        <f>VLOOKUP(Tabella1[[#This Row],[test_id]],experiments_specs!A:J,4,FALSE)</f>
        <v>2</v>
      </c>
      <c r="E84" s="1" t="str">
        <f>VLOOKUP(Tabella1[[#This Row],[test_id]],experiments_specs!A:J,5,FALSE)</f>
        <v>True</v>
      </c>
      <c r="F84" s="1" t="str">
        <f>VLOOKUP(Tabella1[[#This Row],[test_id]],experiments_specs!A:J,6,FALSE)</f>
        <v>True</v>
      </c>
      <c r="G84" s="1" t="str">
        <f>VLOOKUP(Tabella1[[#This Row],[test_id]],experiments_specs!A:J,7,FALSE)</f>
        <v>False</v>
      </c>
      <c r="H84" s="1" t="str">
        <f>VLOOKUP(Tabella1[[#This Row],[test_id]],experiments_specs!A:J,8,FALSE)</f>
        <v>False</v>
      </c>
      <c r="I84" s="1" t="str">
        <f>VLOOKUP(Tabella1[[#This Row],[test_id]],experiments_specs!A:J,9,FALSE)</f>
        <v>wup_similarity</v>
      </c>
      <c r="J84" s="1" t="str">
        <f>VLOOKUP(Tabella1[[#This Row],[test_id]],experiments_specs!A:J,10,FALSE)</f>
        <v>False</v>
      </c>
      <c r="K84" t="s">
        <v>12</v>
      </c>
      <c r="L84" t="s">
        <v>24</v>
      </c>
      <c r="M84" t="s">
        <v>25</v>
      </c>
      <c r="N84">
        <v>0.42857142857142855</v>
      </c>
      <c r="O84" t="s">
        <v>26</v>
      </c>
      <c r="P84" t="s">
        <v>25</v>
      </c>
      <c r="Q84" s="33">
        <v>0.42857142857142855</v>
      </c>
    </row>
    <row r="85" spans="1:17" ht="16" x14ac:dyDescent="0.2">
      <c r="A85" t="s">
        <v>146</v>
      </c>
      <c r="B85" s="1" t="str">
        <f>VLOOKUP(Tabella1[[#This Row],[test_id]],experiments_specs!A:J,2,FALSE)</f>
        <v>NN,RB</v>
      </c>
      <c r="C85" s="1">
        <f>VLOOKUP(Tabella1[[#This Row],[test_id]],experiments_specs!A:J,3,FALSE)</f>
        <v>1</v>
      </c>
      <c r="D85" s="1">
        <f>VLOOKUP(Tabella1[[#This Row],[test_id]],experiments_specs!A:J,4,FALSE)</f>
        <v>2</v>
      </c>
      <c r="E85" s="1" t="str">
        <f>VLOOKUP(Tabella1[[#This Row],[test_id]],experiments_specs!A:J,5,FALSE)</f>
        <v>True</v>
      </c>
      <c r="F85" s="1" t="str">
        <f>VLOOKUP(Tabella1[[#This Row],[test_id]],experiments_specs!A:J,6,FALSE)</f>
        <v>True</v>
      </c>
      <c r="G85" s="1" t="str">
        <f>VLOOKUP(Tabella1[[#This Row],[test_id]],experiments_specs!A:J,7,FALSE)</f>
        <v>False</v>
      </c>
      <c r="H85" s="1" t="str">
        <f>VLOOKUP(Tabella1[[#This Row],[test_id]],experiments_specs!A:J,8,FALSE)</f>
        <v>False</v>
      </c>
      <c r="I85" s="1" t="str">
        <f>VLOOKUP(Tabella1[[#This Row],[test_id]],experiments_specs!A:J,9,FALSE)</f>
        <v>wup_similarity</v>
      </c>
      <c r="J85" s="1" t="str">
        <f>VLOOKUP(Tabella1[[#This Row],[test_id]],experiments_specs!A:J,10,FALSE)</f>
        <v>False</v>
      </c>
      <c r="K85" t="s">
        <v>13</v>
      </c>
      <c r="L85" t="s">
        <v>82</v>
      </c>
      <c r="M85" t="s">
        <v>83</v>
      </c>
      <c r="N85">
        <v>0.4</v>
      </c>
      <c r="O85" t="s">
        <v>84</v>
      </c>
      <c r="P85" t="s">
        <v>85</v>
      </c>
      <c r="Q85" s="33" t="s">
        <v>29</v>
      </c>
    </row>
    <row r="86" spans="1:17" ht="16" x14ac:dyDescent="0.2">
      <c r="A86" t="s">
        <v>146</v>
      </c>
      <c r="B86" s="1" t="str">
        <f>VLOOKUP(Tabella1[[#This Row],[test_id]],experiments_specs!A:J,2,FALSE)</f>
        <v>NN,RB</v>
      </c>
      <c r="C86" s="1">
        <f>VLOOKUP(Tabella1[[#This Row],[test_id]],experiments_specs!A:J,3,FALSE)</f>
        <v>1</v>
      </c>
      <c r="D86" s="1">
        <f>VLOOKUP(Tabella1[[#This Row],[test_id]],experiments_specs!A:J,4,FALSE)</f>
        <v>2</v>
      </c>
      <c r="E86" s="1" t="str">
        <f>VLOOKUP(Tabella1[[#This Row],[test_id]],experiments_specs!A:J,5,FALSE)</f>
        <v>True</v>
      </c>
      <c r="F86" s="1" t="str">
        <f>VLOOKUP(Tabella1[[#This Row],[test_id]],experiments_specs!A:J,6,FALSE)</f>
        <v>True</v>
      </c>
      <c r="G86" s="1" t="str">
        <f>VLOOKUP(Tabella1[[#This Row],[test_id]],experiments_specs!A:J,7,FALSE)</f>
        <v>False</v>
      </c>
      <c r="H86" s="1" t="str">
        <f>VLOOKUP(Tabella1[[#This Row],[test_id]],experiments_specs!A:J,8,FALSE)</f>
        <v>False</v>
      </c>
      <c r="I86" s="1" t="str">
        <f>VLOOKUP(Tabella1[[#This Row],[test_id]],experiments_specs!A:J,9,FALSE)</f>
        <v>wup_similarity</v>
      </c>
      <c r="J86" s="1" t="str">
        <f>VLOOKUP(Tabella1[[#This Row],[test_id]],experiments_specs!A:J,10,FALSE)</f>
        <v>False</v>
      </c>
      <c r="K86" t="s">
        <v>14</v>
      </c>
      <c r="L86" t="s">
        <v>86</v>
      </c>
      <c r="M86" t="s">
        <v>87</v>
      </c>
      <c r="N86">
        <v>0.33333333333333331</v>
      </c>
      <c r="O86" t="s">
        <v>88</v>
      </c>
      <c r="P86" t="s">
        <v>87</v>
      </c>
      <c r="Q86" s="33">
        <v>0.33333333333333331</v>
      </c>
    </row>
    <row r="87" spans="1:17" ht="16" x14ac:dyDescent="0.2">
      <c r="A87" t="s">
        <v>146</v>
      </c>
      <c r="B87" s="1" t="str">
        <f>VLOOKUP(Tabella1[[#This Row],[test_id]],experiments_specs!A:J,2,FALSE)</f>
        <v>NN,RB</v>
      </c>
      <c r="C87" s="1">
        <f>VLOOKUP(Tabella1[[#This Row],[test_id]],experiments_specs!A:J,3,FALSE)</f>
        <v>1</v>
      </c>
      <c r="D87" s="1">
        <f>VLOOKUP(Tabella1[[#This Row],[test_id]],experiments_specs!A:J,4,FALSE)</f>
        <v>2</v>
      </c>
      <c r="E87" s="1" t="str">
        <f>VLOOKUP(Tabella1[[#This Row],[test_id]],experiments_specs!A:J,5,FALSE)</f>
        <v>True</v>
      </c>
      <c r="F87" s="1" t="str">
        <f>VLOOKUP(Tabella1[[#This Row],[test_id]],experiments_specs!A:J,6,FALSE)</f>
        <v>True</v>
      </c>
      <c r="G87" s="1" t="str">
        <f>VLOOKUP(Tabella1[[#This Row],[test_id]],experiments_specs!A:J,7,FALSE)</f>
        <v>False</v>
      </c>
      <c r="H87" s="1" t="str">
        <f>VLOOKUP(Tabella1[[#This Row],[test_id]],experiments_specs!A:J,8,FALSE)</f>
        <v>False</v>
      </c>
      <c r="I87" s="1" t="str">
        <f>VLOOKUP(Tabella1[[#This Row],[test_id]],experiments_specs!A:J,9,FALSE)</f>
        <v>wup_similarity</v>
      </c>
      <c r="J87" s="1" t="str">
        <f>VLOOKUP(Tabella1[[#This Row],[test_id]],experiments_specs!A:J,10,FALSE)</f>
        <v>False</v>
      </c>
      <c r="K87" t="s">
        <v>15</v>
      </c>
      <c r="L87" t="s">
        <v>34</v>
      </c>
      <c r="M87" t="s">
        <v>35</v>
      </c>
      <c r="N87">
        <v>0.16666666666666666</v>
      </c>
      <c r="O87" t="s">
        <v>36</v>
      </c>
      <c r="P87" t="s">
        <v>37</v>
      </c>
      <c r="Q87" s="33">
        <v>0.18181818181818182</v>
      </c>
    </row>
    <row r="88" spans="1:17" ht="16" x14ac:dyDescent="0.2">
      <c r="A88" t="s">
        <v>146</v>
      </c>
      <c r="B88" s="1" t="str">
        <f>VLOOKUP(Tabella1[[#This Row],[test_id]],experiments_specs!A:J,2,FALSE)</f>
        <v>NN,RB</v>
      </c>
      <c r="C88" s="1">
        <f>VLOOKUP(Tabella1[[#This Row],[test_id]],experiments_specs!A:J,3,FALSE)</f>
        <v>1</v>
      </c>
      <c r="D88" s="1">
        <f>VLOOKUP(Tabella1[[#This Row],[test_id]],experiments_specs!A:J,4,FALSE)</f>
        <v>2</v>
      </c>
      <c r="E88" s="1" t="str">
        <f>VLOOKUP(Tabella1[[#This Row],[test_id]],experiments_specs!A:J,5,FALSE)</f>
        <v>True</v>
      </c>
      <c r="F88" s="1" t="str">
        <f>VLOOKUP(Tabella1[[#This Row],[test_id]],experiments_specs!A:J,6,FALSE)</f>
        <v>True</v>
      </c>
      <c r="G88" s="1" t="str">
        <f>VLOOKUP(Tabella1[[#This Row],[test_id]],experiments_specs!A:J,7,FALSE)</f>
        <v>False</v>
      </c>
      <c r="H88" s="1" t="str">
        <f>VLOOKUP(Tabella1[[#This Row],[test_id]],experiments_specs!A:J,8,FALSE)</f>
        <v>False</v>
      </c>
      <c r="I88" s="1" t="str">
        <f>VLOOKUP(Tabella1[[#This Row],[test_id]],experiments_specs!A:J,9,FALSE)</f>
        <v>wup_similarity</v>
      </c>
      <c r="J88" s="1" t="str">
        <f>VLOOKUP(Tabella1[[#This Row],[test_id]],experiments_specs!A:J,10,FALSE)</f>
        <v>False</v>
      </c>
      <c r="K88" t="s">
        <v>16</v>
      </c>
      <c r="L88" t="s">
        <v>90</v>
      </c>
      <c r="M88" t="s">
        <v>91</v>
      </c>
      <c r="N88">
        <v>0.22222222222222221</v>
      </c>
      <c r="O88" t="s">
        <v>92</v>
      </c>
      <c r="P88" t="s">
        <v>91</v>
      </c>
      <c r="Q88" s="33">
        <v>0.22222222222222221</v>
      </c>
    </row>
    <row r="89" spans="1:17" ht="16" x14ac:dyDescent="0.2">
      <c r="A89" t="s">
        <v>146</v>
      </c>
      <c r="B89" s="1" t="str">
        <f>VLOOKUP(Tabella1[[#This Row],[test_id]],experiments_specs!A:J,2,FALSE)</f>
        <v>NN,RB</v>
      </c>
      <c r="C89" s="1">
        <f>VLOOKUP(Tabella1[[#This Row],[test_id]],experiments_specs!A:J,3,FALSE)</f>
        <v>1</v>
      </c>
      <c r="D89" s="1">
        <f>VLOOKUP(Tabella1[[#This Row],[test_id]],experiments_specs!A:J,4,FALSE)</f>
        <v>2</v>
      </c>
      <c r="E89" s="1" t="str">
        <f>VLOOKUP(Tabella1[[#This Row],[test_id]],experiments_specs!A:J,5,FALSE)</f>
        <v>True</v>
      </c>
      <c r="F89" s="1" t="str">
        <f>VLOOKUP(Tabella1[[#This Row],[test_id]],experiments_specs!A:J,6,FALSE)</f>
        <v>True</v>
      </c>
      <c r="G89" s="1" t="str">
        <f>VLOOKUP(Tabella1[[#This Row],[test_id]],experiments_specs!A:J,7,FALSE)</f>
        <v>False</v>
      </c>
      <c r="H89" s="1" t="str">
        <f>VLOOKUP(Tabella1[[#This Row],[test_id]],experiments_specs!A:J,8,FALSE)</f>
        <v>False</v>
      </c>
      <c r="I89" s="1" t="str">
        <f>VLOOKUP(Tabella1[[#This Row],[test_id]],experiments_specs!A:J,9,FALSE)</f>
        <v>wup_similarity</v>
      </c>
      <c r="J89" s="1" t="str">
        <f>VLOOKUP(Tabella1[[#This Row],[test_id]],experiments_specs!A:J,10,FALSE)</f>
        <v>False</v>
      </c>
      <c r="K89" t="s">
        <v>17</v>
      </c>
      <c r="L89" t="s">
        <v>93</v>
      </c>
      <c r="M89" t="s">
        <v>94</v>
      </c>
      <c r="N89">
        <v>0.30769230769230771</v>
      </c>
      <c r="O89" t="s">
        <v>95</v>
      </c>
      <c r="P89" t="s">
        <v>94</v>
      </c>
      <c r="Q89" s="33">
        <v>0.30769230769230771</v>
      </c>
    </row>
    <row r="90" spans="1:17" ht="16" x14ac:dyDescent="0.2">
      <c r="A90" t="s">
        <v>146</v>
      </c>
      <c r="B90" s="1" t="str">
        <f>VLOOKUP(Tabella1[[#This Row],[test_id]],experiments_specs!A:J,2,FALSE)</f>
        <v>NN,RB</v>
      </c>
      <c r="C90" s="1">
        <f>VLOOKUP(Tabella1[[#This Row],[test_id]],experiments_specs!A:J,3,FALSE)</f>
        <v>1</v>
      </c>
      <c r="D90" s="1">
        <f>VLOOKUP(Tabella1[[#This Row],[test_id]],experiments_specs!A:J,4,FALSE)</f>
        <v>2</v>
      </c>
      <c r="E90" s="1" t="str">
        <f>VLOOKUP(Tabella1[[#This Row],[test_id]],experiments_specs!A:J,5,FALSE)</f>
        <v>True</v>
      </c>
      <c r="F90" s="1" t="str">
        <f>VLOOKUP(Tabella1[[#This Row],[test_id]],experiments_specs!A:J,6,FALSE)</f>
        <v>True</v>
      </c>
      <c r="G90" s="1" t="str">
        <f>VLOOKUP(Tabella1[[#This Row],[test_id]],experiments_specs!A:J,7,FALSE)</f>
        <v>False</v>
      </c>
      <c r="H90" s="1" t="str">
        <f>VLOOKUP(Tabella1[[#This Row],[test_id]],experiments_specs!A:J,8,FALSE)</f>
        <v>False</v>
      </c>
      <c r="I90" s="1" t="str">
        <f>VLOOKUP(Tabella1[[#This Row],[test_id]],experiments_specs!A:J,9,FALSE)</f>
        <v>wup_similarity</v>
      </c>
      <c r="J90" s="1" t="str">
        <f>VLOOKUP(Tabella1[[#This Row],[test_id]],experiments_specs!A:J,10,FALSE)</f>
        <v>False</v>
      </c>
      <c r="K90" t="s">
        <v>18</v>
      </c>
      <c r="L90" t="s">
        <v>96</v>
      </c>
      <c r="M90" t="s">
        <v>97</v>
      </c>
      <c r="N90">
        <v>0.21052631578947367</v>
      </c>
      <c r="O90" t="s">
        <v>98</v>
      </c>
      <c r="P90" t="s">
        <v>97</v>
      </c>
      <c r="Q90" s="33">
        <v>0.21052631578947367</v>
      </c>
    </row>
    <row r="91" spans="1:17" ht="16" x14ac:dyDescent="0.2">
      <c r="A91" t="s">
        <v>147</v>
      </c>
      <c r="B91" s="1" t="str">
        <f>VLOOKUP(Tabella1[[#This Row],[test_id]],experiments_specs!A:J,2,FALSE)</f>
        <v>NN,JJ,VB,VBD,VBG,VBN,VBP,VBZ</v>
      </c>
      <c r="C91" s="1">
        <f>VLOOKUP(Tabella1[[#This Row],[test_id]],experiments_specs!A:J,3,FALSE)</f>
        <v>1</v>
      </c>
      <c r="D91" s="1">
        <f>VLOOKUP(Tabella1[[#This Row],[test_id]],experiments_specs!A:J,4,FALSE)</f>
        <v>2</v>
      </c>
      <c r="E91" s="1" t="str">
        <f>VLOOKUP(Tabella1[[#This Row],[test_id]],experiments_specs!A:J,5,FALSE)</f>
        <v>True</v>
      </c>
      <c r="F91" s="1" t="str">
        <f>VLOOKUP(Tabella1[[#This Row],[test_id]],experiments_specs!A:J,6,FALSE)</f>
        <v>True</v>
      </c>
      <c r="G91" s="1" t="str">
        <f>VLOOKUP(Tabella1[[#This Row],[test_id]],experiments_specs!A:J,7,FALSE)</f>
        <v>False</v>
      </c>
      <c r="H91" s="1" t="str">
        <f>VLOOKUP(Tabella1[[#This Row],[test_id]],experiments_specs!A:J,8,FALSE)</f>
        <v>False</v>
      </c>
      <c r="I91" s="1" t="str">
        <f>VLOOKUP(Tabella1[[#This Row],[test_id]],experiments_specs!A:J,9,FALSE)</f>
        <v>wup_similarity</v>
      </c>
      <c r="J91" s="1" t="str">
        <f>VLOOKUP(Tabella1[[#This Row],[test_id]],experiments_specs!A:J,10,FALSE)</f>
        <v>False</v>
      </c>
      <c r="K91" t="s">
        <v>19</v>
      </c>
      <c r="L91" t="s">
        <v>59</v>
      </c>
      <c r="M91" t="s">
        <v>60</v>
      </c>
      <c r="N91">
        <v>0.17391304347826086</v>
      </c>
      <c r="O91" t="s">
        <v>49</v>
      </c>
      <c r="P91" t="s">
        <v>60</v>
      </c>
      <c r="Q91" s="33">
        <v>0.17391304347826086</v>
      </c>
    </row>
    <row r="92" spans="1:17" ht="16" x14ac:dyDescent="0.2">
      <c r="A92" t="s">
        <v>147</v>
      </c>
      <c r="B92" s="1" t="str">
        <f>VLOOKUP(Tabella1[[#This Row],[test_id]],experiments_specs!A:J,2,FALSE)</f>
        <v>NN,JJ,VB,VBD,VBG,VBN,VBP,VBZ</v>
      </c>
      <c r="C92" s="1">
        <f>VLOOKUP(Tabella1[[#This Row],[test_id]],experiments_specs!A:J,3,FALSE)</f>
        <v>1</v>
      </c>
      <c r="D92" s="1">
        <f>VLOOKUP(Tabella1[[#This Row],[test_id]],experiments_specs!A:J,4,FALSE)</f>
        <v>2</v>
      </c>
      <c r="E92" s="1" t="str">
        <f>VLOOKUP(Tabella1[[#This Row],[test_id]],experiments_specs!A:J,5,FALSE)</f>
        <v>True</v>
      </c>
      <c r="F92" s="1" t="str">
        <f>VLOOKUP(Tabella1[[#This Row],[test_id]],experiments_specs!A:J,6,FALSE)</f>
        <v>True</v>
      </c>
      <c r="G92" s="1" t="str">
        <f>VLOOKUP(Tabella1[[#This Row],[test_id]],experiments_specs!A:J,7,FALSE)</f>
        <v>False</v>
      </c>
      <c r="H92" s="1" t="str">
        <f>VLOOKUP(Tabella1[[#This Row],[test_id]],experiments_specs!A:J,8,FALSE)</f>
        <v>False</v>
      </c>
      <c r="I92" s="1" t="str">
        <f>VLOOKUP(Tabella1[[#This Row],[test_id]],experiments_specs!A:J,9,FALSE)</f>
        <v>wup_similarity</v>
      </c>
      <c r="J92" s="1" t="str">
        <f>VLOOKUP(Tabella1[[#This Row],[test_id]],experiments_specs!A:J,10,FALSE)</f>
        <v>False</v>
      </c>
      <c r="K92" t="s">
        <v>12</v>
      </c>
      <c r="L92" t="s">
        <v>24</v>
      </c>
      <c r="M92" t="s">
        <v>25</v>
      </c>
      <c r="N92">
        <v>0.42857142857142855</v>
      </c>
      <c r="O92" t="s">
        <v>26</v>
      </c>
      <c r="P92" t="s">
        <v>25</v>
      </c>
      <c r="Q92" s="33">
        <v>0.42857142857142855</v>
      </c>
    </row>
    <row r="93" spans="1:17" ht="16" x14ac:dyDescent="0.2">
      <c r="A93" t="s">
        <v>147</v>
      </c>
      <c r="B93" s="1" t="str">
        <f>VLOOKUP(Tabella1[[#This Row],[test_id]],experiments_specs!A:J,2,FALSE)</f>
        <v>NN,JJ,VB,VBD,VBG,VBN,VBP,VBZ</v>
      </c>
      <c r="C93" s="1">
        <f>VLOOKUP(Tabella1[[#This Row],[test_id]],experiments_specs!A:J,3,FALSE)</f>
        <v>1</v>
      </c>
      <c r="D93" s="1">
        <f>VLOOKUP(Tabella1[[#This Row],[test_id]],experiments_specs!A:J,4,FALSE)</f>
        <v>2</v>
      </c>
      <c r="E93" s="1" t="str">
        <f>VLOOKUP(Tabella1[[#This Row],[test_id]],experiments_specs!A:J,5,FALSE)</f>
        <v>True</v>
      </c>
      <c r="F93" s="1" t="str">
        <f>VLOOKUP(Tabella1[[#This Row],[test_id]],experiments_specs!A:J,6,FALSE)</f>
        <v>True</v>
      </c>
      <c r="G93" s="1" t="str">
        <f>VLOOKUP(Tabella1[[#This Row],[test_id]],experiments_specs!A:J,7,FALSE)</f>
        <v>False</v>
      </c>
      <c r="H93" s="1" t="str">
        <f>VLOOKUP(Tabella1[[#This Row],[test_id]],experiments_specs!A:J,8,FALSE)</f>
        <v>False</v>
      </c>
      <c r="I93" s="1" t="str">
        <f>VLOOKUP(Tabella1[[#This Row],[test_id]],experiments_specs!A:J,9,FALSE)</f>
        <v>wup_similarity</v>
      </c>
      <c r="J93" s="1" t="str">
        <f>VLOOKUP(Tabella1[[#This Row],[test_id]],experiments_specs!A:J,10,FALSE)</f>
        <v>False</v>
      </c>
      <c r="K93" t="s">
        <v>13</v>
      </c>
      <c r="L93" t="s">
        <v>82</v>
      </c>
      <c r="M93" t="s">
        <v>83</v>
      </c>
      <c r="N93">
        <v>0.4</v>
      </c>
      <c r="O93" t="s">
        <v>84</v>
      </c>
      <c r="P93" t="s">
        <v>85</v>
      </c>
      <c r="Q93" s="33" t="s">
        <v>29</v>
      </c>
    </row>
    <row r="94" spans="1:17" ht="16" x14ac:dyDescent="0.2">
      <c r="A94" t="s">
        <v>147</v>
      </c>
      <c r="B94" s="1" t="str">
        <f>VLOOKUP(Tabella1[[#This Row],[test_id]],experiments_specs!A:J,2,FALSE)</f>
        <v>NN,JJ,VB,VBD,VBG,VBN,VBP,VBZ</v>
      </c>
      <c r="C94" s="1">
        <f>VLOOKUP(Tabella1[[#This Row],[test_id]],experiments_specs!A:J,3,FALSE)</f>
        <v>1</v>
      </c>
      <c r="D94" s="1">
        <f>VLOOKUP(Tabella1[[#This Row],[test_id]],experiments_specs!A:J,4,FALSE)</f>
        <v>2</v>
      </c>
      <c r="E94" s="1" t="str">
        <f>VLOOKUP(Tabella1[[#This Row],[test_id]],experiments_specs!A:J,5,FALSE)</f>
        <v>True</v>
      </c>
      <c r="F94" s="1" t="str">
        <f>VLOOKUP(Tabella1[[#This Row],[test_id]],experiments_specs!A:J,6,FALSE)</f>
        <v>True</v>
      </c>
      <c r="G94" s="1" t="str">
        <f>VLOOKUP(Tabella1[[#This Row],[test_id]],experiments_specs!A:J,7,FALSE)</f>
        <v>False</v>
      </c>
      <c r="H94" s="1" t="str">
        <f>VLOOKUP(Tabella1[[#This Row],[test_id]],experiments_specs!A:J,8,FALSE)</f>
        <v>False</v>
      </c>
      <c r="I94" s="1" t="str">
        <f>VLOOKUP(Tabella1[[#This Row],[test_id]],experiments_specs!A:J,9,FALSE)</f>
        <v>wup_similarity</v>
      </c>
      <c r="J94" s="1" t="str">
        <f>VLOOKUP(Tabella1[[#This Row],[test_id]],experiments_specs!A:J,10,FALSE)</f>
        <v>False</v>
      </c>
      <c r="K94" t="s">
        <v>14</v>
      </c>
      <c r="L94" t="s">
        <v>86</v>
      </c>
      <c r="M94" t="s">
        <v>87</v>
      </c>
      <c r="N94">
        <v>0.33333333333333331</v>
      </c>
      <c r="O94" t="s">
        <v>88</v>
      </c>
      <c r="P94" t="s">
        <v>87</v>
      </c>
      <c r="Q94" s="33">
        <v>0.33333333333333331</v>
      </c>
    </row>
    <row r="95" spans="1:17" ht="16" x14ac:dyDescent="0.2">
      <c r="A95" t="s">
        <v>147</v>
      </c>
      <c r="B95" s="1" t="str">
        <f>VLOOKUP(Tabella1[[#This Row],[test_id]],experiments_specs!A:J,2,FALSE)</f>
        <v>NN,JJ,VB,VBD,VBG,VBN,VBP,VBZ</v>
      </c>
      <c r="C95" s="1">
        <f>VLOOKUP(Tabella1[[#This Row],[test_id]],experiments_specs!A:J,3,FALSE)</f>
        <v>1</v>
      </c>
      <c r="D95" s="1">
        <f>VLOOKUP(Tabella1[[#This Row],[test_id]],experiments_specs!A:J,4,FALSE)</f>
        <v>2</v>
      </c>
      <c r="E95" s="1" t="str">
        <f>VLOOKUP(Tabella1[[#This Row],[test_id]],experiments_specs!A:J,5,FALSE)</f>
        <v>True</v>
      </c>
      <c r="F95" s="1" t="str">
        <f>VLOOKUP(Tabella1[[#This Row],[test_id]],experiments_specs!A:J,6,FALSE)</f>
        <v>True</v>
      </c>
      <c r="G95" s="1" t="str">
        <f>VLOOKUP(Tabella1[[#This Row],[test_id]],experiments_specs!A:J,7,FALSE)</f>
        <v>False</v>
      </c>
      <c r="H95" s="1" t="str">
        <f>VLOOKUP(Tabella1[[#This Row],[test_id]],experiments_specs!A:J,8,FALSE)</f>
        <v>False</v>
      </c>
      <c r="I95" s="1" t="str">
        <f>VLOOKUP(Tabella1[[#This Row],[test_id]],experiments_specs!A:J,9,FALSE)</f>
        <v>wup_similarity</v>
      </c>
      <c r="J95" s="1" t="str">
        <f>VLOOKUP(Tabella1[[#This Row],[test_id]],experiments_specs!A:J,10,FALSE)</f>
        <v>False</v>
      </c>
      <c r="K95" t="s">
        <v>15</v>
      </c>
      <c r="L95" t="s">
        <v>34</v>
      </c>
      <c r="M95" t="s">
        <v>35</v>
      </c>
      <c r="N95">
        <v>0.16666666666666666</v>
      </c>
      <c r="O95" t="s">
        <v>15</v>
      </c>
      <c r="P95" t="s">
        <v>89</v>
      </c>
      <c r="Q95" s="33">
        <v>0.90909090909090906</v>
      </c>
    </row>
    <row r="96" spans="1:17" ht="16" x14ac:dyDescent="0.2">
      <c r="A96" t="s">
        <v>147</v>
      </c>
      <c r="B96" s="1" t="str">
        <f>VLOOKUP(Tabella1[[#This Row],[test_id]],experiments_specs!A:J,2,FALSE)</f>
        <v>NN,JJ,VB,VBD,VBG,VBN,VBP,VBZ</v>
      </c>
      <c r="C96" s="1">
        <f>VLOOKUP(Tabella1[[#This Row],[test_id]],experiments_specs!A:J,3,FALSE)</f>
        <v>1</v>
      </c>
      <c r="D96" s="1">
        <f>VLOOKUP(Tabella1[[#This Row],[test_id]],experiments_specs!A:J,4,FALSE)</f>
        <v>2</v>
      </c>
      <c r="E96" s="1" t="str">
        <f>VLOOKUP(Tabella1[[#This Row],[test_id]],experiments_specs!A:J,5,FALSE)</f>
        <v>True</v>
      </c>
      <c r="F96" s="1" t="str">
        <f>VLOOKUP(Tabella1[[#This Row],[test_id]],experiments_specs!A:J,6,FALSE)</f>
        <v>True</v>
      </c>
      <c r="G96" s="1" t="str">
        <f>VLOOKUP(Tabella1[[#This Row],[test_id]],experiments_specs!A:J,7,FALSE)</f>
        <v>False</v>
      </c>
      <c r="H96" s="1" t="str">
        <f>VLOOKUP(Tabella1[[#This Row],[test_id]],experiments_specs!A:J,8,FALSE)</f>
        <v>False</v>
      </c>
      <c r="I96" s="1" t="str">
        <f>VLOOKUP(Tabella1[[#This Row],[test_id]],experiments_specs!A:J,9,FALSE)</f>
        <v>wup_similarity</v>
      </c>
      <c r="J96" s="1" t="str">
        <f>VLOOKUP(Tabella1[[#This Row],[test_id]],experiments_specs!A:J,10,FALSE)</f>
        <v>False</v>
      </c>
      <c r="K96" t="s">
        <v>16</v>
      </c>
      <c r="L96" t="s">
        <v>90</v>
      </c>
      <c r="M96" t="s">
        <v>91</v>
      </c>
      <c r="N96">
        <v>0.22222222222222221</v>
      </c>
      <c r="O96" t="s">
        <v>92</v>
      </c>
      <c r="P96" t="s">
        <v>91</v>
      </c>
      <c r="Q96" s="33">
        <v>0.22222222222222221</v>
      </c>
    </row>
    <row r="97" spans="1:17" ht="16" x14ac:dyDescent="0.2">
      <c r="A97" t="s">
        <v>147</v>
      </c>
      <c r="B97" s="1" t="str">
        <f>VLOOKUP(Tabella1[[#This Row],[test_id]],experiments_specs!A:J,2,FALSE)</f>
        <v>NN,JJ,VB,VBD,VBG,VBN,VBP,VBZ</v>
      </c>
      <c r="C97" s="1">
        <f>VLOOKUP(Tabella1[[#This Row],[test_id]],experiments_specs!A:J,3,FALSE)</f>
        <v>1</v>
      </c>
      <c r="D97" s="1">
        <f>VLOOKUP(Tabella1[[#This Row],[test_id]],experiments_specs!A:J,4,FALSE)</f>
        <v>2</v>
      </c>
      <c r="E97" s="1" t="str">
        <f>VLOOKUP(Tabella1[[#This Row],[test_id]],experiments_specs!A:J,5,FALSE)</f>
        <v>True</v>
      </c>
      <c r="F97" s="1" t="str">
        <f>VLOOKUP(Tabella1[[#This Row],[test_id]],experiments_specs!A:J,6,FALSE)</f>
        <v>True</v>
      </c>
      <c r="G97" s="1" t="str">
        <f>VLOOKUP(Tabella1[[#This Row],[test_id]],experiments_specs!A:J,7,FALSE)</f>
        <v>False</v>
      </c>
      <c r="H97" s="1" t="str">
        <f>VLOOKUP(Tabella1[[#This Row],[test_id]],experiments_specs!A:J,8,FALSE)</f>
        <v>False</v>
      </c>
      <c r="I97" s="1" t="str">
        <f>VLOOKUP(Tabella1[[#This Row],[test_id]],experiments_specs!A:J,9,FALSE)</f>
        <v>wup_similarity</v>
      </c>
      <c r="J97" s="1" t="str">
        <f>VLOOKUP(Tabella1[[#This Row],[test_id]],experiments_specs!A:J,10,FALSE)</f>
        <v>False</v>
      </c>
      <c r="K97" t="s">
        <v>17</v>
      </c>
      <c r="L97" t="s">
        <v>80</v>
      </c>
      <c r="M97" t="s">
        <v>81</v>
      </c>
      <c r="N97">
        <v>0.22222222222222221</v>
      </c>
      <c r="O97" t="s">
        <v>80</v>
      </c>
      <c r="P97" t="s">
        <v>81</v>
      </c>
      <c r="Q97" s="33">
        <v>0.22222222222222221</v>
      </c>
    </row>
    <row r="98" spans="1:17" ht="16" x14ac:dyDescent="0.2">
      <c r="A98" t="s">
        <v>147</v>
      </c>
      <c r="B98" s="1" t="str">
        <f>VLOOKUP(Tabella1[[#This Row],[test_id]],experiments_specs!A:J,2,FALSE)</f>
        <v>NN,JJ,VB,VBD,VBG,VBN,VBP,VBZ</v>
      </c>
      <c r="C98" s="1">
        <f>VLOOKUP(Tabella1[[#This Row],[test_id]],experiments_specs!A:J,3,FALSE)</f>
        <v>1</v>
      </c>
      <c r="D98" s="1">
        <f>VLOOKUP(Tabella1[[#This Row],[test_id]],experiments_specs!A:J,4,FALSE)</f>
        <v>2</v>
      </c>
      <c r="E98" s="1" t="str">
        <f>VLOOKUP(Tabella1[[#This Row],[test_id]],experiments_specs!A:J,5,FALSE)</f>
        <v>True</v>
      </c>
      <c r="F98" s="1" t="str">
        <f>VLOOKUP(Tabella1[[#This Row],[test_id]],experiments_specs!A:J,6,FALSE)</f>
        <v>True</v>
      </c>
      <c r="G98" s="1" t="str">
        <f>VLOOKUP(Tabella1[[#This Row],[test_id]],experiments_specs!A:J,7,FALSE)</f>
        <v>False</v>
      </c>
      <c r="H98" s="1" t="str">
        <f>VLOOKUP(Tabella1[[#This Row],[test_id]],experiments_specs!A:J,8,FALSE)</f>
        <v>False</v>
      </c>
      <c r="I98" s="1" t="str">
        <f>VLOOKUP(Tabella1[[#This Row],[test_id]],experiments_specs!A:J,9,FALSE)</f>
        <v>wup_similarity</v>
      </c>
      <c r="J98" s="1" t="str">
        <f>VLOOKUP(Tabella1[[#This Row],[test_id]],experiments_specs!A:J,10,FALSE)</f>
        <v>False</v>
      </c>
      <c r="K98" t="s">
        <v>18</v>
      </c>
      <c r="L98" t="s">
        <v>96</v>
      </c>
      <c r="M98" t="s">
        <v>97</v>
      </c>
      <c r="N98">
        <v>0.21052631578947367</v>
      </c>
      <c r="O98" t="s">
        <v>98</v>
      </c>
      <c r="P98" t="s">
        <v>97</v>
      </c>
      <c r="Q98" s="33">
        <v>0.21052631578947367</v>
      </c>
    </row>
    <row r="99" spans="1:17" ht="16" x14ac:dyDescent="0.2">
      <c r="A99" t="s">
        <v>148</v>
      </c>
      <c r="B99" s="1" t="str">
        <f>VLOOKUP(Tabella1[[#This Row],[test_id]],experiments_specs!A:J,2,FALSE)</f>
        <v>NN</v>
      </c>
      <c r="C99" s="1">
        <f>VLOOKUP(Tabella1[[#This Row],[test_id]],experiments_specs!A:J,3,FALSE)</f>
        <v>1</v>
      </c>
      <c r="D99" s="1">
        <f>VLOOKUP(Tabella1[[#This Row],[test_id]],experiments_specs!A:J,4,FALSE)</f>
        <v>2</v>
      </c>
      <c r="E99" s="1" t="str">
        <f>VLOOKUP(Tabella1[[#This Row],[test_id]],experiments_specs!A:J,5,FALSE)</f>
        <v>False</v>
      </c>
      <c r="F99" s="1" t="str">
        <f>VLOOKUP(Tabella1[[#This Row],[test_id]],experiments_specs!A:J,6,FALSE)</f>
        <v>True</v>
      </c>
      <c r="G99" s="1" t="str">
        <f>VLOOKUP(Tabella1[[#This Row],[test_id]],experiments_specs!A:J,7,FALSE)</f>
        <v>False</v>
      </c>
      <c r="H99" s="1" t="str">
        <f>VLOOKUP(Tabella1[[#This Row],[test_id]],experiments_specs!A:J,8,FALSE)</f>
        <v>False</v>
      </c>
      <c r="I99" s="1" t="str">
        <f>VLOOKUP(Tabella1[[#This Row],[test_id]],experiments_specs!A:J,9,FALSE)</f>
        <v>wup_similarity</v>
      </c>
      <c r="J99" s="1" t="str">
        <f>VLOOKUP(Tabella1[[#This Row],[test_id]],experiments_specs!A:J,10,FALSE)</f>
        <v>True</v>
      </c>
      <c r="K99" t="s">
        <v>19</v>
      </c>
      <c r="L99" t="s">
        <v>20</v>
      </c>
      <c r="M99" t="s">
        <v>21</v>
      </c>
      <c r="N99">
        <v>0.19047619047619047</v>
      </c>
      <c r="O99" t="s">
        <v>22</v>
      </c>
      <c r="P99" t="s">
        <v>23</v>
      </c>
      <c r="Q99" s="33">
        <v>9.5238095238095233E-2</v>
      </c>
    </row>
    <row r="100" spans="1:17" ht="16" x14ac:dyDescent="0.2">
      <c r="A100" t="s">
        <v>148</v>
      </c>
      <c r="B100" s="1" t="str">
        <f>VLOOKUP(Tabella1[[#This Row],[test_id]],experiments_specs!A:J,2,FALSE)</f>
        <v>NN</v>
      </c>
      <c r="C100" s="1">
        <f>VLOOKUP(Tabella1[[#This Row],[test_id]],experiments_specs!A:J,3,FALSE)</f>
        <v>1</v>
      </c>
      <c r="D100" s="1">
        <f>VLOOKUP(Tabella1[[#This Row],[test_id]],experiments_specs!A:J,4,FALSE)</f>
        <v>2</v>
      </c>
      <c r="E100" s="1" t="str">
        <f>VLOOKUP(Tabella1[[#This Row],[test_id]],experiments_specs!A:J,5,FALSE)</f>
        <v>False</v>
      </c>
      <c r="F100" s="1" t="str">
        <f>VLOOKUP(Tabella1[[#This Row],[test_id]],experiments_specs!A:J,6,FALSE)</f>
        <v>True</v>
      </c>
      <c r="G100" s="1" t="str">
        <f>VLOOKUP(Tabella1[[#This Row],[test_id]],experiments_specs!A:J,7,FALSE)</f>
        <v>False</v>
      </c>
      <c r="H100" s="1" t="str">
        <f>VLOOKUP(Tabella1[[#This Row],[test_id]],experiments_specs!A:J,8,FALSE)</f>
        <v>False</v>
      </c>
      <c r="I100" s="1" t="str">
        <f>VLOOKUP(Tabella1[[#This Row],[test_id]],experiments_specs!A:J,9,FALSE)</f>
        <v>wup_similarity</v>
      </c>
      <c r="J100" s="1" t="str">
        <f>VLOOKUP(Tabella1[[#This Row],[test_id]],experiments_specs!A:J,10,FALSE)</f>
        <v>True</v>
      </c>
      <c r="K100" t="s">
        <v>12</v>
      </c>
      <c r="L100" t="s">
        <v>24</v>
      </c>
      <c r="M100" t="s">
        <v>25</v>
      </c>
      <c r="N100">
        <v>0.42857142857142855</v>
      </c>
      <c r="O100" t="s">
        <v>26</v>
      </c>
      <c r="P100" t="s">
        <v>25</v>
      </c>
      <c r="Q100" s="33">
        <v>0.42857142857142855</v>
      </c>
    </row>
    <row r="101" spans="1:17" ht="16" x14ac:dyDescent="0.2">
      <c r="A101" t="s">
        <v>148</v>
      </c>
      <c r="B101" s="1" t="str">
        <f>VLOOKUP(Tabella1[[#This Row],[test_id]],experiments_specs!A:J,2,FALSE)</f>
        <v>NN</v>
      </c>
      <c r="C101" s="1">
        <f>VLOOKUP(Tabella1[[#This Row],[test_id]],experiments_specs!A:J,3,FALSE)</f>
        <v>1</v>
      </c>
      <c r="D101" s="1">
        <f>VLOOKUP(Tabella1[[#This Row],[test_id]],experiments_specs!A:J,4,FALSE)</f>
        <v>2</v>
      </c>
      <c r="E101" s="1" t="str">
        <f>VLOOKUP(Tabella1[[#This Row],[test_id]],experiments_specs!A:J,5,FALSE)</f>
        <v>False</v>
      </c>
      <c r="F101" s="1" t="str">
        <f>VLOOKUP(Tabella1[[#This Row],[test_id]],experiments_specs!A:J,6,FALSE)</f>
        <v>True</v>
      </c>
      <c r="G101" s="1" t="str">
        <f>VLOOKUP(Tabella1[[#This Row],[test_id]],experiments_specs!A:J,7,FALSE)</f>
        <v>False</v>
      </c>
      <c r="H101" s="1" t="str">
        <f>VLOOKUP(Tabella1[[#This Row],[test_id]],experiments_specs!A:J,8,FALSE)</f>
        <v>False</v>
      </c>
      <c r="I101" s="1" t="str">
        <f>VLOOKUP(Tabella1[[#This Row],[test_id]],experiments_specs!A:J,9,FALSE)</f>
        <v>wup_similarity</v>
      </c>
      <c r="J101" s="1" t="str">
        <f>VLOOKUP(Tabella1[[#This Row],[test_id]],experiments_specs!A:J,10,FALSE)</f>
        <v>True</v>
      </c>
      <c r="K101" t="s">
        <v>13</v>
      </c>
      <c r="L101" t="s">
        <v>27</v>
      </c>
      <c r="M101" t="s">
        <v>28</v>
      </c>
      <c r="N101" t="s">
        <v>29</v>
      </c>
      <c r="O101" t="s">
        <v>30</v>
      </c>
      <c r="P101" t="s">
        <v>28</v>
      </c>
      <c r="Q101" s="33" t="s">
        <v>29</v>
      </c>
    </row>
    <row r="102" spans="1:17" ht="16" x14ac:dyDescent="0.2">
      <c r="A102" t="s">
        <v>148</v>
      </c>
      <c r="B102" s="1" t="str">
        <f>VLOOKUP(Tabella1[[#This Row],[test_id]],experiments_specs!A:J,2,FALSE)</f>
        <v>NN</v>
      </c>
      <c r="C102" s="1">
        <f>VLOOKUP(Tabella1[[#This Row],[test_id]],experiments_specs!A:J,3,FALSE)</f>
        <v>1</v>
      </c>
      <c r="D102" s="1">
        <f>VLOOKUP(Tabella1[[#This Row],[test_id]],experiments_specs!A:J,4,FALSE)</f>
        <v>2</v>
      </c>
      <c r="E102" s="1" t="str">
        <f>VLOOKUP(Tabella1[[#This Row],[test_id]],experiments_specs!A:J,5,FALSE)</f>
        <v>False</v>
      </c>
      <c r="F102" s="1" t="str">
        <f>VLOOKUP(Tabella1[[#This Row],[test_id]],experiments_specs!A:J,6,FALSE)</f>
        <v>True</v>
      </c>
      <c r="G102" s="1" t="str">
        <f>VLOOKUP(Tabella1[[#This Row],[test_id]],experiments_specs!A:J,7,FALSE)</f>
        <v>False</v>
      </c>
      <c r="H102" s="1" t="str">
        <f>VLOOKUP(Tabella1[[#This Row],[test_id]],experiments_specs!A:J,8,FALSE)</f>
        <v>False</v>
      </c>
      <c r="I102" s="1" t="str">
        <f>VLOOKUP(Tabella1[[#This Row],[test_id]],experiments_specs!A:J,9,FALSE)</f>
        <v>wup_similarity</v>
      </c>
      <c r="J102" s="1" t="str">
        <f>VLOOKUP(Tabella1[[#This Row],[test_id]],experiments_specs!A:J,10,FALSE)</f>
        <v>True</v>
      </c>
      <c r="K102" t="s">
        <v>14</v>
      </c>
      <c r="L102" t="s">
        <v>31</v>
      </c>
      <c r="M102" t="s">
        <v>32</v>
      </c>
      <c r="N102">
        <v>0.14285714285714285</v>
      </c>
      <c r="O102" t="s">
        <v>33</v>
      </c>
      <c r="P102" t="s">
        <v>32</v>
      </c>
      <c r="Q102" s="33">
        <v>0.14285714285714285</v>
      </c>
    </row>
    <row r="103" spans="1:17" ht="16" x14ac:dyDescent="0.2">
      <c r="A103" t="s">
        <v>148</v>
      </c>
      <c r="B103" s="1" t="str">
        <f>VLOOKUP(Tabella1[[#This Row],[test_id]],experiments_specs!A:J,2,FALSE)</f>
        <v>NN</v>
      </c>
      <c r="C103" s="1">
        <f>VLOOKUP(Tabella1[[#This Row],[test_id]],experiments_specs!A:J,3,FALSE)</f>
        <v>1</v>
      </c>
      <c r="D103" s="1">
        <f>VLOOKUP(Tabella1[[#This Row],[test_id]],experiments_specs!A:J,4,FALSE)</f>
        <v>2</v>
      </c>
      <c r="E103" s="1" t="str">
        <f>VLOOKUP(Tabella1[[#This Row],[test_id]],experiments_specs!A:J,5,FALSE)</f>
        <v>False</v>
      </c>
      <c r="F103" s="1" t="str">
        <f>VLOOKUP(Tabella1[[#This Row],[test_id]],experiments_specs!A:J,6,FALSE)</f>
        <v>True</v>
      </c>
      <c r="G103" s="1" t="str">
        <f>VLOOKUP(Tabella1[[#This Row],[test_id]],experiments_specs!A:J,7,FALSE)</f>
        <v>False</v>
      </c>
      <c r="H103" s="1" t="str">
        <f>VLOOKUP(Tabella1[[#This Row],[test_id]],experiments_specs!A:J,8,FALSE)</f>
        <v>False</v>
      </c>
      <c r="I103" s="1" t="str">
        <f>VLOOKUP(Tabella1[[#This Row],[test_id]],experiments_specs!A:J,9,FALSE)</f>
        <v>wup_similarity</v>
      </c>
      <c r="J103" s="1" t="str">
        <f>VLOOKUP(Tabella1[[#This Row],[test_id]],experiments_specs!A:J,10,FALSE)</f>
        <v>True</v>
      </c>
      <c r="K103" t="s">
        <v>15</v>
      </c>
      <c r="L103" t="s">
        <v>34</v>
      </c>
      <c r="M103" t="s">
        <v>35</v>
      </c>
      <c r="N103">
        <v>0.16666666666666666</v>
      </c>
      <c r="O103" t="s">
        <v>36</v>
      </c>
      <c r="P103" t="s">
        <v>37</v>
      </c>
      <c r="Q103" s="33">
        <v>0.18181818181818182</v>
      </c>
    </row>
    <row r="104" spans="1:17" ht="16" x14ac:dyDescent="0.2">
      <c r="A104" t="s">
        <v>148</v>
      </c>
      <c r="B104" s="1" t="str">
        <f>VLOOKUP(Tabella1[[#This Row],[test_id]],experiments_specs!A:J,2,FALSE)</f>
        <v>NN</v>
      </c>
      <c r="C104" s="1">
        <f>VLOOKUP(Tabella1[[#This Row],[test_id]],experiments_specs!A:J,3,FALSE)</f>
        <v>1</v>
      </c>
      <c r="D104" s="1">
        <f>VLOOKUP(Tabella1[[#This Row],[test_id]],experiments_specs!A:J,4,FALSE)</f>
        <v>2</v>
      </c>
      <c r="E104" s="1" t="str">
        <f>VLOOKUP(Tabella1[[#This Row],[test_id]],experiments_specs!A:J,5,FALSE)</f>
        <v>False</v>
      </c>
      <c r="F104" s="1" t="str">
        <f>VLOOKUP(Tabella1[[#This Row],[test_id]],experiments_specs!A:J,6,FALSE)</f>
        <v>True</v>
      </c>
      <c r="G104" s="1" t="str">
        <f>VLOOKUP(Tabella1[[#This Row],[test_id]],experiments_specs!A:J,7,FALSE)</f>
        <v>False</v>
      </c>
      <c r="H104" s="1" t="str">
        <f>VLOOKUP(Tabella1[[#This Row],[test_id]],experiments_specs!A:J,8,FALSE)</f>
        <v>False</v>
      </c>
      <c r="I104" s="1" t="str">
        <f>VLOOKUP(Tabella1[[#This Row],[test_id]],experiments_specs!A:J,9,FALSE)</f>
        <v>wup_similarity</v>
      </c>
      <c r="J104" s="1" t="str">
        <f>VLOOKUP(Tabella1[[#This Row],[test_id]],experiments_specs!A:J,10,FALSE)</f>
        <v>True</v>
      </c>
      <c r="K104" t="s">
        <v>16</v>
      </c>
      <c r="L104" t="s">
        <v>38</v>
      </c>
      <c r="M104" t="s">
        <v>39</v>
      </c>
      <c r="N104">
        <v>0.55555555555555558</v>
      </c>
      <c r="O104" t="s">
        <v>40</v>
      </c>
      <c r="P104" t="s">
        <v>41</v>
      </c>
      <c r="Q104" s="33">
        <v>0.13333333333333333</v>
      </c>
    </row>
    <row r="105" spans="1:17" ht="16" x14ac:dyDescent="0.2">
      <c r="A105" t="s">
        <v>148</v>
      </c>
      <c r="B105" s="1" t="str">
        <f>VLOOKUP(Tabella1[[#This Row],[test_id]],experiments_specs!A:J,2,FALSE)</f>
        <v>NN</v>
      </c>
      <c r="C105" s="1">
        <f>VLOOKUP(Tabella1[[#This Row],[test_id]],experiments_specs!A:J,3,FALSE)</f>
        <v>1</v>
      </c>
      <c r="D105" s="1">
        <f>VLOOKUP(Tabella1[[#This Row],[test_id]],experiments_specs!A:J,4,FALSE)</f>
        <v>2</v>
      </c>
      <c r="E105" s="1" t="str">
        <f>VLOOKUP(Tabella1[[#This Row],[test_id]],experiments_specs!A:J,5,FALSE)</f>
        <v>False</v>
      </c>
      <c r="F105" s="1" t="str">
        <f>VLOOKUP(Tabella1[[#This Row],[test_id]],experiments_specs!A:J,6,FALSE)</f>
        <v>True</v>
      </c>
      <c r="G105" s="1" t="str">
        <f>VLOOKUP(Tabella1[[#This Row],[test_id]],experiments_specs!A:J,7,FALSE)</f>
        <v>False</v>
      </c>
      <c r="H105" s="1" t="str">
        <f>VLOOKUP(Tabella1[[#This Row],[test_id]],experiments_specs!A:J,8,FALSE)</f>
        <v>False</v>
      </c>
      <c r="I105" s="1" t="str">
        <f>VLOOKUP(Tabella1[[#This Row],[test_id]],experiments_specs!A:J,9,FALSE)</f>
        <v>wup_similarity</v>
      </c>
      <c r="J105" s="1" t="str">
        <f>VLOOKUP(Tabella1[[#This Row],[test_id]],experiments_specs!A:J,10,FALSE)</f>
        <v>True</v>
      </c>
      <c r="K105" t="s">
        <v>17</v>
      </c>
      <c r="L105" t="s">
        <v>42</v>
      </c>
      <c r="M105" t="s">
        <v>43</v>
      </c>
      <c r="N105">
        <v>0.13333333333333333</v>
      </c>
      <c r="O105" t="s">
        <v>44</v>
      </c>
      <c r="P105" t="s">
        <v>45</v>
      </c>
      <c r="Q105" s="33">
        <v>0.33333333333333331</v>
      </c>
    </row>
    <row r="106" spans="1:17" ht="16" x14ac:dyDescent="0.2">
      <c r="A106" t="s">
        <v>148</v>
      </c>
      <c r="B106" s="1" t="str">
        <f>VLOOKUP(Tabella1[[#This Row],[test_id]],experiments_specs!A:J,2,FALSE)</f>
        <v>NN</v>
      </c>
      <c r="C106" s="1">
        <f>VLOOKUP(Tabella1[[#This Row],[test_id]],experiments_specs!A:J,3,FALSE)</f>
        <v>1</v>
      </c>
      <c r="D106" s="1">
        <f>VLOOKUP(Tabella1[[#This Row],[test_id]],experiments_specs!A:J,4,FALSE)</f>
        <v>2</v>
      </c>
      <c r="E106" s="1" t="str">
        <f>VLOOKUP(Tabella1[[#This Row],[test_id]],experiments_specs!A:J,5,FALSE)</f>
        <v>False</v>
      </c>
      <c r="F106" s="1" t="str">
        <f>VLOOKUP(Tabella1[[#This Row],[test_id]],experiments_specs!A:J,6,FALSE)</f>
        <v>True</v>
      </c>
      <c r="G106" s="1" t="str">
        <f>VLOOKUP(Tabella1[[#This Row],[test_id]],experiments_specs!A:J,7,FALSE)</f>
        <v>False</v>
      </c>
      <c r="H106" s="1" t="str">
        <f>VLOOKUP(Tabella1[[#This Row],[test_id]],experiments_specs!A:J,8,FALSE)</f>
        <v>False</v>
      </c>
      <c r="I106" s="1" t="str">
        <f>VLOOKUP(Tabella1[[#This Row],[test_id]],experiments_specs!A:J,9,FALSE)</f>
        <v>wup_similarity</v>
      </c>
      <c r="J106" s="1" t="str">
        <f>VLOOKUP(Tabella1[[#This Row],[test_id]],experiments_specs!A:J,10,FALSE)</f>
        <v>True</v>
      </c>
      <c r="K106" t="s">
        <v>18</v>
      </c>
      <c r="L106" t="s">
        <v>46</v>
      </c>
      <c r="M106" t="s">
        <v>47</v>
      </c>
      <c r="N106">
        <v>0.21052631578947367</v>
      </c>
      <c r="O106" t="s">
        <v>48</v>
      </c>
      <c r="P106" t="s">
        <v>47</v>
      </c>
      <c r="Q106" s="33">
        <v>0.21052631578947367</v>
      </c>
    </row>
    <row r="107" spans="1:17" ht="16" x14ac:dyDescent="0.2">
      <c r="A107" t="s">
        <v>149</v>
      </c>
      <c r="B107" s="1" t="str">
        <f>VLOOKUP(Tabella1[[#This Row],[test_id]],experiments_specs!A:J,2,FALSE)</f>
        <v>NN,JJ</v>
      </c>
      <c r="C107" s="1">
        <f>VLOOKUP(Tabella1[[#This Row],[test_id]],experiments_specs!A:J,3,FALSE)</f>
        <v>1</v>
      </c>
      <c r="D107" s="1">
        <f>VLOOKUP(Tabella1[[#This Row],[test_id]],experiments_specs!A:J,4,FALSE)</f>
        <v>2</v>
      </c>
      <c r="E107" s="1" t="str">
        <f>VLOOKUP(Tabella1[[#This Row],[test_id]],experiments_specs!A:J,5,FALSE)</f>
        <v>True</v>
      </c>
      <c r="F107" s="1" t="str">
        <f>VLOOKUP(Tabella1[[#This Row],[test_id]],experiments_specs!A:J,6,FALSE)</f>
        <v>True</v>
      </c>
      <c r="G107" s="1" t="str">
        <f>VLOOKUP(Tabella1[[#This Row],[test_id]],experiments_specs!A:J,7,FALSE)</f>
        <v>False</v>
      </c>
      <c r="H107" s="1" t="str">
        <f>VLOOKUP(Tabella1[[#This Row],[test_id]],experiments_specs!A:J,8,FALSE)</f>
        <v>False</v>
      </c>
      <c r="I107" s="1" t="str">
        <f>VLOOKUP(Tabella1[[#This Row],[test_id]],experiments_specs!A:J,9,FALSE)</f>
        <v>wup_similarity</v>
      </c>
      <c r="J107" s="1" t="str">
        <f>VLOOKUP(Tabella1[[#This Row],[test_id]],experiments_specs!A:J,10,FALSE)</f>
        <v>True</v>
      </c>
      <c r="K107" t="s">
        <v>19</v>
      </c>
      <c r="L107" t="s">
        <v>59</v>
      </c>
      <c r="M107" t="s">
        <v>60</v>
      </c>
      <c r="N107">
        <v>0.17391304347826086</v>
      </c>
      <c r="O107" t="s">
        <v>49</v>
      </c>
      <c r="P107" t="s">
        <v>60</v>
      </c>
      <c r="Q107" s="33">
        <v>0.17391304347826086</v>
      </c>
    </row>
    <row r="108" spans="1:17" ht="16" x14ac:dyDescent="0.2">
      <c r="A108" t="s">
        <v>149</v>
      </c>
      <c r="B108" s="1" t="str">
        <f>VLOOKUP(Tabella1[[#This Row],[test_id]],experiments_specs!A:J,2,FALSE)</f>
        <v>NN,JJ</v>
      </c>
      <c r="C108" s="1">
        <f>VLOOKUP(Tabella1[[#This Row],[test_id]],experiments_specs!A:J,3,FALSE)</f>
        <v>1</v>
      </c>
      <c r="D108" s="1">
        <f>VLOOKUP(Tabella1[[#This Row],[test_id]],experiments_specs!A:J,4,FALSE)</f>
        <v>2</v>
      </c>
      <c r="E108" s="1" t="str">
        <f>VLOOKUP(Tabella1[[#This Row],[test_id]],experiments_specs!A:J,5,FALSE)</f>
        <v>True</v>
      </c>
      <c r="F108" s="1" t="str">
        <f>VLOOKUP(Tabella1[[#This Row],[test_id]],experiments_specs!A:J,6,FALSE)</f>
        <v>True</v>
      </c>
      <c r="G108" s="1" t="str">
        <f>VLOOKUP(Tabella1[[#This Row],[test_id]],experiments_specs!A:J,7,FALSE)</f>
        <v>False</v>
      </c>
      <c r="H108" s="1" t="str">
        <f>VLOOKUP(Tabella1[[#This Row],[test_id]],experiments_specs!A:J,8,FALSE)</f>
        <v>False</v>
      </c>
      <c r="I108" s="1" t="str">
        <f>VLOOKUP(Tabella1[[#This Row],[test_id]],experiments_specs!A:J,9,FALSE)</f>
        <v>wup_similarity</v>
      </c>
      <c r="J108" s="1" t="str">
        <f>VLOOKUP(Tabella1[[#This Row],[test_id]],experiments_specs!A:J,10,FALSE)</f>
        <v>True</v>
      </c>
      <c r="K108" t="s">
        <v>12</v>
      </c>
      <c r="L108" t="s">
        <v>24</v>
      </c>
      <c r="M108" t="s">
        <v>25</v>
      </c>
      <c r="N108">
        <v>0.42857142857142855</v>
      </c>
      <c r="O108" t="s">
        <v>26</v>
      </c>
      <c r="P108" t="s">
        <v>25</v>
      </c>
      <c r="Q108" s="33">
        <v>0.42857142857142855</v>
      </c>
    </row>
    <row r="109" spans="1:17" ht="16" x14ac:dyDescent="0.2">
      <c r="A109" t="s">
        <v>149</v>
      </c>
      <c r="B109" s="1" t="str">
        <f>VLOOKUP(Tabella1[[#This Row],[test_id]],experiments_specs!A:J,2,FALSE)</f>
        <v>NN,JJ</v>
      </c>
      <c r="C109" s="1">
        <f>VLOOKUP(Tabella1[[#This Row],[test_id]],experiments_specs!A:J,3,FALSE)</f>
        <v>1</v>
      </c>
      <c r="D109" s="1">
        <f>VLOOKUP(Tabella1[[#This Row],[test_id]],experiments_specs!A:J,4,FALSE)</f>
        <v>2</v>
      </c>
      <c r="E109" s="1" t="str">
        <f>VLOOKUP(Tabella1[[#This Row],[test_id]],experiments_specs!A:J,5,FALSE)</f>
        <v>True</v>
      </c>
      <c r="F109" s="1" t="str">
        <f>VLOOKUP(Tabella1[[#This Row],[test_id]],experiments_specs!A:J,6,FALSE)</f>
        <v>True</v>
      </c>
      <c r="G109" s="1" t="str">
        <f>VLOOKUP(Tabella1[[#This Row],[test_id]],experiments_specs!A:J,7,FALSE)</f>
        <v>False</v>
      </c>
      <c r="H109" s="1" t="str">
        <f>VLOOKUP(Tabella1[[#This Row],[test_id]],experiments_specs!A:J,8,FALSE)</f>
        <v>False</v>
      </c>
      <c r="I109" s="1" t="str">
        <f>VLOOKUP(Tabella1[[#This Row],[test_id]],experiments_specs!A:J,9,FALSE)</f>
        <v>wup_similarity</v>
      </c>
      <c r="J109" s="1" t="str">
        <f>VLOOKUP(Tabella1[[#This Row],[test_id]],experiments_specs!A:J,10,FALSE)</f>
        <v>True</v>
      </c>
      <c r="K109" t="s">
        <v>13</v>
      </c>
      <c r="L109" t="s">
        <v>101</v>
      </c>
      <c r="M109" t="s">
        <v>102</v>
      </c>
      <c r="N109" t="s">
        <v>29</v>
      </c>
      <c r="O109" t="s">
        <v>84</v>
      </c>
      <c r="P109" t="s">
        <v>85</v>
      </c>
      <c r="Q109" s="33" t="s">
        <v>29</v>
      </c>
    </row>
    <row r="110" spans="1:17" ht="16" x14ac:dyDescent="0.2">
      <c r="A110" t="s">
        <v>149</v>
      </c>
      <c r="B110" s="1" t="str">
        <f>VLOOKUP(Tabella1[[#This Row],[test_id]],experiments_specs!A:J,2,FALSE)</f>
        <v>NN,JJ</v>
      </c>
      <c r="C110" s="1">
        <f>VLOOKUP(Tabella1[[#This Row],[test_id]],experiments_specs!A:J,3,FALSE)</f>
        <v>1</v>
      </c>
      <c r="D110" s="1">
        <f>VLOOKUP(Tabella1[[#This Row],[test_id]],experiments_specs!A:J,4,FALSE)</f>
        <v>2</v>
      </c>
      <c r="E110" s="1" t="str">
        <f>VLOOKUP(Tabella1[[#This Row],[test_id]],experiments_specs!A:J,5,FALSE)</f>
        <v>True</v>
      </c>
      <c r="F110" s="1" t="str">
        <f>VLOOKUP(Tabella1[[#This Row],[test_id]],experiments_specs!A:J,6,FALSE)</f>
        <v>True</v>
      </c>
      <c r="G110" s="1" t="str">
        <f>VLOOKUP(Tabella1[[#This Row],[test_id]],experiments_specs!A:J,7,FALSE)</f>
        <v>False</v>
      </c>
      <c r="H110" s="1" t="str">
        <f>VLOOKUP(Tabella1[[#This Row],[test_id]],experiments_specs!A:J,8,FALSE)</f>
        <v>False</v>
      </c>
      <c r="I110" s="1" t="str">
        <f>VLOOKUP(Tabella1[[#This Row],[test_id]],experiments_specs!A:J,9,FALSE)</f>
        <v>wup_similarity</v>
      </c>
      <c r="J110" s="1" t="str">
        <f>VLOOKUP(Tabella1[[#This Row],[test_id]],experiments_specs!A:J,10,FALSE)</f>
        <v>True</v>
      </c>
      <c r="K110" t="s">
        <v>14</v>
      </c>
      <c r="L110" t="s">
        <v>86</v>
      </c>
      <c r="M110" t="s">
        <v>87</v>
      </c>
      <c r="N110">
        <v>0.33333333333333331</v>
      </c>
      <c r="O110" t="s">
        <v>88</v>
      </c>
      <c r="P110" t="s">
        <v>87</v>
      </c>
      <c r="Q110" s="33">
        <v>0.33333333333333331</v>
      </c>
    </row>
    <row r="111" spans="1:17" ht="16" x14ac:dyDescent="0.2">
      <c r="A111" t="s">
        <v>149</v>
      </c>
      <c r="B111" s="1" t="str">
        <f>VLOOKUP(Tabella1[[#This Row],[test_id]],experiments_specs!A:J,2,FALSE)</f>
        <v>NN,JJ</v>
      </c>
      <c r="C111" s="1">
        <f>VLOOKUP(Tabella1[[#This Row],[test_id]],experiments_specs!A:J,3,FALSE)</f>
        <v>1</v>
      </c>
      <c r="D111" s="1">
        <f>VLOOKUP(Tabella1[[#This Row],[test_id]],experiments_specs!A:J,4,FALSE)</f>
        <v>2</v>
      </c>
      <c r="E111" s="1" t="str">
        <f>VLOOKUP(Tabella1[[#This Row],[test_id]],experiments_specs!A:J,5,FALSE)</f>
        <v>True</v>
      </c>
      <c r="F111" s="1" t="str">
        <f>VLOOKUP(Tabella1[[#This Row],[test_id]],experiments_specs!A:J,6,FALSE)</f>
        <v>True</v>
      </c>
      <c r="G111" s="1" t="str">
        <f>VLOOKUP(Tabella1[[#This Row],[test_id]],experiments_specs!A:J,7,FALSE)</f>
        <v>False</v>
      </c>
      <c r="H111" s="1" t="str">
        <f>VLOOKUP(Tabella1[[#This Row],[test_id]],experiments_specs!A:J,8,FALSE)</f>
        <v>False</v>
      </c>
      <c r="I111" s="1" t="str">
        <f>VLOOKUP(Tabella1[[#This Row],[test_id]],experiments_specs!A:J,9,FALSE)</f>
        <v>wup_similarity</v>
      </c>
      <c r="J111" s="1" t="str">
        <f>VLOOKUP(Tabella1[[#This Row],[test_id]],experiments_specs!A:J,10,FALSE)</f>
        <v>True</v>
      </c>
      <c r="K111" t="s">
        <v>15</v>
      </c>
      <c r="L111" t="s">
        <v>34</v>
      </c>
      <c r="M111" t="s">
        <v>35</v>
      </c>
      <c r="N111">
        <v>0.16666666666666666</v>
      </c>
      <c r="O111" t="s">
        <v>15</v>
      </c>
      <c r="P111" t="s">
        <v>89</v>
      </c>
      <c r="Q111" s="33">
        <v>0.90909090909090906</v>
      </c>
    </row>
    <row r="112" spans="1:17" ht="16" x14ac:dyDescent="0.2">
      <c r="A112" t="s">
        <v>149</v>
      </c>
      <c r="B112" s="1" t="str">
        <f>VLOOKUP(Tabella1[[#This Row],[test_id]],experiments_specs!A:J,2,FALSE)</f>
        <v>NN,JJ</v>
      </c>
      <c r="C112" s="1">
        <f>VLOOKUP(Tabella1[[#This Row],[test_id]],experiments_specs!A:J,3,FALSE)</f>
        <v>1</v>
      </c>
      <c r="D112" s="1">
        <f>VLOOKUP(Tabella1[[#This Row],[test_id]],experiments_specs!A:J,4,FALSE)</f>
        <v>2</v>
      </c>
      <c r="E112" s="1" t="str">
        <f>VLOOKUP(Tabella1[[#This Row],[test_id]],experiments_specs!A:J,5,FALSE)</f>
        <v>True</v>
      </c>
      <c r="F112" s="1" t="str">
        <f>VLOOKUP(Tabella1[[#This Row],[test_id]],experiments_specs!A:J,6,FALSE)</f>
        <v>True</v>
      </c>
      <c r="G112" s="1" t="str">
        <f>VLOOKUP(Tabella1[[#This Row],[test_id]],experiments_specs!A:J,7,FALSE)</f>
        <v>False</v>
      </c>
      <c r="H112" s="1" t="str">
        <f>VLOOKUP(Tabella1[[#This Row],[test_id]],experiments_specs!A:J,8,FALSE)</f>
        <v>False</v>
      </c>
      <c r="I112" s="1" t="str">
        <f>VLOOKUP(Tabella1[[#This Row],[test_id]],experiments_specs!A:J,9,FALSE)</f>
        <v>wup_similarity</v>
      </c>
      <c r="J112" s="1" t="str">
        <f>VLOOKUP(Tabella1[[#This Row],[test_id]],experiments_specs!A:J,10,FALSE)</f>
        <v>True</v>
      </c>
      <c r="K112" t="s">
        <v>16</v>
      </c>
      <c r="L112" t="s">
        <v>90</v>
      </c>
      <c r="M112" t="s">
        <v>91</v>
      </c>
      <c r="N112">
        <v>0.22222222222222221</v>
      </c>
      <c r="O112" t="s">
        <v>92</v>
      </c>
      <c r="P112" t="s">
        <v>91</v>
      </c>
      <c r="Q112" s="33">
        <v>0.22222222222222221</v>
      </c>
    </row>
    <row r="113" spans="1:17" ht="16" x14ac:dyDescent="0.2">
      <c r="A113" t="s">
        <v>149</v>
      </c>
      <c r="B113" s="1" t="str">
        <f>VLOOKUP(Tabella1[[#This Row],[test_id]],experiments_specs!A:J,2,FALSE)</f>
        <v>NN,JJ</v>
      </c>
      <c r="C113" s="1">
        <f>VLOOKUP(Tabella1[[#This Row],[test_id]],experiments_specs!A:J,3,FALSE)</f>
        <v>1</v>
      </c>
      <c r="D113" s="1">
        <f>VLOOKUP(Tabella1[[#This Row],[test_id]],experiments_specs!A:J,4,FALSE)</f>
        <v>2</v>
      </c>
      <c r="E113" s="1" t="str">
        <f>VLOOKUP(Tabella1[[#This Row],[test_id]],experiments_specs!A:J,5,FALSE)</f>
        <v>True</v>
      </c>
      <c r="F113" s="1" t="str">
        <f>VLOOKUP(Tabella1[[#This Row],[test_id]],experiments_specs!A:J,6,FALSE)</f>
        <v>True</v>
      </c>
      <c r="G113" s="1" t="str">
        <f>VLOOKUP(Tabella1[[#This Row],[test_id]],experiments_specs!A:J,7,FALSE)</f>
        <v>False</v>
      </c>
      <c r="H113" s="1" t="str">
        <f>VLOOKUP(Tabella1[[#This Row],[test_id]],experiments_specs!A:J,8,FALSE)</f>
        <v>False</v>
      </c>
      <c r="I113" s="1" t="str">
        <f>VLOOKUP(Tabella1[[#This Row],[test_id]],experiments_specs!A:J,9,FALSE)</f>
        <v>wup_similarity</v>
      </c>
      <c r="J113" s="1" t="str">
        <f>VLOOKUP(Tabella1[[#This Row],[test_id]],experiments_specs!A:J,10,FALSE)</f>
        <v>True</v>
      </c>
      <c r="K113" t="s">
        <v>17</v>
      </c>
      <c r="L113" t="s">
        <v>93</v>
      </c>
      <c r="M113" t="s">
        <v>94</v>
      </c>
      <c r="N113">
        <v>0.30769230769230771</v>
      </c>
      <c r="O113" t="s">
        <v>95</v>
      </c>
      <c r="P113" t="s">
        <v>94</v>
      </c>
      <c r="Q113" s="33">
        <v>0.30769230769230771</v>
      </c>
    </row>
    <row r="114" spans="1:17" ht="16" x14ac:dyDescent="0.2">
      <c r="A114" t="s">
        <v>149</v>
      </c>
      <c r="B114" s="1" t="str">
        <f>VLOOKUP(Tabella1[[#This Row],[test_id]],experiments_specs!A:J,2,FALSE)</f>
        <v>NN,JJ</v>
      </c>
      <c r="C114" s="1">
        <f>VLOOKUP(Tabella1[[#This Row],[test_id]],experiments_specs!A:J,3,FALSE)</f>
        <v>1</v>
      </c>
      <c r="D114" s="1">
        <f>VLOOKUP(Tabella1[[#This Row],[test_id]],experiments_specs!A:J,4,FALSE)</f>
        <v>2</v>
      </c>
      <c r="E114" s="1" t="str">
        <f>VLOOKUP(Tabella1[[#This Row],[test_id]],experiments_specs!A:J,5,FALSE)</f>
        <v>True</v>
      </c>
      <c r="F114" s="1" t="str">
        <f>VLOOKUP(Tabella1[[#This Row],[test_id]],experiments_specs!A:J,6,FALSE)</f>
        <v>True</v>
      </c>
      <c r="G114" s="1" t="str">
        <f>VLOOKUP(Tabella1[[#This Row],[test_id]],experiments_specs!A:J,7,FALSE)</f>
        <v>False</v>
      </c>
      <c r="H114" s="1" t="str">
        <f>VLOOKUP(Tabella1[[#This Row],[test_id]],experiments_specs!A:J,8,FALSE)</f>
        <v>False</v>
      </c>
      <c r="I114" s="1" t="str">
        <f>VLOOKUP(Tabella1[[#This Row],[test_id]],experiments_specs!A:J,9,FALSE)</f>
        <v>wup_similarity</v>
      </c>
      <c r="J114" s="1" t="str">
        <f>VLOOKUP(Tabella1[[#This Row],[test_id]],experiments_specs!A:J,10,FALSE)</f>
        <v>True</v>
      </c>
      <c r="K114" t="s">
        <v>18</v>
      </c>
      <c r="L114" t="s">
        <v>96</v>
      </c>
      <c r="M114" t="s">
        <v>97</v>
      </c>
      <c r="N114">
        <v>0.21052631578947367</v>
      </c>
      <c r="O114" t="s">
        <v>98</v>
      </c>
      <c r="P114" t="s">
        <v>97</v>
      </c>
      <c r="Q114" s="33">
        <v>0.21052631578947367</v>
      </c>
    </row>
    <row r="115" spans="1:17" ht="16" x14ac:dyDescent="0.2">
      <c r="A115" t="s">
        <v>150</v>
      </c>
      <c r="B115" s="1" t="str">
        <f>VLOOKUP(Tabella1[[#This Row],[test_id]],experiments_specs!A:J,2,FALSE)</f>
        <v>NN,VB</v>
      </c>
      <c r="C115" s="1">
        <f>VLOOKUP(Tabella1[[#This Row],[test_id]],experiments_specs!A:J,3,FALSE)</f>
        <v>1</v>
      </c>
      <c r="D115" s="1">
        <f>VLOOKUP(Tabella1[[#This Row],[test_id]],experiments_specs!A:J,4,FALSE)</f>
        <v>2</v>
      </c>
      <c r="E115" s="1" t="str">
        <f>VLOOKUP(Tabella1[[#This Row],[test_id]],experiments_specs!A:J,5,FALSE)</f>
        <v>True</v>
      </c>
      <c r="F115" s="1" t="str">
        <f>VLOOKUP(Tabella1[[#This Row],[test_id]],experiments_specs!A:J,6,FALSE)</f>
        <v>True</v>
      </c>
      <c r="G115" s="1" t="str">
        <f>VLOOKUP(Tabella1[[#This Row],[test_id]],experiments_specs!A:J,7,FALSE)</f>
        <v>False</v>
      </c>
      <c r="H115" s="1" t="str">
        <f>VLOOKUP(Tabella1[[#This Row],[test_id]],experiments_specs!A:J,8,FALSE)</f>
        <v>False</v>
      </c>
      <c r="I115" s="1" t="str">
        <f>VLOOKUP(Tabella1[[#This Row],[test_id]],experiments_specs!A:J,9,FALSE)</f>
        <v>wup_similarity</v>
      </c>
      <c r="J115" s="1" t="str">
        <f>VLOOKUP(Tabella1[[#This Row],[test_id]],experiments_specs!A:J,10,FALSE)</f>
        <v>True</v>
      </c>
      <c r="K115" t="s">
        <v>19</v>
      </c>
      <c r="L115" t="s">
        <v>20</v>
      </c>
      <c r="M115" t="s">
        <v>21</v>
      </c>
      <c r="N115">
        <v>0.19047619047619047</v>
      </c>
      <c r="O115" t="s">
        <v>99</v>
      </c>
      <c r="P115" t="s">
        <v>100</v>
      </c>
      <c r="Q115" s="33">
        <v>0.2</v>
      </c>
    </row>
    <row r="116" spans="1:17" ht="16" x14ac:dyDescent="0.2">
      <c r="A116" t="s">
        <v>150</v>
      </c>
      <c r="B116" s="1" t="str">
        <f>VLOOKUP(Tabella1[[#This Row],[test_id]],experiments_specs!A:J,2,FALSE)</f>
        <v>NN,VB</v>
      </c>
      <c r="C116" s="1">
        <f>VLOOKUP(Tabella1[[#This Row],[test_id]],experiments_specs!A:J,3,FALSE)</f>
        <v>1</v>
      </c>
      <c r="D116" s="1">
        <f>VLOOKUP(Tabella1[[#This Row],[test_id]],experiments_specs!A:J,4,FALSE)</f>
        <v>2</v>
      </c>
      <c r="E116" s="1" t="str">
        <f>VLOOKUP(Tabella1[[#This Row],[test_id]],experiments_specs!A:J,5,FALSE)</f>
        <v>True</v>
      </c>
      <c r="F116" s="1" t="str">
        <f>VLOOKUP(Tabella1[[#This Row],[test_id]],experiments_specs!A:J,6,FALSE)</f>
        <v>True</v>
      </c>
      <c r="G116" s="1" t="str">
        <f>VLOOKUP(Tabella1[[#This Row],[test_id]],experiments_specs!A:J,7,FALSE)</f>
        <v>False</v>
      </c>
      <c r="H116" s="1" t="str">
        <f>VLOOKUP(Tabella1[[#This Row],[test_id]],experiments_specs!A:J,8,FALSE)</f>
        <v>False</v>
      </c>
      <c r="I116" s="1" t="str">
        <f>VLOOKUP(Tabella1[[#This Row],[test_id]],experiments_specs!A:J,9,FALSE)</f>
        <v>wup_similarity</v>
      </c>
      <c r="J116" s="1" t="str">
        <f>VLOOKUP(Tabella1[[#This Row],[test_id]],experiments_specs!A:J,10,FALSE)</f>
        <v>True</v>
      </c>
      <c r="K116" t="s">
        <v>12</v>
      </c>
      <c r="L116" t="s">
        <v>24</v>
      </c>
      <c r="M116" t="s">
        <v>25</v>
      </c>
      <c r="N116">
        <v>0.42857142857142855</v>
      </c>
      <c r="O116" t="s">
        <v>26</v>
      </c>
      <c r="P116" t="s">
        <v>25</v>
      </c>
      <c r="Q116" s="33">
        <v>0.42857142857142855</v>
      </c>
    </row>
    <row r="117" spans="1:17" ht="16" x14ac:dyDescent="0.2">
      <c r="A117" t="s">
        <v>150</v>
      </c>
      <c r="B117" s="1" t="str">
        <f>VLOOKUP(Tabella1[[#This Row],[test_id]],experiments_specs!A:J,2,FALSE)</f>
        <v>NN,VB</v>
      </c>
      <c r="C117" s="1">
        <f>VLOOKUP(Tabella1[[#This Row],[test_id]],experiments_specs!A:J,3,FALSE)</f>
        <v>1</v>
      </c>
      <c r="D117" s="1">
        <f>VLOOKUP(Tabella1[[#This Row],[test_id]],experiments_specs!A:J,4,FALSE)</f>
        <v>2</v>
      </c>
      <c r="E117" s="1" t="str">
        <f>VLOOKUP(Tabella1[[#This Row],[test_id]],experiments_specs!A:J,5,FALSE)</f>
        <v>True</v>
      </c>
      <c r="F117" s="1" t="str">
        <f>VLOOKUP(Tabella1[[#This Row],[test_id]],experiments_specs!A:J,6,FALSE)</f>
        <v>True</v>
      </c>
      <c r="G117" s="1" t="str">
        <f>VLOOKUP(Tabella1[[#This Row],[test_id]],experiments_specs!A:J,7,FALSE)</f>
        <v>False</v>
      </c>
      <c r="H117" s="1" t="str">
        <f>VLOOKUP(Tabella1[[#This Row],[test_id]],experiments_specs!A:J,8,FALSE)</f>
        <v>False</v>
      </c>
      <c r="I117" s="1" t="str">
        <f>VLOOKUP(Tabella1[[#This Row],[test_id]],experiments_specs!A:J,9,FALSE)</f>
        <v>wup_similarity</v>
      </c>
      <c r="J117" s="1" t="str">
        <f>VLOOKUP(Tabella1[[#This Row],[test_id]],experiments_specs!A:J,10,FALSE)</f>
        <v>True</v>
      </c>
      <c r="K117" t="s">
        <v>13</v>
      </c>
      <c r="L117" t="s">
        <v>101</v>
      </c>
      <c r="M117" t="s">
        <v>102</v>
      </c>
      <c r="N117" t="s">
        <v>29</v>
      </c>
      <c r="O117" t="s">
        <v>103</v>
      </c>
      <c r="P117" t="s">
        <v>104</v>
      </c>
      <c r="Q117" s="33" t="s">
        <v>29</v>
      </c>
    </row>
    <row r="118" spans="1:17" ht="16" x14ac:dyDescent="0.2">
      <c r="A118" t="s">
        <v>150</v>
      </c>
      <c r="B118" s="1" t="str">
        <f>VLOOKUP(Tabella1[[#This Row],[test_id]],experiments_specs!A:J,2,FALSE)</f>
        <v>NN,VB</v>
      </c>
      <c r="C118" s="1">
        <f>VLOOKUP(Tabella1[[#This Row],[test_id]],experiments_specs!A:J,3,FALSE)</f>
        <v>1</v>
      </c>
      <c r="D118" s="1">
        <f>VLOOKUP(Tabella1[[#This Row],[test_id]],experiments_specs!A:J,4,FALSE)</f>
        <v>2</v>
      </c>
      <c r="E118" s="1" t="str">
        <f>VLOOKUP(Tabella1[[#This Row],[test_id]],experiments_specs!A:J,5,FALSE)</f>
        <v>True</v>
      </c>
      <c r="F118" s="1" t="str">
        <f>VLOOKUP(Tabella1[[#This Row],[test_id]],experiments_specs!A:J,6,FALSE)</f>
        <v>True</v>
      </c>
      <c r="G118" s="1" t="str">
        <f>VLOOKUP(Tabella1[[#This Row],[test_id]],experiments_specs!A:J,7,FALSE)</f>
        <v>False</v>
      </c>
      <c r="H118" s="1" t="str">
        <f>VLOOKUP(Tabella1[[#This Row],[test_id]],experiments_specs!A:J,8,FALSE)</f>
        <v>False</v>
      </c>
      <c r="I118" s="1" t="str">
        <f>VLOOKUP(Tabella1[[#This Row],[test_id]],experiments_specs!A:J,9,FALSE)</f>
        <v>wup_similarity</v>
      </c>
      <c r="J118" s="1" t="str">
        <f>VLOOKUP(Tabella1[[#This Row],[test_id]],experiments_specs!A:J,10,FALSE)</f>
        <v>True</v>
      </c>
      <c r="K118" t="s">
        <v>14</v>
      </c>
      <c r="L118" t="s">
        <v>86</v>
      </c>
      <c r="M118" t="s">
        <v>87</v>
      </c>
      <c r="N118">
        <v>0.33333333333333331</v>
      </c>
      <c r="O118" t="s">
        <v>88</v>
      </c>
      <c r="P118" t="s">
        <v>87</v>
      </c>
      <c r="Q118" s="33">
        <v>0.33333333333333331</v>
      </c>
    </row>
    <row r="119" spans="1:17" ht="16" x14ac:dyDescent="0.2">
      <c r="A119" t="s">
        <v>150</v>
      </c>
      <c r="B119" s="1" t="str">
        <f>VLOOKUP(Tabella1[[#This Row],[test_id]],experiments_specs!A:J,2,FALSE)</f>
        <v>NN,VB</v>
      </c>
      <c r="C119" s="1">
        <f>VLOOKUP(Tabella1[[#This Row],[test_id]],experiments_specs!A:J,3,FALSE)</f>
        <v>1</v>
      </c>
      <c r="D119" s="1">
        <f>VLOOKUP(Tabella1[[#This Row],[test_id]],experiments_specs!A:J,4,FALSE)</f>
        <v>2</v>
      </c>
      <c r="E119" s="1" t="str">
        <f>VLOOKUP(Tabella1[[#This Row],[test_id]],experiments_specs!A:J,5,FALSE)</f>
        <v>True</v>
      </c>
      <c r="F119" s="1" t="str">
        <f>VLOOKUP(Tabella1[[#This Row],[test_id]],experiments_specs!A:J,6,FALSE)</f>
        <v>True</v>
      </c>
      <c r="G119" s="1" t="str">
        <f>VLOOKUP(Tabella1[[#This Row],[test_id]],experiments_specs!A:J,7,FALSE)</f>
        <v>False</v>
      </c>
      <c r="H119" s="1" t="str">
        <f>VLOOKUP(Tabella1[[#This Row],[test_id]],experiments_specs!A:J,8,FALSE)</f>
        <v>False</v>
      </c>
      <c r="I119" s="1" t="str">
        <f>VLOOKUP(Tabella1[[#This Row],[test_id]],experiments_specs!A:J,9,FALSE)</f>
        <v>wup_similarity</v>
      </c>
      <c r="J119" s="1" t="str">
        <f>VLOOKUP(Tabella1[[#This Row],[test_id]],experiments_specs!A:J,10,FALSE)</f>
        <v>True</v>
      </c>
      <c r="K119" t="s">
        <v>15</v>
      </c>
      <c r="L119" t="s">
        <v>34</v>
      </c>
      <c r="M119" t="s">
        <v>35</v>
      </c>
      <c r="N119">
        <v>0.16666666666666666</v>
      </c>
      <c r="O119" t="s">
        <v>36</v>
      </c>
      <c r="P119" t="s">
        <v>37</v>
      </c>
      <c r="Q119" s="33">
        <v>0.18181818181818182</v>
      </c>
    </row>
    <row r="120" spans="1:17" ht="16" x14ac:dyDescent="0.2">
      <c r="A120" t="s">
        <v>150</v>
      </c>
      <c r="B120" s="1" t="str">
        <f>VLOOKUP(Tabella1[[#This Row],[test_id]],experiments_specs!A:J,2,FALSE)</f>
        <v>NN,VB</v>
      </c>
      <c r="C120" s="1">
        <f>VLOOKUP(Tabella1[[#This Row],[test_id]],experiments_specs!A:J,3,FALSE)</f>
        <v>1</v>
      </c>
      <c r="D120" s="1">
        <f>VLOOKUP(Tabella1[[#This Row],[test_id]],experiments_specs!A:J,4,FALSE)</f>
        <v>2</v>
      </c>
      <c r="E120" s="1" t="str">
        <f>VLOOKUP(Tabella1[[#This Row],[test_id]],experiments_specs!A:J,5,FALSE)</f>
        <v>True</v>
      </c>
      <c r="F120" s="1" t="str">
        <f>VLOOKUP(Tabella1[[#This Row],[test_id]],experiments_specs!A:J,6,FALSE)</f>
        <v>True</v>
      </c>
      <c r="G120" s="1" t="str">
        <f>VLOOKUP(Tabella1[[#This Row],[test_id]],experiments_specs!A:J,7,FALSE)</f>
        <v>False</v>
      </c>
      <c r="H120" s="1" t="str">
        <f>VLOOKUP(Tabella1[[#This Row],[test_id]],experiments_specs!A:J,8,FALSE)</f>
        <v>False</v>
      </c>
      <c r="I120" s="1" t="str">
        <f>VLOOKUP(Tabella1[[#This Row],[test_id]],experiments_specs!A:J,9,FALSE)</f>
        <v>wup_similarity</v>
      </c>
      <c r="J120" s="1" t="str">
        <f>VLOOKUP(Tabella1[[#This Row],[test_id]],experiments_specs!A:J,10,FALSE)</f>
        <v>True</v>
      </c>
      <c r="K120" t="s">
        <v>16</v>
      </c>
      <c r="L120" t="s">
        <v>90</v>
      </c>
      <c r="M120" t="s">
        <v>91</v>
      </c>
      <c r="N120">
        <v>0.22222222222222221</v>
      </c>
      <c r="O120" t="s">
        <v>92</v>
      </c>
      <c r="P120" t="s">
        <v>91</v>
      </c>
      <c r="Q120" s="33">
        <v>0.22222222222222221</v>
      </c>
    </row>
    <row r="121" spans="1:17" ht="16" x14ac:dyDescent="0.2">
      <c r="A121" t="s">
        <v>150</v>
      </c>
      <c r="B121" s="1" t="str">
        <f>VLOOKUP(Tabella1[[#This Row],[test_id]],experiments_specs!A:J,2,FALSE)</f>
        <v>NN,VB</v>
      </c>
      <c r="C121" s="1">
        <f>VLOOKUP(Tabella1[[#This Row],[test_id]],experiments_specs!A:J,3,FALSE)</f>
        <v>1</v>
      </c>
      <c r="D121" s="1">
        <f>VLOOKUP(Tabella1[[#This Row],[test_id]],experiments_specs!A:J,4,FALSE)</f>
        <v>2</v>
      </c>
      <c r="E121" s="1" t="str">
        <f>VLOOKUP(Tabella1[[#This Row],[test_id]],experiments_specs!A:J,5,FALSE)</f>
        <v>True</v>
      </c>
      <c r="F121" s="1" t="str">
        <f>VLOOKUP(Tabella1[[#This Row],[test_id]],experiments_specs!A:J,6,FALSE)</f>
        <v>True</v>
      </c>
      <c r="G121" s="1" t="str">
        <f>VLOOKUP(Tabella1[[#This Row],[test_id]],experiments_specs!A:J,7,FALSE)</f>
        <v>False</v>
      </c>
      <c r="H121" s="1" t="str">
        <f>VLOOKUP(Tabella1[[#This Row],[test_id]],experiments_specs!A:J,8,FALSE)</f>
        <v>False</v>
      </c>
      <c r="I121" s="1" t="str">
        <f>VLOOKUP(Tabella1[[#This Row],[test_id]],experiments_specs!A:J,9,FALSE)</f>
        <v>wup_similarity</v>
      </c>
      <c r="J121" s="1" t="str">
        <f>VLOOKUP(Tabella1[[#This Row],[test_id]],experiments_specs!A:J,10,FALSE)</f>
        <v>True</v>
      </c>
      <c r="K121" t="s">
        <v>17</v>
      </c>
      <c r="L121" t="s">
        <v>93</v>
      </c>
      <c r="M121" t="s">
        <v>94</v>
      </c>
      <c r="N121">
        <v>0.30769230769230771</v>
      </c>
      <c r="O121" t="s">
        <v>95</v>
      </c>
      <c r="P121" t="s">
        <v>94</v>
      </c>
      <c r="Q121" s="33">
        <v>0.30769230769230771</v>
      </c>
    </row>
    <row r="122" spans="1:17" ht="16" x14ac:dyDescent="0.2">
      <c r="A122" t="s">
        <v>150</v>
      </c>
      <c r="B122" s="1" t="str">
        <f>VLOOKUP(Tabella1[[#This Row],[test_id]],experiments_specs!A:J,2,FALSE)</f>
        <v>NN,VB</v>
      </c>
      <c r="C122" s="1">
        <f>VLOOKUP(Tabella1[[#This Row],[test_id]],experiments_specs!A:J,3,FALSE)</f>
        <v>1</v>
      </c>
      <c r="D122" s="1">
        <f>VLOOKUP(Tabella1[[#This Row],[test_id]],experiments_specs!A:J,4,FALSE)</f>
        <v>2</v>
      </c>
      <c r="E122" s="1" t="str">
        <f>VLOOKUP(Tabella1[[#This Row],[test_id]],experiments_specs!A:J,5,FALSE)</f>
        <v>True</v>
      </c>
      <c r="F122" s="1" t="str">
        <f>VLOOKUP(Tabella1[[#This Row],[test_id]],experiments_specs!A:J,6,FALSE)</f>
        <v>True</v>
      </c>
      <c r="G122" s="1" t="str">
        <f>VLOOKUP(Tabella1[[#This Row],[test_id]],experiments_specs!A:J,7,FALSE)</f>
        <v>False</v>
      </c>
      <c r="H122" s="1" t="str">
        <f>VLOOKUP(Tabella1[[#This Row],[test_id]],experiments_specs!A:J,8,FALSE)</f>
        <v>False</v>
      </c>
      <c r="I122" s="1" t="str">
        <f>VLOOKUP(Tabella1[[#This Row],[test_id]],experiments_specs!A:J,9,FALSE)</f>
        <v>wup_similarity</v>
      </c>
      <c r="J122" s="1" t="str">
        <f>VLOOKUP(Tabella1[[#This Row],[test_id]],experiments_specs!A:J,10,FALSE)</f>
        <v>True</v>
      </c>
      <c r="K122" t="s">
        <v>18</v>
      </c>
      <c r="L122" t="s">
        <v>96</v>
      </c>
      <c r="M122" t="s">
        <v>97</v>
      </c>
      <c r="N122">
        <v>0.21052631578947367</v>
      </c>
      <c r="O122" t="s">
        <v>98</v>
      </c>
      <c r="P122" t="s">
        <v>97</v>
      </c>
      <c r="Q122" s="33">
        <v>0.21052631578947367</v>
      </c>
    </row>
    <row r="123" spans="1:17" ht="16" x14ac:dyDescent="0.2">
      <c r="A123" t="s">
        <v>151</v>
      </c>
      <c r="B123" s="1" t="str">
        <f>VLOOKUP(Tabella1[[#This Row],[test_id]],experiments_specs!A:J,2,FALSE)</f>
        <v>NN,VB,VBD,VBG,VBN,VBP,VBZ</v>
      </c>
      <c r="C123" s="1">
        <f>VLOOKUP(Tabella1[[#This Row],[test_id]],experiments_specs!A:J,3,FALSE)</f>
        <v>1</v>
      </c>
      <c r="D123" s="1">
        <f>VLOOKUP(Tabella1[[#This Row],[test_id]],experiments_specs!A:J,4,FALSE)</f>
        <v>2</v>
      </c>
      <c r="E123" s="1" t="str">
        <f>VLOOKUP(Tabella1[[#This Row],[test_id]],experiments_specs!A:J,5,FALSE)</f>
        <v>True</v>
      </c>
      <c r="F123" s="1" t="str">
        <f>VLOOKUP(Tabella1[[#This Row],[test_id]],experiments_specs!A:J,6,FALSE)</f>
        <v>True</v>
      </c>
      <c r="G123" s="1" t="str">
        <f>VLOOKUP(Tabella1[[#This Row],[test_id]],experiments_specs!A:J,7,FALSE)</f>
        <v>False</v>
      </c>
      <c r="H123" s="1" t="str">
        <f>VLOOKUP(Tabella1[[#This Row],[test_id]],experiments_specs!A:J,8,FALSE)</f>
        <v>False</v>
      </c>
      <c r="I123" s="1" t="str">
        <f>VLOOKUP(Tabella1[[#This Row],[test_id]],experiments_specs!A:J,9,FALSE)</f>
        <v>wup_similarity</v>
      </c>
      <c r="J123" s="1" t="str">
        <f>VLOOKUP(Tabella1[[#This Row],[test_id]],experiments_specs!A:J,10,FALSE)</f>
        <v>True</v>
      </c>
      <c r="K123" t="s">
        <v>19</v>
      </c>
      <c r="L123" t="s">
        <v>20</v>
      </c>
      <c r="M123" t="s">
        <v>21</v>
      </c>
      <c r="N123">
        <v>0.19047619047619047</v>
      </c>
      <c r="O123" t="s">
        <v>99</v>
      </c>
      <c r="P123" t="s">
        <v>100</v>
      </c>
      <c r="Q123" s="33">
        <v>0.2</v>
      </c>
    </row>
    <row r="124" spans="1:17" ht="16" x14ac:dyDescent="0.2">
      <c r="A124" t="s">
        <v>151</v>
      </c>
      <c r="B124" s="1" t="str">
        <f>VLOOKUP(Tabella1[[#This Row],[test_id]],experiments_specs!A:J,2,FALSE)</f>
        <v>NN,VB,VBD,VBG,VBN,VBP,VBZ</v>
      </c>
      <c r="C124" s="1">
        <f>VLOOKUP(Tabella1[[#This Row],[test_id]],experiments_specs!A:J,3,FALSE)</f>
        <v>1</v>
      </c>
      <c r="D124" s="1">
        <f>VLOOKUP(Tabella1[[#This Row],[test_id]],experiments_specs!A:J,4,FALSE)</f>
        <v>2</v>
      </c>
      <c r="E124" s="1" t="str">
        <f>VLOOKUP(Tabella1[[#This Row],[test_id]],experiments_specs!A:J,5,FALSE)</f>
        <v>True</v>
      </c>
      <c r="F124" s="1" t="str">
        <f>VLOOKUP(Tabella1[[#This Row],[test_id]],experiments_specs!A:J,6,FALSE)</f>
        <v>True</v>
      </c>
      <c r="G124" s="1" t="str">
        <f>VLOOKUP(Tabella1[[#This Row],[test_id]],experiments_specs!A:J,7,FALSE)</f>
        <v>False</v>
      </c>
      <c r="H124" s="1" t="str">
        <f>VLOOKUP(Tabella1[[#This Row],[test_id]],experiments_specs!A:J,8,FALSE)</f>
        <v>False</v>
      </c>
      <c r="I124" s="1" t="str">
        <f>VLOOKUP(Tabella1[[#This Row],[test_id]],experiments_specs!A:J,9,FALSE)</f>
        <v>wup_similarity</v>
      </c>
      <c r="J124" s="1" t="str">
        <f>VLOOKUP(Tabella1[[#This Row],[test_id]],experiments_specs!A:J,10,FALSE)</f>
        <v>True</v>
      </c>
      <c r="K124" t="s">
        <v>12</v>
      </c>
      <c r="L124" t="s">
        <v>24</v>
      </c>
      <c r="M124" t="s">
        <v>25</v>
      </c>
      <c r="N124">
        <v>0.42857142857142855</v>
      </c>
      <c r="O124" t="s">
        <v>26</v>
      </c>
      <c r="P124" t="s">
        <v>25</v>
      </c>
      <c r="Q124" s="33">
        <v>0.42857142857142855</v>
      </c>
    </row>
    <row r="125" spans="1:17" ht="16" x14ac:dyDescent="0.2">
      <c r="A125" t="s">
        <v>151</v>
      </c>
      <c r="B125" s="1" t="str">
        <f>VLOOKUP(Tabella1[[#This Row],[test_id]],experiments_specs!A:J,2,FALSE)</f>
        <v>NN,VB,VBD,VBG,VBN,VBP,VBZ</v>
      </c>
      <c r="C125" s="1">
        <f>VLOOKUP(Tabella1[[#This Row],[test_id]],experiments_specs!A:J,3,FALSE)</f>
        <v>1</v>
      </c>
      <c r="D125" s="1">
        <f>VLOOKUP(Tabella1[[#This Row],[test_id]],experiments_specs!A:J,4,FALSE)</f>
        <v>2</v>
      </c>
      <c r="E125" s="1" t="str">
        <f>VLOOKUP(Tabella1[[#This Row],[test_id]],experiments_specs!A:J,5,FALSE)</f>
        <v>True</v>
      </c>
      <c r="F125" s="1" t="str">
        <f>VLOOKUP(Tabella1[[#This Row],[test_id]],experiments_specs!A:J,6,FALSE)</f>
        <v>True</v>
      </c>
      <c r="G125" s="1" t="str">
        <f>VLOOKUP(Tabella1[[#This Row],[test_id]],experiments_specs!A:J,7,FALSE)</f>
        <v>False</v>
      </c>
      <c r="H125" s="1" t="str">
        <f>VLOOKUP(Tabella1[[#This Row],[test_id]],experiments_specs!A:J,8,FALSE)</f>
        <v>False</v>
      </c>
      <c r="I125" s="1" t="str">
        <f>VLOOKUP(Tabella1[[#This Row],[test_id]],experiments_specs!A:J,9,FALSE)</f>
        <v>wup_similarity</v>
      </c>
      <c r="J125" s="1" t="str">
        <f>VLOOKUP(Tabella1[[#This Row],[test_id]],experiments_specs!A:J,10,FALSE)</f>
        <v>True</v>
      </c>
      <c r="K125" t="s">
        <v>13</v>
      </c>
      <c r="L125" t="s">
        <v>101</v>
      </c>
      <c r="M125" t="s">
        <v>102</v>
      </c>
      <c r="N125" t="s">
        <v>29</v>
      </c>
      <c r="O125" t="s">
        <v>103</v>
      </c>
      <c r="P125" t="s">
        <v>104</v>
      </c>
      <c r="Q125" s="33" t="s">
        <v>29</v>
      </c>
    </row>
    <row r="126" spans="1:17" ht="16" x14ac:dyDescent="0.2">
      <c r="A126" t="s">
        <v>151</v>
      </c>
      <c r="B126" s="1" t="str">
        <f>VLOOKUP(Tabella1[[#This Row],[test_id]],experiments_specs!A:J,2,FALSE)</f>
        <v>NN,VB,VBD,VBG,VBN,VBP,VBZ</v>
      </c>
      <c r="C126" s="1">
        <f>VLOOKUP(Tabella1[[#This Row],[test_id]],experiments_specs!A:J,3,FALSE)</f>
        <v>1</v>
      </c>
      <c r="D126" s="1">
        <f>VLOOKUP(Tabella1[[#This Row],[test_id]],experiments_specs!A:J,4,FALSE)</f>
        <v>2</v>
      </c>
      <c r="E126" s="1" t="str">
        <f>VLOOKUP(Tabella1[[#This Row],[test_id]],experiments_specs!A:J,5,FALSE)</f>
        <v>True</v>
      </c>
      <c r="F126" s="1" t="str">
        <f>VLOOKUP(Tabella1[[#This Row],[test_id]],experiments_specs!A:J,6,FALSE)</f>
        <v>True</v>
      </c>
      <c r="G126" s="1" t="str">
        <f>VLOOKUP(Tabella1[[#This Row],[test_id]],experiments_specs!A:J,7,FALSE)</f>
        <v>False</v>
      </c>
      <c r="H126" s="1" t="str">
        <f>VLOOKUP(Tabella1[[#This Row],[test_id]],experiments_specs!A:J,8,FALSE)</f>
        <v>False</v>
      </c>
      <c r="I126" s="1" t="str">
        <f>VLOOKUP(Tabella1[[#This Row],[test_id]],experiments_specs!A:J,9,FALSE)</f>
        <v>wup_similarity</v>
      </c>
      <c r="J126" s="1" t="str">
        <f>VLOOKUP(Tabella1[[#This Row],[test_id]],experiments_specs!A:J,10,FALSE)</f>
        <v>True</v>
      </c>
      <c r="K126" t="s">
        <v>14</v>
      </c>
      <c r="L126" t="s">
        <v>86</v>
      </c>
      <c r="M126" t="s">
        <v>87</v>
      </c>
      <c r="N126">
        <v>0.33333333333333331</v>
      </c>
      <c r="O126" t="s">
        <v>88</v>
      </c>
      <c r="P126" t="s">
        <v>87</v>
      </c>
      <c r="Q126" s="33">
        <v>0.33333333333333331</v>
      </c>
    </row>
    <row r="127" spans="1:17" ht="16" x14ac:dyDescent="0.2">
      <c r="A127" t="s">
        <v>151</v>
      </c>
      <c r="B127" s="1" t="str">
        <f>VLOOKUP(Tabella1[[#This Row],[test_id]],experiments_specs!A:J,2,FALSE)</f>
        <v>NN,VB,VBD,VBG,VBN,VBP,VBZ</v>
      </c>
      <c r="C127" s="1">
        <f>VLOOKUP(Tabella1[[#This Row],[test_id]],experiments_specs!A:J,3,FALSE)</f>
        <v>1</v>
      </c>
      <c r="D127" s="1">
        <f>VLOOKUP(Tabella1[[#This Row],[test_id]],experiments_specs!A:J,4,FALSE)</f>
        <v>2</v>
      </c>
      <c r="E127" s="1" t="str">
        <f>VLOOKUP(Tabella1[[#This Row],[test_id]],experiments_specs!A:J,5,FALSE)</f>
        <v>True</v>
      </c>
      <c r="F127" s="1" t="str">
        <f>VLOOKUP(Tabella1[[#This Row],[test_id]],experiments_specs!A:J,6,FALSE)</f>
        <v>True</v>
      </c>
      <c r="G127" s="1" t="str">
        <f>VLOOKUP(Tabella1[[#This Row],[test_id]],experiments_specs!A:J,7,FALSE)</f>
        <v>False</v>
      </c>
      <c r="H127" s="1" t="str">
        <f>VLOOKUP(Tabella1[[#This Row],[test_id]],experiments_specs!A:J,8,FALSE)</f>
        <v>False</v>
      </c>
      <c r="I127" s="1" t="str">
        <f>VLOOKUP(Tabella1[[#This Row],[test_id]],experiments_specs!A:J,9,FALSE)</f>
        <v>wup_similarity</v>
      </c>
      <c r="J127" s="1" t="str">
        <f>VLOOKUP(Tabella1[[#This Row],[test_id]],experiments_specs!A:J,10,FALSE)</f>
        <v>True</v>
      </c>
      <c r="K127" t="s">
        <v>15</v>
      </c>
      <c r="L127" t="s">
        <v>34</v>
      </c>
      <c r="M127" t="s">
        <v>35</v>
      </c>
      <c r="N127">
        <v>0.16666666666666666</v>
      </c>
      <c r="O127" t="s">
        <v>36</v>
      </c>
      <c r="P127" t="s">
        <v>37</v>
      </c>
      <c r="Q127" s="33">
        <v>0.18181818181818182</v>
      </c>
    </row>
    <row r="128" spans="1:17" ht="16" x14ac:dyDescent="0.2">
      <c r="A128" t="s">
        <v>151</v>
      </c>
      <c r="B128" s="1" t="str">
        <f>VLOOKUP(Tabella1[[#This Row],[test_id]],experiments_specs!A:J,2,FALSE)</f>
        <v>NN,VB,VBD,VBG,VBN,VBP,VBZ</v>
      </c>
      <c r="C128" s="1">
        <f>VLOOKUP(Tabella1[[#This Row],[test_id]],experiments_specs!A:J,3,FALSE)</f>
        <v>1</v>
      </c>
      <c r="D128" s="1">
        <f>VLOOKUP(Tabella1[[#This Row],[test_id]],experiments_specs!A:J,4,FALSE)</f>
        <v>2</v>
      </c>
      <c r="E128" s="1" t="str">
        <f>VLOOKUP(Tabella1[[#This Row],[test_id]],experiments_specs!A:J,5,FALSE)</f>
        <v>True</v>
      </c>
      <c r="F128" s="1" t="str">
        <f>VLOOKUP(Tabella1[[#This Row],[test_id]],experiments_specs!A:J,6,FALSE)</f>
        <v>True</v>
      </c>
      <c r="G128" s="1" t="str">
        <f>VLOOKUP(Tabella1[[#This Row],[test_id]],experiments_specs!A:J,7,FALSE)</f>
        <v>False</v>
      </c>
      <c r="H128" s="1" t="str">
        <f>VLOOKUP(Tabella1[[#This Row],[test_id]],experiments_specs!A:J,8,FALSE)</f>
        <v>False</v>
      </c>
      <c r="I128" s="1" t="str">
        <f>VLOOKUP(Tabella1[[#This Row],[test_id]],experiments_specs!A:J,9,FALSE)</f>
        <v>wup_similarity</v>
      </c>
      <c r="J128" s="1" t="str">
        <f>VLOOKUP(Tabella1[[#This Row],[test_id]],experiments_specs!A:J,10,FALSE)</f>
        <v>True</v>
      </c>
      <c r="K128" t="s">
        <v>16</v>
      </c>
      <c r="L128" t="s">
        <v>90</v>
      </c>
      <c r="M128" t="s">
        <v>91</v>
      </c>
      <c r="N128">
        <v>0.22222222222222221</v>
      </c>
      <c r="O128" t="s">
        <v>92</v>
      </c>
      <c r="P128" t="s">
        <v>91</v>
      </c>
      <c r="Q128" s="33">
        <v>0.22222222222222221</v>
      </c>
    </row>
    <row r="129" spans="1:17" ht="16" x14ac:dyDescent="0.2">
      <c r="A129" t="s">
        <v>151</v>
      </c>
      <c r="B129" s="1" t="str">
        <f>VLOOKUP(Tabella1[[#This Row],[test_id]],experiments_specs!A:J,2,FALSE)</f>
        <v>NN,VB,VBD,VBG,VBN,VBP,VBZ</v>
      </c>
      <c r="C129" s="1">
        <f>VLOOKUP(Tabella1[[#This Row],[test_id]],experiments_specs!A:J,3,FALSE)</f>
        <v>1</v>
      </c>
      <c r="D129" s="1">
        <f>VLOOKUP(Tabella1[[#This Row],[test_id]],experiments_specs!A:J,4,FALSE)</f>
        <v>2</v>
      </c>
      <c r="E129" s="1" t="str">
        <f>VLOOKUP(Tabella1[[#This Row],[test_id]],experiments_specs!A:J,5,FALSE)</f>
        <v>True</v>
      </c>
      <c r="F129" s="1" t="str">
        <f>VLOOKUP(Tabella1[[#This Row],[test_id]],experiments_specs!A:J,6,FALSE)</f>
        <v>True</v>
      </c>
      <c r="G129" s="1" t="str">
        <f>VLOOKUP(Tabella1[[#This Row],[test_id]],experiments_specs!A:J,7,FALSE)</f>
        <v>False</v>
      </c>
      <c r="H129" s="1" t="str">
        <f>VLOOKUP(Tabella1[[#This Row],[test_id]],experiments_specs!A:J,8,FALSE)</f>
        <v>False</v>
      </c>
      <c r="I129" s="1" t="str">
        <f>VLOOKUP(Tabella1[[#This Row],[test_id]],experiments_specs!A:J,9,FALSE)</f>
        <v>wup_similarity</v>
      </c>
      <c r="J129" s="1" t="str">
        <f>VLOOKUP(Tabella1[[#This Row],[test_id]],experiments_specs!A:J,10,FALSE)</f>
        <v>True</v>
      </c>
      <c r="K129" t="s">
        <v>17</v>
      </c>
      <c r="L129" t="s">
        <v>93</v>
      </c>
      <c r="M129" t="s">
        <v>94</v>
      </c>
      <c r="N129">
        <v>0.30769230769230771</v>
      </c>
      <c r="O129" t="s">
        <v>95</v>
      </c>
      <c r="P129" t="s">
        <v>94</v>
      </c>
      <c r="Q129" s="33">
        <v>0.30769230769230771</v>
      </c>
    </row>
    <row r="130" spans="1:17" ht="16" x14ac:dyDescent="0.2">
      <c r="A130" t="s">
        <v>151</v>
      </c>
      <c r="B130" s="1" t="str">
        <f>VLOOKUP(Tabella1[[#This Row],[test_id]],experiments_specs!A:J,2,FALSE)</f>
        <v>NN,VB,VBD,VBG,VBN,VBP,VBZ</v>
      </c>
      <c r="C130" s="1">
        <f>VLOOKUP(Tabella1[[#This Row],[test_id]],experiments_specs!A:J,3,FALSE)</f>
        <v>1</v>
      </c>
      <c r="D130" s="1">
        <f>VLOOKUP(Tabella1[[#This Row],[test_id]],experiments_specs!A:J,4,FALSE)</f>
        <v>2</v>
      </c>
      <c r="E130" s="1" t="str">
        <f>VLOOKUP(Tabella1[[#This Row],[test_id]],experiments_specs!A:J,5,FALSE)</f>
        <v>True</v>
      </c>
      <c r="F130" s="1" t="str">
        <f>VLOOKUP(Tabella1[[#This Row],[test_id]],experiments_specs!A:J,6,FALSE)</f>
        <v>True</v>
      </c>
      <c r="G130" s="1" t="str">
        <f>VLOOKUP(Tabella1[[#This Row],[test_id]],experiments_specs!A:J,7,FALSE)</f>
        <v>False</v>
      </c>
      <c r="H130" s="1" t="str">
        <f>VLOOKUP(Tabella1[[#This Row],[test_id]],experiments_specs!A:J,8,FALSE)</f>
        <v>False</v>
      </c>
      <c r="I130" s="1" t="str">
        <f>VLOOKUP(Tabella1[[#This Row],[test_id]],experiments_specs!A:J,9,FALSE)</f>
        <v>wup_similarity</v>
      </c>
      <c r="J130" s="1" t="str">
        <f>VLOOKUP(Tabella1[[#This Row],[test_id]],experiments_specs!A:J,10,FALSE)</f>
        <v>True</v>
      </c>
      <c r="K130" t="s">
        <v>18</v>
      </c>
      <c r="L130" t="s">
        <v>96</v>
      </c>
      <c r="M130" t="s">
        <v>97</v>
      </c>
      <c r="N130">
        <v>0.21052631578947367</v>
      </c>
      <c r="O130" t="s">
        <v>98</v>
      </c>
      <c r="P130" t="s">
        <v>97</v>
      </c>
      <c r="Q130" s="33">
        <v>0.21052631578947367</v>
      </c>
    </row>
    <row r="131" spans="1:17" ht="16" x14ac:dyDescent="0.2">
      <c r="A131" t="s">
        <v>152</v>
      </c>
      <c r="B131" s="1" t="str">
        <f>VLOOKUP(Tabella1[[#This Row],[test_id]],experiments_specs!A:J,2,FALSE)</f>
        <v>NN,RB</v>
      </c>
      <c r="C131" s="1">
        <f>VLOOKUP(Tabella1[[#This Row],[test_id]],experiments_specs!A:J,3,FALSE)</f>
        <v>1</v>
      </c>
      <c r="D131" s="1">
        <f>VLOOKUP(Tabella1[[#This Row],[test_id]],experiments_specs!A:J,4,FALSE)</f>
        <v>2</v>
      </c>
      <c r="E131" s="1" t="str">
        <f>VLOOKUP(Tabella1[[#This Row],[test_id]],experiments_specs!A:J,5,FALSE)</f>
        <v>True</v>
      </c>
      <c r="F131" s="1" t="str">
        <f>VLOOKUP(Tabella1[[#This Row],[test_id]],experiments_specs!A:J,6,FALSE)</f>
        <v>True</v>
      </c>
      <c r="G131" s="1" t="str">
        <f>VLOOKUP(Tabella1[[#This Row],[test_id]],experiments_specs!A:J,7,FALSE)</f>
        <v>False</v>
      </c>
      <c r="H131" s="1" t="str">
        <f>VLOOKUP(Tabella1[[#This Row],[test_id]],experiments_specs!A:J,8,FALSE)</f>
        <v>False</v>
      </c>
      <c r="I131" s="1" t="str">
        <f>VLOOKUP(Tabella1[[#This Row],[test_id]],experiments_specs!A:J,9,FALSE)</f>
        <v>wup_similarity</v>
      </c>
      <c r="J131" s="1" t="str">
        <f>VLOOKUP(Tabella1[[#This Row],[test_id]],experiments_specs!A:J,10,FALSE)</f>
        <v>True</v>
      </c>
      <c r="K131" t="s">
        <v>19</v>
      </c>
      <c r="L131" t="s">
        <v>20</v>
      </c>
      <c r="M131" t="s">
        <v>21</v>
      </c>
      <c r="N131">
        <v>0.19047619047619047</v>
      </c>
      <c r="O131" t="s">
        <v>99</v>
      </c>
      <c r="P131" t="s">
        <v>100</v>
      </c>
      <c r="Q131" s="33">
        <v>0.2</v>
      </c>
    </row>
    <row r="132" spans="1:17" ht="16" x14ac:dyDescent="0.2">
      <c r="A132" t="s">
        <v>152</v>
      </c>
      <c r="B132" s="1" t="str">
        <f>VLOOKUP(Tabella1[[#This Row],[test_id]],experiments_specs!A:J,2,FALSE)</f>
        <v>NN,RB</v>
      </c>
      <c r="C132" s="1">
        <f>VLOOKUP(Tabella1[[#This Row],[test_id]],experiments_specs!A:J,3,FALSE)</f>
        <v>1</v>
      </c>
      <c r="D132" s="1">
        <f>VLOOKUP(Tabella1[[#This Row],[test_id]],experiments_specs!A:J,4,FALSE)</f>
        <v>2</v>
      </c>
      <c r="E132" s="1" t="str">
        <f>VLOOKUP(Tabella1[[#This Row],[test_id]],experiments_specs!A:J,5,FALSE)</f>
        <v>True</v>
      </c>
      <c r="F132" s="1" t="str">
        <f>VLOOKUP(Tabella1[[#This Row],[test_id]],experiments_specs!A:J,6,FALSE)</f>
        <v>True</v>
      </c>
      <c r="G132" s="1" t="str">
        <f>VLOOKUP(Tabella1[[#This Row],[test_id]],experiments_specs!A:J,7,FALSE)</f>
        <v>False</v>
      </c>
      <c r="H132" s="1" t="str">
        <f>VLOOKUP(Tabella1[[#This Row],[test_id]],experiments_specs!A:J,8,FALSE)</f>
        <v>False</v>
      </c>
      <c r="I132" s="1" t="str">
        <f>VLOOKUP(Tabella1[[#This Row],[test_id]],experiments_specs!A:J,9,FALSE)</f>
        <v>wup_similarity</v>
      </c>
      <c r="J132" s="1" t="str">
        <f>VLOOKUP(Tabella1[[#This Row],[test_id]],experiments_specs!A:J,10,FALSE)</f>
        <v>True</v>
      </c>
      <c r="K132" t="s">
        <v>12</v>
      </c>
      <c r="L132" t="s">
        <v>24</v>
      </c>
      <c r="M132" t="s">
        <v>25</v>
      </c>
      <c r="N132">
        <v>0.42857142857142855</v>
      </c>
      <c r="O132" t="s">
        <v>26</v>
      </c>
      <c r="P132" t="s">
        <v>25</v>
      </c>
      <c r="Q132" s="33">
        <v>0.42857142857142855</v>
      </c>
    </row>
    <row r="133" spans="1:17" ht="16" x14ac:dyDescent="0.2">
      <c r="A133" t="s">
        <v>152</v>
      </c>
      <c r="B133" s="1" t="str">
        <f>VLOOKUP(Tabella1[[#This Row],[test_id]],experiments_specs!A:J,2,FALSE)</f>
        <v>NN,RB</v>
      </c>
      <c r="C133" s="1">
        <f>VLOOKUP(Tabella1[[#This Row],[test_id]],experiments_specs!A:J,3,FALSE)</f>
        <v>1</v>
      </c>
      <c r="D133" s="1">
        <f>VLOOKUP(Tabella1[[#This Row],[test_id]],experiments_specs!A:J,4,FALSE)</f>
        <v>2</v>
      </c>
      <c r="E133" s="1" t="str">
        <f>VLOOKUP(Tabella1[[#This Row],[test_id]],experiments_specs!A:J,5,FALSE)</f>
        <v>True</v>
      </c>
      <c r="F133" s="1" t="str">
        <f>VLOOKUP(Tabella1[[#This Row],[test_id]],experiments_specs!A:J,6,FALSE)</f>
        <v>True</v>
      </c>
      <c r="G133" s="1" t="str">
        <f>VLOOKUP(Tabella1[[#This Row],[test_id]],experiments_specs!A:J,7,FALSE)</f>
        <v>False</v>
      </c>
      <c r="H133" s="1" t="str">
        <f>VLOOKUP(Tabella1[[#This Row],[test_id]],experiments_specs!A:J,8,FALSE)</f>
        <v>False</v>
      </c>
      <c r="I133" s="1" t="str">
        <f>VLOOKUP(Tabella1[[#This Row],[test_id]],experiments_specs!A:J,9,FALSE)</f>
        <v>wup_similarity</v>
      </c>
      <c r="J133" s="1" t="str">
        <f>VLOOKUP(Tabella1[[#This Row],[test_id]],experiments_specs!A:J,10,FALSE)</f>
        <v>True</v>
      </c>
      <c r="K133" t="s">
        <v>13</v>
      </c>
      <c r="L133" t="s">
        <v>101</v>
      </c>
      <c r="M133" t="s">
        <v>102</v>
      </c>
      <c r="N133" t="s">
        <v>29</v>
      </c>
      <c r="O133" t="s">
        <v>84</v>
      </c>
      <c r="P133" t="s">
        <v>85</v>
      </c>
      <c r="Q133" s="33" t="s">
        <v>29</v>
      </c>
    </row>
    <row r="134" spans="1:17" ht="16" x14ac:dyDescent="0.2">
      <c r="A134" t="s">
        <v>152</v>
      </c>
      <c r="B134" s="1" t="str">
        <f>VLOOKUP(Tabella1[[#This Row],[test_id]],experiments_specs!A:J,2,FALSE)</f>
        <v>NN,RB</v>
      </c>
      <c r="C134" s="1">
        <f>VLOOKUP(Tabella1[[#This Row],[test_id]],experiments_specs!A:J,3,FALSE)</f>
        <v>1</v>
      </c>
      <c r="D134" s="1">
        <f>VLOOKUP(Tabella1[[#This Row],[test_id]],experiments_specs!A:J,4,FALSE)</f>
        <v>2</v>
      </c>
      <c r="E134" s="1" t="str">
        <f>VLOOKUP(Tabella1[[#This Row],[test_id]],experiments_specs!A:J,5,FALSE)</f>
        <v>True</v>
      </c>
      <c r="F134" s="1" t="str">
        <f>VLOOKUP(Tabella1[[#This Row],[test_id]],experiments_specs!A:J,6,FALSE)</f>
        <v>True</v>
      </c>
      <c r="G134" s="1" t="str">
        <f>VLOOKUP(Tabella1[[#This Row],[test_id]],experiments_specs!A:J,7,FALSE)</f>
        <v>False</v>
      </c>
      <c r="H134" s="1" t="str">
        <f>VLOOKUP(Tabella1[[#This Row],[test_id]],experiments_specs!A:J,8,FALSE)</f>
        <v>False</v>
      </c>
      <c r="I134" s="1" t="str">
        <f>VLOOKUP(Tabella1[[#This Row],[test_id]],experiments_specs!A:J,9,FALSE)</f>
        <v>wup_similarity</v>
      </c>
      <c r="J134" s="1" t="str">
        <f>VLOOKUP(Tabella1[[#This Row],[test_id]],experiments_specs!A:J,10,FALSE)</f>
        <v>True</v>
      </c>
      <c r="K134" t="s">
        <v>14</v>
      </c>
      <c r="L134" t="s">
        <v>86</v>
      </c>
      <c r="M134" t="s">
        <v>87</v>
      </c>
      <c r="N134">
        <v>0.33333333333333331</v>
      </c>
      <c r="O134" t="s">
        <v>88</v>
      </c>
      <c r="P134" t="s">
        <v>87</v>
      </c>
      <c r="Q134" s="33">
        <v>0.33333333333333331</v>
      </c>
    </row>
    <row r="135" spans="1:17" ht="16" x14ac:dyDescent="0.2">
      <c r="A135" t="s">
        <v>152</v>
      </c>
      <c r="B135" s="1" t="str">
        <f>VLOOKUP(Tabella1[[#This Row],[test_id]],experiments_specs!A:J,2,FALSE)</f>
        <v>NN,RB</v>
      </c>
      <c r="C135" s="1">
        <f>VLOOKUP(Tabella1[[#This Row],[test_id]],experiments_specs!A:J,3,FALSE)</f>
        <v>1</v>
      </c>
      <c r="D135" s="1">
        <f>VLOOKUP(Tabella1[[#This Row],[test_id]],experiments_specs!A:J,4,FALSE)</f>
        <v>2</v>
      </c>
      <c r="E135" s="1" t="str">
        <f>VLOOKUP(Tabella1[[#This Row],[test_id]],experiments_specs!A:J,5,FALSE)</f>
        <v>True</v>
      </c>
      <c r="F135" s="1" t="str">
        <f>VLOOKUP(Tabella1[[#This Row],[test_id]],experiments_specs!A:J,6,FALSE)</f>
        <v>True</v>
      </c>
      <c r="G135" s="1" t="str">
        <f>VLOOKUP(Tabella1[[#This Row],[test_id]],experiments_specs!A:J,7,FALSE)</f>
        <v>False</v>
      </c>
      <c r="H135" s="1" t="str">
        <f>VLOOKUP(Tabella1[[#This Row],[test_id]],experiments_specs!A:J,8,FALSE)</f>
        <v>False</v>
      </c>
      <c r="I135" s="1" t="str">
        <f>VLOOKUP(Tabella1[[#This Row],[test_id]],experiments_specs!A:J,9,FALSE)</f>
        <v>wup_similarity</v>
      </c>
      <c r="J135" s="1" t="str">
        <f>VLOOKUP(Tabella1[[#This Row],[test_id]],experiments_specs!A:J,10,FALSE)</f>
        <v>True</v>
      </c>
      <c r="K135" t="s">
        <v>15</v>
      </c>
      <c r="L135" t="s">
        <v>34</v>
      </c>
      <c r="M135" t="s">
        <v>35</v>
      </c>
      <c r="N135">
        <v>0.16666666666666666</v>
      </c>
      <c r="O135" t="s">
        <v>36</v>
      </c>
      <c r="P135" t="s">
        <v>37</v>
      </c>
      <c r="Q135" s="33">
        <v>0.18181818181818182</v>
      </c>
    </row>
    <row r="136" spans="1:17" ht="16" x14ac:dyDescent="0.2">
      <c r="A136" t="s">
        <v>152</v>
      </c>
      <c r="B136" s="1" t="str">
        <f>VLOOKUP(Tabella1[[#This Row],[test_id]],experiments_specs!A:J,2,FALSE)</f>
        <v>NN,RB</v>
      </c>
      <c r="C136" s="1">
        <f>VLOOKUP(Tabella1[[#This Row],[test_id]],experiments_specs!A:J,3,FALSE)</f>
        <v>1</v>
      </c>
      <c r="D136" s="1">
        <f>VLOOKUP(Tabella1[[#This Row],[test_id]],experiments_specs!A:J,4,FALSE)</f>
        <v>2</v>
      </c>
      <c r="E136" s="1" t="str">
        <f>VLOOKUP(Tabella1[[#This Row],[test_id]],experiments_specs!A:J,5,FALSE)</f>
        <v>True</v>
      </c>
      <c r="F136" s="1" t="str">
        <f>VLOOKUP(Tabella1[[#This Row],[test_id]],experiments_specs!A:J,6,FALSE)</f>
        <v>True</v>
      </c>
      <c r="G136" s="1" t="str">
        <f>VLOOKUP(Tabella1[[#This Row],[test_id]],experiments_specs!A:J,7,FALSE)</f>
        <v>False</v>
      </c>
      <c r="H136" s="1" t="str">
        <f>VLOOKUP(Tabella1[[#This Row],[test_id]],experiments_specs!A:J,8,FALSE)</f>
        <v>False</v>
      </c>
      <c r="I136" s="1" t="str">
        <f>VLOOKUP(Tabella1[[#This Row],[test_id]],experiments_specs!A:J,9,FALSE)</f>
        <v>wup_similarity</v>
      </c>
      <c r="J136" s="1" t="str">
        <f>VLOOKUP(Tabella1[[#This Row],[test_id]],experiments_specs!A:J,10,FALSE)</f>
        <v>True</v>
      </c>
      <c r="K136" t="s">
        <v>16</v>
      </c>
      <c r="L136" t="s">
        <v>90</v>
      </c>
      <c r="M136" t="s">
        <v>91</v>
      </c>
      <c r="N136">
        <v>0.22222222222222221</v>
      </c>
      <c r="O136" t="s">
        <v>92</v>
      </c>
      <c r="P136" t="s">
        <v>91</v>
      </c>
      <c r="Q136" s="33">
        <v>0.22222222222222221</v>
      </c>
    </row>
    <row r="137" spans="1:17" ht="16" x14ac:dyDescent="0.2">
      <c r="A137" t="s">
        <v>152</v>
      </c>
      <c r="B137" s="1" t="str">
        <f>VLOOKUP(Tabella1[[#This Row],[test_id]],experiments_specs!A:J,2,FALSE)</f>
        <v>NN,RB</v>
      </c>
      <c r="C137" s="1">
        <f>VLOOKUP(Tabella1[[#This Row],[test_id]],experiments_specs!A:J,3,FALSE)</f>
        <v>1</v>
      </c>
      <c r="D137" s="1">
        <f>VLOOKUP(Tabella1[[#This Row],[test_id]],experiments_specs!A:J,4,FALSE)</f>
        <v>2</v>
      </c>
      <c r="E137" s="1" t="str">
        <f>VLOOKUP(Tabella1[[#This Row],[test_id]],experiments_specs!A:J,5,FALSE)</f>
        <v>True</v>
      </c>
      <c r="F137" s="1" t="str">
        <f>VLOOKUP(Tabella1[[#This Row],[test_id]],experiments_specs!A:J,6,FALSE)</f>
        <v>True</v>
      </c>
      <c r="G137" s="1" t="str">
        <f>VLOOKUP(Tabella1[[#This Row],[test_id]],experiments_specs!A:J,7,FALSE)</f>
        <v>False</v>
      </c>
      <c r="H137" s="1" t="str">
        <f>VLOOKUP(Tabella1[[#This Row],[test_id]],experiments_specs!A:J,8,FALSE)</f>
        <v>False</v>
      </c>
      <c r="I137" s="1" t="str">
        <f>VLOOKUP(Tabella1[[#This Row],[test_id]],experiments_specs!A:J,9,FALSE)</f>
        <v>wup_similarity</v>
      </c>
      <c r="J137" s="1" t="str">
        <f>VLOOKUP(Tabella1[[#This Row],[test_id]],experiments_specs!A:J,10,FALSE)</f>
        <v>True</v>
      </c>
      <c r="K137" t="s">
        <v>17</v>
      </c>
      <c r="L137" t="s">
        <v>93</v>
      </c>
      <c r="M137" t="s">
        <v>94</v>
      </c>
      <c r="N137">
        <v>0.30769230769230771</v>
      </c>
      <c r="O137" t="s">
        <v>95</v>
      </c>
      <c r="P137" t="s">
        <v>94</v>
      </c>
      <c r="Q137" s="33">
        <v>0.30769230769230771</v>
      </c>
    </row>
    <row r="138" spans="1:17" ht="16" x14ac:dyDescent="0.2">
      <c r="A138" t="s">
        <v>152</v>
      </c>
      <c r="B138" s="1" t="str">
        <f>VLOOKUP(Tabella1[[#This Row],[test_id]],experiments_specs!A:J,2,FALSE)</f>
        <v>NN,RB</v>
      </c>
      <c r="C138" s="1">
        <f>VLOOKUP(Tabella1[[#This Row],[test_id]],experiments_specs!A:J,3,FALSE)</f>
        <v>1</v>
      </c>
      <c r="D138" s="1">
        <f>VLOOKUP(Tabella1[[#This Row],[test_id]],experiments_specs!A:J,4,FALSE)</f>
        <v>2</v>
      </c>
      <c r="E138" s="1" t="str">
        <f>VLOOKUP(Tabella1[[#This Row],[test_id]],experiments_specs!A:J,5,FALSE)</f>
        <v>True</v>
      </c>
      <c r="F138" s="1" t="str">
        <f>VLOOKUP(Tabella1[[#This Row],[test_id]],experiments_specs!A:J,6,FALSE)</f>
        <v>True</v>
      </c>
      <c r="G138" s="1" t="str">
        <f>VLOOKUP(Tabella1[[#This Row],[test_id]],experiments_specs!A:J,7,FALSE)</f>
        <v>False</v>
      </c>
      <c r="H138" s="1" t="str">
        <f>VLOOKUP(Tabella1[[#This Row],[test_id]],experiments_specs!A:J,8,FALSE)</f>
        <v>False</v>
      </c>
      <c r="I138" s="1" t="str">
        <f>VLOOKUP(Tabella1[[#This Row],[test_id]],experiments_specs!A:J,9,FALSE)</f>
        <v>wup_similarity</v>
      </c>
      <c r="J138" s="1" t="str">
        <f>VLOOKUP(Tabella1[[#This Row],[test_id]],experiments_specs!A:J,10,FALSE)</f>
        <v>True</v>
      </c>
      <c r="K138" t="s">
        <v>18</v>
      </c>
      <c r="L138" t="s">
        <v>96</v>
      </c>
      <c r="M138" t="s">
        <v>97</v>
      </c>
      <c r="N138">
        <v>0.21052631578947367</v>
      </c>
      <c r="O138" t="s">
        <v>98</v>
      </c>
      <c r="P138" t="s">
        <v>97</v>
      </c>
      <c r="Q138" s="33">
        <v>0.21052631578947367</v>
      </c>
    </row>
    <row r="139" spans="1:17" ht="16" x14ac:dyDescent="0.2">
      <c r="A139" t="s">
        <v>153</v>
      </c>
      <c r="B139" s="1" t="str">
        <f>VLOOKUP(Tabella1[[#This Row],[test_id]],experiments_specs!A:J,2,FALSE)</f>
        <v>NN,JJ,VB,VBD,VBG,VBN,VBP,VBZ</v>
      </c>
      <c r="C139" s="1">
        <f>VLOOKUP(Tabella1[[#This Row],[test_id]],experiments_specs!A:J,3,FALSE)</f>
        <v>1</v>
      </c>
      <c r="D139" s="1">
        <f>VLOOKUP(Tabella1[[#This Row],[test_id]],experiments_specs!A:J,4,FALSE)</f>
        <v>2</v>
      </c>
      <c r="E139" s="1" t="str">
        <f>VLOOKUP(Tabella1[[#This Row],[test_id]],experiments_specs!A:J,5,FALSE)</f>
        <v>True</v>
      </c>
      <c r="F139" s="1" t="str">
        <f>VLOOKUP(Tabella1[[#This Row],[test_id]],experiments_specs!A:J,6,FALSE)</f>
        <v>True</v>
      </c>
      <c r="G139" s="1" t="str">
        <f>VLOOKUP(Tabella1[[#This Row],[test_id]],experiments_specs!A:J,7,FALSE)</f>
        <v>False</v>
      </c>
      <c r="H139" s="1" t="str">
        <f>VLOOKUP(Tabella1[[#This Row],[test_id]],experiments_specs!A:J,8,FALSE)</f>
        <v>False</v>
      </c>
      <c r="I139" s="1" t="str">
        <f>VLOOKUP(Tabella1[[#This Row],[test_id]],experiments_specs!A:J,9,FALSE)</f>
        <v>wup_similarity</v>
      </c>
      <c r="J139" s="1" t="str">
        <f>VLOOKUP(Tabella1[[#This Row],[test_id]],experiments_specs!A:J,10,FALSE)</f>
        <v>True</v>
      </c>
      <c r="K139" t="s">
        <v>19</v>
      </c>
      <c r="L139" t="s">
        <v>59</v>
      </c>
      <c r="M139" t="s">
        <v>60</v>
      </c>
      <c r="N139">
        <v>0.17391304347826086</v>
      </c>
      <c r="O139" t="s">
        <v>49</v>
      </c>
      <c r="P139" t="s">
        <v>60</v>
      </c>
      <c r="Q139" s="33">
        <v>0.17391304347826086</v>
      </c>
    </row>
    <row r="140" spans="1:17" ht="16" x14ac:dyDescent="0.2">
      <c r="A140" t="s">
        <v>153</v>
      </c>
      <c r="B140" s="1" t="str">
        <f>VLOOKUP(Tabella1[[#This Row],[test_id]],experiments_specs!A:J,2,FALSE)</f>
        <v>NN,JJ,VB,VBD,VBG,VBN,VBP,VBZ</v>
      </c>
      <c r="C140" s="1">
        <f>VLOOKUP(Tabella1[[#This Row],[test_id]],experiments_specs!A:J,3,FALSE)</f>
        <v>1</v>
      </c>
      <c r="D140" s="1">
        <f>VLOOKUP(Tabella1[[#This Row],[test_id]],experiments_specs!A:J,4,FALSE)</f>
        <v>2</v>
      </c>
      <c r="E140" s="1" t="str">
        <f>VLOOKUP(Tabella1[[#This Row],[test_id]],experiments_specs!A:J,5,FALSE)</f>
        <v>True</v>
      </c>
      <c r="F140" s="1" t="str">
        <f>VLOOKUP(Tabella1[[#This Row],[test_id]],experiments_specs!A:J,6,FALSE)</f>
        <v>True</v>
      </c>
      <c r="G140" s="1" t="str">
        <f>VLOOKUP(Tabella1[[#This Row],[test_id]],experiments_specs!A:J,7,FALSE)</f>
        <v>False</v>
      </c>
      <c r="H140" s="1" t="str">
        <f>VLOOKUP(Tabella1[[#This Row],[test_id]],experiments_specs!A:J,8,FALSE)</f>
        <v>False</v>
      </c>
      <c r="I140" s="1" t="str">
        <f>VLOOKUP(Tabella1[[#This Row],[test_id]],experiments_specs!A:J,9,FALSE)</f>
        <v>wup_similarity</v>
      </c>
      <c r="J140" s="1" t="str">
        <f>VLOOKUP(Tabella1[[#This Row],[test_id]],experiments_specs!A:J,10,FALSE)</f>
        <v>True</v>
      </c>
      <c r="K140" t="s">
        <v>12</v>
      </c>
      <c r="L140" t="s">
        <v>24</v>
      </c>
      <c r="M140" t="s">
        <v>25</v>
      </c>
      <c r="N140">
        <v>0.42857142857142855</v>
      </c>
      <c r="O140" t="s">
        <v>26</v>
      </c>
      <c r="P140" t="s">
        <v>25</v>
      </c>
      <c r="Q140" s="33">
        <v>0.42857142857142855</v>
      </c>
    </row>
    <row r="141" spans="1:17" ht="16" x14ac:dyDescent="0.2">
      <c r="A141" t="s">
        <v>153</v>
      </c>
      <c r="B141" s="1" t="str">
        <f>VLOOKUP(Tabella1[[#This Row],[test_id]],experiments_specs!A:J,2,FALSE)</f>
        <v>NN,JJ,VB,VBD,VBG,VBN,VBP,VBZ</v>
      </c>
      <c r="C141" s="1">
        <f>VLOOKUP(Tabella1[[#This Row],[test_id]],experiments_specs!A:J,3,FALSE)</f>
        <v>1</v>
      </c>
      <c r="D141" s="1">
        <f>VLOOKUP(Tabella1[[#This Row],[test_id]],experiments_specs!A:J,4,FALSE)</f>
        <v>2</v>
      </c>
      <c r="E141" s="1" t="str">
        <f>VLOOKUP(Tabella1[[#This Row],[test_id]],experiments_specs!A:J,5,FALSE)</f>
        <v>True</v>
      </c>
      <c r="F141" s="1" t="str">
        <f>VLOOKUP(Tabella1[[#This Row],[test_id]],experiments_specs!A:J,6,FALSE)</f>
        <v>True</v>
      </c>
      <c r="G141" s="1" t="str">
        <f>VLOOKUP(Tabella1[[#This Row],[test_id]],experiments_specs!A:J,7,FALSE)</f>
        <v>False</v>
      </c>
      <c r="H141" s="1" t="str">
        <f>VLOOKUP(Tabella1[[#This Row],[test_id]],experiments_specs!A:J,8,FALSE)</f>
        <v>False</v>
      </c>
      <c r="I141" s="1" t="str">
        <f>VLOOKUP(Tabella1[[#This Row],[test_id]],experiments_specs!A:J,9,FALSE)</f>
        <v>wup_similarity</v>
      </c>
      <c r="J141" s="1" t="str">
        <f>VLOOKUP(Tabella1[[#This Row],[test_id]],experiments_specs!A:J,10,FALSE)</f>
        <v>True</v>
      </c>
      <c r="K141" t="s">
        <v>13</v>
      </c>
      <c r="L141" t="s">
        <v>101</v>
      </c>
      <c r="M141" t="s">
        <v>102</v>
      </c>
      <c r="N141" t="s">
        <v>29</v>
      </c>
      <c r="O141" t="s">
        <v>103</v>
      </c>
      <c r="P141" t="s">
        <v>104</v>
      </c>
      <c r="Q141" s="33" t="s">
        <v>29</v>
      </c>
    </row>
    <row r="142" spans="1:17" ht="16" x14ac:dyDescent="0.2">
      <c r="A142" t="s">
        <v>153</v>
      </c>
      <c r="B142" s="1" t="str">
        <f>VLOOKUP(Tabella1[[#This Row],[test_id]],experiments_specs!A:J,2,FALSE)</f>
        <v>NN,JJ,VB,VBD,VBG,VBN,VBP,VBZ</v>
      </c>
      <c r="C142" s="1">
        <f>VLOOKUP(Tabella1[[#This Row],[test_id]],experiments_specs!A:J,3,FALSE)</f>
        <v>1</v>
      </c>
      <c r="D142" s="1">
        <f>VLOOKUP(Tabella1[[#This Row],[test_id]],experiments_specs!A:J,4,FALSE)</f>
        <v>2</v>
      </c>
      <c r="E142" s="1" t="str">
        <f>VLOOKUP(Tabella1[[#This Row],[test_id]],experiments_specs!A:J,5,FALSE)</f>
        <v>True</v>
      </c>
      <c r="F142" s="1" t="str">
        <f>VLOOKUP(Tabella1[[#This Row],[test_id]],experiments_specs!A:J,6,FALSE)</f>
        <v>True</v>
      </c>
      <c r="G142" s="1" t="str">
        <f>VLOOKUP(Tabella1[[#This Row],[test_id]],experiments_specs!A:J,7,FALSE)</f>
        <v>False</v>
      </c>
      <c r="H142" s="1" t="str">
        <f>VLOOKUP(Tabella1[[#This Row],[test_id]],experiments_specs!A:J,8,FALSE)</f>
        <v>False</v>
      </c>
      <c r="I142" s="1" t="str">
        <f>VLOOKUP(Tabella1[[#This Row],[test_id]],experiments_specs!A:J,9,FALSE)</f>
        <v>wup_similarity</v>
      </c>
      <c r="J142" s="1" t="str">
        <f>VLOOKUP(Tabella1[[#This Row],[test_id]],experiments_specs!A:J,10,FALSE)</f>
        <v>True</v>
      </c>
      <c r="K142" t="s">
        <v>14</v>
      </c>
      <c r="L142" t="s">
        <v>86</v>
      </c>
      <c r="M142" t="s">
        <v>87</v>
      </c>
      <c r="N142">
        <v>0.33333333333333331</v>
      </c>
      <c r="O142" t="s">
        <v>88</v>
      </c>
      <c r="P142" t="s">
        <v>87</v>
      </c>
      <c r="Q142" s="33">
        <v>0.33333333333333331</v>
      </c>
    </row>
    <row r="143" spans="1:17" ht="16" x14ac:dyDescent="0.2">
      <c r="A143" t="s">
        <v>153</v>
      </c>
      <c r="B143" s="1" t="str">
        <f>VLOOKUP(Tabella1[[#This Row],[test_id]],experiments_specs!A:J,2,FALSE)</f>
        <v>NN,JJ,VB,VBD,VBG,VBN,VBP,VBZ</v>
      </c>
      <c r="C143" s="1">
        <f>VLOOKUP(Tabella1[[#This Row],[test_id]],experiments_specs!A:J,3,FALSE)</f>
        <v>1</v>
      </c>
      <c r="D143" s="1">
        <f>VLOOKUP(Tabella1[[#This Row],[test_id]],experiments_specs!A:J,4,FALSE)</f>
        <v>2</v>
      </c>
      <c r="E143" s="1" t="str">
        <f>VLOOKUP(Tabella1[[#This Row],[test_id]],experiments_specs!A:J,5,FALSE)</f>
        <v>True</v>
      </c>
      <c r="F143" s="1" t="str">
        <f>VLOOKUP(Tabella1[[#This Row],[test_id]],experiments_specs!A:J,6,FALSE)</f>
        <v>True</v>
      </c>
      <c r="G143" s="1" t="str">
        <f>VLOOKUP(Tabella1[[#This Row],[test_id]],experiments_specs!A:J,7,FALSE)</f>
        <v>False</v>
      </c>
      <c r="H143" s="1" t="str">
        <f>VLOOKUP(Tabella1[[#This Row],[test_id]],experiments_specs!A:J,8,FALSE)</f>
        <v>False</v>
      </c>
      <c r="I143" s="1" t="str">
        <f>VLOOKUP(Tabella1[[#This Row],[test_id]],experiments_specs!A:J,9,FALSE)</f>
        <v>wup_similarity</v>
      </c>
      <c r="J143" s="1" t="str">
        <f>VLOOKUP(Tabella1[[#This Row],[test_id]],experiments_specs!A:J,10,FALSE)</f>
        <v>True</v>
      </c>
      <c r="K143" t="s">
        <v>15</v>
      </c>
      <c r="L143" t="s">
        <v>34</v>
      </c>
      <c r="M143" t="s">
        <v>35</v>
      </c>
      <c r="N143">
        <v>0.16666666666666666</v>
      </c>
      <c r="O143" t="s">
        <v>15</v>
      </c>
      <c r="P143" t="s">
        <v>89</v>
      </c>
      <c r="Q143" s="33">
        <v>0.90909090909090906</v>
      </c>
    </row>
    <row r="144" spans="1:17" ht="16" x14ac:dyDescent="0.2">
      <c r="A144" t="s">
        <v>153</v>
      </c>
      <c r="B144" s="1" t="str">
        <f>VLOOKUP(Tabella1[[#This Row],[test_id]],experiments_specs!A:J,2,FALSE)</f>
        <v>NN,JJ,VB,VBD,VBG,VBN,VBP,VBZ</v>
      </c>
      <c r="C144" s="1">
        <f>VLOOKUP(Tabella1[[#This Row],[test_id]],experiments_specs!A:J,3,FALSE)</f>
        <v>1</v>
      </c>
      <c r="D144" s="1">
        <f>VLOOKUP(Tabella1[[#This Row],[test_id]],experiments_specs!A:J,4,FALSE)</f>
        <v>2</v>
      </c>
      <c r="E144" s="1" t="str">
        <f>VLOOKUP(Tabella1[[#This Row],[test_id]],experiments_specs!A:J,5,FALSE)</f>
        <v>True</v>
      </c>
      <c r="F144" s="1" t="str">
        <f>VLOOKUP(Tabella1[[#This Row],[test_id]],experiments_specs!A:J,6,FALSE)</f>
        <v>True</v>
      </c>
      <c r="G144" s="1" t="str">
        <f>VLOOKUP(Tabella1[[#This Row],[test_id]],experiments_specs!A:J,7,FALSE)</f>
        <v>False</v>
      </c>
      <c r="H144" s="1" t="str">
        <f>VLOOKUP(Tabella1[[#This Row],[test_id]],experiments_specs!A:J,8,FALSE)</f>
        <v>False</v>
      </c>
      <c r="I144" s="1" t="str">
        <f>VLOOKUP(Tabella1[[#This Row],[test_id]],experiments_specs!A:J,9,FALSE)</f>
        <v>wup_similarity</v>
      </c>
      <c r="J144" s="1" t="str">
        <f>VLOOKUP(Tabella1[[#This Row],[test_id]],experiments_specs!A:J,10,FALSE)</f>
        <v>True</v>
      </c>
      <c r="K144" t="s">
        <v>16</v>
      </c>
      <c r="L144" t="s">
        <v>90</v>
      </c>
      <c r="M144" t="s">
        <v>91</v>
      </c>
      <c r="N144">
        <v>0.22222222222222221</v>
      </c>
      <c r="O144" t="s">
        <v>92</v>
      </c>
      <c r="P144" t="s">
        <v>91</v>
      </c>
      <c r="Q144" s="33">
        <v>0.22222222222222221</v>
      </c>
    </row>
    <row r="145" spans="1:17" ht="16" x14ac:dyDescent="0.2">
      <c r="A145" t="s">
        <v>153</v>
      </c>
      <c r="B145" s="1" t="str">
        <f>VLOOKUP(Tabella1[[#This Row],[test_id]],experiments_specs!A:J,2,FALSE)</f>
        <v>NN,JJ,VB,VBD,VBG,VBN,VBP,VBZ</v>
      </c>
      <c r="C145" s="1">
        <f>VLOOKUP(Tabella1[[#This Row],[test_id]],experiments_specs!A:J,3,FALSE)</f>
        <v>1</v>
      </c>
      <c r="D145" s="1">
        <f>VLOOKUP(Tabella1[[#This Row],[test_id]],experiments_specs!A:J,4,FALSE)</f>
        <v>2</v>
      </c>
      <c r="E145" s="1" t="str">
        <f>VLOOKUP(Tabella1[[#This Row],[test_id]],experiments_specs!A:J,5,FALSE)</f>
        <v>True</v>
      </c>
      <c r="F145" s="1" t="str">
        <f>VLOOKUP(Tabella1[[#This Row],[test_id]],experiments_specs!A:J,6,FALSE)</f>
        <v>True</v>
      </c>
      <c r="G145" s="1" t="str">
        <f>VLOOKUP(Tabella1[[#This Row],[test_id]],experiments_specs!A:J,7,FALSE)</f>
        <v>False</v>
      </c>
      <c r="H145" s="1" t="str">
        <f>VLOOKUP(Tabella1[[#This Row],[test_id]],experiments_specs!A:J,8,FALSE)</f>
        <v>False</v>
      </c>
      <c r="I145" s="1" t="str">
        <f>VLOOKUP(Tabella1[[#This Row],[test_id]],experiments_specs!A:J,9,FALSE)</f>
        <v>wup_similarity</v>
      </c>
      <c r="J145" s="1" t="str">
        <f>VLOOKUP(Tabella1[[#This Row],[test_id]],experiments_specs!A:J,10,FALSE)</f>
        <v>True</v>
      </c>
      <c r="K145" t="s">
        <v>17</v>
      </c>
      <c r="L145" t="s">
        <v>93</v>
      </c>
      <c r="M145" t="s">
        <v>94</v>
      </c>
      <c r="N145">
        <v>0.30769230769230771</v>
      </c>
      <c r="O145" t="s">
        <v>95</v>
      </c>
      <c r="P145" t="s">
        <v>94</v>
      </c>
      <c r="Q145" s="33">
        <v>0.30769230769230771</v>
      </c>
    </row>
    <row r="146" spans="1:17" ht="16" x14ac:dyDescent="0.2">
      <c r="A146" t="s">
        <v>153</v>
      </c>
      <c r="B146" s="1" t="str">
        <f>VLOOKUP(Tabella1[[#This Row],[test_id]],experiments_specs!A:J,2,FALSE)</f>
        <v>NN,JJ,VB,VBD,VBG,VBN,VBP,VBZ</v>
      </c>
      <c r="C146" s="1">
        <f>VLOOKUP(Tabella1[[#This Row],[test_id]],experiments_specs!A:J,3,FALSE)</f>
        <v>1</v>
      </c>
      <c r="D146" s="1">
        <f>VLOOKUP(Tabella1[[#This Row],[test_id]],experiments_specs!A:J,4,FALSE)</f>
        <v>2</v>
      </c>
      <c r="E146" s="1" t="str">
        <f>VLOOKUP(Tabella1[[#This Row],[test_id]],experiments_specs!A:J,5,FALSE)</f>
        <v>True</v>
      </c>
      <c r="F146" s="1" t="str">
        <f>VLOOKUP(Tabella1[[#This Row],[test_id]],experiments_specs!A:J,6,FALSE)</f>
        <v>True</v>
      </c>
      <c r="G146" s="1" t="str">
        <f>VLOOKUP(Tabella1[[#This Row],[test_id]],experiments_specs!A:J,7,FALSE)</f>
        <v>False</v>
      </c>
      <c r="H146" s="1" t="str">
        <f>VLOOKUP(Tabella1[[#This Row],[test_id]],experiments_specs!A:J,8,FALSE)</f>
        <v>False</v>
      </c>
      <c r="I146" s="1" t="str">
        <f>VLOOKUP(Tabella1[[#This Row],[test_id]],experiments_specs!A:J,9,FALSE)</f>
        <v>wup_similarity</v>
      </c>
      <c r="J146" s="1" t="str">
        <f>VLOOKUP(Tabella1[[#This Row],[test_id]],experiments_specs!A:J,10,FALSE)</f>
        <v>True</v>
      </c>
      <c r="K146" t="s">
        <v>18</v>
      </c>
      <c r="L146" t="s">
        <v>96</v>
      </c>
      <c r="M146" t="s">
        <v>97</v>
      </c>
      <c r="N146">
        <v>0.21052631578947367</v>
      </c>
      <c r="O146" t="s">
        <v>98</v>
      </c>
      <c r="P146" t="s">
        <v>97</v>
      </c>
      <c r="Q146" s="33">
        <v>0.21052631578947367</v>
      </c>
    </row>
    <row r="147" spans="1:17" ht="16" x14ac:dyDescent="0.2">
      <c r="A147" t="s">
        <v>154</v>
      </c>
      <c r="B147" s="1" t="str">
        <f>VLOOKUP(Tabella1[[#This Row],[test_id]],experiments_specs!A:J,2,FALSE)</f>
        <v>NN</v>
      </c>
      <c r="C147" s="1">
        <f>VLOOKUP(Tabella1[[#This Row],[test_id]],experiments_specs!A:J,3,FALSE)</f>
        <v>1</v>
      </c>
      <c r="D147" s="1">
        <f>VLOOKUP(Tabella1[[#This Row],[test_id]],experiments_specs!A:J,4,FALSE)</f>
        <v>2</v>
      </c>
      <c r="E147" s="1" t="str">
        <f>VLOOKUP(Tabella1[[#This Row],[test_id]],experiments_specs!A:J,5,FALSE)</f>
        <v>False</v>
      </c>
      <c r="F147" s="1" t="str">
        <f>VLOOKUP(Tabella1[[#This Row],[test_id]],experiments_specs!A:J,6,FALSE)</f>
        <v>True</v>
      </c>
      <c r="G147" s="1" t="str">
        <f>VLOOKUP(Tabella1[[#This Row],[test_id]],experiments_specs!A:J,7,FALSE)</f>
        <v>True</v>
      </c>
      <c r="H147" s="1" t="str">
        <f>VLOOKUP(Tabella1[[#This Row],[test_id]],experiments_specs!A:J,8,FALSE)</f>
        <v>False</v>
      </c>
      <c r="I147" s="1" t="str">
        <f>VLOOKUP(Tabella1[[#This Row],[test_id]],experiments_specs!A:J,9,FALSE)</f>
        <v>wup_similarity</v>
      </c>
      <c r="J147" s="1" t="str">
        <f>VLOOKUP(Tabella1[[#This Row],[test_id]],experiments_specs!A:J,10,FALSE)</f>
        <v>False</v>
      </c>
      <c r="K147" t="s">
        <v>19</v>
      </c>
      <c r="L147" t="s">
        <v>50</v>
      </c>
      <c r="M147" t="s">
        <v>49</v>
      </c>
      <c r="N147">
        <v>0.19047619047619047</v>
      </c>
      <c r="O147" t="s">
        <v>22</v>
      </c>
      <c r="P147" t="s">
        <v>23</v>
      </c>
      <c r="Q147" s="33">
        <v>9.5238095238095233E-2</v>
      </c>
    </row>
    <row r="148" spans="1:17" ht="16" x14ac:dyDescent="0.2">
      <c r="A148" t="s">
        <v>154</v>
      </c>
      <c r="B148" s="1" t="str">
        <f>VLOOKUP(Tabella1[[#This Row],[test_id]],experiments_specs!A:J,2,FALSE)</f>
        <v>NN</v>
      </c>
      <c r="C148" s="1">
        <f>VLOOKUP(Tabella1[[#This Row],[test_id]],experiments_specs!A:J,3,FALSE)</f>
        <v>1</v>
      </c>
      <c r="D148" s="1">
        <f>VLOOKUP(Tabella1[[#This Row],[test_id]],experiments_specs!A:J,4,FALSE)</f>
        <v>2</v>
      </c>
      <c r="E148" s="1" t="str">
        <f>VLOOKUP(Tabella1[[#This Row],[test_id]],experiments_specs!A:J,5,FALSE)</f>
        <v>False</v>
      </c>
      <c r="F148" s="1" t="str">
        <f>VLOOKUP(Tabella1[[#This Row],[test_id]],experiments_specs!A:J,6,FALSE)</f>
        <v>True</v>
      </c>
      <c r="G148" s="1" t="str">
        <f>VLOOKUP(Tabella1[[#This Row],[test_id]],experiments_specs!A:J,7,FALSE)</f>
        <v>True</v>
      </c>
      <c r="H148" s="1" t="str">
        <f>VLOOKUP(Tabella1[[#This Row],[test_id]],experiments_specs!A:J,8,FALSE)</f>
        <v>False</v>
      </c>
      <c r="I148" s="1" t="str">
        <f>VLOOKUP(Tabella1[[#This Row],[test_id]],experiments_specs!A:J,9,FALSE)</f>
        <v>wup_similarity</v>
      </c>
      <c r="J148" s="1" t="str">
        <f>VLOOKUP(Tabella1[[#This Row],[test_id]],experiments_specs!A:J,10,FALSE)</f>
        <v>False</v>
      </c>
      <c r="K148" t="s">
        <v>12</v>
      </c>
      <c r="L148" t="s">
        <v>51</v>
      </c>
      <c r="M148" t="s">
        <v>52</v>
      </c>
      <c r="N148">
        <v>0.42857142857142855</v>
      </c>
      <c r="O148" t="s">
        <v>53</v>
      </c>
      <c r="P148" t="s">
        <v>54</v>
      </c>
      <c r="Q148" s="33">
        <v>0.2857142857142857</v>
      </c>
    </row>
    <row r="149" spans="1:17" ht="16" x14ac:dyDescent="0.2">
      <c r="A149" t="s">
        <v>154</v>
      </c>
      <c r="B149" s="1" t="str">
        <f>VLOOKUP(Tabella1[[#This Row],[test_id]],experiments_specs!A:J,2,FALSE)</f>
        <v>NN</v>
      </c>
      <c r="C149" s="1">
        <f>VLOOKUP(Tabella1[[#This Row],[test_id]],experiments_specs!A:J,3,FALSE)</f>
        <v>1</v>
      </c>
      <c r="D149" s="1">
        <f>VLOOKUP(Tabella1[[#This Row],[test_id]],experiments_specs!A:J,4,FALSE)</f>
        <v>2</v>
      </c>
      <c r="E149" s="1" t="str">
        <f>VLOOKUP(Tabella1[[#This Row],[test_id]],experiments_specs!A:J,5,FALSE)</f>
        <v>False</v>
      </c>
      <c r="F149" s="1" t="str">
        <f>VLOOKUP(Tabella1[[#This Row],[test_id]],experiments_specs!A:J,6,FALSE)</f>
        <v>True</v>
      </c>
      <c r="G149" s="1" t="str">
        <f>VLOOKUP(Tabella1[[#This Row],[test_id]],experiments_specs!A:J,7,FALSE)</f>
        <v>True</v>
      </c>
      <c r="H149" s="1" t="str">
        <f>VLOOKUP(Tabella1[[#This Row],[test_id]],experiments_specs!A:J,8,FALSE)</f>
        <v>False</v>
      </c>
      <c r="I149" s="1" t="str">
        <f>VLOOKUP(Tabella1[[#This Row],[test_id]],experiments_specs!A:J,9,FALSE)</f>
        <v>wup_similarity</v>
      </c>
      <c r="J149" s="1" t="str">
        <f>VLOOKUP(Tabella1[[#This Row],[test_id]],experiments_specs!A:J,10,FALSE)</f>
        <v>False</v>
      </c>
      <c r="K149" t="s">
        <v>13</v>
      </c>
      <c r="L149" t="s">
        <v>27</v>
      </c>
      <c r="M149" t="s">
        <v>28</v>
      </c>
      <c r="N149" t="s">
        <v>29</v>
      </c>
      <c r="O149" t="s">
        <v>30</v>
      </c>
      <c r="P149" t="s">
        <v>28</v>
      </c>
      <c r="Q149" s="33" t="s">
        <v>29</v>
      </c>
    </row>
    <row r="150" spans="1:17" ht="16" x14ac:dyDescent="0.2">
      <c r="A150" t="s">
        <v>154</v>
      </c>
      <c r="B150" s="1" t="str">
        <f>VLOOKUP(Tabella1[[#This Row],[test_id]],experiments_specs!A:J,2,FALSE)</f>
        <v>NN</v>
      </c>
      <c r="C150" s="1">
        <f>VLOOKUP(Tabella1[[#This Row],[test_id]],experiments_specs!A:J,3,FALSE)</f>
        <v>1</v>
      </c>
      <c r="D150" s="1">
        <f>VLOOKUP(Tabella1[[#This Row],[test_id]],experiments_specs!A:J,4,FALSE)</f>
        <v>2</v>
      </c>
      <c r="E150" s="1" t="str">
        <f>VLOOKUP(Tabella1[[#This Row],[test_id]],experiments_specs!A:J,5,FALSE)</f>
        <v>False</v>
      </c>
      <c r="F150" s="1" t="str">
        <f>VLOOKUP(Tabella1[[#This Row],[test_id]],experiments_specs!A:J,6,FALSE)</f>
        <v>True</v>
      </c>
      <c r="G150" s="1" t="str">
        <f>VLOOKUP(Tabella1[[#This Row],[test_id]],experiments_specs!A:J,7,FALSE)</f>
        <v>True</v>
      </c>
      <c r="H150" s="1" t="str">
        <f>VLOOKUP(Tabella1[[#This Row],[test_id]],experiments_specs!A:J,8,FALSE)</f>
        <v>False</v>
      </c>
      <c r="I150" s="1" t="str">
        <f>VLOOKUP(Tabella1[[#This Row],[test_id]],experiments_specs!A:J,9,FALSE)</f>
        <v>wup_similarity</v>
      </c>
      <c r="J150" s="1" t="str">
        <f>VLOOKUP(Tabella1[[#This Row],[test_id]],experiments_specs!A:J,10,FALSE)</f>
        <v>False</v>
      </c>
      <c r="K150" t="s">
        <v>14</v>
      </c>
      <c r="L150" t="s">
        <v>31</v>
      </c>
      <c r="M150" t="s">
        <v>32</v>
      </c>
      <c r="N150">
        <v>0.14285714285714285</v>
      </c>
      <c r="O150" t="s">
        <v>55</v>
      </c>
      <c r="P150" t="s">
        <v>56</v>
      </c>
      <c r="Q150" s="33">
        <v>0.125</v>
      </c>
    </row>
    <row r="151" spans="1:17" ht="16" x14ac:dyDescent="0.2">
      <c r="A151" t="s">
        <v>154</v>
      </c>
      <c r="B151" s="1" t="str">
        <f>VLOOKUP(Tabella1[[#This Row],[test_id]],experiments_specs!A:J,2,FALSE)</f>
        <v>NN</v>
      </c>
      <c r="C151" s="1">
        <f>VLOOKUP(Tabella1[[#This Row],[test_id]],experiments_specs!A:J,3,FALSE)</f>
        <v>1</v>
      </c>
      <c r="D151" s="1">
        <f>VLOOKUP(Tabella1[[#This Row],[test_id]],experiments_specs!A:J,4,FALSE)</f>
        <v>2</v>
      </c>
      <c r="E151" s="1" t="str">
        <f>VLOOKUP(Tabella1[[#This Row],[test_id]],experiments_specs!A:J,5,FALSE)</f>
        <v>False</v>
      </c>
      <c r="F151" s="1" t="str">
        <f>VLOOKUP(Tabella1[[#This Row],[test_id]],experiments_specs!A:J,6,FALSE)</f>
        <v>True</v>
      </c>
      <c r="G151" s="1" t="str">
        <f>VLOOKUP(Tabella1[[#This Row],[test_id]],experiments_specs!A:J,7,FALSE)</f>
        <v>True</v>
      </c>
      <c r="H151" s="1" t="str">
        <f>VLOOKUP(Tabella1[[#This Row],[test_id]],experiments_specs!A:J,8,FALSE)</f>
        <v>False</v>
      </c>
      <c r="I151" s="1" t="str">
        <f>VLOOKUP(Tabella1[[#This Row],[test_id]],experiments_specs!A:J,9,FALSE)</f>
        <v>wup_similarity</v>
      </c>
      <c r="J151" s="1" t="str">
        <f>VLOOKUP(Tabella1[[#This Row],[test_id]],experiments_specs!A:J,10,FALSE)</f>
        <v>False</v>
      </c>
      <c r="K151" t="s">
        <v>15</v>
      </c>
      <c r="L151" t="s">
        <v>34</v>
      </c>
      <c r="M151" t="s">
        <v>35</v>
      </c>
      <c r="N151">
        <v>0.16666666666666666</v>
      </c>
      <c r="O151" t="s">
        <v>57</v>
      </c>
      <c r="P151" t="s">
        <v>34</v>
      </c>
      <c r="Q151" s="33">
        <v>0.18181818181818182</v>
      </c>
    </row>
    <row r="152" spans="1:17" ht="16" x14ac:dyDescent="0.2">
      <c r="A152" t="s">
        <v>154</v>
      </c>
      <c r="B152" s="1" t="str">
        <f>VLOOKUP(Tabella1[[#This Row],[test_id]],experiments_specs!A:J,2,FALSE)</f>
        <v>NN</v>
      </c>
      <c r="C152" s="1">
        <f>VLOOKUP(Tabella1[[#This Row],[test_id]],experiments_specs!A:J,3,FALSE)</f>
        <v>1</v>
      </c>
      <c r="D152" s="1">
        <f>VLOOKUP(Tabella1[[#This Row],[test_id]],experiments_specs!A:J,4,FALSE)</f>
        <v>2</v>
      </c>
      <c r="E152" s="1" t="str">
        <f>VLOOKUP(Tabella1[[#This Row],[test_id]],experiments_specs!A:J,5,FALSE)</f>
        <v>False</v>
      </c>
      <c r="F152" s="1" t="str">
        <f>VLOOKUP(Tabella1[[#This Row],[test_id]],experiments_specs!A:J,6,FALSE)</f>
        <v>True</v>
      </c>
      <c r="G152" s="1" t="str">
        <f>VLOOKUP(Tabella1[[#This Row],[test_id]],experiments_specs!A:J,7,FALSE)</f>
        <v>True</v>
      </c>
      <c r="H152" s="1" t="str">
        <f>VLOOKUP(Tabella1[[#This Row],[test_id]],experiments_specs!A:J,8,FALSE)</f>
        <v>False</v>
      </c>
      <c r="I152" s="1" t="str">
        <f>VLOOKUP(Tabella1[[#This Row],[test_id]],experiments_specs!A:J,9,FALSE)</f>
        <v>wup_similarity</v>
      </c>
      <c r="J152" s="1" t="str">
        <f>VLOOKUP(Tabella1[[#This Row],[test_id]],experiments_specs!A:J,10,FALSE)</f>
        <v>False</v>
      </c>
      <c r="K152" t="s">
        <v>16</v>
      </c>
      <c r="L152" t="s">
        <v>38</v>
      </c>
      <c r="M152" t="s">
        <v>39</v>
      </c>
      <c r="N152">
        <v>0.55555555555555558</v>
      </c>
      <c r="O152" t="s">
        <v>40</v>
      </c>
      <c r="P152" t="s">
        <v>58</v>
      </c>
      <c r="Q152" s="33">
        <v>0.13333333333333333</v>
      </c>
    </row>
    <row r="153" spans="1:17" ht="16" x14ac:dyDescent="0.2">
      <c r="A153" t="s">
        <v>154</v>
      </c>
      <c r="B153" s="1" t="str">
        <f>VLOOKUP(Tabella1[[#This Row],[test_id]],experiments_specs!A:J,2,FALSE)</f>
        <v>NN</v>
      </c>
      <c r="C153" s="1">
        <f>VLOOKUP(Tabella1[[#This Row],[test_id]],experiments_specs!A:J,3,FALSE)</f>
        <v>1</v>
      </c>
      <c r="D153" s="1">
        <f>VLOOKUP(Tabella1[[#This Row],[test_id]],experiments_specs!A:J,4,FALSE)</f>
        <v>2</v>
      </c>
      <c r="E153" s="1" t="str">
        <f>VLOOKUP(Tabella1[[#This Row],[test_id]],experiments_specs!A:J,5,FALSE)</f>
        <v>False</v>
      </c>
      <c r="F153" s="1" t="str">
        <f>VLOOKUP(Tabella1[[#This Row],[test_id]],experiments_specs!A:J,6,FALSE)</f>
        <v>True</v>
      </c>
      <c r="G153" s="1" t="str">
        <f>VLOOKUP(Tabella1[[#This Row],[test_id]],experiments_specs!A:J,7,FALSE)</f>
        <v>True</v>
      </c>
      <c r="H153" s="1" t="str">
        <f>VLOOKUP(Tabella1[[#This Row],[test_id]],experiments_specs!A:J,8,FALSE)</f>
        <v>False</v>
      </c>
      <c r="I153" s="1" t="str">
        <f>VLOOKUP(Tabella1[[#This Row],[test_id]],experiments_specs!A:J,9,FALSE)</f>
        <v>wup_similarity</v>
      </c>
      <c r="J153" s="1" t="str">
        <f>VLOOKUP(Tabella1[[#This Row],[test_id]],experiments_specs!A:J,10,FALSE)</f>
        <v>False</v>
      </c>
      <c r="K153" t="s">
        <v>17</v>
      </c>
      <c r="L153" t="s">
        <v>42</v>
      </c>
      <c r="M153" t="s">
        <v>43</v>
      </c>
      <c r="N153">
        <v>0.13333333333333333</v>
      </c>
      <c r="O153" t="s">
        <v>44</v>
      </c>
      <c r="P153" t="s">
        <v>45</v>
      </c>
      <c r="Q153" s="33">
        <v>0.33333333333333331</v>
      </c>
    </row>
    <row r="154" spans="1:17" ht="16" x14ac:dyDescent="0.2">
      <c r="A154" t="s">
        <v>154</v>
      </c>
      <c r="B154" s="1" t="str">
        <f>VLOOKUP(Tabella1[[#This Row],[test_id]],experiments_specs!A:J,2,FALSE)</f>
        <v>NN</v>
      </c>
      <c r="C154" s="1">
        <f>VLOOKUP(Tabella1[[#This Row],[test_id]],experiments_specs!A:J,3,FALSE)</f>
        <v>1</v>
      </c>
      <c r="D154" s="1">
        <f>VLOOKUP(Tabella1[[#This Row],[test_id]],experiments_specs!A:J,4,FALSE)</f>
        <v>2</v>
      </c>
      <c r="E154" s="1" t="str">
        <f>VLOOKUP(Tabella1[[#This Row],[test_id]],experiments_specs!A:J,5,FALSE)</f>
        <v>False</v>
      </c>
      <c r="F154" s="1" t="str">
        <f>VLOOKUP(Tabella1[[#This Row],[test_id]],experiments_specs!A:J,6,FALSE)</f>
        <v>True</v>
      </c>
      <c r="G154" s="1" t="str">
        <f>VLOOKUP(Tabella1[[#This Row],[test_id]],experiments_specs!A:J,7,FALSE)</f>
        <v>True</v>
      </c>
      <c r="H154" s="1" t="str">
        <f>VLOOKUP(Tabella1[[#This Row],[test_id]],experiments_specs!A:J,8,FALSE)</f>
        <v>False</v>
      </c>
      <c r="I154" s="1" t="str">
        <f>VLOOKUP(Tabella1[[#This Row],[test_id]],experiments_specs!A:J,9,FALSE)</f>
        <v>wup_similarity</v>
      </c>
      <c r="J154" s="1" t="str">
        <f>VLOOKUP(Tabella1[[#This Row],[test_id]],experiments_specs!A:J,10,FALSE)</f>
        <v>False</v>
      </c>
      <c r="K154" t="s">
        <v>18</v>
      </c>
      <c r="L154" t="s">
        <v>46</v>
      </c>
      <c r="M154" t="s">
        <v>47</v>
      </c>
      <c r="N154">
        <v>0.21052631578947367</v>
      </c>
      <c r="O154" t="s">
        <v>48</v>
      </c>
      <c r="P154" t="s">
        <v>47</v>
      </c>
      <c r="Q154" s="33">
        <v>0.21052631578947367</v>
      </c>
    </row>
    <row r="155" spans="1:17" ht="16" x14ac:dyDescent="0.2">
      <c r="A155" t="s">
        <v>155</v>
      </c>
      <c r="B155" s="1" t="str">
        <f>VLOOKUP(Tabella1[[#This Row],[test_id]],experiments_specs!A:J,2,FALSE)</f>
        <v>NN,JJ</v>
      </c>
      <c r="C155" s="1">
        <f>VLOOKUP(Tabella1[[#This Row],[test_id]],experiments_specs!A:J,3,FALSE)</f>
        <v>1</v>
      </c>
      <c r="D155" s="1">
        <f>VLOOKUP(Tabella1[[#This Row],[test_id]],experiments_specs!A:J,4,FALSE)</f>
        <v>2</v>
      </c>
      <c r="E155" s="1" t="str">
        <f>VLOOKUP(Tabella1[[#This Row],[test_id]],experiments_specs!A:J,5,FALSE)</f>
        <v>False</v>
      </c>
      <c r="F155" s="1" t="str">
        <f>VLOOKUP(Tabella1[[#This Row],[test_id]],experiments_specs!A:J,6,FALSE)</f>
        <v>True</v>
      </c>
      <c r="G155" s="1" t="str">
        <f>VLOOKUP(Tabella1[[#This Row],[test_id]],experiments_specs!A:J,7,FALSE)</f>
        <v>True</v>
      </c>
      <c r="H155" s="1" t="str">
        <f>VLOOKUP(Tabella1[[#This Row],[test_id]],experiments_specs!A:J,8,FALSE)</f>
        <v>False</v>
      </c>
      <c r="I155" s="1" t="str">
        <f>VLOOKUP(Tabella1[[#This Row],[test_id]],experiments_specs!A:J,9,FALSE)</f>
        <v>wup_similarity</v>
      </c>
      <c r="J155" s="1" t="str">
        <f>VLOOKUP(Tabella1[[#This Row],[test_id]],experiments_specs!A:J,10,FALSE)</f>
        <v>False</v>
      </c>
      <c r="K155" t="s">
        <v>19</v>
      </c>
      <c r="L155" t="s">
        <v>59</v>
      </c>
      <c r="M155" t="s">
        <v>60</v>
      </c>
      <c r="N155">
        <v>0.17391304347826086</v>
      </c>
      <c r="O155" t="s">
        <v>61</v>
      </c>
      <c r="P155" t="s">
        <v>62</v>
      </c>
      <c r="Q155" s="33">
        <v>0.11764705882352941</v>
      </c>
    </row>
    <row r="156" spans="1:17" ht="16" x14ac:dyDescent="0.2">
      <c r="A156" t="s">
        <v>155</v>
      </c>
      <c r="B156" s="1" t="str">
        <f>VLOOKUP(Tabella1[[#This Row],[test_id]],experiments_specs!A:J,2,FALSE)</f>
        <v>NN,JJ</v>
      </c>
      <c r="C156" s="1">
        <f>VLOOKUP(Tabella1[[#This Row],[test_id]],experiments_specs!A:J,3,FALSE)</f>
        <v>1</v>
      </c>
      <c r="D156" s="1">
        <f>VLOOKUP(Tabella1[[#This Row],[test_id]],experiments_specs!A:J,4,FALSE)</f>
        <v>2</v>
      </c>
      <c r="E156" s="1" t="str">
        <f>VLOOKUP(Tabella1[[#This Row],[test_id]],experiments_specs!A:J,5,FALSE)</f>
        <v>False</v>
      </c>
      <c r="F156" s="1" t="str">
        <f>VLOOKUP(Tabella1[[#This Row],[test_id]],experiments_specs!A:J,6,FALSE)</f>
        <v>True</v>
      </c>
      <c r="G156" s="1" t="str">
        <f>VLOOKUP(Tabella1[[#This Row],[test_id]],experiments_specs!A:J,7,FALSE)</f>
        <v>True</v>
      </c>
      <c r="H156" s="1" t="str">
        <f>VLOOKUP(Tabella1[[#This Row],[test_id]],experiments_specs!A:J,8,FALSE)</f>
        <v>False</v>
      </c>
      <c r="I156" s="1" t="str">
        <f>VLOOKUP(Tabella1[[#This Row],[test_id]],experiments_specs!A:J,9,FALSE)</f>
        <v>wup_similarity</v>
      </c>
      <c r="J156" s="1" t="str">
        <f>VLOOKUP(Tabella1[[#This Row],[test_id]],experiments_specs!A:J,10,FALSE)</f>
        <v>False</v>
      </c>
      <c r="K156" t="s">
        <v>12</v>
      </c>
      <c r="L156" t="s">
        <v>51</v>
      </c>
      <c r="M156" t="s">
        <v>52</v>
      </c>
      <c r="N156">
        <v>0.42857142857142855</v>
      </c>
      <c r="O156" t="s">
        <v>53</v>
      </c>
      <c r="P156" t="s">
        <v>54</v>
      </c>
      <c r="Q156" s="33">
        <v>0.2857142857142857</v>
      </c>
    </row>
    <row r="157" spans="1:17" ht="16" x14ac:dyDescent="0.2">
      <c r="A157" t="s">
        <v>155</v>
      </c>
      <c r="B157" s="1" t="str">
        <f>VLOOKUP(Tabella1[[#This Row],[test_id]],experiments_specs!A:J,2,FALSE)</f>
        <v>NN,JJ</v>
      </c>
      <c r="C157" s="1">
        <f>VLOOKUP(Tabella1[[#This Row],[test_id]],experiments_specs!A:J,3,FALSE)</f>
        <v>1</v>
      </c>
      <c r="D157" s="1">
        <f>VLOOKUP(Tabella1[[#This Row],[test_id]],experiments_specs!A:J,4,FALSE)</f>
        <v>2</v>
      </c>
      <c r="E157" s="1" t="str">
        <f>VLOOKUP(Tabella1[[#This Row],[test_id]],experiments_specs!A:J,5,FALSE)</f>
        <v>False</v>
      </c>
      <c r="F157" s="1" t="str">
        <f>VLOOKUP(Tabella1[[#This Row],[test_id]],experiments_specs!A:J,6,FALSE)</f>
        <v>True</v>
      </c>
      <c r="G157" s="1" t="str">
        <f>VLOOKUP(Tabella1[[#This Row],[test_id]],experiments_specs!A:J,7,FALSE)</f>
        <v>True</v>
      </c>
      <c r="H157" s="1" t="str">
        <f>VLOOKUP(Tabella1[[#This Row],[test_id]],experiments_specs!A:J,8,FALSE)</f>
        <v>False</v>
      </c>
      <c r="I157" s="1" t="str">
        <f>VLOOKUP(Tabella1[[#This Row],[test_id]],experiments_specs!A:J,9,FALSE)</f>
        <v>wup_similarity</v>
      </c>
      <c r="J157" s="1" t="str">
        <f>VLOOKUP(Tabella1[[#This Row],[test_id]],experiments_specs!A:J,10,FALSE)</f>
        <v>False</v>
      </c>
      <c r="K157" t="s">
        <v>13</v>
      </c>
      <c r="L157" t="s">
        <v>27</v>
      </c>
      <c r="M157" t="s">
        <v>28</v>
      </c>
      <c r="N157" t="s">
        <v>29</v>
      </c>
      <c r="O157" t="s">
        <v>30</v>
      </c>
      <c r="P157" t="s">
        <v>28</v>
      </c>
      <c r="Q157" s="33" t="s">
        <v>29</v>
      </c>
    </row>
    <row r="158" spans="1:17" ht="16" x14ac:dyDescent="0.2">
      <c r="A158" t="s">
        <v>155</v>
      </c>
      <c r="B158" s="1" t="str">
        <f>VLOOKUP(Tabella1[[#This Row],[test_id]],experiments_specs!A:J,2,FALSE)</f>
        <v>NN,JJ</v>
      </c>
      <c r="C158" s="1">
        <f>VLOOKUP(Tabella1[[#This Row],[test_id]],experiments_specs!A:J,3,FALSE)</f>
        <v>1</v>
      </c>
      <c r="D158" s="1">
        <f>VLOOKUP(Tabella1[[#This Row],[test_id]],experiments_specs!A:J,4,FALSE)</f>
        <v>2</v>
      </c>
      <c r="E158" s="1" t="str">
        <f>VLOOKUP(Tabella1[[#This Row],[test_id]],experiments_specs!A:J,5,FALSE)</f>
        <v>False</v>
      </c>
      <c r="F158" s="1" t="str">
        <f>VLOOKUP(Tabella1[[#This Row],[test_id]],experiments_specs!A:J,6,FALSE)</f>
        <v>True</v>
      </c>
      <c r="G158" s="1" t="str">
        <f>VLOOKUP(Tabella1[[#This Row],[test_id]],experiments_specs!A:J,7,FALSE)</f>
        <v>True</v>
      </c>
      <c r="H158" s="1" t="str">
        <f>VLOOKUP(Tabella1[[#This Row],[test_id]],experiments_specs!A:J,8,FALSE)</f>
        <v>False</v>
      </c>
      <c r="I158" s="1" t="str">
        <f>VLOOKUP(Tabella1[[#This Row],[test_id]],experiments_specs!A:J,9,FALSE)</f>
        <v>wup_similarity</v>
      </c>
      <c r="J158" s="1" t="str">
        <f>VLOOKUP(Tabella1[[#This Row],[test_id]],experiments_specs!A:J,10,FALSE)</f>
        <v>False</v>
      </c>
      <c r="K158" t="s">
        <v>14</v>
      </c>
      <c r="L158" t="s">
        <v>31</v>
      </c>
      <c r="M158" t="s">
        <v>32</v>
      </c>
      <c r="N158">
        <v>0.14285714285714285</v>
      </c>
      <c r="O158" t="s">
        <v>55</v>
      </c>
      <c r="P158" t="s">
        <v>56</v>
      </c>
      <c r="Q158" s="33">
        <v>0.125</v>
      </c>
    </row>
    <row r="159" spans="1:17" ht="16" x14ac:dyDescent="0.2">
      <c r="A159" t="s">
        <v>155</v>
      </c>
      <c r="B159" s="1" t="str">
        <f>VLOOKUP(Tabella1[[#This Row],[test_id]],experiments_specs!A:J,2,FALSE)</f>
        <v>NN,JJ</v>
      </c>
      <c r="C159" s="1">
        <f>VLOOKUP(Tabella1[[#This Row],[test_id]],experiments_specs!A:J,3,FALSE)</f>
        <v>1</v>
      </c>
      <c r="D159" s="1">
        <f>VLOOKUP(Tabella1[[#This Row],[test_id]],experiments_specs!A:J,4,FALSE)</f>
        <v>2</v>
      </c>
      <c r="E159" s="1" t="str">
        <f>VLOOKUP(Tabella1[[#This Row],[test_id]],experiments_specs!A:J,5,FALSE)</f>
        <v>False</v>
      </c>
      <c r="F159" s="1" t="str">
        <f>VLOOKUP(Tabella1[[#This Row],[test_id]],experiments_specs!A:J,6,FALSE)</f>
        <v>True</v>
      </c>
      <c r="G159" s="1" t="str">
        <f>VLOOKUP(Tabella1[[#This Row],[test_id]],experiments_specs!A:J,7,FALSE)</f>
        <v>True</v>
      </c>
      <c r="H159" s="1" t="str">
        <f>VLOOKUP(Tabella1[[#This Row],[test_id]],experiments_specs!A:J,8,FALSE)</f>
        <v>False</v>
      </c>
      <c r="I159" s="1" t="str">
        <f>VLOOKUP(Tabella1[[#This Row],[test_id]],experiments_specs!A:J,9,FALSE)</f>
        <v>wup_similarity</v>
      </c>
      <c r="J159" s="1" t="str">
        <f>VLOOKUP(Tabella1[[#This Row],[test_id]],experiments_specs!A:J,10,FALSE)</f>
        <v>False</v>
      </c>
      <c r="K159" t="s">
        <v>15</v>
      </c>
      <c r="L159" t="s">
        <v>34</v>
      </c>
      <c r="M159" t="s">
        <v>35</v>
      </c>
      <c r="N159">
        <v>0.16666666666666666</v>
      </c>
      <c r="O159" t="s">
        <v>57</v>
      </c>
      <c r="P159" t="s">
        <v>34</v>
      </c>
      <c r="Q159" s="33">
        <v>0.18181818181818182</v>
      </c>
    </row>
    <row r="160" spans="1:17" ht="16" x14ac:dyDescent="0.2">
      <c r="A160" t="s">
        <v>155</v>
      </c>
      <c r="B160" s="1" t="str">
        <f>VLOOKUP(Tabella1[[#This Row],[test_id]],experiments_specs!A:J,2,FALSE)</f>
        <v>NN,JJ</v>
      </c>
      <c r="C160" s="1">
        <f>VLOOKUP(Tabella1[[#This Row],[test_id]],experiments_specs!A:J,3,FALSE)</f>
        <v>1</v>
      </c>
      <c r="D160" s="1">
        <f>VLOOKUP(Tabella1[[#This Row],[test_id]],experiments_specs!A:J,4,FALSE)</f>
        <v>2</v>
      </c>
      <c r="E160" s="1" t="str">
        <f>VLOOKUP(Tabella1[[#This Row],[test_id]],experiments_specs!A:J,5,FALSE)</f>
        <v>False</v>
      </c>
      <c r="F160" s="1" t="str">
        <f>VLOOKUP(Tabella1[[#This Row],[test_id]],experiments_specs!A:J,6,FALSE)</f>
        <v>True</v>
      </c>
      <c r="G160" s="1" t="str">
        <f>VLOOKUP(Tabella1[[#This Row],[test_id]],experiments_specs!A:J,7,FALSE)</f>
        <v>True</v>
      </c>
      <c r="H160" s="1" t="str">
        <f>VLOOKUP(Tabella1[[#This Row],[test_id]],experiments_specs!A:J,8,FALSE)</f>
        <v>False</v>
      </c>
      <c r="I160" s="1" t="str">
        <f>VLOOKUP(Tabella1[[#This Row],[test_id]],experiments_specs!A:J,9,FALSE)</f>
        <v>wup_similarity</v>
      </c>
      <c r="J160" s="1" t="str">
        <f>VLOOKUP(Tabella1[[#This Row],[test_id]],experiments_specs!A:J,10,FALSE)</f>
        <v>False</v>
      </c>
      <c r="K160" t="s">
        <v>16</v>
      </c>
      <c r="L160" t="s">
        <v>38</v>
      </c>
      <c r="M160" t="s">
        <v>39</v>
      </c>
      <c r="N160">
        <v>0.55555555555555558</v>
      </c>
      <c r="O160" t="s">
        <v>40</v>
      </c>
      <c r="P160" t="s">
        <v>58</v>
      </c>
      <c r="Q160" s="33">
        <v>0.13333333333333333</v>
      </c>
    </row>
    <row r="161" spans="1:17" ht="16" x14ac:dyDescent="0.2">
      <c r="A161" t="s">
        <v>155</v>
      </c>
      <c r="B161" s="1" t="str">
        <f>VLOOKUP(Tabella1[[#This Row],[test_id]],experiments_specs!A:J,2,FALSE)</f>
        <v>NN,JJ</v>
      </c>
      <c r="C161" s="1">
        <f>VLOOKUP(Tabella1[[#This Row],[test_id]],experiments_specs!A:J,3,FALSE)</f>
        <v>1</v>
      </c>
      <c r="D161" s="1">
        <f>VLOOKUP(Tabella1[[#This Row],[test_id]],experiments_specs!A:J,4,FALSE)</f>
        <v>2</v>
      </c>
      <c r="E161" s="1" t="str">
        <f>VLOOKUP(Tabella1[[#This Row],[test_id]],experiments_specs!A:J,5,FALSE)</f>
        <v>False</v>
      </c>
      <c r="F161" s="1" t="str">
        <f>VLOOKUP(Tabella1[[#This Row],[test_id]],experiments_specs!A:J,6,FALSE)</f>
        <v>True</v>
      </c>
      <c r="G161" s="1" t="str">
        <f>VLOOKUP(Tabella1[[#This Row],[test_id]],experiments_specs!A:J,7,FALSE)</f>
        <v>True</v>
      </c>
      <c r="H161" s="1" t="str">
        <f>VLOOKUP(Tabella1[[#This Row],[test_id]],experiments_specs!A:J,8,FALSE)</f>
        <v>False</v>
      </c>
      <c r="I161" s="1" t="str">
        <f>VLOOKUP(Tabella1[[#This Row],[test_id]],experiments_specs!A:J,9,FALSE)</f>
        <v>wup_similarity</v>
      </c>
      <c r="J161" s="1" t="str">
        <f>VLOOKUP(Tabella1[[#This Row],[test_id]],experiments_specs!A:J,10,FALSE)</f>
        <v>False</v>
      </c>
      <c r="K161" t="s">
        <v>17</v>
      </c>
      <c r="L161" t="s">
        <v>42</v>
      </c>
      <c r="M161" t="s">
        <v>43</v>
      </c>
      <c r="N161">
        <v>0.13333333333333333</v>
      </c>
      <c r="O161" t="s">
        <v>44</v>
      </c>
      <c r="P161" t="s">
        <v>45</v>
      </c>
      <c r="Q161" s="33">
        <v>0.33333333333333331</v>
      </c>
    </row>
    <row r="162" spans="1:17" ht="16" x14ac:dyDescent="0.2">
      <c r="A162" t="s">
        <v>155</v>
      </c>
      <c r="B162" s="1" t="str">
        <f>VLOOKUP(Tabella1[[#This Row],[test_id]],experiments_specs!A:J,2,FALSE)</f>
        <v>NN,JJ</v>
      </c>
      <c r="C162" s="1">
        <f>VLOOKUP(Tabella1[[#This Row],[test_id]],experiments_specs!A:J,3,FALSE)</f>
        <v>1</v>
      </c>
      <c r="D162" s="1">
        <f>VLOOKUP(Tabella1[[#This Row],[test_id]],experiments_specs!A:J,4,FALSE)</f>
        <v>2</v>
      </c>
      <c r="E162" s="1" t="str">
        <f>VLOOKUP(Tabella1[[#This Row],[test_id]],experiments_specs!A:J,5,FALSE)</f>
        <v>False</v>
      </c>
      <c r="F162" s="1" t="str">
        <f>VLOOKUP(Tabella1[[#This Row],[test_id]],experiments_specs!A:J,6,FALSE)</f>
        <v>True</v>
      </c>
      <c r="G162" s="1" t="str">
        <f>VLOOKUP(Tabella1[[#This Row],[test_id]],experiments_specs!A:J,7,FALSE)</f>
        <v>True</v>
      </c>
      <c r="H162" s="1" t="str">
        <f>VLOOKUP(Tabella1[[#This Row],[test_id]],experiments_specs!A:J,8,FALSE)</f>
        <v>False</v>
      </c>
      <c r="I162" s="1" t="str">
        <f>VLOOKUP(Tabella1[[#This Row],[test_id]],experiments_specs!A:J,9,FALSE)</f>
        <v>wup_similarity</v>
      </c>
      <c r="J162" s="1" t="str">
        <f>VLOOKUP(Tabella1[[#This Row],[test_id]],experiments_specs!A:J,10,FALSE)</f>
        <v>False</v>
      </c>
      <c r="K162" t="s">
        <v>18</v>
      </c>
      <c r="L162" t="s">
        <v>46</v>
      </c>
      <c r="M162" t="s">
        <v>47</v>
      </c>
      <c r="N162">
        <v>0.21052631578947367</v>
      </c>
      <c r="O162" t="s">
        <v>48</v>
      </c>
      <c r="P162" t="s">
        <v>47</v>
      </c>
      <c r="Q162" s="33">
        <v>0.21052631578947367</v>
      </c>
    </row>
    <row r="163" spans="1:17" ht="16" x14ac:dyDescent="0.2">
      <c r="A163" t="s">
        <v>156</v>
      </c>
      <c r="B163" s="1" t="str">
        <f>VLOOKUP(Tabella1[[#This Row],[test_id]],experiments_specs!A:J,2,FALSE)</f>
        <v>NN,VB</v>
      </c>
      <c r="C163" s="1">
        <f>VLOOKUP(Tabella1[[#This Row],[test_id]],experiments_specs!A:J,3,FALSE)</f>
        <v>1</v>
      </c>
      <c r="D163" s="1">
        <f>VLOOKUP(Tabella1[[#This Row],[test_id]],experiments_specs!A:J,4,FALSE)</f>
        <v>2</v>
      </c>
      <c r="E163" s="1" t="str">
        <f>VLOOKUP(Tabella1[[#This Row],[test_id]],experiments_specs!A:J,5,FALSE)</f>
        <v>False</v>
      </c>
      <c r="F163" s="1" t="str">
        <f>VLOOKUP(Tabella1[[#This Row],[test_id]],experiments_specs!A:J,6,FALSE)</f>
        <v>True</v>
      </c>
      <c r="G163" s="1" t="str">
        <f>VLOOKUP(Tabella1[[#This Row],[test_id]],experiments_specs!A:J,7,FALSE)</f>
        <v>True</v>
      </c>
      <c r="H163" s="1" t="str">
        <f>VLOOKUP(Tabella1[[#This Row],[test_id]],experiments_specs!A:J,8,FALSE)</f>
        <v>False</v>
      </c>
      <c r="I163" s="1" t="str">
        <f>VLOOKUP(Tabella1[[#This Row],[test_id]],experiments_specs!A:J,9,FALSE)</f>
        <v>wup_similarity</v>
      </c>
      <c r="J163" s="1" t="str">
        <f>VLOOKUP(Tabella1[[#This Row],[test_id]],experiments_specs!A:J,10,FALSE)</f>
        <v>False</v>
      </c>
      <c r="K163" t="s">
        <v>19</v>
      </c>
      <c r="L163" t="s">
        <v>50</v>
      </c>
      <c r="M163" t="s">
        <v>49</v>
      </c>
      <c r="N163">
        <v>0.19047619047619047</v>
      </c>
      <c r="O163" t="s">
        <v>22</v>
      </c>
      <c r="P163" t="s">
        <v>23</v>
      </c>
      <c r="Q163" s="33">
        <v>9.5238095238095233E-2</v>
      </c>
    </row>
    <row r="164" spans="1:17" ht="16" x14ac:dyDescent="0.2">
      <c r="A164" t="s">
        <v>156</v>
      </c>
      <c r="B164" s="1" t="str">
        <f>VLOOKUP(Tabella1[[#This Row],[test_id]],experiments_specs!A:J,2,FALSE)</f>
        <v>NN,VB</v>
      </c>
      <c r="C164" s="1">
        <f>VLOOKUP(Tabella1[[#This Row],[test_id]],experiments_specs!A:J,3,FALSE)</f>
        <v>1</v>
      </c>
      <c r="D164" s="1">
        <f>VLOOKUP(Tabella1[[#This Row],[test_id]],experiments_specs!A:J,4,FALSE)</f>
        <v>2</v>
      </c>
      <c r="E164" s="1" t="str">
        <f>VLOOKUP(Tabella1[[#This Row],[test_id]],experiments_specs!A:J,5,FALSE)</f>
        <v>False</v>
      </c>
      <c r="F164" s="1" t="str">
        <f>VLOOKUP(Tabella1[[#This Row],[test_id]],experiments_specs!A:J,6,FALSE)</f>
        <v>True</v>
      </c>
      <c r="G164" s="1" t="str">
        <f>VLOOKUP(Tabella1[[#This Row],[test_id]],experiments_specs!A:J,7,FALSE)</f>
        <v>True</v>
      </c>
      <c r="H164" s="1" t="str">
        <f>VLOOKUP(Tabella1[[#This Row],[test_id]],experiments_specs!A:J,8,FALSE)</f>
        <v>False</v>
      </c>
      <c r="I164" s="1" t="str">
        <f>VLOOKUP(Tabella1[[#This Row],[test_id]],experiments_specs!A:J,9,FALSE)</f>
        <v>wup_similarity</v>
      </c>
      <c r="J164" s="1" t="str">
        <f>VLOOKUP(Tabella1[[#This Row],[test_id]],experiments_specs!A:J,10,FALSE)</f>
        <v>False</v>
      </c>
      <c r="K164" t="s">
        <v>12</v>
      </c>
      <c r="L164" t="s">
        <v>73</v>
      </c>
      <c r="M164" t="s">
        <v>64</v>
      </c>
      <c r="N164">
        <v>0.125</v>
      </c>
      <c r="O164" t="s">
        <v>63</v>
      </c>
      <c r="P164" t="s">
        <v>64</v>
      </c>
      <c r="Q164" s="33">
        <v>0.125</v>
      </c>
    </row>
    <row r="165" spans="1:17" ht="16" x14ac:dyDescent="0.2">
      <c r="A165" t="s">
        <v>156</v>
      </c>
      <c r="B165" s="1" t="str">
        <f>VLOOKUP(Tabella1[[#This Row],[test_id]],experiments_specs!A:J,2,FALSE)</f>
        <v>NN,VB</v>
      </c>
      <c r="C165" s="1">
        <f>VLOOKUP(Tabella1[[#This Row],[test_id]],experiments_specs!A:J,3,FALSE)</f>
        <v>1</v>
      </c>
      <c r="D165" s="1">
        <f>VLOOKUP(Tabella1[[#This Row],[test_id]],experiments_specs!A:J,4,FALSE)</f>
        <v>2</v>
      </c>
      <c r="E165" s="1" t="str">
        <f>VLOOKUP(Tabella1[[#This Row],[test_id]],experiments_specs!A:J,5,FALSE)</f>
        <v>False</v>
      </c>
      <c r="F165" s="1" t="str">
        <f>VLOOKUP(Tabella1[[#This Row],[test_id]],experiments_specs!A:J,6,FALSE)</f>
        <v>True</v>
      </c>
      <c r="G165" s="1" t="str">
        <f>VLOOKUP(Tabella1[[#This Row],[test_id]],experiments_specs!A:J,7,FALSE)</f>
        <v>True</v>
      </c>
      <c r="H165" s="1" t="str">
        <f>VLOOKUP(Tabella1[[#This Row],[test_id]],experiments_specs!A:J,8,FALSE)</f>
        <v>False</v>
      </c>
      <c r="I165" s="1" t="str">
        <f>VLOOKUP(Tabella1[[#This Row],[test_id]],experiments_specs!A:J,9,FALSE)</f>
        <v>wup_similarity</v>
      </c>
      <c r="J165" s="1" t="str">
        <f>VLOOKUP(Tabella1[[#This Row],[test_id]],experiments_specs!A:J,10,FALSE)</f>
        <v>False</v>
      </c>
      <c r="K165" t="s">
        <v>13</v>
      </c>
      <c r="L165" t="s">
        <v>27</v>
      </c>
      <c r="M165" t="s">
        <v>28</v>
      </c>
      <c r="N165" t="s">
        <v>29</v>
      </c>
      <c r="O165" t="s">
        <v>30</v>
      </c>
      <c r="P165" t="s">
        <v>28</v>
      </c>
      <c r="Q165" s="33" t="s">
        <v>29</v>
      </c>
    </row>
    <row r="166" spans="1:17" ht="16" x14ac:dyDescent="0.2">
      <c r="A166" t="s">
        <v>156</v>
      </c>
      <c r="B166" s="1" t="str">
        <f>VLOOKUP(Tabella1[[#This Row],[test_id]],experiments_specs!A:J,2,FALSE)</f>
        <v>NN,VB</v>
      </c>
      <c r="C166" s="1">
        <f>VLOOKUP(Tabella1[[#This Row],[test_id]],experiments_specs!A:J,3,FALSE)</f>
        <v>1</v>
      </c>
      <c r="D166" s="1">
        <f>VLOOKUP(Tabella1[[#This Row],[test_id]],experiments_specs!A:J,4,FALSE)</f>
        <v>2</v>
      </c>
      <c r="E166" s="1" t="str">
        <f>VLOOKUP(Tabella1[[#This Row],[test_id]],experiments_specs!A:J,5,FALSE)</f>
        <v>False</v>
      </c>
      <c r="F166" s="1" t="str">
        <f>VLOOKUP(Tabella1[[#This Row],[test_id]],experiments_specs!A:J,6,FALSE)</f>
        <v>True</v>
      </c>
      <c r="G166" s="1" t="str">
        <f>VLOOKUP(Tabella1[[#This Row],[test_id]],experiments_specs!A:J,7,FALSE)</f>
        <v>True</v>
      </c>
      <c r="H166" s="1" t="str">
        <f>VLOOKUP(Tabella1[[#This Row],[test_id]],experiments_specs!A:J,8,FALSE)</f>
        <v>False</v>
      </c>
      <c r="I166" s="1" t="str">
        <f>VLOOKUP(Tabella1[[#This Row],[test_id]],experiments_specs!A:J,9,FALSE)</f>
        <v>wup_similarity</v>
      </c>
      <c r="J166" s="1" t="str">
        <f>VLOOKUP(Tabella1[[#This Row],[test_id]],experiments_specs!A:J,10,FALSE)</f>
        <v>False</v>
      </c>
      <c r="K166" t="s">
        <v>14</v>
      </c>
      <c r="L166" t="s">
        <v>31</v>
      </c>
      <c r="M166" t="s">
        <v>32</v>
      </c>
      <c r="N166">
        <v>0.14285714285714285</v>
      </c>
      <c r="O166" t="s">
        <v>55</v>
      </c>
      <c r="P166" t="s">
        <v>56</v>
      </c>
      <c r="Q166" s="33">
        <v>0.125</v>
      </c>
    </row>
    <row r="167" spans="1:17" ht="16" x14ac:dyDescent="0.2">
      <c r="A167" t="s">
        <v>156</v>
      </c>
      <c r="B167" s="1" t="str">
        <f>VLOOKUP(Tabella1[[#This Row],[test_id]],experiments_specs!A:J,2,FALSE)</f>
        <v>NN,VB</v>
      </c>
      <c r="C167" s="1">
        <f>VLOOKUP(Tabella1[[#This Row],[test_id]],experiments_specs!A:J,3,FALSE)</f>
        <v>1</v>
      </c>
      <c r="D167" s="1">
        <f>VLOOKUP(Tabella1[[#This Row],[test_id]],experiments_specs!A:J,4,FALSE)</f>
        <v>2</v>
      </c>
      <c r="E167" s="1" t="str">
        <f>VLOOKUP(Tabella1[[#This Row],[test_id]],experiments_specs!A:J,5,FALSE)</f>
        <v>False</v>
      </c>
      <c r="F167" s="1" t="str">
        <f>VLOOKUP(Tabella1[[#This Row],[test_id]],experiments_specs!A:J,6,FALSE)</f>
        <v>True</v>
      </c>
      <c r="G167" s="1" t="str">
        <f>VLOOKUP(Tabella1[[#This Row],[test_id]],experiments_specs!A:J,7,FALSE)</f>
        <v>True</v>
      </c>
      <c r="H167" s="1" t="str">
        <f>VLOOKUP(Tabella1[[#This Row],[test_id]],experiments_specs!A:J,8,FALSE)</f>
        <v>False</v>
      </c>
      <c r="I167" s="1" t="str">
        <f>VLOOKUP(Tabella1[[#This Row],[test_id]],experiments_specs!A:J,9,FALSE)</f>
        <v>wup_similarity</v>
      </c>
      <c r="J167" s="1" t="str">
        <f>VLOOKUP(Tabella1[[#This Row],[test_id]],experiments_specs!A:J,10,FALSE)</f>
        <v>False</v>
      </c>
      <c r="K167" t="s">
        <v>15</v>
      </c>
      <c r="L167" t="s">
        <v>34</v>
      </c>
      <c r="M167" t="s">
        <v>35</v>
      </c>
      <c r="N167">
        <v>0.16666666666666666</v>
      </c>
      <c r="O167" t="s">
        <v>105</v>
      </c>
      <c r="P167" t="s">
        <v>106</v>
      </c>
      <c r="Q167" s="33">
        <v>0.2</v>
      </c>
    </row>
    <row r="168" spans="1:17" ht="16" x14ac:dyDescent="0.2">
      <c r="A168" t="s">
        <v>156</v>
      </c>
      <c r="B168" s="1" t="str">
        <f>VLOOKUP(Tabella1[[#This Row],[test_id]],experiments_specs!A:J,2,FALSE)</f>
        <v>NN,VB</v>
      </c>
      <c r="C168" s="1">
        <f>VLOOKUP(Tabella1[[#This Row],[test_id]],experiments_specs!A:J,3,FALSE)</f>
        <v>1</v>
      </c>
      <c r="D168" s="1">
        <f>VLOOKUP(Tabella1[[#This Row],[test_id]],experiments_specs!A:J,4,FALSE)</f>
        <v>2</v>
      </c>
      <c r="E168" s="1" t="str">
        <f>VLOOKUP(Tabella1[[#This Row],[test_id]],experiments_specs!A:J,5,FALSE)</f>
        <v>False</v>
      </c>
      <c r="F168" s="1" t="str">
        <f>VLOOKUP(Tabella1[[#This Row],[test_id]],experiments_specs!A:J,6,FALSE)</f>
        <v>True</v>
      </c>
      <c r="G168" s="1" t="str">
        <f>VLOOKUP(Tabella1[[#This Row],[test_id]],experiments_specs!A:J,7,FALSE)</f>
        <v>True</v>
      </c>
      <c r="H168" s="1" t="str">
        <f>VLOOKUP(Tabella1[[#This Row],[test_id]],experiments_specs!A:J,8,FALSE)</f>
        <v>False</v>
      </c>
      <c r="I168" s="1" t="str">
        <f>VLOOKUP(Tabella1[[#This Row],[test_id]],experiments_specs!A:J,9,FALSE)</f>
        <v>wup_similarity</v>
      </c>
      <c r="J168" s="1" t="str">
        <f>VLOOKUP(Tabella1[[#This Row],[test_id]],experiments_specs!A:J,10,FALSE)</f>
        <v>False</v>
      </c>
      <c r="K168" t="s">
        <v>16</v>
      </c>
      <c r="L168" t="s">
        <v>38</v>
      </c>
      <c r="M168" t="s">
        <v>39</v>
      </c>
      <c r="N168">
        <v>0.55555555555555558</v>
      </c>
      <c r="O168" t="s">
        <v>40</v>
      </c>
      <c r="P168" t="s">
        <v>58</v>
      </c>
      <c r="Q168" s="33">
        <v>0.13333333333333333</v>
      </c>
    </row>
    <row r="169" spans="1:17" ht="16" x14ac:dyDescent="0.2">
      <c r="A169" t="s">
        <v>156</v>
      </c>
      <c r="B169" s="1" t="str">
        <f>VLOOKUP(Tabella1[[#This Row],[test_id]],experiments_specs!A:J,2,FALSE)</f>
        <v>NN,VB</v>
      </c>
      <c r="C169" s="1">
        <f>VLOOKUP(Tabella1[[#This Row],[test_id]],experiments_specs!A:J,3,FALSE)</f>
        <v>1</v>
      </c>
      <c r="D169" s="1">
        <f>VLOOKUP(Tabella1[[#This Row],[test_id]],experiments_specs!A:J,4,FALSE)</f>
        <v>2</v>
      </c>
      <c r="E169" s="1" t="str">
        <f>VLOOKUP(Tabella1[[#This Row],[test_id]],experiments_specs!A:J,5,FALSE)</f>
        <v>False</v>
      </c>
      <c r="F169" s="1" t="str">
        <f>VLOOKUP(Tabella1[[#This Row],[test_id]],experiments_specs!A:J,6,FALSE)</f>
        <v>True</v>
      </c>
      <c r="G169" s="1" t="str">
        <f>VLOOKUP(Tabella1[[#This Row],[test_id]],experiments_specs!A:J,7,FALSE)</f>
        <v>True</v>
      </c>
      <c r="H169" s="1" t="str">
        <f>VLOOKUP(Tabella1[[#This Row],[test_id]],experiments_specs!A:J,8,FALSE)</f>
        <v>False</v>
      </c>
      <c r="I169" s="1" t="str">
        <f>VLOOKUP(Tabella1[[#This Row],[test_id]],experiments_specs!A:J,9,FALSE)</f>
        <v>wup_similarity</v>
      </c>
      <c r="J169" s="1" t="str">
        <f>VLOOKUP(Tabella1[[#This Row],[test_id]],experiments_specs!A:J,10,FALSE)</f>
        <v>False</v>
      </c>
      <c r="K169" t="s">
        <v>17</v>
      </c>
      <c r="L169" t="s">
        <v>42</v>
      </c>
      <c r="M169" t="s">
        <v>43</v>
      </c>
      <c r="N169">
        <v>0.13333333333333333</v>
      </c>
      <c r="O169" t="s">
        <v>80</v>
      </c>
      <c r="P169" t="s">
        <v>107</v>
      </c>
      <c r="Q169" s="33">
        <v>0.2</v>
      </c>
    </row>
    <row r="170" spans="1:17" ht="16" x14ac:dyDescent="0.2">
      <c r="A170" t="s">
        <v>156</v>
      </c>
      <c r="B170" s="1" t="str">
        <f>VLOOKUP(Tabella1[[#This Row],[test_id]],experiments_specs!A:J,2,FALSE)</f>
        <v>NN,VB</v>
      </c>
      <c r="C170" s="1">
        <f>VLOOKUP(Tabella1[[#This Row],[test_id]],experiments_specs!A:J,3,FALSE)</f>
        <v>1</v>
      </c>
      <c r="D170" s="1">
        <f>VLOOKUP(Tabella1[[#This Row],[test_id]],experiments_specs!A:J,4,FALSE)</f>
        <v>2</v>
      </c>
      <c r="E170" s="1" t="str">
        <f>VLOOKUP(Tabella1[[#This Row],[test_id]],experiments_specs!A:J,5,FALSE)</f>
        <v>False</v>
      </c>
      <c r="F170" s="1" t="str">
        <f>VLOOKUP(Tabella1[[#This Row],[test_id]],experiments_specs!A:J,6,FALSE)</f>
        <v>True</v>
      </c>
      <c r="G170" s="1" t="str">
        <f>VLOOKUP(Tabella1[[#This Row],[test_id]],experiments_specs!A:J,7,FALSE)</f>
        <v>True</v>
      </c>
      <c r="H170" s="1" t="str">
        <f>VLOOKUP(Tabella1[[#This Row],[test_id]],experiments_specs!A:J,8,FALSE)</f>
        <v>False</v>
      </c>
      <c r="I170" s="1" t="str">
        <f>VLOOKUP(Tabella1[[#This Row],[test_id]],experiments_specs!A:J,9,FALSE)</f>
        <v>wup_similarity</v>
      </c>
      <c r="J170" s="1" t="str">
        <f>VLOOKUP(Tabella1[[#This Row],[test_id]],experiments_specs!A:J,10,FALSE)</f>
        <v>False</v>
      </c>
      <c r="K170" t="s">
        <v>18</v>
      </c>
      <c r="L170" t="s">
        <v>46</v>
      </c>
      <c r="M170" t="s">
        <v>47</v>
      </c>
      <c r="N170">
        <v>0.21052631578947367</v>
      </c>
      <c r="O170" t="s">
        <v>61</v>
      </c>
      <c r="P170" t="s">
        <v>72</v>
      </c>
      <c r="Q170" s="33">
        <v>0.11764705882352941</v>
      </c>
    </row>
    <row r="171" spans="1:17" ht="16" x14ac:dyDescent="0.2">
      <c r="A171" t="s">
        <v>157</v>
      </c>
      <c r="B171" s="1" t="str">
        <f>VLOOKUP(Tabella1[[#This Row],[test_id]],experiments_specs!A:J,2,FALSE)</f>
        <v>NN,VB,VBD,VBG,VBN,VBP,VBZ</v>
      </c>
      <c r="C171" s="1">
        <f>VLOOKUP(Tabella1[[#This Row],[test_id]],experiments_specs!A:J,3,FALSE)</f>
        <v>1</v>
      </c>
      <c r="D171" s="1">
        <f>VLOOKUP(Tabella1[[#This Row],[test_id]],experiments_specs!A:J,4,FALSE)</f>
        <v>2</v>
      </c>
      <c r="E171" s="1" t="str">
        <f>VLOOKUP(Tabella1[[#This Row],[test_id]],experiments_specs!A:J,5,FALSE)</f>
        <v>False</v>
      </c>
      <c r="F171" s="1" t="str">
        <f>VLOOKUP(Tabella1[[#This Row],[test_id]],experiments_specs!A:J,6,FALSE)</f>
        <v>True</v>
      </c>
      <c r="G171" s="1" t="str">
        <f>VLOOKUP(Tabella1[[#This Row],[test_id]],experiments_specs!A:J,7,FALSE)</f>
        <v>True</v>
      </c>
      <c r="H171" s="1" t="str">
        <f>VLOOKUP(Tabella1[[#This Row],[test_id]],experiments_specs!A:J,8,FALSE)</f>
        <v>False</v>
      </c>
      <c r="I171" s="1" t="str">
        <f>VLOOKUP(Tabella1[[#This Row],[test_id]],experiments_specs!A:J,9,FALSE)</f>
        <v>wup_similarity</v>
      </c>
      <c r="J171" s="1" t="str">
        <f>VLOOKUP(Tabella1[[#This Row],[test_id]],experiments_specs!A:J,10,FALSE)</f>
        <v>False</v>
      </c>
      <c r="K171" t="s">
        <v>19</v>
      </c>
      <c r="L171" t="s">
        <v>50</v>
      </c>
      <c r="M171" t="s">
        <v>49</v>
      </c>
      <c r="N171">
        <v>0.19047619047619047</v>
      </c>
      <c r="O171" t="s">
        <v>22</v>
      </c>
      <c r="P171" t="s">
        <v>23</v>
      </c>
      <c r="Q171" s="33">
        <v>9.5238095238095233E-2</v>
      </c>
    </row>
    <row r="172" spans="1:17" ht="16" x14ac:dyDescent="0.2">
      <c r="A172" t="s">
        <v>157</v>
      </c>
      <c r="B172" s="1" t="str">
        <f>VLOOKUP(Tabella1[[#This Row],[test_id]],experiments_specs!A:J,2,FALSE)</f>
        <v>NN,VB,VBD,VBG,VBN,VBP,VBZ</v>
      </c>
      <c r="C172" s="1">
        <f>VLOOKUP(Tabella1[[#This Row],[test_id]],experiments_specs!A:J,3,FALSE)</f>
        <v>1</v>
      </c>
      <c r="D172" s="1">
        <f>VLOOKUP(Tabella1[[#This Row],[test_id]],experiments_specs!A:J,4,FALSE)</f>
        <v>2</v>
      </c>
      <c r="E172" s="1" t="str">
        <f>VLOOKUP(Tabella1[[#This Row],[test_id]],experiments_specs!A:J,5,FALSE)</f>
        <v>False</v>
      </c>
      <c r="F172" s="1" t="str">
        <f>VLOOKUP(Tabella1[[#This Row],[test_id]],experiments_specs!A:J,6,FALSE)</f>
        <v>True</v>
      </c>
      <c r="G172" s="1" t="str">
        <f>VLOOKUP(Tabella1[[#This Row],[test_id]],experiments_specs!A:J,7,FALSE)</f>
        <v>True</v>
      </c>
      <c r="H172" s="1" t="str">
        <f>VLOOKUP(Tabella1[[#This Row],[test_id]],experiments_specs!A:J,8,FALSE)</f>
        <v>False</v>
      </c>
      <c r="I172" s="1" t="str">
        <f>VLOOKUP(Tabella1[[#This Row],[test_id]],experiments_specs!A:J,9,FALSE)</f>
        <v>wup_similarity</v>
      </c>
      <c r="J172" s="1" t="str">
        <f>VLOOKUP(Tabella1[[#This Row],[test_id]],experiments_specs!A:J,10,FALSE)</f>
        <v>False</v>
      </c>
      <c r="K172" t="s">
        <v>12</v>
      </c>
      <c r="L172" t="s">
        <v>73</v>
      </c>
      <c r="M172" t="s">
        <v>64</v>
      </c>
      <c r="N172">
        <v>0.125</v>
      </c>
      <c r="O172" t="s">
        <v>63</v>
      </c>
      <c r="P172" t="s">
        <v>64</v>
      </c>
      <c r="Q172" s="33">
        <v>0.125</v>
      </c>
    </row>
    <row r="173" spans="1:17" ht="16" x14ac:dyDescent="0.2">
      <c r="A173" t="s">
        <v>157</v>
      </c>
      <c r="B173" s="1" t="str">
        <f>VLOOKUP(Tabella1[[#This Row],[test_id]],experiments_specs!A:J,2,FALSE)</f>
        <v>NN,VB,VBD,VBG,VBN,VBP,VBZ</v>
      </c>
      <c r="C173" s="1">
        <f>VLOOKUP(Tabella1[[#This Row],[test_id]],experiments_specs!A:J,3,FALSE)</f>
        <v>1</v>
      </c>
      <c r="D173" s="1">
        <f>VLOOKUP(Tabella1[[#This Row],[test_id]],experiments_specs!A:J,4,FALSE)</f>
        <v>2</v>
      </c>
      <c r="E173" s="1" t="str">
        <f>VLOOKUP(Tabella1[[#This Row],[test_id]],experiments_specs!A:J,5,FALSE)</f>
        <v>False</v>
      </c>
      <c r="F173" s="1" t="str">
        <f>VLOOKUP(Tabella1[[#This Row],[test_id]],experiments_specs!A:J,6,FALSE)</f>
        <v>True</v>
      </c>
      <c r="G173" s="1" t="str">
        <f>VLOOKUP(Tabella1[[#This Row],[test_id]],experiments_specs!A:J,7,FALSE)</f>
        <v>True</v>
      </c>
      <c r="H173" s="1" t="str">
        <f>VLOOKUP(Tabella1[[#This Row],[test_id]],experiments_specs!A:J,8,FALSE)</f>
        <v>False</v>
      </c>
      <c r="I173" s="1" t="str">
        <f>VLOOKUP(Tabella1[[#This Row],[test_id]],experiments_specs!A:J,9,FALSE)</f>
        <v>wup_similarity</v>
      </c>
      <c r="J173" s="1" t="str">
        <f>VLOOKUP(Tabella1[[#This Row],[test_id]],experiments_specs!A:J,10,FALSE)</f>
        <v>False</v>
      </c>
      <c r="K173" t="s">
        <v>13</v>
      </c>
      <c r="L173" t="s">
        <v>27</v>
      </c>
      <c r="M173" t="s">
        <v>28</v>
      </c>
      <c r="N173" t="s">
        <v>29</v>
      </c>
      <c r="O173" t="s">
        <v>30</v>
      </c>
      <c r="P173" t="s">
        <v>28</v>
      </c>
      <c r="Q173" s="33" t="s">
        <v>29</v>
      </c>
    </row>
    <row r="174" spans="1:17" ht="16" x14ac:dyDescent="0.2">
      <c r="A174" t="s">
        <v>157</v>
      </c>
      <c r="B174" s="1" t="str">
        <f>VLOOKUP(Tabella1[[#This Row],[test_id]],experiments_specs!A:J,2,FALSE)</f>
        <v>NN,VB,VBD,VBG,VBN,VBP,VBZ</v>
      </c>
      <c r="C174" s="1">
        <f>VLOOKUP(Tabella1[[#This Row],[test_id]],experiments_specs!A:J,3,FALSE)</f>
        <v>1</v>
      </c>
      <c r="D174" s="1">
        <f>VLOOKUP(Tabella1[[#This Row],[test_id]],experiments_specs!A:J,4,FALSE)</f>
        <v>2</v>
      </c>
      <c r="E174" s="1" t="str">
        <f>VLOOKUP(Tabella1[[#This Row],[test_id]],experiments_specs!A:J,5,FALSE)</f>
        <v>False</v>
      </c>
      <c r="F174" s="1" t="str">
        <f>VLOOKUP(Tabella1[[#This Row],[test_id]],experiments_specs!A:J,6,FALSE)</f>
        <v>True</v>
      </c>
      <c r="G174" s="1" t="str">
        <f>VLOOKUP(Tabella1[[#This Row],[test_id]],experiments_specs!A:J,7,FALSE)</f>
        <v>True</v>
      </c>
      <c r="H174" s="1" t="str">
        <f>VLOOKUP(Tabella1[[#This Row],[test_id]],experiments_specs!A:J,8,FALSE)</f>
        <v>False</v>
      </c>
      <c r="I174" s="1" t="str">
        <f>VLOOKUP(Tabella1[[#This Row],[test_id]],experiments_specs!A:J,9,FALSE)</f>
        <v>wup_similarity</v>
      </c>
      <c r="J174" s="1" t="str">
        <f>VLOOKUP(Tabella1[[#This Row],[test_id]],experiments_specs!A:J,10,FALSE)</f>
        <v>False</v>
      </c>
      <c r="K174" t="s">
        <v>14</v>
      </c>
      <c r="L174" t="s">
        <v>31</v>
      </c>
      <c r="M174" t="s">
        <v>32</v>
      </c>
      <c r="N174">
        <v>0.14285714285714285</v>
      </c>
      <c r="O174" t="s">
        <v>76</v>
      </c>
      <c r="P174" t="s">
        <v>77</v>
      </c>
      <c r="Q174" s="33">
        <v>0.625</v>
      </c>
    </row>
    <row r="175" spans="1:17" ht="16" x14ac:dyDescent="0.2">
      <c r="A175" t="s">
        <v>157</v>
      </c>
      <c r="B175" s="1" t="str">
        <f>VLOOKUP(Tabella1[[#This Row],[test_id]],experiments_specs!A:J,2,FALSE)</f>
        <v>NN,VB,VBD,VBG,VBN,VBP,VBZ</v>
      </c>
      <c r="C175" s="1">
        <f>VLOOKUP(Tabella1[[#This Row],[test_id]],experiments_specs!A:J,3,FALSE)</f>
        <v>1</v>
      </c>
      <c r="D175" s="1">
        <f>VLOOKUP(Tabella1[[#This Row],[test_id]],experiments_specs!A:J,4,FALSE)</f>
        <v>2</v>
      </c>
      <c r="E175" s="1" t="str">
        <f>VLOOKUP(Tabella1[[#This Row],[test_id]],experiments_specs!A:J,5,FALSE)</f>
        <v>False</v>
      </c>
      <c r="F175" s="1" t="str">
        <f>VLOOKUP(Tabella1[[#This Row],[test_id]],experiments_specs!A:J,6,FALSE)</f>
        <v>True</v>
      </c>
      <c r="G175" s="1" t="str">
        <f>VLOOKUP(Tabella1[[#This Row],[test_id]],experiments_specs!A:J,7,FALSE)</f>
        <v>True</v>
      </c>
      <c r="H175" s="1" t="str">
        <f>VLOOKUP(Tabella1[[#This Row],[test_id]],experiments_specs!A:J,8,FALSE)</f>
        <v>False</v>
      </c>
      <c r="I175" s="1" t="str">
        <f>VLOOKUP(Tabella1[[#This Row],[test_id]],experiments_specs!A:J,9,FALSE)</f>
        <v>wup_similarity</v>
      </c>
      <c r="J175" s="1" t="str">
        <f>VLOOKUP(Tabella1[[#This Row],[test_id]],experiments_specs!A:J,10,FALSE)</f>
        <v>False</v>
      </c>
      <c r="K175" t="s">
        <v>15</v>
      </c>
      <c r="L175" t="s">
        <v>65</v>
      </c>
      <c r="M175" t="s">
        <v>66</v>
      </c>
      <c r="N175">
        <v>0.2</v>
      </c>
      <c r="O175" t="s">
        <v>108</v>
      </c>
      <c r="P175" t="s">
        <v>109</v>
      </c>
      <c r="Q175" s="33">
        <v>0.22222222222222221</v>
      </c>
    </row>
    <row r="176" spans="1:17" ht="16" x14ac:dyDescent="0.2">
      <c r="A176" t="s">
        <v>157</v>
      </c>
      <c r="B176" s="1" t="str">
        <f>VLOOKUP(Tabella1[[#This Row],[test_id]],experiments_specs!A:J,2,FALSE)</f>
        <v>NN,VB,VBD,VBG,VBN,VBP,VBZ</v>
      </c>
      <c r="C176" s="1">
        <f>VLOOKUP(Tabella1[[#This Row],[test_id]],experiments_specs!A:J,3,FALSE)</f>
        <v>1</v>
      </c>
      <c r="D176" s="1">
        <f>VLOOKUP(Tabella1[[#This Row],[test_id]],experiments_specs!A:J,4,FALSE)</f>
        <v>2</v>
      </c>
      <c r="E176" s="1" t="str">
        <f>VLOOKUP(Tabella1[[#This Row],[test_id]],experiments_specs!A:J,5,FALSE)</f>
        <v>False</v>
      </c>
      <c r="F176" s="1" t="str">
        <f>VLOOKUP(Tabella1[[#This Row],[test_id]],experiments_specs!A:J,6,FALSE)</f>
        <v>True</v>
      </c>
      <c r="G176" s="1" t="str">
        <f>VLOOKUP(Tabella1[[#This Row],[test_id]],experiments_specs!A:J,7,FALSE)</f>
        <v>True</v>
      </c>
      <c r="H176" s="1" t="str">
        <f>VLOOKUP(Tabella1[[#This Row],[test_id]],experiments_specs!A:J,8,FALSE)</f>
        <v>False</v>
      </c>
      <c r="I176" s="1" t="str">
        <f>VLOOKUP(Tabella1[[#This Row],[test_id]],experiments_specs!A:J,9,FALSE)</f>
        <v>wup_similarity</v>
      </c>
      <c r="J176" s="1" t="str">
        <f>VLOOKUP(Tabella1[[#This Row],[test_id]],experiments_specs!A:J,10,FALSE)</f>
        <v>False</v>
      </c>
      <c r="K176" t="s">
        <v>16</v>
      </c>
      <c r="L176" t="s">
        <v>38</v>
      </c>
      <c r="M176" t="s">
        <v>39</v>
      </c>
      <c r="N176">
        <v>0.55555555555555558</v>
      </c>
      <c r="O176" t="s">
        <v>61</v>
      </c>
      <c r="P176" t="s">
        <v>110</v>
      </c>
      <c r="Q176" s="33">
        <v>0.15384615384615385</v>
      </c>
    </row>
    <row r="177" spans="1:17" ht="16" x14ac:dyDescent="0.2">
      <c r="A177" t="s">
        <v>157</v>
      </c>
      <c r="B177" s="1" t="str">
        <f>VLOOKUP(Tabella1[[#This Row],[test_id]],experiments_specs!A:J,2,FALSE)</f>
        <v>NN,VB,VBD,VBG,VBN,VBP,VBZ</v>
      </c>
      <c r="C177" s="1">
        <f>VLOOKUP(Tabella1[[#This Row],[test_id]],experiments_specs!A:J,3,FALSE)</f>
        <v>1</v>
      </c>
      <c r="D177" s="1">
        <f>VLOOKUP(Tabella1[[#This Row],[test_id]],experiments_specs!A:J,4,FALSE)</f>
        <v>2</v>
      </c>
      <c r="E177" s="1" t="str">
        <f>VLOOKUP(Tabella1[[#This Row],[test_id]],experiments_specs!A:J,5,FALSE)</f>
        <v>False</v>
      </c>
      <c r="F177" s="1" t="str">
        <f>VLOOKUP(Tabella1[[#This Row],[test_id]],experiments_specs!A:J,6,FALSE)</f>
        <v>True</v>
      </c>
      <c r="G177" s="1" t="str">
        <f>VLOOKUP(Tabella1[[#This Row],[test_id]],experiments_specs!A:J,7,FALSE)</f>
        <v>True</v>
      </c>
      <c r="H177" s="1" t="str">
        <f>VLOOKUP(Tabella1[[#This Row],[test_id]],experiments_specs!A:J,8,FALSE)</f>
        <v>False</v>
      </c>
      <c r="I177" s="1" t="str">
        <f>VLOOKUP(Tabella1[[#This Row],[test_id]],experiments_specs!A:J,9,FALSE)</f>
        <v>wup_similarity</v>
      </c>
      <c r="J177" s="1" t="str">
        <f>VLOOKUP(Tabella1[[#This Row],[test_id]],experiments_specs!A:J,10,FALSE)</f>
        <v>False</v>
      </c>
      <c r="K177" t="s">
        <v>17</v>
      </c>
      <c r="L177" t="s">
        <v>111</v>
      </c>
      <c r="M177" t="s">
        <v>112</v>
      </c>
      <c r="N177">
        <v>0.22222222222222221</v>
      </c>
      <c r="O177" t="s">
        <v>80</v>
      </c>
      <c r="P177" t="s">
        <v>107</v>
      </c>
      <c r="Q177" s="33">
        <v>0.2</v>
      </c>
    </row>
    <row r="178" spans="1:17" ht="16" x14ac:dyDescent="0.2">
      <c r="A178" t="s">
        <v>157</v>
      </c>
      <c r="B178" s="1" t="str">
        <f>VLOOKUP(Tabella1[[#This Row],[test_id]],experiments_specs!A:J,2,FALSE)</f>
        <v>NN,VB,VBD,VBG,VBN,VBP,VBZ</v>
      </c>
      <c r="C178" s="1">
        <f>VLOOKUP(Tabella1[[#This Row],[test_id]],experiments_specs!A:J,3,FALSE)</f>
        <v>1</v>
      </c>
      <c r="D178" s="1">
        <f>VLOOKUP(Tabella1[[#This Row],[test_id]],experiments_specs!A:J,4,FALSE)</f>
        <v>2</v>
      </c>
      <c r="E178" s="1" t="str">
        <f>VLOOKUP(Tabella1[[#This Row],[test_id]],experiments_specs!A:J,5,FALSE)</f>
        <v>False</v>
      </c>
      <c r="F178" s="1" t="str">
        <f>VLOOKUP(Tabella1[[#This Row],[test_id]],experiments_specs!A:J,6,FALSE)</f>
        <v>True</v>
      </c>
      <c r="G178" s="1" t="str">
        <f>VLOOKUP(Tabella1[[#This Row],[test_id]],experiments_specs!A:J,7,FALSE)</f>
        <v>True</v>
      </c>
      <c r="H178" s="1" t="str">
        <f>VLOOKUP(Tabella1[[#This Row],[test_id]],experiments_specs!A:J,8,FALSE)</f>
        <v>False</v>
      </c>
      <c r="I178" s="1" t="str">
        <f>VLOOKUP(Tabella1[[#This Row],[test_id]],experiments_specs!A:J,9,FALSE)</f>
        <v>wup_similarity</v>
      </c>
      <c r="J178" s="1" t="str">
        <f>VLOOKUP(Tabella1[[#This Row],[test_id]],experiments_specs!A:J,10,FALSE)</f>
        <v>False</v>
      </c>
      <c r="K178" t="s">
        <v>18</v>
      </c>
      <c r="L178" t="s">
        <v>46</v>
      </c>
      <c r="M178" t="s">
        <v>47</v>
      </c>
      <c r="N178">
        <v>0.21052631578947367</v>
      </c>
      <c r="O178" t="s">
        <v>113</v>
      </c>
      <c r="P178" t="s">
        <v>114</v>
      </c>
      <c r="Q178" s="33">
        <v>0.125</v>
      </c>
    </row>
    <row r="179" spans="1:17" ht="16" x14ac:dyDescent="0.2">
      <c r="A179" t="s">
        <v>158</v>
      </c>
      <c r="B179" s="1" t="str">
        <f>VLOOKUP(Tabella1[[#This Row],[test_id]],experiments_specs!A:J,2,FALSE)</f>
        <v>NN,RB</v>
      </c>
      <c r="C179" s="1">
        <f>VLOOKUP(Tabella1[[#This Row],[test_id]],experiments_specs!A:J,3,FALSE)</f>
        <v>1</v>
      </c>
      <c r="D179" s="1">
        <f>VLOOKUP(Tabella1[[#This Row],[test_id]],experiments_specs!A:J,4,FALSE)</f>
        <v>2</v>
      </c>
      <c r="E179" s="1" t="str">
        <f>VLOOKUP(Tabella1[[#This Row],[test_id]],experiments_specs!A:J,5,FALSE)</f>
        <v>False</v>
      </c>
      <c r="F179" s="1" t="str">
        <f>VLOOKUP(Tabella1[[#This Row],[test_id]],experiments_specs!A:J,6,FALSE)</f>
        <v>True</v>
      </c>
      <c r="G179" s="1" t="str">
        <f>VLOOKUP(Tabella1[[#This Row],[test_id]],experiments_specs!A:J,7,FALSE)</f>
        <v>True</v>
      </c>
      <c r="H179" s="1" t="str">
        <f>VLOOKUP(Tabella1[[#This Row],[test_id]],experiments_specs!A:J,8,FALSE)</f>
        <v>False</v>
      </c>
      <c r="I179" s="1" t="str">
        <f>VLOOKUP(Tabella1[[#This Row],[test_id]],experiments_specs!A:J,9,FALSE)</f>
        <v>wup_similarity</v>
      </c>
      <c r="J179" s="1" t="str">
        <f>VLOOKUP(Tabella1[[#This Row],[test_id]],experiments_specs!A:J,10,FALSE)</f>
        <v>False</v>
      </c>
      <c r="K179" t="s">
        <v>19</v>
      </c>
      <c r="L179" t="s">
        <v>50</v>
      </c>
      <c r="M179" t="s">
        <v>49</v>
      </c>
      <c r="N179">
        <v>0.19047619047619047</v>
      </c>
      <c r="O179" t="s">
        <v>22</v>
      </c>
      <c r="P179" t="s">
        <v>23</v>
      </c>
      <c r="Q179" s="33">
        <v>9.5238095238095233E-2</v>
      </c>
    </row>
    <row r="180" spans="1:17" ht="16" x14ac:dyDescent="0.2">
      <c r="A180" t="s">
        <v>158</v>
      </c>
      <c r="B180" s="1" t="str">
        <f>VLOOKUP(Tabella1[[#This Row],[test_id]],experiments_specs!A:J,2,FALSE)</f>
        <v>NN,RB</v>
      </c>
      <c r="C180" s="1">
        <f>VLOOKUP(Tabella1[[#This Row],[test_id]],experiments_specs!A:J,3,FALSE)</f>
        <v>1</v>
      </c>
      <c r="D180" s="1">
        <f>VLOOKUP(Tabella1[[#This Row],[test_id]],experiments_specs!A:J,4,FALSE)</f>
        <v>2</v>
      </c>
      <c r="E180" s="1" t="str">
        <f>VLOOKUP(Tabella1[[#This Row],[test_id]],experiments_specs!A:J,5,FALSE)</f>
        <v>False</v>
      </c>
      <c r="F180" s="1" t="str">
        <f>VLOOKUP(Tabella1[[#This Row],[test_id]],experiments_specs!A:J,6,FALSE)</f>
        <v>True</v>
      </c>
      <c r="G180" s="1" t="str">
        <f>VLOOKUP(Tabella1[[#This Row],[test_id]],experiments_specs!A:J,7,FALSE)</f>
        <v>True</v>
      </c>
      <c r="H180" s="1" t="str">
        <f>VLOOKUP(Tabella1[[#This Row],[test_id]],experiments_specs!A:J,8,FALSE)</f>
        <v>False</v>
      </c>
      <c r="I180" s="1" t="str">
        <f>VLOOKUP(Tabella1[[#This Row],[test_id]],experiments_specs!A:J,9,FALSE)</f>
        <v>wup_similarity</v>
      </c>
      <c r="J180" s="1" t="str">
        <f>VLOOKUP(Tabella1[[#This Row],[test_id]],experiments_specs!A:J,10,FALSE)</f>
        <v>False</v>
      </c>
      <c r="K180" t="s">
        <v>12</v>
      </c>
      <c r="L180" t="s">
        <v>51</v>
      </c>
      <c r="M180" t="s">
        <v>52</v>
      </c>
      <c r="N180">
        <v>0.42857142857142855</v>
      </c>
      <c r="O180" t="s">
        <v>53</v>
      </c>
      <c r="P180" t="s">
        <v>54</v>
      </c>
      <c r="Q180" s="33">
        <v>0.2857142857142857</v>
      </c>
    </row>
    <row r="181" spans="1:17" ht="16" x14ac:dyDescent="0.2">
      <c r="A181" t="s">
        <v>158</v>
      </c>
      <c r="B181" s="1" t="str">
        <f>VLOOKUP(Tabella1[[#This Row],[test_id]],experiments_specs!A:J,2,FALSE)</f>
        <v>NN,RB</v>
      </c>
      <c r="C181" s="1">
        <f>VLOOKUP(Tabella1[[#This Row],[test_id]],experiments_specs!A:J,3,FALSE)</f>
        <v>1</v>
      </c>
      <c r="D181" s="1">
        <f>VLOOKUP(Tabella1[[#This Row],[test_id]],experiments_specs!A:J,4,FALSE)</f>
        <v>2</v>
      </c>
      <c r="E181" s="1" t="str">
        <f>VLOOKUP(Tabella1[[#This Row],[test_id]],experiments_specs!A:J,5,FALSE)</f>
        <v>False</v>
      </c>
      <c r="F181" s="1" t="str">
        <f>VLOOKUP(Tabella1[[#This Row],[test_id]],experiments_specs!A:J,6,FALSE)</f>
        <v>True</v>
      </c>
      <c r="G181" s="1" t="str">
        <f>VLOOKUP(Tabella1[[#This Row],[test_id]],experiments_specs!A:J,7,FALSE)</f>
        <v>True</v>
      </c>
      <c r="H181" s="1" t="str">
        <f>VLOOKUP(Tabella1[[#This Row],[test_id]],experiments_specs!A:J,8,FALSE)</f>
        <v>False</v>
      </c>
      <c r="I181" s="1" t="str">
        <f>VLOOKUP(Tabella1[[#This Row],[test_id]],experiments_specs!A:J,9,FALSE)</f>
        <v>wup_similarity</v>
      </c>
      <c r="J181" s="1" t="str">
        <f>VLOOKUP(Tabella1[[#This Row],[test_id]],experiments_specs!A:J,10,FALSE)</f>
        <v>False</v>
      </c>
      <c r="K181" t="s">
        <v>13</v>
      </c>
      <c r="L181" t="s">
        <v>27</v>
      </c>
      <c r="M181" t="s">
        <v>28</v>
      </c>
      <c r="N181" t="s">
        <v>29</v>
      </c>
      <c r="O181" t="s">
        <v>30</v>
      </c>
      <c r="P181" t="s">
        <v>28</v>
      </c>
      <c r="Q181" s="33" t="s">
        <v>29</v>
      </c>
    </row>
    <row r="182" spans="1:17" ht="16" x14ac:dyDescent="0.2">
      <c r="A182" t="s">
        <v>158</v>
      </c>
      <c r="B182" s="1" t="str">
        <f>VLOOKUP(Tabella1[[#This Row],[test_id]],experiments_specs!A:J,2,FALSE)</f>
        <v>NN,RB</v>
      </c>
      <c r="C182" s="1">
        <f>VLOOKUP(Tabella1[[#This Row],[test_id]],experiments_specs!A:J,3,FALSE)</f>
        <v>1</v>
      </c>
      <c r="D182" s="1">
        <f>VLOOKUP(Tabella1[[#This Row],[test_id]],experiments_specs!A:J,4,FALSE)</f>
        <v>2</v>
      </c>
      <c r="E182" s="1" t="str">
        <f>VLOOKUP(Tabella1[[#This Row],[test_id]],experiments_specs!A:J,5,FALSE)</f>
        <v>False</v>
      </c>
      <c r="F182" s="1" t="str">
        <f>VLOOKUP(Tabella1[[#This Row],[test_id]],experiments_specs!A:J,6,FALSE)</f>
        <v>True</v>
      </c>
      <c r="G182" s="1" t="str">
        <f>VLOOKUP(Tabella1[[#This Row],[test_id]],experiments_specs!A:J,7,FALSE)</f>
        <v>True</v>
      </c>
      <c r="H182" s="1" t="str">
        <f>VLOOKUP(Tabella1[[#This Row],[test_id]],experiments_specs!A:J,8,FALSE)</f>
        <v>False</v>
      </c>
      <c r="I182" s="1" t="str">
        <f>VLOOKUP(Tabella1[[#This Row],[test_id]],experiments_specs!A:J,9,FALSE)</f>
        <v>wup_similarity</v>
      </c>
      <c r="J182" s="1" t="str">
        <f>VLOOKUP(Tabella1[[#This Row],[test_id]],experiments_specs!A:J,10,FALSE)</f>
        <v>False</v>
      </c>
      <c r="K182" t="s">
        <v>14</v>
      </c>
      <c r="L182" t="s">
        <v>31</v>
      </c>
      <c r="M182" t="s">
        <v>32</v>
      </c>
      <c r="N182">
        <v>0.14285714285714285</v>
      </c>
      <c r="O182" t="s">
        <v>55</v>
      </c>
      <c r="P182" t="s">
        <v>56</v>
      </c>
      <c r="Q182" s="33">
        <v>0.125</v>
      </c>
    </row>
    <row r="183" spans="1:17" ht="16" x14ac:dyDescent="0.2">
      <c r="A183" t="s">
        <v>158</v>
      </c>
      <c r="B183" s="1" t="str">
        <f>VLOOKUP(Tabella1[[#This Row],[test_id]],experiments_specs!A:J,2,FALSE)</f>
        <v>NN,RB</v>
      </c>
      <c r="C183" s="1">
        <f>VLOOKUP(Tabella1[[#This Row],[test_id]],experiments_specs!A:J,3,FALSE)</f>
        <v>1</v>
      </c>
      <c r="D183" s="1">
        <f>VLOOKUP(Tabella1[[#This Row],[test_id]],experiments_specs!A:J,4,FALSE)</f>
        <v>2</v>
      </c>
      <c r="E183" s="1" t="str">
        <f>VLOOKUP(Tabella1[[#This Row],[test_id]],experiments_specs!A:J,5,FALSE)</f>
        <v>False</v>
      </c>
      <c r="F183" s="1" t="str">
        <f>VLOOKUP(Tabella1[[#This Row],[test_id]],experiments_specs!A:J,6,FALSE)</f>
        <v>True</v>
      </c>
      <c r="G183" s="1" t="str">
        <f>VLOOKUP(Tabella1[[#This Row],[test_id]],experiments_specs!A:J,7,FALSE)</f>
        <v>True</v>
      </c>
      <c r="H183" s="1" t="str">
        <f>VLOOKUP(Tabella1[[#This Row],[test_id]],experiments_specs!A:J,8,FALSE)</f>
        <v>False</v>
      </c>
      <c r="I183" s="1" t="str">
        <f>VLOOKUP(Tabella1[[#This Row],[test_id]],experiments_specs!A:J,9,FALSE)</f>
        <v>wup_similarity</v>
      </c>
      <c r="J183" s="1" t="str">
        <f>VLOOKUP(Tabella1[[#This Row],[test_id]],experiments_specs!A:J,10,FALSE)</f>
        <v>False</v>
      </c>
      <c r="K183" t="s">
        <v>15</v>
      </c>
      <c r="L183" t="s">
        <v>34</v>
      </c>
      <c r="M183" t="s">
        <v>35</v>
      </c>
      <c r="N183">
        <v>0.16666666666666666</v>
      </c>
      <c r="O183" t="s">
        <v>57</v>
      </c>
      <c r="P183" t="s">
        <v>34</v>
      </c>
      <c r="Q183" s="33">
        <v>0.18181818181818182</v>
      </c>
    </row>
    <row r="184" spans="1:17" ht="16" x14ac:dyDescent="0.2">
      <c r="A184" t="s">
        <v>158</v>
      </c>
      <c r="B184" s="1" t="str">
        <f>VLOOKUP(Tabella1[[#This Row],[test_id]],experiments_specs!A:J,2,FALSE)</f>
        <v>NN,RB</v>
      </c>
      <c r="C184" s="1">
        <f>VLOOKUP(Tabella1[[#This Row],[test_id]],experiments_specs!A:J,3,FALSE)</f>
        <v>1</v>
      </c>
      <c r="D184" s="1">
        <f>VLOOKUP(Tabella1[[#This Row],[test_id]],experiments_specs!A:J,4,FALSE)</f>
        <v>2</v>
      </c>
      <c r="E184" s="1" t="str">
        <f>VLOOKUP(Tabella1[[#This Row],[test_id]],experiments_specs!A:J,5,FALSE)</f>
        <v>False</v>
      </c>
      <c r="F184" s="1" t="str">
        <f>VLOOKUP(Tabella1[[#This Row],[test_id]],experiments_specs!A:J,6,FALSE)</f>
        <v>True</v>
      </c>
      <c r="G184" s="1" t="str">
        <f>VLOOKUP(Tabella1[[#This Row],[test_id]],experiments_specs!A:J,7,FALSE)</f>
        <v>True</v>
      </c>
      <c r="H184" s="1" t="str">
        <f>VLOOKUP(Tabella1[[#This Row],[test_id]],experiments_specs!A:J,8,FALSE)</f>
        <v>False</v>
      </c>
      <c r="I184" s="1" t="str">
        <f>VLOOKUP(Tabella1[[#This Row],[test_id]],experiments_specs!A:J,9,FALSE)</f>
        <v>wup_similarity</v>
      </c>
      <c r="J184" s="1" t="str">
        <f>VLOOKUP(Tabella1[[#This Row],[test_id]],experiments_specs!A:J,10,FALSE)</f>
        <v>False</v>
      </c>
      <c r="K184" t="s">
        <v>16</v>
      </c>
      <c r="L184" t="s">
        <v>38</v>
      </c>
      <c r="M184" t="s">
        <v>39</v>
      </c>
      <c r="N184">
        <v>0.55555555555555558</v>
      </c>
      <c r="O184" t="s">
        <v>40</v>
      </c>
      <c r="P184" t="s">
        <v>58</v>
      </c>
      <c r="Q184" s="33">
        <v>0.13333333333333333</v>
      </c>
    </row>
    <row r="185" spans="1:17" ht="16" x14ac:dyDescent="0.2">
      <c r="A185" t="s">
        <v>158</v>
      </c>
      <c r="B185" s="1" t="str">
        <f>VLOOKUP(Tabella1[[#This Row],[test_id]],experiments_specs!A:J,2,FALSE)</f>
        <v>NN,RB</v>
      </c>
      <c r="C185" s="1">
        <f>VLOOKUP(Tabella1[[#This Row],[test_id]],experiments_specs!A:J,3,FALSE)</f>
        <v>1</v>
      </c>
      <c r="D185" s="1">
        <f>VLOOKUP(Tabella1[[#This Row],[test_id]],experiments_specs!A:J,4,FALSE)</f>
        <v>2</v>
      </c>
      <c r="E185" s="1" t="str">
        <f>VLOOKUP(Tabella1[[#This Row],[test_id]],experiments_specs!A:J,5,FALSE)</f>
        <v>False</v>
      </c>
      <c r="F185" s="1" t="str">
        <f>VLOOKUP(Tabella1[[#This Row],[test_id]],experiments_specs!A:J,6,FALSE)</f>
        <v>True</v>
      </c>
      <c r="G185" s="1" t="str">
        <f>VLOOKUP(Tabella1[[#This Row],[test_id]],experiments_specs!A:J,7,FALSE)</f>
        <v>True</v>
      </c>
      <c r="H185" s="1" t="str">
        <f>VLOOKUP(Tabella1[[#This Row],[test_id]],experiments_specs!A:J,8,FALSE)</f>
        <v>False</v>
      </c>
      <c r="I185" s="1" t="str">
        <f>VLOOKUP(Tabella1[[#This Row],[test_id]],experiments_specs!A:J,9,FALSE)</f>
        <v>wup_similarity</v>
      </c>
      <c r="J185" s="1" t="str">
        <f>VLOOKUP(Tabella1[[#This Row],[test_id]],experiments_specs!A:J,10,FALSE)</f>
        <v>False</v>
      </c>
      <c r="K185" t="s">
        <v>17</v>
      </c>
      <c r="L185" t="s">
        <v>42</v>
      </c>
      <c r="M185" t="s">
        <v>43</v>
      </c>
      <c r="N185">
        <v>0.13333333333333333</v>
      </c>
      <c r="O185" t="s">
        <v>44</v>
      </c>
      <c r="P185" t="s">
        <v>45</v>
      </c>
      <c r="Q185" s="33">
        <v>0.33333333333333331</v>
      </c>
    </row>
    <row r="186" spans="1:17" ht="16" x14ac:dyDescent="0.2">
      <c r="A186" t="s">
        <v>158</v>
      </c>
      <c r="B186" s="1" t="str">
        <f>VLOOKUP(Tabella1[[#This Row],[test_id]],experiments_specs!A:J,2,FALSE)</f>
        <v>NN,RB</v>
      </c>
      <c r="C186" s="1">
        <f>VLOOKUP(Tabella1[[#This Row],[test_id]],experiments_specs!A:J,3,FALSE)</f>
        <v>1</v>
      </c>
      <c r="D186" s="1">
        <f>VLOOKUP(Tabella1[[#This Row],[test_id]],experiments_specs!A:J,4,FALSE)</f>
        <v>2</v>
      </c>
      <c r="E186" s="1" t="str">
        <f>VLOOKUP(Tabella1[[#This Row],[test_id]],experiments_specs!A:J,5,FALSE)</f>
        <v>False</v>
      </c>
      <c r="F186" s="1" t="str">
        <f>VLOOKUP(Tabella1[[#This Row],[test_id]],experiments_specs!A:J,6,FALSE)</f>
        <v>True</v>
      </c>
      <c r="G186" s="1" t="str">
        <f>VLOOKUP(Tabella1[[#This Row],[test_id]],experiments_specs!A:J,7,FALSE)</f>
        <v>True</v>
      </c>
      <c r="H186" s="1" t="str">
        <f>VLOOKUP(Tabella1[[#This Row],[test_id]],experiments_specs!A:J,8,FALSE)</f>
        <v>False</v>
      </c>
      <c r="I186" s="1" t="str">
        <f>VLOOKUP(Tabella1[[#This Row],[test_id]],experiments_specs!A:J,9,FALSE)</f>
        <v>wup_similarity</v>
      </c>
      <c r="J186" s="1" t="str">
        <f>VLOOKUP(Tabella1[[#This Row],[test_id]],experiments_specs!A:J,10,FALSE)</f>
        <v>False</v>
      </c>
      <c r="K186" t="s">
        <v>18</v>
      </c>
      <c r="L186" t="s">
        <v>46</v>
      </c>
      <c r="M186" t="s">
        <v>47</v>
      </c>
      <c r="N186">
        <v>0.21052631578947367</v>
      </c>
      <c r="O186" t="s">
        <v>48</v>
      </c>
      <c r="P186" t="s">
        <v>47</v>
      </c>
      <c r="Q186" s="33">
        <v>0.21052631578947367</v>
      </c>
    </row>
    <row r="187" spans="1:17" ht="16" x14ac:dyDescent="0.2">
      <c r="A187" t="s">
        <v>159</v>
      </c>
      <c r="B187" s="1" t="str">
        <f>VLOOKUP(Tabella1[[#This Row],[test_id]],experiments_specs!A:J,2,FALSE)</f>
        <v>NN,JJ,VB,VBD,VBG,VBN,VBP,VBZ</v>
      </c>
      <c r="C187" s="1">
        <f>VLOOKUP(Tabella1[[#This Row],[test_id]],experiments_specs!A:J,3,FALSE)</f>
        <v>1</v>
      </c>
      <c r="D187" s="1">
        <f>VLOOKUP(Tabella1[[#This Row],[test_id]],experiments_specs!A:J,4,FALSE)</f>
        <v>2</v>
      </c>
      <c r="E187" s="1" t="str">
        <f>VLOOKUP(Tabella1[[#This Row],[test_id]],experiments_specs!A:J,5,FALSE)</f>
        <v>False</v>
      </c>
      <c r="F187" s="1" t="str">
        <f>VLOOKUP(Tabella1[[#This Row],[test_id]],experiments_specs!A:J,6,FALSE)</f>
        <v>True</v>
      </c>
      <c r="G187" s="1" t="str">
        <f>VLOOKUP(Tabella1[[#This Row],[test_id]],experiments_specs!A:J,7,FALSE)</f>
        <v>True</v>
      </c>
      <c r="H187" s="1" t="str">
        <f>VLOOKUP(Tabella1[[#This Row],[test_id]],experiments_specs!A:J,8,FALSE)</f>
        <v>False</v>
      </c>
      <c r="I187" s="1" t="str">
        <f>VLOOKUP(Tabella1[[#This Row],[test_id]],experiments_specs!A:J,9,FALSE)</f>
        <v>wup_similarity</v>
      </c>
      <c r="J187" s="1" t="str">
        <f>VLOOKUP(Tabella1[[#This Row],[test_id]],experiments_specs!A:J,10,FALSE)</f>
        <v>False</v>
      </c>
      <c r="K187" t="s">
        <v>19</v>
      </c>
      <c r="L187" t="s">
        <v>59</v>
      </c>
      <c r="M187" t="s">
        <v>60</v>
      </c>
      <c r="N187">
        <v>0.17391304347826086</v>
      </c>
      <c r="O187" t="s">
        <v>61</v>
      </c>
      <c r="P187" t="s">
        <v>62</v>
      </c>
      <c r="Q187" s="33">
        <v>0.11764705882352941</v>
      </c>
    </row>
    <row r="188" spans="1:17" ht="16" x14ac:dyDescent="0.2">
      <c r="A188" t="s">
        <v>159</v>
      </c>
      <c r="B188" s="1" t="str">
        <f>VLOOKUP(Tabella1[[#This Row],[test_id]],experiments_specs!A:J,2,FALSE)</f>
        <v>NN,JJ,VB,VBD,VBG,VBN,VBP,VBZ</v>
      </c>
      <c r="C188" s="1">
        <f>VLOOKUP(Tabella1[[#This Row],[test_id]],experiments_specs!A:J,3,FALSE)</f>
        <v>1</v>
      </c>
      <c r="D188" s="1">
        <f>VLOOKUP(Tabella1[[#This Row],[test_id]],experiments_specs!A:J,4,FALSE)</f>
        <v>2</v>
      </c>
      <c r="E188" s="1" t="str">
        <f>VLOOKUP(Tabella1[[#This Row],[test_id]],experiments_specs!A:J,5,FALSE)</f>
        <v>False</v>
      </c>
      <c r="F188" s="1" t="str">
        <f>VLOOKUP(Tabella1[[#This Row],[test_id]],experiments_specs!A:J,6,FALSE)</f>
        <v>True</v>
      </c>
      <c r="G188" s="1" t="str">
        <f>VLOOKUP(Tabella1[[#This Row],[test_id]],experiments_specs!A:J,7,FALSE)</f>
        <v>True</v>
      </c>
      <c r="H188" s="1" t="str">
        <f>VLOOKUP(Tabella1[[#This Row],[test_id]],experiments_specs!A:J,8,FALSE)</f>
        <v>False</v>
      </c>
      <c r="I188" s="1" t="str">
        <f>VLOOKUP(Tabella1[[#This Row],[test_id]],experiments_specs!A:J,9,FALSE)</f>
        <v>wup_similarity</v>
      </c>
      <c r="J188" s="1" t="str">
        <f>VLOOKUP(Tabella1[[#This Row],[test_id]],experiments_specs!A:J,10,FALSE)</f>
        <v>False</v>
      </c>
      <c r="K188" t="s">
        <v>12</v>
      </c>
      <c r="L188" t="s">
        <v>73</v>
      </c>
      <c r="M188" t="s">
        <v>64</v>
      </c>
      <c r="N188">
        <v>0.125</v>
      </c>
      <c r="O188" t="s">
        <v>63</v>
      </c>
      <c r="P188" t="s">
        <v>64</v>
      </c>
      <c r="Q188" s="33">
        <v>0.125</v>
      </c>
    </row>
    <row r="189" spans="1:17" ht="16" x14ac:dyDescent="0.2">
      <c r="A189" t="s">
        <v>159</v>
      </c>
      <c r="B189" s="1" t="str">
        <f>VLOOKUP(Tabella1[[#This Row],[test_id]],experiments_specs!A:J,2,FALSE)</f>
        <v>NN,JJ,VB,VBD,VBG,VBN,VBP,VBZ</v>
      </c>
      <c r="C189" s="1">
        <f>VLOOKUP(Tabella1[[#This Row],[test_id]],experiments_specs!A:J,3,FALSE)</f>
        <v>1</v>
      </c>
      <c r="D189" s="1">
        <f>VLOOKUP(Tabella1[[#This Row],[test_id]],experiments_specs!A:J,4,FALSE)</f>
        <v>2</v>
      </c>
      <c r="E189" s="1" t="str">
        <f>VLOOKUP(Tabella1[[#This Row],[test_id]],experiments_specs!A:J,5,FALSE)</f>
        <v>False</v>
      </c>
      <c r="F189" s="1" t="str">
        <f>VLOOKUP(Tabella1[[#This Row],[test_id]],experiments_specs!A:J,6,FALSE)</f>
        <v>True</v>
      </c>
      <c r="G189" s="1" t="str">
        <f>VLOOKUP(Tabella1[[#This Row],[test_id]],experiments_specs!A:J,7,FALSE)</f>
        <v>True</v>
      </c>
      <c r="H189" s="1" t="str">
        <f>VLOOKUP(Tabella1[[#This Row],[test_id]],experiments_specs!A:J,8,FALSE)</f>
        <v>False</v>
      </c>
      <c r="I189" s="1" t="str">
        <f>VLOOKUP(Tabella1[[#This Row],[test_id]],experiments_specs!A:J,9,FALSE)</f>
        <v>wup_similarity</v>
      </c>
      <c r="J189" s="1" t="str">
        <f>VLOOKUP(Tabella1[[#This Row],[test_id]],experiments_specs!A:J,10,FALSE)</f>
        <v>False</v>
      </c>
      <c r="K189" t="s">
        <v>13</v>
      </c>
      <c r="L189" t="s">
        <v>27</v>
      </c>
      <c r="M189" t="s">
        <v>28</v>
      </c>
      <c r="N189" t="s">
        <v>29</v>
      </c>
      <c r="O189" t="s">
        <v>30</v>
      </c>
      <c r="P189" t="s">
        <v>28</v>
      </c>
      <c r="Q189" s="33" t="s">
        <v>29</v>
      </c>
    </row>
    <row r="190" spans="1:17" ht="16" x14ac:dyDescent="0.2">
      <c r="A190" t="s">
        <v>159</v>
      </c>
      <c r="B190" s="1" t="str">
        <f>VLOOKUP(Tabella1[[#This Row],[test_id]],experiments_specs!A:J,2,FALSE)</f>
        <v>NN,JJ,VB,VBD,VBG,VBN,VBP,VBZ</v>
      </c>
      <c r="C190" s="1">
        <f>VLOOKUP(Tabella1[[#This Row],[test_id]],experiments_specs!A:J,3,FALSE)</f>
        <v>1</v>
      </c>
      <c r="D190" s="1">
        <f>VLOOKUP(Tabella1[[#This Row],[test_id]],experiments_specs!A:J,4,FALSE)</f>
        <v>2</v>
      </c>
      <c r="E190" s="1" t="str">
        <f>VLOOKUP(Tabella1[[#This Row],[test_id]],experiments_specs!A:J,5,FALSE)</f>
        <v>False</v>
      </c>
      <c r="F190" s="1" t="str">
        <f>VLOOKUP(Tabella1[[#This Row],[test_id]],experiments_specs!A:J,6,FALSE)</f>
        <v>True</v>
      </c>
      <c r="G190" s="1" t="str">
        <f>VLOOKUP(Tabella1[[#This Row],[test_id]],experiments_specs!A:J,7,FALSE)</f>
        <v>True</v>
      </c>
      <c r="H190" s="1" t="str">
        <f>VLOOKUP(Tabella1[[#This Row],[test_id]],experiments_specs!A:J,8,FALSE)</f>
        <v>False</v>
      </c>
      <c r="I190" s="1" t="str">
        <f>VLOOKUP(Tabella1[[#This Row],[test_id]],experiments_specs!A:J,9,FALSE)</f>
        <v>wup_similarity</v>
      </c>
      <c r="J190" s="1" t="str">
        <f>VLOOKUP(Tabella1[[#This Row],[test_id]],experiments_specs!A:J,10,FALSE)</f>
        <v>False</v>
      </c>
      <c r="K190" t="s">
        <v>14</v>
      </c>
      <c r="L190" t="s">
        <v>31</v>
      </c>
      <c r="M190" t="s">
        <v>32</v>
      </c>
      <c r="N190">
        <v>0.14285714285714285</v>
      </c>
      <c r="O190" t="s">
        <v>76</v>
      </c>
      <c r="P190" t="s">
        <v>77</v>
      </c>
      <c r="Q190" s="33">
        <v>0.625</v>
      </c>
    </row>
    <row r="191" spans="1:17" ht="16" x14ac:dyDescent="0.2">
      <c r="A191" t="s">
        <v>159</v>
      </c>
      <c r="B191" s="1" t="str">
        <f>VLOOKUP(Tabella1[[#This Row],[test_id]],experiments_specs!A:J,2,FALSE)</f>
        <v>NN,JJ,VB,VBD,VBG,VBN,VBP,VBZ</v>
      </c>
      <c r="C191" s="1">
        <f>VLOOKUP(Tabella1[[#This Row],[test_id]],experiments_specs!A:J,3,FALSE)</f>
        <v>1</v>
      </c>
      <c r="D191" s="1">
        <f>VLOOKUP(Tabella1[[#This Row],[test_id]],experiments_specs!A:J,4,FALSE)</f>
        <v>2</v>
      </c>
      <c r="E191" s="1" t="str">
        <f>VLOOKUP(Tabella1[[#This Row],[test_id]],experiments_specs!A:J,5,FALSE)</f>
        <v>False</v>
      </c>
      <c r="F191" s="1" t="str">
        <f>VLOOKUP(Tabella1[[#This Row],[test_id]],experiments_specs!A:J,6,FALSE)</f>
        <v>True</v>
      </c>
      <c r="G191" s="1" t="str">
        <f>VLOOKUP(Tabella1[[#This Row],[test_id]],experiments_specs!A:J,7,FALSE)</f>
        <v>True</v>
      </c>
      <c r="H191" s="1" t="str">
        <f>VLOOKUP(Tabella1[[#This Row],[test_id]],experiments_specs!A:J,8,FALSE)</f>
        <v>False</v>
      </c>
      <c r="I191" s="1" t="str">
        <f>VLOOKUP(Tabella1[[#This Row],[test_id]],experiments_specs!A:J,9,FALSE)</f>
        <v>wup_similarity</v>
      </c>
      <c r="J191" s="1" t="str">
        <f>VLOOKUP(Tabella1[[#This Row],[test_id]],experiments_specs!A:J,10,FALSE)</f>
        <v>False</v>
      </c>
      <c r="K191" t="s">
        <v>15</v>
      </c>
      <c r="L191" t="s">
        <v>65</v>
      </c>
      <c r="M191" t="s">
        <v>66</v>
      </c>
      <c r="N191">
        <v>0.2</v>
      </c>
      <c r="O191" t="s">
        <v>108</v>
      </c>
      <c r="P191" t="s">
        <v>109</v>
      </c>
      <c r="Q191" s="33">
        <v>0.22222222222222221</v>
      </c>
    </row>
    <row r="192" spans="1:17" ht="16" x14ac:dyDescent="0.2">
      <c r="A192" t="s">
        <v>159</v>
      </c>
      <c r="B192" s="1" t="str">
        <f>VLOOKUP(Tabella1[[#This Row],[test_id]],experiments_specs!A:J,2,FALSE)</f>
        <v>NN,JJ,VB,VBD,VBG,VBN,VBP,VBZ</v>
      </c>
      <c r="C192" s="1">
        <f>VLOOKUP(Tabella1[[#This Row],[test_id]],experiments_specs!A:J,3,FALSE)</f>
        <v>1</v>
      </c>
      <c r="D192" s="1">
        <f>VLOOKUP(Tabella1[[#This Row],[test_id]],experiments_specs!A:J,4,FALSE)</f>
        <v>2</v>
      </c>
      <c r="E192" s="1" t="str">
        <f>VLOOKUP(Tabella1[[#This Row],[test_id]],experiments_specs!A:J,5,FALSE)</f>
        <v>False</v>
      </c>
      <c r="F192" s="1" t="str">
        <f>VLOOKUP(Tabella1[[#This Row],[test_id]],experiments_specs!A:J,6,FALSE)</f>
        <v>True</v>
      </c>
      <c r="G192" s="1" t="str">
        <f>VLOOKUP(Tabella1[[#This Row],[test_id]],experiments_specs!A:J,7,FALSE)</f>
        <v>True</v>
      </c>
      <c r="H192" s="1" t="str">
        <f>VLOOKUP(Tabella1[[#This Row],[test_id]],experiments_specs!A:J,8,FALSE)</f>
        <v>False</v>
      </c>
      <c r="I192" s="1" t="str">
        <f>VLOOKUP(Tabella1[[#This Row],[test_id]],experiments_specs!A:J,9,FALSE)</f>
        <v>wup_similarity</v>
      </c>
      <c r="J192" s="1" t="str">
        <f>VLOOKUP(Tabella1[[#This Row],[test_id]],experiments_specs!A:J,10,FALSE)</f>
        <v>False</v>
      </c>
      <c r="K192" t="s">
        <v>16</v>
      </c>
      <c r="L192" t="s">
        <v>38</v>
      </c>
      <c r="M192" t="s">
        <v>39</v>
      </c>
      <c r="N192">
        <v>0.55555555555555558</v>
      </c>
      <c r="O192" t="s">
        <v>61</v>
      </c>
      <c r="P192" t="s">
        <v>110</v>
      </c>
      <c r="Q192" s="33">
        <v>0.15384615384615385</v>
      </c>
    </row>
    <row r="193" spans="1:17" ht="16" x14ac:dyDescent="0.2">
      <c r="A193" t="s">
        <v>159</v>
      </c>
      <c r="B193" s="1" t="str">
        <f>VLOOKUP(Tabella1[[#This Row],[test_id]],experiments_specs!A:J,2,FALSE)</f>
        <v>NN,JJ,VB,VBD,VBG,VBN,VBP,VBZ</v>
      </c>
      <c r="C193" s="1">
        <f>VLOOKUP(Tabella1[[#This Row],[test_id]],experiments_specs!A:J,3,FALSE)</f>
        <v>1</v>
      </c>
      <c r="D193" s="1">
        <f>VLOOKUP(Tabella1[[#This Row],[test_id]],experiments_specs!A:J,4,FALSE)</f>
        <v>2</v>
      </c>
      <c r="E193" s="1" t="str">
        <f>VLOOKUP(Tabella1[[#This Row],[test_id]],experiments_specs!A:J,5,FALSE)</f>
        <v>False</v>
      </c>
      <c r="F193" s="1" t="str">
        <f>VLOOKUP(Tabella1[[#This Row],[test_id]],experiments_specs!A:J,6,FALSE)</f>
        <v>True</v>
      </c>
      <c r="G193" s="1" t="str">
        <f>VLOOKUP(Tabella1[[#This Row],[test_id]],experiments_specs!A:J,7,FALSE)</f>
        <v>True</v>
      </c>
      <c r="H193" s="1" t="str">
        <f>VLOOKUP(Tabella1[[#This Row],[test_id]],experiments_specs!A:J,8,FALSE)</f>
        <v>False</v>
      </c>
      <c r="I193" s="1" t="str">
        <f>VLOOKUP(Tabella1[[#This Row],[test_id]],experiments_specs!A:J,9,FALSE)</f>
        <v>wup_similarity</v>
      </c>
      <c r="J193" s="1" t="str">
        <f>VLOOKUP(Tabella1[[#This Row],[test_id]],experiments_specs!A:J,10,FALSE)</f>
        <v>False</v>
      </c>
      <c r="K193" t="s">
        <v>17</v>
      </c>
      <c r="L193" t="s">
        <v>111</v>
      </c>
      <c r="M193" t="s">
        <v>112</v>
      </c>
      <c r="N193">
        <v>0.22222222222222221</v>
      </c>
      <c r="O193" t="s">
        <v>80</v>
      </c>
      <c r="P193" t="s">
        <v>107</v>
      </c>
      <c r="Q193" s="33">
        <v>0.2</v>
      </c>
    </row>
    <row r="194" spans="1:17" ht="16" x14ac:dyDescent="0.2">
      <c r="A194" t="s">
        <v>159</v>
      </c>
      <c r="B194" s="1" t="str">
        <f>VLOOKUP(Tabella1[[#This Row],[test_id]],experiments_specs!A:J,2,FALSE)</f>
        <v>NN,JJ,VB,VBD,VBG,VBN,VBP,VBZ</v>
      </c>
      <c r="C194" s="1">
        <f>VLOOKUP(Tabella1[[#This Row],[test_id]],experiments_specs!A:J,3,FALSE)</f>
        <v>1</v>
      </c>
      <c r="D194" s="1">
        <f>VLOOKUP(Tabella1[[#This Row],[test_id]],experiments_specs!A:J,4,FALSE)</f>
        <v>2</v>
      </c>
      <c r="E194" s="1" t="str">
        <f>VLOOKUP(Tabella1[[#This Row],[test_id]],experiments_specs!A:J,5,FALSE)</f>
        <v>False</v>
      </c>
      <c r="F194" s="1" t="str">
        <f>VLOOKUP(Tabella1[[#This Row],[test_id]],experiments_specs!A:J,6,FALSE)</f>
        <v>True</v>
      </c>
      <c r="G194" s="1" t="str">
        <f>VLOOKUP(Tabella1[[#This Row],[test_id]],experiments_specs!A:J,7,FALSE)</f>
        <v>True</v>
      </c>
      <c r="H194" s="1" t="str">
        <f>VLOOKUP(Tabella1[[#This Row],[test_id]],experiments_specs!A:J,8,FALSE)</f>
        <v>False</v>
      </c>
      <c r="I194" s="1" t="str">
        <f>VLOOKUP(Tabella1[[#This Row],[test_id]],experiments_specs!A:J,9,FALSE)</f>
        <v>wup_similarity</v>
      </c>
      <c r="J194" s="1" t="str">
        <f>VLOOKUP(Tabella1[[#This Row],[test_id]],experiments_specs!A:J,10,FALSE)</f>
        <v>False</v>
      </c>
      <c r="K194" t="s">
        <v>18</v>
      </c>
      <c r="L194" t="s">
        <v>46</v>
      </c>
      <c r="M194" t="s">
        <v>47</v>
      </c>
      <c r="N194">
        <v>0.21052631578947367</v>
      </c>
      <c r="O194" t="s">
        <v>61</v>
      </c>
      <c r="P194" t="s">
        <v>72</v>
      </c>
      <c r="Q194" s="33">
        <v>0.11764705882352941</v>
      </c>
    </row>
    <row r="195" spans="1:17" ht="16" x14ac:dyDescent="0.2">
      <c r="A195" t="s">
        <v>160</v>
      </c>
      <c r="B195" s="1" t="str">
        <f>VLOOKUP(Tabella1[[#This Row],[test_id]],experiments_specs!A:J,2,FALSE)</f>
        <v>NN</v>
      </c>
      <c r="C195" s="1">
        <f>VLOOKUP(Tabella1[[#This Row],[test_id]],experiments_specs!A:J,3,FALSE)</f>
        <v>1</v>
      </c>
      <c r="D195" s="1">
        <f>VLOOKUP(Tabella1[[#This Row],[test_id]],experiments_specs!A:J,4,FALSE)</f>
        <v>2</v>
      </c>
      <c r="E195" s="1" t="str">
        <f>VLOOKUP(Tabella1[[#This Row],[test_id]],experiments_specs!A:J,5,FALSE)</f>
        <v>True</v>
      </c>
      <c r="F195" s="1" t="str">
        <f>VLOOKUP(Tabella1[[#This Row],[test_id]],experiments_specs!A:J,6,FALSE)</f>
        <v>True</v>
      </c>
      <c r="G195" s="1" t="str">
        <f>VLOOKUP(Tabella1[[#This Row],[test_id]],experiments_specs!A:J,7,FALSE)</f>
        <v>True</v>
      </c>
      <c r="H195" s="1" t="str">
        <f>VLOOKUP(Tabella1[[#This Row],[test_id]],experiments_specs!A:J,8,FALSE)</f>
        <v>False</v>
      </c>
      <c r="I195" s="1" t="str">
        <f>VLOOKUP(Tabella1[[#This Row],[test_id]],experiments_specs!A:J,9,FALSE)</f>
        <v>wup_similarity</v>
      </c>
      <c r="J195" s="1" t="str">
        <f>VLOOKUP(Tabella1[[#This Row],[test_id]],experiments_specs!A:J,10,FALSE)</f>
        <v>False</v>
      </c>
      <c r="K195" t="s">
        <v>19</v>
      </c>
      <c r="L195" t="s">
        <v>50</v>
      </c>
      <c r="M195" t="s">
        <v>49</v>
      </c>
      <c r="N195">
        <v>0.19047619047619047</v>
      </c>
      <c r="O195" t="s">
        <v>22</v>
      </c>
      <c r="P195" t="s">
        <v>23</v>
      </c>
      <c r="Q195" s="33">
        <v>9.5238095238095233E-2</v>
      </c>
    </row>
    <row r="196" spans="1:17" ht="16" x14ac:dyDescent="0.2">
      <c r="A196" t="s">
        <v>160</v>
      </c>
      <c r="B196" s="1" t="str">
        <f>VLOOKUP(Tabella1[[#This Row],[test_id]],experiments_specs!A:J,2,FALSE)</f>
        <v>NN</v>
      </c>
      <c r="C196" s="1">
        <f>VLOOKUP(Tabella1[[#This Row],[test_id]],experiments_specs!A:J,3,FALSE)</f>
        <v>1</v>
      </c>
      <c r="D196" s="1">
        <f>VLOOKUP(Tabella1[[#This Row],[test_id]],experiments_specs!A:J,4,FALSE)</f>
        <v>2</v>
      </c>
      <c r="E196" s="1" t="str">
        <f>VLOOKUP(Tabella1[[#This Row],[test_id]],experiments_specs!A:J,5,FALSE)</f>
        <v>True</v>
      </c>
      <c r="F196" s="1" t="str">
        <f>VLOOKUP(Tabella1[[#This Row],[test_id]],experiments_specs!A:J,6,FALSE)</f>
        <v>True</v>
      </c>
      <c r="G196" s="1" t="str">
        <f>VLOOKUP(Tabella1[[#This Row],[test_id]],experiments_specs!A:J,7,FALSE)</f>
        <v>True</v>
      </c>
      <c r="H196" s="1" t="str">
        <f>VLOOKUP(Tabella1[[#This Row],[test_id]],experiments_specs!A:J,8,FALSE)</f>
        <v>False</v>
      </c>
      <c r="I196" s="1" t="str">
        <f>VLOOKUP(Tabella1[[#This Row],[test_id]],experiments_specs!A:J,9,FALSE)</f>
        <v>wup_similarity</v>
      </c>
      <c r="J196" s="1" t="str">
        <f>VLOOKUP(Tabella1[[#This Row],[test_id]],experiments_specs!A:J,10,FALSE)</f>
        <v>False</v>
      </c>
      <c r="K196" t="s">
        <v>12</v>
      </c>
      <c r="L196" t="s">
        <v>51</v>
      </c>
      <c r="M196" t="s">
        <v>52</v>
      </c>
      <c r="N196">
        <v>0.42857142857142855</v>
      </c>
      <c r="O196" t="s">
        <v>53</v>
      </c>
      <c r="P196" t="s">
        <v>54</v>
      </c>
      <c r="Q196" s="33">
        <v>0.2857142857142857</v>
      </c>
    </row>
    <row r="197" spans="1:17" ht="16" x14ac:dyDescent="0.2">
      <c r="A197" t="s">
        <v>160</v>
      </c>
      <c r="B197" s="1" t="str">
        <f>VLOOKUP(Tabella1[[#This Row],[test_id]],experiments_specs!A:J,2,FALSE)</f>
        <v>NN</v>
      </c>
      <c r="C197" s="1">
        <f>VLOOKUP(Tabella1[[#This Row],[test_id]],experiments_specs!A:J,3,FALSE)</f>
        <v>1</v>
      </c>
      <c r="D197" s="1">
        <f>VLOOKUP(Tabella1[[#This Row],[test_id]],experiments_specs!A:J,4,FALSE)</f>
        <v>2</v>
      </c>
      <c r="E197" s="1" t="str">
        <f>VLOOKUP(Tabella1[[#This Row],[test_id]],experiments_specs!A:J,5,FALSE)</f>
        <v>True</v>
      </c>
      <c r="F197" s="1" t="str">
        <f>VLOOKUP(Tabella1[[#This Row],[test_id]],experiments_specs!A:J,6,FALSE)</f>
        <v>True</v>
      </c>
      <c r="G197" s="1" t="str">
        <f>VLOOKUP(Tabella1[[#This Row],[test_id]],experiments_specs!A:J,7,FALSE)</f>
        <v>True</v>
      </c>
      <c r="H197" s="1" t="str">
        <f>VLOOKUP(Tabella1[[#This Row],[test_id]],experiments_specs!A:J,8,FALSE)</f>
        <v>False</v>
      </c>
      <c r="I197" s="1" t="str">
        <f>VLOOKUP(Tabella1[[#This Row],[test_id]],experiments_specs!A:J,9,FALSE)</f>
        <v>wup_similarity</v>
      </c>
      <c r="J197" s="1" t="str">
        <f>VLOOKUP(Tabella1[[#This Row],[test_id]],experiments_specs!A:J,10,FALSE)</f>
        <v>False</v>
      </c>
      <c r="K197" t="s">
        <v>13</v>
      </c>
      <c r="L197" t="s">
        <v>27</v>
      </c>
      <c r="M197" t="s">
        <v>28</v>
      </c>
      <c r="N197" t="s">
        <v>29</v>
      </c>
      <c r="O197" t="s">
        <v>30</v>
      </c>
      <c r="P197" t="s">
        <v>28</v>
      </c>
      <c r="Q197" s="33" t="s">
        <v>29</v>
      </c>
    </row>
    <row r="198" spans="1:17" ht="16" x14ac:dyDescent="0.2">
      <c r="A198" t="s">
        <v>160</v>
      </c>
      <c r="B198" s="1" t="str">
        <f>VLOOKUP(Tabella1[[#This Row],[test_id]],experiments_specs!A:J,2,FALSE)</f>
        <v>NN</v>
      </c>
      <c r="C198" s="1">
        <f>VLOOKUP(Tabella1[[#This Row],[test_id]],experiments_specs!A:J,3,FALSE)</f>
        <v>1</v>
      </c>
      <c r="D198" s="1">
        <f>VLOOKUP(Tabella1[[#This Row],[test_id]],experiments_specs!A:J,4,FALSE)</f>
        <v>2</v>
      </c>
      <c r="E198" s="1" t="str">
        <f>VLOOKUP(Tabella1[[#This Row],[test_id]],experiments_specs!A:J,5,FALSE)</f>
        <v>True</v>
      </c>
      <c r="F198" s="1" t="str">
        <f>VLOOKUP(Tabella1[[#This Row],[test_id]],experiments_specs!A:J,6,FALSE)</f>
        <v>True</v>
      </c>
      <c r="G198" s="1" t="str">
        <f>VLOOKUP(Tabella1[[#This Row],[test_id]],experiments_specs!A:J,7,FALSE)</f>
        <v>True</v>
      </c>
      <c r="H198" s="1" t="str">
        <f>VLOOKUP(Tabella1[[#This Row],[test_id]],experiments_specs!A:J,8,FALSE)</f>
        <v>False</v>
      </c>
      <c r="I198" s="1" t="str">
        <f>VLOOKUP(Tabella1[[#This Row],[test_id]],experiments_specs!A:J,9,FALSE)</f>
        <v>wup_similarity</v>
      </c>
      <c r="J198" s="1" t="str">
        <f>VLOOKUP(Tabella1[[#This Row],[test_id]],experiments_specs!A:J,10,FALSE)</f>
        <v>False</v>
      </c>
      <c r="K198" t="s">
        <v>14</v>
      </c>
      <c r="L198" t="s">
        <v>31</v>
      </c>
      <c r="M198" t="s">
        <v>32</v>
      </c>
      <c r="N198">
        <v>0.14285714285714285</v>
      </c>
      <c r="O198" t="s">
        <v>55</v>
      </c>
      <c r="P198" t="s">
        <v>56</v>
      </c>
      <c r="Q198" s="33">
        <v>0.125</v>
      </c>
    </row>
    <row r="199" spans="1:17" ht="16" x14ac:dyDescent="0.2">
      <c r="A199" t="s">
        <v>160</v>
      </c>
      <c r="B199" s="1" t="str">
        <f>VLOOKUP(Tabella1[[#This Row],[test_id]],experiments_specs!A:J,2,FALSE)</f>
        <v>NN</v>
      </c>
      <c r="C199" s="1">
        <f>VLOOKUP(Tabella1[[#This Row],[test_id]],experiments_specs!A:J,3,FALSE)</f>
        <v>1</v>
      </c>
      <c r="D199" s="1">
        <f>VLOOKUP(Tabella1[[#This Row],[test_id]],experiments_specs!A:J,4,FALSE)</f>
        <v>2</v>
      </c>
      <c r="E199" s="1" t="str">
        <f>VLOOKUP(Tabella1[[#This Row],[test_id]],experiments_specs!A:J,5,FALSE)</f>
        <v>True</v>
      </c>
      <c r="F199" s="1" t="str">
        <f>VLOOKUP(Tabella1[[#This Row],[test_id]],experiments_specs!A:J,6,FALSE)</f>
        <v>True</v>
      </c>
      <c r="G199" s="1" t="str">
        <f>VLOOKUP(Tabella1[[#This Row],[test_id]],experiments_specs!A:J,7,FALSE)</f>
        <v>True</v>
      </c>
      <c r="H199" s="1" t="str">
        <f>VLOOKUP(Tabella1[[#This Row],[test_id]],experiments_specs!A:J,8,FALSE)</f>
        <v>False</v>
      </c>
      <c r="I199" s="1" t="str">
        <f>VLOOKUP(Tabella1[[#This Row],[test_id]],experiments_specs!A:J,9,FALSE)</f>
        <v>wup_similarity</v>
      </c>
      <c r="J199" s="1" t="str">
        <f>VLOOKUP(Tabella1[[#This Row],[test_id]],experiments_specs!A:J,10,FALSE)</f>
        <v>False</v>
      </c>
      <c r="K199" t="s">
        <v>15</v>
      </c>
      <c r="L199" t="s">
        <v>34</v>
      </c>
      <c r="M199" t="s">
        <v>35</v>
      </c>
      <c r="N199">
        <v>0.16666666666666666</v>
      </c>
      <c r="O199" t="s">
        <v>57</v>
      </c>
      <c r="P199" t="s">
        <v>34</v>
      </c>
      <c r="Q199" s="33">
        <v>0.18181818181818182</v>
      </c>
    </row>
    <row r="200" spans="1:17" ht="16" x14ac:dyDescent="0.2">
      <c r="A200" t="s">
        <v>160</v>
      </c>
      <c r="B200" s="1" t="str">
        <f>VLOOKUP(Tabella1[[#This Row],[test_id]],experiments_specs!A:J,2,FALSE)</f>
        <v>NN</v>
      </c>
      <c r="C200" s="1">
        <f>VLOOKUP(Tabella1[[#This Row],[test_id]],experiments_specs!A:J,3,FALSE)</f>
        <v>1</v>
      </c>
      <c r="D200" s="1">
        <f>VLOOKUP(Tabella1[[#This Row],[test_id]],experiments_specs!A:J,4,FALSE)</f>
        <v>2</v>
      </c>
      <c r="E200" s="1" t="str">
        <f>VLOOKUP(Tabella1[[#This Row],[test_id]],experiments_specs!A:J,5,FALSE)</f>
        <v>True</v>
      </c>
      <c r="F200" s="1" t="str">
        <f>VLOOKUP(Tabella1[[#This Row],[test_id]],experiments_specs!A:J,6,FALSE)</f>
        <v>True</v>
      </c>
      <c r="G200" s="1" t="str">
        <f>VLOOKUP(Tabella1[[#This Row],[test_id]],experiments_specs!A:J,7,FALSE)</f>
        <v>True</v>
      </c>
      <c r="H200" s="1" t="str">
        <f>VLOOKUP(Tabella1[[#This Row],[test_id]],experiments_specs!A:J,8,FALSE)</f>
        <v>False</v>
      </c>
      <c r="I200" s="1" t="str">
        <f>VLOOKUP(Tabella1[[#This Row],[test_id]],experiments_specs!A:J,9,FALSE)</f>
        <v>wup_similarity</v>
      </c>
      <c r="J200" s="1" t="str">
        <f>VLOOKUP(Tabella1[[#This Row],[test_id]],experiments_specs!A:J,10,FALSE)</f>
        <v>False</v>
      </c>
      <c r="K200" t="s">
        <v>16</v>
      </c>
      <c r="L200" t="s">
        <v>38</v>
      </c>
      <c r="M200" t="s">
        <v>39</v>
      </c>
      <c r="N200">
        <v>0.55555555555555558</v>
      </c>
      <c r="O200" t="s">
        <v>40</v>
      </c>
      <c r="P200" t="s">
        <v>58</v>
      </c>
      <c r="Q200" s="33">
        <v>0.13333333333333333</v>
      </c>
    </row>
    <row r="201" spans="1:17" ht="16" x14ac:dyDescent="0.2">
      <c r="A201" t="s">
        <v>160</v>
      </c>
      <c r="B201" s="1" t="str">
        <f>VLOOKUP(Tabella1[[#This Row],[test_id]],experiments_specs!A:J,2,FALSE)</f>
        <v>NN</v>
      </c>
      <c r="C201" s="1">
        <f>VLOOKUP(Tabella1[[#This Row],[test_id]],experiments_specs!A:J,3,FALSE)</f>
        <v>1</v>
      </c>
      <c r="D201" s="1">
        <f>VLOOKUP(Tabella1[[#This Row],[test_id]],experiments_specs!A:J,4,FALSE)</f>
        <v>2</v>
      </c>
      <c r="E201" s="1" t="str">
        <f>VLOOKUP(Tabella1[[#This Row],[test_id]],experiments_specs!A:J,5,FALSE)</f>
        <v>True</v>
      </c>
      <c r="F201" s="1" t="str">
        <f>VLOOKUP(Tabella1[[#This Row],[test_id]],experiments_specs!A:J,6,FALSE)</f>
        <v>True</v>
      </c>
      <c r="G201" s="1" t="str">
        <f>VLOOKUP(Tabella1[[#This Row],[test_id]],experiments_specs!A:J,7,FALSE)</f>
        <v>True</v>
      </c>
      <c r="H201" s="1" t="str">
        <f>VLOOKUP(Tabella1[[#This Row],[test_id]],experiments_specs!A:J,8,FALSE)</f>
        <v>False</v>
      </c>
      <c r="I201" s="1" t="str">
        <f>VLOOKUP(Tabella1[[#This Row],[test_id]],experiments_specs!A:J,9,FALSE)</f>
        <v>wup_similarity</v>
      </c>
      <c r="J201" s="1" t="str">
        <f>VLOOKUP(Tabella1[[#This Row],[test_id]],experiments_specs!A:J,10,FALSE)</f>
        <v>False</v>
      </c>
      <c r="K201" t="s">
        <v>17</v>
      </c>
      <c r="L201" t="s">
        <v>42</v>
      </c>
      <c r="M201" t="s">
        <v>43</v>
      </c>
      <c r="N201">
        <v>0.13333333333333333</v>
      </c>
      <c r="O201" t="s">
        <v>44</v>
      </c>
      <c r="P201" t="s">
        <v>45</v>
      </c>
      <c r="Q201" s="33">
        <v>0.33333333333333331</v>
      </c>
    </row>
    <row r="202" spans="1:17" ht="16" x14ac:dyDescent="0.2">
      <c r="A202" t="s">
        <v>160</v>
      </c>
      <c r="B202" s="1" t="str">
        <f>VLOOKUP(Tabella1[[#This Row],[test_id]],experiments_specs!A:J,2,FALSE)</f>
        <v>NN</v>
      </c>
      <c r="C202" s="1">
        <f>VLOOKUP(Tabella1[[#This Row],[test_id]],experiments_specs!A:J,3,FALSE)</f>
        <v>1</v>
      </c>
      <c r="D202" s="1">
        <f>VLOOKUP(Tabella1[[#This Row],[test_id]],experiments_specs!A:J,4,FALSE)</f>
        <v>2</v>
      </c>
      <c r="E202" s="1" t="str">
        <f>VLOOKUP(Tabella1[[#This Row],[test_id]],experiments_specs!A:J,5,FALSE)</f>
        <v>True</v>
      </c>
      <c r="F202" s="1" t="str">
        <f>VLOOKUP(Tabella1[[#This Row],[test_id]],experiments_specs!A:J,6,FALSE)</f>
        <v>True</v>
      </c>
      <c r="G202" s="1" t="str">
        <f>VLOOKUP(Tabella1[[#This Row],[test_id]],experiments_specs!A:J,7,FALSE)</f>
        <v>True</v>
      </c>
      <c r="H202" s="1" t="str">
        <f>VLOOKUP(Tabella1[[#This Row],[test_id]],experiments_specs!A:J,8,FALSE)</f>
        <v>False</v>
      </c>
      <c r="I202" s="1" t="str">
        <f>VLOOKUP(Tabella1[[#This Row],[test_id]],experiments_specs!A:J,9,FALSE)</f>
        <v>wup_similarity</v>
      </c>
      <c r="J202" s="1" t="str">
        <f>VLOOKUP(Tabella1[[#This Row],[test_id]],experiments_specs!A:J,10,FALSE)</f>
        <v>False</v>
      </c>
      <c r="K202" t="s">
        <v>18</v>
      </c>
      <c r="L202" t="s">
        <v>46</v>
      </c>
      <c r="M202" t="s">
        <v>47</v>
      </c>
      <c r="N202">
        <v>0.21052631578947367</v>
      </c>
      <c r="O202" t="s">
        <v>48</v>
      </c>
      <c r="P202" t="s">
        <v>47</v>
      </c>
      <c r="Q202" s="33">
        <v>0.21052631578947367</v>
      </c>
    </row>
    <row r="203" spans="1:17" ht="16" x14ac:dyDescent="0.2">
      <c r="A203" t="s">
        <v>161</v>
      </c>
      <c r="B203" s="1" t="str">
        <f>VLOOKUP(Tabella1[[#This Row],[test_id]],experiments_specs!A:J,2,FALSE)</f>
        <v>NN,JJ</v>
      </c>
      <c r="C203" s="1">
        <f>VLOOKUP(Tabella1[[#This Row],[test_id]],experiments_specs!A:J,3,FALSE)</f>
        <v>1</v>
      </c>
      <c r="D203" s="1">
        <f>VLOOKUP(Tabella1[[#This Row],[test_id]],experiments_specs!A:J,4,FALSE)</f>
        <v>2</v>
      </c>
      <c r="E203" s="1" t="str">
        <f>VLOOKUP(Tabella1[[#This Row],[test_id]],experiments_specs!A:J,5,FALSE)</f>
        <v>True</v>
      </c>
      <c r="F203" s="1" t="str">
        <f>VLOOKUP(Tabella1[[#This Row],[test_id]],experiments_specs!A:J,6,FALSE)</f>
        <v>True</v>
      </c>
      <c r="G203" s="1" t="str">
        <f>VLOOKUP(Tabella1[[#This Row],[test_id]],experiments_specs!A:J,7,FALSE)</f>
        <v>True</v>
      </c>
      <c r="H203" s="1" t="str">
        <f>VLOOKUP(Tabella1[[#This Row],[test_id]],experiments_specs!A:J,8,FALSE)</f>
        <v>False</v>
      </c>
      <c r="I203" s="1" t="str">
        <f>VLOOKUP(Tabella1[[#This Row],[test_id]],experiments_specs!A:J,9,FALSE)</f>
        <v>wup_similarity</v>
      </c>
      <c r="J203" s="1" t="str">
        <f>VLOOKUP(Tabella1[[#This Row],[test_id]],experiments_specs!A:J,10,FALSE)</f>
        <v>False</v>
      </c>
      <c r="K203" t="s">
        <v>19</v>
      </c>
      <c r="L203" t="s">
        <v>59</v>
      </c>
      <c r="M203" t="s">
        <v>60</v>
      </c>
      <c r="N203">
        <v>0.17391304347826086</v>
      </c>
      <c r="O203" t="s">
        <v>49</v>
      </c>
      <c r="P203" t="s">
        <v>60</v>
      </c>
      <c r="Q203" s="33">
        <v>0.17391304347826086</v>
      </c>
    </row>
    <row r="204" spans="1:17" ht="16" x14ac:dyDescent="0.2">
      <c r="A204" t="s">
        <v>161</v>
      </c>
      <c r="B204" s="1" t="str">
        <f>VLOOKUP(Tabella1[[#This Row],[test_id]],experiments_specs!A:J,2,FALSE)</f>
        <v>NN,JJ</v>
      </c>
      <c r="C204" s="1">
        <f>VLOOKUP(Tabella1[[#This Row],[test_id]],experiments_specs!A:J,3,FALSE)</f>
        <v>1</v>
      </c>
      <c r="D204" s="1">
        <f>VLOOKUP(Tabella1[[#This Row],[test_id]],experiments_specs!A:J,4,FALSE)</f>
        <v>2</v>
      </c>
      <c r="E204" s="1" t="str">
        <f>VLOOKUP(Tabella1[[#This Row],[test_id]],experiments_specs!A:J,5,FALSE)</f>
        <v>True</v>
      </c>
      <c r="F204" s="1" t="str">
        <f>VLOOKUP(Tabella1[[#This Row],[test_id]],experiments_specs!A:J,6,FALSE)</f>
        <v>True</v>
      </c>
      <c r="G204" s="1" t="str">
        <f>VLOOKUP(Tabella1[[#This Row],[test_id]],experiments_specs!A:J,7,FALSE)</f>
        <v>True</v>
      </c>
      <c r="H204" s="1" t="str">
        <f>VLOOKUP(Tabella1[[#This Row],[test_id]],experiments_specs!A:J,8,FALSE)</f>
        <v>False</v>
      </c>
      <c r="I204" s="1" t="str">
        <f>VLOOKUP(Tabella1[[#This Row],[test_id]],experiments_specs!A:J,9,FALSE)</f>
        <v>wup_similarity</v>
      </c>
      <c r="J204" s="1" t="str">
        <f>VLOOKUP(Tabella1[[#This Row],[test_id]],experiments_specs!A:J,10,FALSE)</f>
        <v>False</v>
      </c>
      <c r="K204" t="s">
        <v>12</v>
      </c>
      <c r="L204" t="s">
        <v>24</v>
      </c>
      <c r="M204" t="s">
        <v>25</v>
      </c>
      <c r="N204">
        <v>0.42857142857142855</v>
      </c>
      <c r="O204" t="s">
        <v>115</v>
      </c>
      <c r="P204" t="s">
        <v>116</v>
      </c>
      <c r="Q204" s="33">
        <v>0.46153846153846156</v>
      </c>
    </row>
    <row r="205" spans="1:17" ht="16" x14ac:dyDescent="0.2">
      <c r="A205" t="s">
        <v>161</v>
      </c>
      <c r="B205" s="1" t="str">
        <f>VLOOKUP(Tabella1[[#This Row],[test_id]],experiments_specs!A:J,2,FALSE)</f>
        <v>NN,JJ</v>
      </c>
      <c r="C205" s="1">
        <f>VLOOKUP(Tabella1[[#This Row],[test_id]],experiments_specs!A:J,3,FALSE)</f>
        <v>1</v>
      </c>
      <c r="D205" s="1">
        <f>VLOOKUP(Tabella1[[#This Row],[test_id]],experiments_specs!A:J,4,FALSE)</f>
        <v>2</v>
      </c>
      <c r="E205" s="1" t="str">
        <f>VLOOKUP(Tabella1[[#This Row],[test_id]],experiments_specs!A:J,5,FALSE)</f>
        <v>True</v>
      </c>
      <c r="F205" s="1" t="str">
        <f>VLOOKUP(Tabella1[[#This Row],[test_id]],experiments_specs!A:J,6,FALSE)</f>
        <v>True</v>
      </c>
      <c r="G205" s="1" t="str">
        <f>VLOOKUP(Tabella1[[#This Row],[test_id]],experiments_specs!A:J,7,FALSE)</f>
        <v>True</v>
      </c>
      <c r="H205" s="1" t="str">
        <f>VLOOKUP(Tabella1[[#This Row],[test_id]],experiments_specs!A:J,8,FALSE)</f>
        <v>False</v>
      </c>
      <c r="I205" s="1" t="str">
        <f>VLOOKUP(Tabella1[[#This Row],[test_id]],experiments_specs!A:J,9,FALSE)</f>
        <v>wup_similarity</v>
      </c>
      <c r="J205" s="1" t="str">
        <f>VLOOKUP(Tabella1[[#This Row],[test_id]],experiments_specs!A:J,10,FALSE)</f>
        <v>False</v>
      </c>
      <c r="K205" t="s">
        <v>13</v>
      </c>
      <c r="L205" t="s">
        <v>82</v>
      </c>
      <c r="M205" t="s">
        <v>117</v>
      </c>
      <c r="N205">
        <v>0.4</v>
      </c>
      <c r="O205" t="s">
        <v>84</v>
      </c>
      <c r="P205" t="s">
        <v>85</v>
      </c>
      <c r="Q205" s="33" t="s">
        <v>29</v>
      </c>
    </row>
    <row r="206" spans="1:17" ht="16" x14ac:dyDescent="0.2">
      <c r="A206" t="s">
        <v>161</v>
      </c>
      <c r="B206" s="1" t="str">
        <f>VLOOKUP(Tabella1[[#This Row],[test_id]],experiments_specs!A:J,2,FALSE)</f>
        <v>NN,JJ</v>
      </c>
      <c r="C206" s="1">
        <f>VLOOKUP(Tabella1[[#This Row],[test_id]],experiments_specs!A:J,3,FALSE)</f>
        <v>1</v>
      </c>
      <c r="D206" s="1">
        <f>VLOOKUP(Tabella1[[#This Row],[test_id]],experiments_specs!A:J,4,FALSE)</f>
        <v>2</v>
      </c>
      <c r="E206" s="1" t="str">
        <f>VLOOKUP(Tabella1[[#This Row],[test_id]],experiments_specs!A:J,5,FALSE)</f>
        <v>True</v>
      </c>
      <c r="F206" s="1" t="str">
        <f>VLOOKUP(Tabella1[[#This Row],[test_id]],experiments_specs!A:J,6,FALSE)</f>
        <v>True</v>
      </c>
      <c r="G206" s="1" t="str">
        <f>VLOOKUP(Tabella1[[#This Row],[test_id]],experiments_specs!A:J,7,FALSE)</f>
        <v>True</v>
      </c>
      <c r="H206" s="1" t="str">
        <f>VLOOKUP(Tabella1[[#This Row],[test_id]],experiments_specs!A:J,8,FALSE)</f>
        <v>False</v>
      </c>
      <c r="I206" s="1" t="str">
        <f>VLOOKUP(Tabella1[[#This Row],[test_id]],experiments_specs!A:J,9,FALSE)</f>
        <v>wup_similarity</v>
      </c>
      <c r="J206" s="1" t="str">
        <f>VLOOKUP(Tabella1[[#This Row],[test_id]],experiments_specs!A:J,10,FALSE)</f>
        <v>False</v>
      </c>
      <c r="K206" t="s">
        <v>14</v>
      </c>
      <c r="L206" t="s">
        <v>86</v>
      </c>
      <c r="M206" t="s">
        <v>87</v>
      </c>
      <c r="N206">
        <v>0.33333333333333331</v>
      </c>
      <c r="O206" t="s">
        <v>88</v>
      </c>
      <c r="P206" t="s">
        <v>87</v>
      </c>
      <c r="Q206" s="33">
        <v>0.33333333333333331</v>
      </c>
    </row>
    <row r="207" spans="1:17" ht="16" x14ac:dyDescent="0.2">
      <c r="A207" t="s">
        <v>161</v>
      </c>
      <c r="B207" s="1" t="str">
        <f>VLOOKUP(Tabella1[[#This Row],[test_id]],experiments_specs!A:J,2,FALSE)</f>
        <v>NN,JJ</v>
      </c>
      <c r="C207" s="1">
        <f>VLOOKUP(Tabella1[[#This Row],[test_id]],experiments_specs!A:J,3,FALSE)</f>
        <v>1</v>
      </c>
      <c r="D207" s="1">
        <f>VLOOKUP(Tabella1[[#This Row],[test_id]],experiments_specs!A:J,4,FALSE)</f>
        <v>2</v>
      </c>
      <c r="E207" s="1" t="str">
        <f>VLOOKUP(Tabella1[[#This Row],[test_id]],experiments_specs!A:J,5,FALSE)</f>
        <v>True</v>
      </c>
      <c r="F207" s="1" t="str">
        <f>VLOOKUP(Tabella1[[#This Row],[test_id]],experiments_specs!A:J,6,FALSE)</f>
        <v>True</v>
      </c>
      <c r="G207" s="1" t="str">
        <f>VLOOKUP(Tabella1[[#This Row],[test_id]],experiments_specs!A:J,7,FALSE)</f>
        <v>True</v>
      </c>
      <c r="H207" s="1" t="str">
        <f>VLOOKUP(Tabella1[[#This Row],[test_id]],experiments_specs!A:J,8,FALSE)</f>
        <v>False</v>
      </c>
      <c r="I207" s="1" t="str">
        <f>VLOOKUP(Tabella1[[#This Row],[test_id]],experiments_specs!A:J,9,FALSE)</f>
        <v>wup_similarity</v>
      </c>
      <c r="J207" s="1" t="str">
        <f>VLOOKUP(Tabella1[[#This Row],[test_id]],experiments_specs!A:J,10,FALSE)</f>
        <v>False</v>
      </c>
      <c r="K207" t="s">
        <v>15</v>
      </c>
      <c r="L207" t="s">
        <v>34</v>
      </c>
      <c r="M207" t="s">
        <v>35</v>
      </c>
      <c r="N207">
        <v>0.16666666666666666</v>
      </c>
      <c r="O207" t="s">
        <v>57</v>
      </c>
      <c r="P207" t="s">
        <v>34</v>
      </c>
      <c r="Q207" s="33">
        <v>0.18181818181818182</v>
      </c>
    </row>
    <row r="208" spans="1:17" ht="16" x14ac:dyDescent="0.2">
      <c r="A208" t="s">
        <v>161</v>
      </c>
      <c r="B208" s="1" t="str">
        <f>VLOOKUP(Tabella1[[#This Row],[test_id]],experiments_specs!A:J,2,FALSE)</f>
        <v>NN,JJ</v>
      </c>
      <c r="C208" s="1">
        <f>VLOOKUP(Tabella1[[#This Row],[test_id]],experiments_specs!A:J,3,FALSE)</f>
        <v>1</v>
      </c>
      <c r="D208" s="1">
        <f>VLOOKUP(Tabella1[[#This Row],[test_id]],experiments_specs!A:J,4,FALSE)</f>
        <v>2</v>
      </c>
      <c r="E208" s="1" t="str">
        <f>VLOOKUP(Tabella1[[#This Row],[test_id]],experiments_specs!A:J,5,FALSE)</f>
        <v>True</v>
      </c>
      <c r="F208" s="1" t="str">
        <f>VLOOKUP(Tabella1[[#This Row],[test_id]],experiments_specs!A:J,6,FALSE)</f>
        <v>True</v>
      </c>
      <c r="G208" s="1" t="str">
        <f>VLOOKUP(Tabella1[[#This Row],[test_id]],experiments_specs!A:J,7,FALSE)</f>
        <v>True</v>
      </c>
      <c r="H208" s="1" t="str">
        <f>VLOOKUP(Tabella1[[#This Row],[test_id]],experiments_specs!A:J,8,FALSE)</f>
        <v>False</v>
      </c>
      <c r="I208" s="1" t="str">
        <f>VLOOKUP(Tabella1[[#This Row],[test_id]],experiments_specs!A:J,9,FALSE)</f>
        <v>wup_similarity</v>
      </c>
      <c r="J208" s="1" t="str">
        <f>VLOOKUP(Tabella1[[#This Row],[test_id]],experiments_specs!A:J,10,FALSE)</f>
        <v>False</v>
      </c>
      <c r="K208" t="s">
        <v>16</v>
      </c>
      <c r="L208" t="s">
        <v>90</v>
      </c>
      <c r="M208" t="s">
        <v>91</v>
      </c>
      <c r="N208">
        <v>0.22222222222222221</v>
      </c>
      <c r="O208" t="s">
        <v>92</v>
      </c>
      <c r="P208" t="s">
        <v>91</v>
      </c>
      <c r="Q208" s="33">
        <v>0.22222222222222221</v>
      </c>
    </row>
    <row r="209" spans="1:17" ht="16" x14ac:dyDescent="0.2">
      <c r="A209" t="s">
        <v>161</v>
      </c>
      <c r="B209" s="1" t="str">
        <f>VLOOKUP(Tabella1[[#This Row],[test_id]],experiments_specs!A:J,2,FALSE)</f>
        <v>NN,JJ</v>
      </c>
      <c r="C209" s="1">
        <f>VLOOKUP(Tabella1[[#This Row],[test_id]],experiments_specs!A:J,3,FALSE)</f>
        <v>1</v>
      </c>
      <c r="D209" s="1">
        <f>VLOOKUP(Tabella1[[#This Row],[test_id]],experiments_specs!A:J,4,FALSE)</f>
        <v>2</v>
      </c>
      <c r="E209" s="1" t="str">
        <f>VLOOKUP(Tabella1[[#This Row],[test_id]],experiments_specs!A:J,5,FALSE)</f>
        <v>True</v>
      </c>
      <c r="F209" s="1" t="str">
        <f>VLOOKUP(Tabella1[[#This Row],[test_id]],experiments_specs!A:J,6,FALSE)</f>
        <v>True</v>
      </c>
      <c r="G209" s="1" t="str">
        <f>VLOOKUP(Tabella1[[#This Row],[test_id]],experiments_specs!A:J,7,FALSE)</f>
        <v>True</v>
      </c>
      <c r="H209" s="1" t="str">
        <f>VLOOKUP(Tabella1[[#This Row],[test_id]],experiments_specs!A:J,8,FALSE)</f>
        <v>False</v>
      </c>
      <c r="I209" s="1" t="str">
        <f>VLOOKUP(Tabella1[[#This Row],[test_id]],experiments_specs!A:J,9,FALSE)</f>
        <v>wup_similarity</v>
      </c>
      <c r="J209" s="1" t="str">
        <f>VLOOKUP(Tabella1[[#This Row],[test_id]],experiments_specs!A:J,10,FALSE)</f>
        <v>False</v>
      </c>
      <c r="K209" t="s">
        <v>17</v>
      </c>
      <c r="L209" t="s">
        <v>93</v>
      </c>
      <c r="M209" t="s">
        <v>94</v>
      </c>
      <c r="N209">
        <v>0.30769230769230771</v>
      </c>
      <c r="O209" t="s">
        <v>95</v>
      </c>
      <c r="P209" t="s">
        <v>94</v>
      </c>
      <c r="Q209" s="33">
        <v>0.30769230769230771</v>
      </c>
    </row>
    <row r="210" spans="1:17" ht="16" x14ac:dyDescent="0.2">
      <c r="A210" t="s">
        <v>161</v>
      </c>
      <c r="B210" s="1" t="str">
        <f>VLOOKUP(Tabella1[[#This Row],[test_id]],experiments_specs!A:J,2,FALSE)</f>
        <v>NN,JJ</v>
      </c>
      <c r="C210" s="1">
        <f>VLOOKUP(Tabella1[[#This Row],[test_id]],experiments_specs!A:J,3,FALSE)</f>
        <v>1</v>
      </c>
      <c r="D210" s="1">
        <f>VLOOKUP(Tabella1[[#This Row],[test_id]],experiments_specs!A:J,4,FALSE)</f>
        <v>2</v>
      </c>
      <c r="E210" s="1" t="str">
        <f>VLOOKUP(Tabella1[[#This Row],[test_id]],experiments_specs!A:J,5,FALSE)</f>
        <v>True</v>
      </c>
      <c r="F210" s="1" t="str">
        <f>VLOOKUP(Tabella1[[#This Row],[test_id]],experiments_specs!A:J,6,FALSE)</f>
        <v>True</v>
      </c>
      <c r="G210" s="1" t="str">
        <f>VLOOKUP(Tabella1[[#This Row],[test_id]],experiments_specs!A:J,7,FALSE)</f>
        <v>True</v>
      </c>
      <c r="H210" s="1" t="str">
        <f>VLOOKUP(Tabella1[[#This Row],[test_id]],experiments_specs!A:J,8,FALSE)</f>
        <v>False</v>
      </c>
      <c r="I210" s="1" t="str">
        <f>VLOOKUP(Tabella1[[#This Row],[test_id]],experiments_specs!A:J,9,FALSE)</f>
        <v>wup_similarity</v>
      </c>
      <c r="J210" s="1" t="str">
        <f>VLOOKUP(Tabella1[[#This Row],[test_id]],experiments_specs!A:J,10,FALSE)</f>
        <v>False</v>
      </c>
      <c r="K210" t="s">
        <v>18</v>
      </c>
      <c r="L210" t="s">
        <v>96</v>
      </c>
      <c r="M210" t="s">
        <v>97</v>
      </c>
      <c r="N210">
        <v>0.21052631578947367</v>
      </c>
      <c r="O210" t="s">
        <v>98</v>
      </c>
      <c r="P210" t="s">
        <v>97</v>
      </c>
      <c r="Q210" s="33">
        <v>0.21052631578947367</v>
      </c>
    </row>
    <row r="211" spans="1:17" ht="16" x14ac:dyDescent="0.2">
      <c r="A211" t="s">
        <v>162</v>
      </c>
      <c r="B211" s="1" t="str">
        <f>VLOOKUP(Tabella1[[#This Row],[test_id]],experiments_specs!A:J,2,FALSE)</f>
        <v>NN,VB</v>
      </c>
      <c r="C211" s="1">
        <f>VLOOKUP(Tabella1[[#This Row],[test_id]],experiments_specs!A:J,3,FALSE)</f>
        <v>1</v>
      </c>
      <c r="D211" s="1">
        <f>VLOOKUP(Tabella1[[#This Row],[test_id]],experiments_specs!A:J,4,FALSE)</f>
        <v>2</v>
      </c>
      <c r="E211" s="1" t="str">
        <f>VLOOKUP(Tabella1[[#This Row],[test_id]],experiments_specs!A:J,5,FALSE)</f>
        <v>True</v>
      </c>
      <c r="F211" s="1" t="str">
        <f>VLOOKUP(Tabella1[[#This Row],[test_id]],experiments_specs!A:J,6,FALSE)</f>
        <v>True</v>
      </c>
      <c r="G211" s="1" t="str">
        <f>VLOOKUP(Tabella1[[#This Row],[test_id]],experiments_specs!A:J,7,FALSE)</f>
        <v>True</v>
      </c>
      <c r="H211" s="1" t="str">
        <f>VLOOKUP(Tabella1[[#This Row],[test_id]],experiments_specs!A:J,8,FALSE)</f>
        <v>False</v>
      </c>
      <c r="I211" s="1" t="str">
        <f>VLOOKUP(Tabella1[[#This Row],[test_id]],experiments_specs!A:J,9,FALSE)</f>
        <v>wup_similarity</v>
      </c>
      <c r="J211" s="1" t="str">
        <f>VLOOKUP(Tabella1[[#This Row],[test_id]],experiments_specs!A:J,10,FALSE)</f>
        <v>False</v>
      </c>
      <c r="K211" t="s">
        <v>19</v>
      </c>
      <c r="L211" t="s">
        <v>50</v>
      </c>
      <c r="M211" t="s">
        <v>49</v>
      </c>
      <c r="N211">
        <v>0.19047619047619047</v>
      </c>
      <c r="O211" t="s">
        <v>99</v>
      </c>
      <c r="P211" t="s">
        <v>49</v>
      </c>
      <c r="Q211" s="33">
        <v>0.19047619047619047</v>
      </c>
    </row>
    <row r="212" spans="1:17" ht="16" x14ac:dyDescent="0.2">
      <c r="A212" t="s">
        <v>162</v>
      </c>
      <c r="B212" s="1" t="str">
        <f>VLOOKUP(Tabella1[[#This Row],[test_id]],experiments_specs!A:J,2,FALSE)</f>
        <v>NN,VB</v>
      </c>
      <c r="C212" s="1">
        <f>VLOOKUP(Tabella1[[#This Row],[test_id]],experiments_specs!A:J,3,FALSE)</f>
        <v>1</v>
      </c>
      <c r="D212" s="1">
        <f>VLOOKUP(Tabella1[[#This Row],[test_id]],experiments_specs!A:J,4,FALSE)</f>
        <v>2</v>
      </c>
      <c r="E212" s="1" t="str">
        <f>VLOOKUP(Tabella1[[#This Row],[test_id]],experiments_specs!A:J,5,FALSE)</f>
        <v>True</v>
      </c>
      <c r="F212" s="1" t="str">
        <f>VLOOKUP(Tabella1[[#This Row],[test_id]],experiments_specs!A:J,6,FALSE)</f>
        <v>True</v>
      </c>
      <c r="G212" s="1" t="str">
        <f>VLOOKUP(Tabella1[[#This Row],[test_id]],experiments_specs!A:J,7,FALSE)</f>
        <v>True</v>
      </c>
      <c r="H212" s="1" t="str">
        <f>VLOOKUP(Tabella1[[#This Row],[test_id]],experiments_specs!A:J,8,FALSE)</f>
        <v>False</v>
      </c>
      <c r="I212" s="1" t="str">
        <f>VLOOKUP(Tabella1[[#This Row],[test_id]],experiments_specs!A:J,9,FALSE)</f>
        <v>wup_similarity</v>
      </c>
      <c r="J212" s="1" t="str">
        <f>VLOOKUP(Tabella1[[#This Row],[test_id]],experiments_specs!A:J,10,FALSE)</f>
        <v>False</v>
      </c>
      <c r="K212" t="s">
        <v>12</v>
      </c>
      <c r="L212" t="s">
        <v>24</v>
      </c>
      <c r="M212" t="s">
        <v>25</v>
      </c>
      <c r="N212">
        <v>0.42857142857142855</v>
      </c>
      <c r="O212" t="s">
        <v>115</v>
      </c>
      <c r="P212" t="s">
        <v>116</v>
      </c>
      <c r="Q212" s="33">
        <v>0.46153846153846156</v>
      </c>
    </row>
    <row r="213" spans="1:17" ht="16" x14ac:dyDescent="0.2">
      <c r="A213" t="s">
        <v>162</v>
      </c>
      <c r="B213" s="1" t="str">
        <f>VLOOKUP(Tabella1[[#This Row],[test_id]],experiments_specs!A:J,2,FALSE)</f>
        <v>NN,VB</v>
      </c>
      <c r="C213" s="1">
        <f>VLOOKUP(Tabella1[[#This Row],[test_id]],experiments_specs!A:J,3,FALSE)</f>
        <v>1</v>
      </c>
      <c r="D213" s="1">
        <f>VLOOKUP(Tabella1[[#This Row],[test_id]],experiments_specs!A:J,4,FALSE)</f>
        <v>2</v>
      </c>
      <c r="E213" s="1" t="str">
        <f>VLOOKUP(Tabella1[[#This Row],[test_id]],experiments_specs!A:J,5,FALSE)</f>
        <v>True</v>
      </c>
      <c r="F213" s="1" t="str">
        <f>VLOOKUP(Tabella1[[#This Row],[test_id]],experiments_specs!A:J,6,FALSE)</f>
        <v>True</v>
      </c>
      <c r="G213" s="1" t="str">
        <f>VLOOKUP(Tabella1[[#This Row],[test_id]],experiments_specs!A:J,7,FALSE)</f>
        <v>True</v>
      </c>
      <c r="H213" s="1" t="str">
        <f>VLOOKUP(Tabella1[[#This Row],[test_id]],experiments_specs!A:J,8,FALSE)</f>
        <v>False</v>
      </c>
      <c r="I213" s="1" t="str">
        <f>VLOOKUP(Tabella1[[#This Row],[test_id]],experiments_specs!A:J,9,FALSE)</f>
        <v>wup_similarity</v>
      </c>
      <c r="J213" s="1" t="str">
        <f>VLOOKUP(Tabella1[[#This Row],[test_id]],experiments_specs!A:J,10,FALSE)</f>
        <v>False</v>
      </c>
      <c r="K213" t="s">
        <v>13</v>
      </c>
      <c r="L213" t="s">
        <v>82</v>
      </c>
      <c r="M213" t="s">
        <v>117</v>
      </c>
      <c r="N213">
        <v>0.4</v>
      </c>
      <c r="O213" t="s">
        <v>84</v>
      </c>
      <c r="P213" t="s">
        <v>85</v>
      </c>
      <c r="Q213" s="33" t="s">
        <v>29</v>
      </c>
    </row>
    <row r="214" spans="1:17" ht="16" x14ac:dyDescent="0.2">
      <c r="A214" t="s">
        <v>162</v>
      </c>
      <c r="B214" s="1" t="str">
        <f>VLOOKUP(Tabella1[[#This Row],[test_id]],experiments_specs!A:J,2,FALSE)</f>
        <v>NN,VB</v>
      </c>
      <c r="C214" s="1">
        <f>VLOOKUP(Tabella1[[#This Row],[test_id]],experiments_specs!A:J,3,FALSE)</f>
        <v>1</v>
      </c>
      <c r="D214" s="1">
        <f>VLOOKUP(Tabella1[[#This Row],[test_id]],experiments_specs!A:J,4,FALSE)</f>
        <v>2</v>
      </c>
      <c r="E214" s="1" t="str">
        <f>VLOOKUP(Tabella1[[#This Row],[test_id]],experiments_specs!A:J,5,FALSE)</f>
        <v>True</v>
      </c>
      <c r="F214" s="1" t="str">
        <f>VLOOKUP(Tabella1[[#This Row],[test_id]],experiments_specs!A:J,6,FALSE)</f>
        <v>True</v>
      </c>
      <c r="G214" s="1" t="str">
        <f>VLOOKUP(Tabella1[[#This Row],[test_id]],experiments_specs!A:J,7,FALSE)</f>
        <v>True</v>
      </c>
      <c r="H214" s="1" t="str">
        <f>VLOOKUP(Tabella1[[#This Row],[test_id]],experiments_specs!A:J,8,FALSE)</f>
        <v>False</v>
      </c>
      <c r="I214" s="1" t="str">
        <f>VLOOKUP(Tabella1[[#This Row],[test_id]],experiments_specs!A:J,9,FALSE)</f>
        <v>wup_similarity</v>
      </c>
      <c r="J214" s="1" t="str">
        <f>VLOOKUP(Tabella1[[#This Row],[test_id]],experiments_specs!A:J,10,FALSE)</f>
        <v>False</v>
      </c>
      <c r="K214" t="s">
        <v>14</v>
      </c>
      <c r="L214" t="s">
        <v>86</v>
      </c>
      <c r="M214" t="s">
        <v>87</v>
      </c>
      <c r="N214">
        <v>0.33333333333333331</v>
      </c>
      <c r="O214" t="s">
        <v>88</v>
      </c>
      <c r="P214" t="s">
        <v>87</v>
      </c>
      <c r="Q214" s="33">
        <v>0.33333333333333331</v>
      </c>
    </row>
    <row r="215" spans="1:17" ht="16" x14ac:dyDescent="0.2">
      <c r="A215" t="s">
        <v>162</v>
      </c>
      <c r="B215" s="1" t="str">
        <f>VLOOKUP(Tabella1[[#This Row],[test_id]],experiments_specs!A:J,2,FALSE)</f>
        <v>NN,VB</v>
      </c>
      <c r="C215" s="1">
        <f>VLOOKUP(Tabella1[[#This Row],[test_id]],experiments_specs!A:J,3,FALSE)</f>
        <v>1</v>
      </c>
      <c r="D215" s="1">
        <f>VLOOKUP(Tabella1[[#This Row],[test_id]],experiments_specs!A:J,4,FALSE)</f>
        <v>2</v>
      </c>
      <c r="E215" s="1" t="str">
        <f>VLOOKUP(Tabella1[[#This Row],[test_id]],experiments_specs!A:J,5,FALSE)</f>
        <v>True</v>
      </c>
      <c r="F215" s="1" t="str">
        <f>VLOOKUP(Tabella1[[#This Row],[test_id]],experiments_specs!A:J,6,FALSE)</f>
        <v>True</v>
      </c>
      <c r="G215" s="1" t="str">
        <f>VLOOKUP(Tabella1[[#This Row],[test_id]],experiments_specs!A:J,7,FALSE)</f>
        <v>True</v>
      </c>
      <c r="H215" s="1" t="str">
        <f>VLOOKUP(Tabella1[[#This Row],[test_id]],experiments_specs!A:J,8,FALSE)</f>
        <v>False</v>
      </c>
      <c r="I215" s="1" t="str">
        <f>VLOOKUP(Tabella1[[#This Row],[test_id]],experiments_specs!A:J,9,FALSE)</f>
        <v>wup_similarity</v>
      </c>
      <c r="J215" s="1" t="str">
        <f>VLOOKUP(Tabella1[[#This Row],[test_id]],experiments_specs!A:J,10,FALSE)</f>
        <v>False</v>
      </c>
      <c r="K215" t="s">
        <v>15</v>
      </c>
      <c r="L215" t="s">
        <v>34</v>
      </c>
      <c r="M215" t="s">
        <v>35</v>
      </c>
      <c r="N215">
        <v>0.16666666666666666</v>
      </c>
      <c r="O215" t="s">
        <v>57</v>
      </c>
      <c r="P215" t="s">
        <v>34</v>
      </c>
      <c r="Q215" s="33">
        <v>0.18181818181818182</v>
      </c>
    </row>
    <row r="216" spans="1:17" ht="16" x14ac:dyDescent="0.2">
      <c r="A216" t="s">
        <v>162</v>
      </c>
      <c r="B216" s="1" t="str">
        <f>VLOOKUP(Tabella1[[#This Row],[test_id]],experiments_specs!A:J,2,FALSE)</f>
        <v>NN,VB</v>
      </c>
      <c r="C216" s="1">
        <f>VLOOKUP(Tabella1[[#This Row],[test_id]],experiments_specs!A:J,3,FALSE)</f>
        <v>1</v>
      </c>
      <c r="D216" s="1">
        <f>VLOOKUP(Tabella1[[#This Row],[test_id]],experiments_specs!A:J,4,FALSE)</f>
        <v>2</v>
      </c>
      <c r="E216" s="1" t="str">
        <f>VLOOKUP(Tabella1[[#This Row],[test_id]],experiments_specs!A:J,5,FALSE)</f>
        <v>True</v>
      </c>
      <c r="F216" s="1" t="str">
        <f>VLOOKUP(Tabella1[[#This Row],[test_id]],experiments_specs!A:J,6,FALSE)</f>
        <v>True</v>
      </c>
      <c r="G216" s="1" t="str">
        <f>VLOOKUP(Tabella1[[#This Row],[test_id]],experiments_specs!A:J,7,FALSE)</f>
        <v>True</v>
      </c>
      <c r="H216" s="1" t="str">
        <f>VLOOKUP(Tabella1[[#This Row],[test_id]],experiments_specs!A:J,8,FALSE)</f>
        <v>False</v>
      </c>
      <c r="I216" s="1" t="str">
        <f>VLOOKUP(Tabella1[[#This Row],[test_id]],experiments_specs!A:J,9,FALSE)</f>
        <v>wup_similarity</v>
      </c>
      <c r="J216" s="1" t="str">
        <f>VLOOKUP(Tabella1[[#This Row],[test_id]],experiments_specs!A:J,10,FALSE)</f>
        <v>False</v>
      </c>
      <c r="K216" t="s">
        <v>16</v>
      </c>
      <c r="L216" t="s">
        <v>90</v>
      </c>
      <c r="M216" t="s">
        <v>91</v>
      </c>
      <c r="N216">
        <v>0.22222222222222221</v>
      </c>
      <c r="O216" t="s">
        <v>92</v>
      </c>
      <c r="P216" t="s">
        <v>91</v>
      </c>
      <c r="Q216" s="33">
        <v>0.22222222222222221</v>
      </c>
    </row>
    <row r="217" spans="1:17" ht="16" x14ac:dyDescent="0.2">
      <c r="A217" t="s">
        <v>162</v>
      </c>
      <c r="B217" s="1" t="str">
        <f>VLOOKUP(Tabella1[[#This Row],[test_id]],experiments_specs!A:J,2,FALSE)</f>
        <v>NN,VB</v>
      </c>
      <c r="C217" s="1">
        <f>VLOOKUP(Tabella1[[#This Row],[test_id]],experiments_specs!A:J,3,FALSE)</f>
        <v>1</v>
      </c>
      <c r="D217" s="1">
        <f>VLOOKUP(Tabella1[[#This Row],[test_id]],experiments_specs!A:J,4,FALSE)</f>
        <v>2</v>
      </c>
      <c r="E217" s="1" t="str">
        <f>VLOOKUP(Tabella1[[#This Row],[test_id]],experiments_specs!A:J,5,FALSE)</f>
        <v>True</v>
      </c>
      <c r="F217" s="1" t="str">
        <f>VLOOKUP(Tabella1[[#This Row],[test_id]],experiments_specs!A:J,6,FALSE)</f>
        <v>True</v>
      </c>
      <c r="G217" s="1" t="str">
        <f>VLOOKUP(Tabella1[[#This Row],[test_id]],experiments_specs!A:J,7,FALSE)</f>
        <v>True</v>
      </c>
      <c r="H217" s="1" t="str">
        <f>VLOOKUP(Tabella1[[#This Row],[test_id]],experiments_specs!A:J,8,FALSE)</f>
        <v>False</v>
      </c>
      <c r="I217" s="1" t="str">
        <f>VLOOKUP(Tabella1[[#This Row],[test_id]],experiments_specs!A:J,9,FALSE)</f>
        <v>wup_similarity</v>
      </c>
      <c r="J217" s="1" t="str">
        <f>VLOOKUP(Tabella1[[#This Row],[test_id]],experiments_specs!A:J,10,FALSE)</f>
        <v>False</v>
      </c>
      <c r="K217" t="s">
        <v>17</v>
      </c>
      <c r="L217" t="s">
        <v>80</v>
      </c>
      <c r="M217" t="s">
        <v>81</v>
      </c>
      <c r="N217">
        <v>0.22222222222222221</v>
      </c>
      <c r="O217" t="s">
        <v>95</v>
      </c>
      <c r="P217" t="s">
        <v>94</v>
      </c>
      <c r="Q217" s="33">
        <v>0.30769230769230771</v>
      </c>
    </row>
    <row r="218" spans="1:17" ht="16" x14ac:dyDescent="0.2">
      <c r="A218" t="s">
        <v>162</v>
      </c>
      <c r="B218" s="1" t="str">
        <f>VLOOKUP(Tabella1[[#This Row],[test_id]],experiments_specs!A:J,2,FALSE)</f>
        <v>NN,VB</v>
      </c>
      <c r="C218" s="1">
        <f>VLOOKUP(Tabella1[[#This Row],[test_id]],experiments_specs!A:J,3,FALSE)</f>
        <v>1</v>
      </c>
      <c r="D218" s="1">
        <f>VLOOKUP(Tabella1[[#This Row],[test_id]],experiments_specs!A:J,4,FALSE)</f>
        <v>2</v>
      </c>
      <c r="E218" s="1" t="str">
        <f>VLOOKUP(Tabella1[[#This Row],[test_id]],experiments_specs!A:J,5,FALSE)</f>
        <v>True</v>
      </c>
      <c r="F218" s="1" t="str">
        <f>VLOOKUP(Tabella1[[#This Row],[test_id]],experiments_specs!A:J,6,FALSE)</f>
        <v>True</v>
      </c>
      <c r="G218" s="1" t="str">
        <f>VLOOKUP(Tabella1[[#This Row],[test_id]],experiments_specs!A:J,7,FALSE)</f>
        <v>True</v>
      </c>
      <c r="H218" s="1" t="str">
        <f>VLOOKUP(Tabella1[[#This Row],[test_id]],experiments_specs!A:J,8,FALSE)</f>
        <v>False</v>
      </c>
      <c r="I218" s="1" t="str">
        <f>VLOOKUP(Tabella1[[#This Row],[test_id]],experiments_specs!A:J,9,FALSE)</f>
        <v>wup_similarity</v>
      </c>
      <c r="J218" s="1" t="str">
        <f>VLOOKUP(Tabella1[[#This Row],[test_id]],experiments_specs!A:J,10,FALSE)</f>
        <v>False</v>
      </c>
      <c r="K218" t="s">
        <v>18</v>
      </c>
      <c r="L218" t="s">
        <v>96</v>
      </c>
      <c r="M218" t="s">
        <v>97</v>
      </c>
      <c r="N218">
        <v>0.21052631578947367</v>
      </c>
      <c r="O218" t="s">
        <v>98</v>
      </c>
      <c r="P218" t="s">
        <v>97</v>
      </c>
      <c r="Q218" s="33">
        <v>0.21052631578947367</v>
      </c>
    </row>
    <row r="219" spans="1:17" ht="16" x14ac:dyDescent="0.2">
      <c r="A219" t="s">
        <v>163</v>
      </c>
      <c r="B219" s="1" t="str">
        <f>VLOOKUP(Tabella1[[#This Row],[test_id]],experiments_specs!A:J,2,FALSE)</f>
        <v>NN,VB,VBD,VBG,VBN,VBP,VBZ</v>
      </c>
      <c r="C219" s="1">
        <f>VLOOKUP(Tabella1[[#This Row],[test_id]],experiments_specs!A:J,3,FALSE)</f>
        <v>1</v>
      </c>
      <c r="D219" s="1">
        <f>VLOOKUP(Tabella1[[#This Row],[test_id]],experiments_specs!A:J,4,FALSE)</f>
        <v>2</v>
      </c>
      <c r="E219" s="1" t="str">
        <f>VLOOKUP(Tabella1[[#This Row],[test_id]],experiments_specs!A:J,5,FALSE)</f>
        <v>True</v>
      </c>
      <c r="F219" s="1" t="str">
        <f>VLOOKUP(Tabella1[[#This Row],[test_id]],experiments_specs!A:J,6,FALSE)</f>
        <v>True</v>
      </c>
      <c r="G219" s="1" t="str">
        <f>VLOOKUP(Tabella1[[#This Row],[test_id]],experiments_specs!A:J,7,FALSE)</f>
        <v>True</v>
      </c>
      <c r="H219" s="1" t="str">
        <f>VLOOKUP(Tabella1[[#This Row],[test_id]],experiments_specs!A:J,8,FALSE)</f>
        <v>False</v>
      </c>
      <c r="I219" s="1" t="str">
        <f>VLOOKUP(Tabella1[[#This Row],[test_id]],experiments_specs!A:J,9,FALSE)</f>
        <v>wup_similarity</v>
      </c>
      <c r="J219" s="1" t="str">
        <f>VLOOKUP(Tabella1[[#This Row],[test_id]],experiments_specs!A:J,10,FALSE)</f>
        <v>False</v>
      </c>
      <c r="K219" t="s">
        <v>19</v>
      </c>
      <c r="L219" t="s">
        <v>50</v>
      </c>
      <c r="M219" t="s">
        <v>49</v>
      </c>
      <c r="N219">
        <v>0.19047619047619047</v>
      </c>
      <c r="O219" t="s">
        <v>99</v>
      </c>
      <c r="P219" t="s">
        <v>49</v>
      </c>
      <c r="Q219" s="33">
        <v>0.19047619047619047</v>
      </c>
    </row>
    <row r="220" spans="1:17" ht="16" x14ac:dyDescent="0.2">
      <c r="A220" t="s">
        <v>163</v>
      </c>
      <c r="B220" s="1" t="str">
        <f>VLOOKUP(Tabella1[[#This Row],[test_id]],experiments_specs!A:J,2,FALSE)</f>
        <v>NN,VB,VBD,VBG,VBN,VBP,VBZ</v>
      </c>
      <c r="C220" s="1">
        <f>VLOOKUP(Tabella1[[#This Row],[test_id]],experiments_specs!A:J,3,FALSE)</f>
        <v>1</v>
      </c>
      <c r="D220" s="1">
        <f>VLOOKUP(Tabella1[[#This Row],[test_id]],experiments_specs!A:J,4,FALSE)</f>
        <v>2</v>
      </c>
      <c r="E220" s="1" t="str">
        <f>VLOOKUP(Tabella1[[#This Row],[test_id]],experiments_specs!A:J,5,FALSE)</f>
        <v>True</v>
      </c>
      <c r="F220" s="1" t="str">
        <f>VLOOKUP(Tabella1[[#This Row],[test_id]],experiments_specs!A:J,6,FALSE)</f>
        <v>True</v>
      </c>
      <c r="G220" s="1" t="str">
        <f>VLOOKUP(Tabella1[[#This Row],[test_id]],experiments_specs!A:J,7,FALSE)</f>
        <v>True</v>
      </c>
      <c r="H220" s="1" t="str">
        <f>VLOOKUP(Tabella1[[#This Row],[test_id]],experiments_specs!A:J,8,FALSE)</f>
        <v>False</v>
      </c>
      <c r="I220" s="1" t="str">
        <f>VLOOKUP(Tabella1[[#This Row],[test_id]],experiments_specs!A:J,9,FALSE)</f>
        <v>wup_similarity</v>
      </c>
      <c r="J220" s="1" t="str">
        <f>VLOOKUP(Tabella1[[#This Row],[test_id]],experiments_specs!A:J,10,FALSE)</f>
        <v>False</v>
      </c>
      <c r="K220" t="s">
        <v>12</v>
      </c>
      <c r="L220" t="s">
        <v>24</v>
      </c>
      <c r="M220" t="s">
        <v>25</v>
      </c>
      <c r="N220">
        <v>0.42857142857142855</v>
      </c>
      <c r="O220" t="s">
        <v>115</v>
      </c>
      <c r="P220" t="s">
        <v>116</v>
      </c>
      <c r="Q220" s="33">
        <v>0.46153846153846156</v>
      </c>
    </row>
    <row r="221" spans="1:17" ht="16" x14ac:dyDescent="0.2">
      <c r="A221" t="s">
        <v>163</v>
      </c>
      <c r="B221" s="1" t="str">
        <f>VLOOKUP(Tabella1[[#This Row],[test_id]],experiments_specs!A:J,2,FALSE)</f>
        <v>NN,VB,VBD,VBG,VBN,VBP,VBZ</v>
      </c>
      <c r="C221" s="1">
        <f>VLOOKUP(Tabella1[[#This Row],[test_id]],experiments_specs!A:J,3,FALSE)</f>
        <v>1</v>
      </c>
      <c r="D221" s="1">
        <f>VLOOKUP(Tabella1[[#This Row],[test_id]],experiments_specs!A:J,4,FALSE)</f>
        <v>2</v>
      </c>
      <c r="E221" s="1" t="str">
        <f>VLOOKUP(Tabella1[[#This Row],[test_id]],experiments_specs!A:J,5,FALSE)</f>
        <v>True</v>
      </c>
      <c r="F221" s="1" t="str">
        <f>VLOOKUP(Tabella1[[#This Row],[test_id]],experiments_specs!A:J,6,FALSE)</f>
        <v>True</v>
      </c>
      <c r="G221" s="1" t="str">
        <f>VLOOKUP(Tabella1[[#This Row],[test_id]],experiments_specs!A:J,7,FALSE)</f>
        <v>True</v>
      </c>
      <c r="H221" s="1" t="str">
        <f>VLOOKUP(Tabella1[[#This Row],[test_id]],experiments_specs!A:J,8,FALSE)</f>
        <v>False</v>
      </c>
      <c r="I221" s="1" t="str">
        <f>VLOOKUP(Tabella1[[#This Row],[test_id]],experiments_specs!A:J,9,FALSE)</f>
        <v>wup_similarity</v>
      </c>
      <c r="J221" s="1" t="str">
        <f>VLOOKUP(Tabella1[[#This Row],[test_id]],experiments_specs!A:J,10,FALSE)</f>
        <v>False</v>
      </c>
      <c r="K221" t="s">
        <v>13</v>
      </c>
      <c r="L221" t="s">
        <v>82</v>
      </c>
      <c r="M221" t="s">
        <v>117</v>
      </c>
      <c r="N221">
        <v>0.4</v>
      </c>
      <c r="O221" t="s">
        <v>84</v>
      </c>
      <c r="P221" t="s">
        <v>85</v>
      </c>
      <c r="Q221" s="33" t="s">
        <v>29</v>
      </c>
    </row>
    <row r="222" spans="1:17" ht="16" x14ac:dyDescent="0.2">
      <c r="A222" t="s">
        <v>163</v>
      </c>
      <c r="B222" s="1" t="str">
        <f>VLOOKUP(Tabella1[[#This Row],[test_id]],experiments_specs!A:J,2,FALSE)</f>
        <v>NN,VB,VBD,VBG,VBN,VBP,VBZ</v>
      </c>
      <c r="C222" s="1">
        <f>VLOOKUP(Tabella1[[#This Row],[test_id]],experiments_specs!A:J,3,FALSE)</f>
        <v>1</v>
      </c>
      <c r="D222" s="1">
        <f>VLOOKUP(Tabella1[[#This Row],[test_id]],experiments_specs!A:J,4,FALSE)</f>
        <v>2</v>
      </c>
      <c r="E222" s="1" t="str">
        <f>VLOOKUP(Tabella1[[#This Row],[test_id]],experiments_specs!A:J,5,FALSE)</f>
        <v>True</v>
      </c>
      <c r="F222" s="1" t="str">
        <f>VLOOKUP(Tabella1[[#This Row],[test_id]],experiments_specs!A:J,6,FALSE)</f>
        <v>True</v>
      </c>
      <c r="G222" s="1" t="str">
        <f>VLOOKUP(Tabella1[[#This Row],[test_id]],experiments_specs!A:J,7,FALSE)</f>
        <v>True</v>
      </c>
      <c r="H222" s="1" t="str">
        <f>VLOOKUP(Tabella1[[#This Row],[test_id]],experiments_specs!A:J,8,FALSE)</f>
        <v>False</v>
      </c>
      <c r="I222" s="1" t="str">
        <f>VLOOKUP(Tabella1[[#This Row],[test_id]],experiments_specs!A:J,9,FALSE)</f>
        <v>wup_similarity</v>
      </c>
      <c r="J222" s="1" t="str">
        <f>VLOOKUP(Tabella1[[#This Row],[test_id]],experiments_specs!A:J,10,FALSE)</f>
        <v>False</v>
      </c>
      <c r="K222" t="s">
        <v>14</v>
      </c>
      <c r="L222" t="s">
        <v>86</v>
      </c>
      <c r="M222" t="s">
        <v>87</v>
      </c>
      <c r="N222">
        <v>0.33333333333333331</v>
      </c>
      <c r="O222" t="s">
        <v>88</v>
      </c>
      <c r="P222" t="s">
        <v>87</v>
      </c>
      <c r="Q222" s="33">
        <v>0.33333333333333331</v>
      </c>
    </row>
    <row r="223" spans="1:17" ht="16" x14ac:dyDescent="0.2">
      <c r="A223" t="s">
        <v>163</v>
      </c>
      <c r="B223" s="1" t="str">
        <f>VLOOKUP(Tabella1[[#This Row],[test_id]],experiments_specs!A:J,2,FALSE)</f>
        <v>NN,VB,VBD,VBG,VBN,VBP,VBZ</v>
      </c>
      <c r="C223" s="1">
        <f>VLOOKUP(Tabella1[[#This Row],[test_id]],experiments_specs!A:J,3,FALSE)</f>
        <v>1</v>
      </c>
      <c r="D223" s="1">
        <f>VLOOKUP(Tabella1[[#This Row],[test_id]],experiments_specs!A:J,4,FALSE)</f>
        <v>2</v>
      </c>
      <c r="E223" s="1" t="str">
        <f>VLOOKUP(Tabella1[[#This Row],[test_id]],experiments_specs!A:J,5,FALSE)</f>
        <v>True</v>
      </c>
      <c r="F223" s="1" t="str">
        <f>VLOOKUP(Tabella1[[#This Row],[test_id]],experiments_specs!A:J,6,FALSE)</f>
        <v>True</v>
      </c>
      <c r="G223" s="1" t="str">
        <f>VLOOKUP(Tabella1[[#This Row],[test_id]],experiments_specs!A:J,7,FALSE)</f>
        <v>True</v>
      </c>
      <c r="H223" s="1" t="str">
        <f>VLOOKUP(Tabella1[[#This Row],[test_id]],experiments_specs!A:J,8,FALSE)</f>
        <v>False</v>
      </c>
      <c r="I223" s="1" t="str">
        <f>VLOOKUP(Tabella1[[#This Row],[test_id]],experiments_specs!A:J,9,FALSE)</f>
        <v>wup_similarity</v>
      </c>
      <c r="J223" s="1" t="str">
        <f>VLOOKUP(Tabella1[[#This Row],[test_id]],experiments_specs!A:J,10,FALSE)</f>
        <v>False</v>
      </c>
      <c r="K223" t="s">
        <v>15</v>
      </c>
      <c r="L223" t="s">
        <v>118</v>
      </c>
      <c r="M223" t="s">
        <v>119</v>
      </c>
      <c r="N223">
        <v>0.22222222222222221</v>
      </c>
      <c r="O223" t="s">
        <v>57</v>
      </c>
      <c r="P223" t="s">
        <v>34</v>
      </c>
      <c r="Q223" s="33">
        <v>0.18181818181818182</v>
      </c>
    </row>
    <row r="224" spans="1:17" ht="16" x14ac:dyDescent="0.2">
      <c r="A224" t="s">
        <v>163</v>
      </c>
      <c r="B224" s="1" t="str">
        <f>VLOOKUP(Tabella1[[#This Row],[test_id]],experiments_specs!A:J,2,FALSE)</f>
        <v>NN,VB,VBD,VBG,VBN,VBP,VBZ</v>
      </c>
      <c r="C224" s="1">
        <f>VLOOKUP(Tabella1[[#This Row],[test_id]],experiments_specs!A:J,3,FALSE)</f>
        <v>1</v>
      </c>
      <c r="D224" s="1">
        <f>VLOOKUP(Tabella1[[#This Row],[test_id]],experiments_specs!A:J,4,FALSE)</f>
        <v>2</v>
      </c>
      <c r="E224" s="1" t="str">
        <f>VLOOKUP(Tabella1[[#This Row],[test_id]],experiments_specs!A:J,5,FALSE)</f>
        <v>True</v>
      </c>
      <c r="F224" s="1" t="str">
        <f>VLOOKUP(Tabella1[[#This Row],[test_id]],experiments_specs!A:J,6,FALSE)</f>
        <v>True</v>
      </c>
      <c r="G224" s="1" t="str">
        <f>VLOOKUP(Tabella1[[#This Row],[test_id]],experiments_specs!A:J,7,FALSE)</f>
        <v>True</v>
      </c>
      <c r="H224" s="1" t="str">
        <f>VLOOKUP(Tabella1[[#This Row],[test_id]],experiments_specs!A:J,8,FALSE)</f>
        <v>False</v>
      </c>
      <c r="I224" s="1" t="str">
        <f>VLOOKUP(Tabella1[[#This Row],[test_id]],experiments_specs!A:J,9,FALSE)</f>
        <v>wup_similarity</v>
      </c>
      <c r="J224" s="1" t="str">
        <f>VLOOKUP(Tabella1[[#This Row],[test_id]],experiments_specs!A:J,10,FALSE)</f>
        <v>False</v>
      </c>
      <c r="K224" t="s">
        <v>16</v>
      </c>
      <c r="L224" t="s">
        <v>90</v>
      </c>
      <c r="M224" t="s">
        <v>91</v>
      </c>
      <c r="N224">
        <v>0.22222222222222221</v>
      </c>
      <c r="O224" t="s">
        <v>92</v>
      </c>
      <c r="P224" t="s">
        <v>91</v>
      </c>
      <c r="Q224" s="33">
        <v>0.22222222222222221</v>
      </c>
    </row>
    <row r="225" spans="1:17" ht="16" x14ac:dyDescent="0.2">
      <c r="A225" t="s">
        <v>163</v>
      </c>
      <c r="B225" s="1" t="str">
        <f>VLOOKUP(Tabella1[[#This Row],[test_id]],experiments_specs!A:J,2,FALSE)</f>
        <v>NN,VB,VBD,VBG,VBN,VBP,VBZ</v>
      </c>
      <c r="C225" s="1">
        <f>VLOOKUP(Tabella1[[#This Row],[test_id]],experiments_specs!A:J,3,FALSE)</f>
        <v>1</v>
      </c>
      <c r="D225" s="1">
        <f>VLOOKUP(Tabella1[[#This Row],[test_id]],experiments_specs!A:J,4,FALSE)</f>
        <v>2</v>
      </c>
      <c r="E225" s="1" t="str">
        <f>VLOOKUP(Tabella1[[#This Row],[test_id]],experiments_specs!A:J,5,FALSE)</f>
        <v>True</v>
      </c>
      <c r="F225" s="1" t="str">
        <f>VLOOKUP(Tabella1[[#This Row],[test_id]],experiments_specs!A:J,6,FALSE)</f>
        <v>True</v>
      </c>
      <c r="G225" s="1" t="str">
        <f>VLOOKUP(Tabella1[[#This Row],[test_id]],experiments_specs!A:J,7,FALSE)</f>
        <v>True</v>
      </c>
      <c r="H225" s="1" t="str">
        <f>VLOOKUP(Tabella1[[#This Row],[test_id]],experiments_specs!A:J,8,FALSE)</f>
        <v>False</v>
      </c>
      <c r="I225" s="1" t="str">
        <f>VLOOKUP(Tabella1[[#This Row],[test_id]],experiments_specs!A:J,9,FALSE)</f>
        <v>wup_similarity</v>
      </c>
      <c r="J225" s="1" t="str">
        <f>VLOOKUP(Tabella1[[#This Row],[test_id]],experiments_specs!A:J,10,FALSE)</f>
        <v>False</v>
      </c>
      <c r="K225" t="s">
        <v>17</v>
      </c>
      <c r="L225" t="s">
        <v>80</v>
      </c>
      <c r="M225" t="s">
        <v>81</v>
      </c>
      <c r="N225">
        <v>0.22222222222222221</v>
      </c>
      <c r="O225" t="s">
        <v>80</v>
      </c>
      <c r="P225" t="s">
        <v>107</v>
      </c>
      <c r="Q225" s="33">
        <v>0.2</v>
      </c>
    </row>
    <row r="226" spans="1:17" ht="16" x14ac:dyDescent="0.2">
      <c r="A226" t="s">
        <v>163</v>
      </c>
      <c r="B226" s="1" t="str">
        <f>VLOOKUP(Tabella1[[#This Row],[test_id]],experiments_specs!A:J,2,FALSE)</f>
        <v>NN,VB,VBD,VBG,VBN,VBP,VBZ</v>
      </c>
      <c r="C226" s="1">
        <f>VLOOKUP(Tabella1[[#This Row],[test_id]],experiments_specs!A:J,3,FALSE)</f>
        <v>1</v>
      </c>
      <c r="D226" s="1">
        <f>VLOOKUP(Tabella1[[#This Row],[test_id]],experiments_specs!A:J,4,FALSE)</f>
        <v>2</v>
      </c>
      <c r="E226" s="1" t="str">
        <f>VLOOKUP(Tabella1[[#This Row],[test_id]],experiments_specs!A:J,5,FALSE)</f>
        <v>True</v>
      </c>
      <c r="F226" s="1" t="str">
        <f>VLOOKUP(Tabella1[[#This Row],[test_id]],experiments_specs!A:J,6,FALSE)</f>
        <v>True</v>
      </c>
      <c r="G226" s="1" t="str">
        <f>VLOOKUP(Tabella1[[#This Row],[test_id]],experiments_specs!A:J,7,FALSE)</f>
        <v>True</v>
      </c>
      <c r="H226" s="1" t="str">
        <f>VLOOKUP(Tabella1[[#This Row],[test_id]],experiments_specs!A:J,8,FALSE)</f>
        <v>False</v>
      </c>
      <c r="I226" s="1" t="str">
        <f>VLOOKUP(Tabella1[[#This Row],[test_id]],experiments_specs!A:J,9,FALSE)</f>
        <v>wup_similarity</v>
      </c>
      <c r="J226" s="1" t="str">
        <f>VLOOKUP(Tabella1[[#This Row],[test_id]],experiments_specs!A:J,10,FALSE)</f>
        <v>False</v>
      </c>
      <c r="K226" t="s">
        <v>18</v>
      </c>
      <c r="L226" t="s">
        <v>96</v>
      </c>
      <c r="M226" t="s">
        <v>97</v>
      </c>
      <c r="N226">
        <v>0.21052631578947367</v>
      </c>
      <c r="O226" t="s">
        <v>98</v>
      </c>
      <c r="P226" t="s">
        <v>97</v>
      </c>
      <c r="Q226" s="33">
        <v>0.21052631578947367</v>
      </c>
    </row>
    <row r="227" spans="1:17" ht="16" x14ac:dyDescent="0.2">
      <c r="A227" t="s">
        <v>164</v>
      </c>
      <c r="B227" s="1" t="str">
        <f>VLOOKUP(Tabella1[[#This Row],[test_id]],experiments_specs!A:J,2,FALSE)</f>
        <v>NN,RB</v>
      </c>
      <c r="C227" s="1">
        <f>VLOOKUP(Tabella1[[#This Row],[test_id]],experiments_specs!A:J,3,FALSE)</f>
        <v>1</v>
      </c>
      <c r="D227" s="1">
        <f>VLOOKUP(Tabella1[[#This Row],[test_id]],experiments_specs!A:J,4,FALSE)</f>
        <v>2</v>
      </c>
      <c r="E227" s="1" t="str">
        <f>VLOOKUP(Tabella1[[#This Row],[test_id]],experiments_specs!A:J,5,FALSE)</f>
        <v>True</v>
      </c>
      <c r="F227" s="1" t="str">
        <f>VLOOKUP(Tabella1[[#This Row],[test_id]],experiments_specs!A:J,6,FALSE)</f>
        <v>True</v>
      </c>
      <c r="G227" s="1" t="str">
        <f>VLOOKUP(Tabella1[[#This Row],[test_id]],experiments_specs!A:J,7,FALSE)</f>
        <v>True</v>
      </c>
      <c r="H227" s="1" t="str">
        <f>VLOOKUP(Tabella1[[#This Row],[test_id]],experiments_specs!A:J,8,FALSE)</f>
        <v>False</v>
      </c>
      <c r="I227" s="1" t="str">
        <f>VLOOKUP(Tabella1[[#This Row],[test_id]],experiments_specs!A:J,9,FALSE)</f>
        <v>wup_similarity</v>
      </c>
      <c r="J227" s="1" t="str">
        <f>VLOOKUP(Tabella1[[#This Row],[test_id]],experiments_specs!A:J,10,FALSE)</f>
        <v>False</v>
      </c>
      <c r="K227" t="s">
        <v>19</v>
      </c>
      <c r="L227" t="s">
        <v>50</v>
      </c>
      <c r="M227" t="s">
        <v>49</v>
      </c>
      <c r="N227">
        <v>0.19047619047619047</v>
      </c>
      <c r="O227" t="s">
        <v>99</v>
      </c>
      <c r="P227" t="s">
        <v>49</v>
      </c>
      <c r="Q227" s="33">
        <v>0.19047619047619047</v>
      </c>
    </row>
    <row r="228" spans="1:17" ht="16" x14ac:dyDescent="0.2">
      <c r="A228" t="s">
        <v>164</v>
      </c>
      <c r="B228" s="1" t="str">
        <f>VLOOKUP(Tabella1[[#This Row],[test_id]],experiments_specs!A:J,2,FALSE)</f>
        <v>NN,RB</v>
      </c>
      <c r="C228" s="1">
        <f>VLOOKUP(Tabella1[[#This Row],[test_id]],experiments_specs!A:J,3,FALSE)</f>
        <v>1</v>
      </c>
      <c r="D228" s="1">
        <f>VLOOKUP(Tabella1[[#This Row],[test_id]],experiments_specs!A:J,4,FALSE)</f>
        <v>2</v>
      </c>
      <c r="E228" s="1" t="str">
        <f>VLOOKUP(Tabella1[[#This Row],[test_id]],experiments_specs!A:J,5,FALSE)</f>
        <v>True</v>
      </c>
      <c r="F228" s="1" t="str">
        <f>VLOOKUP(Tabella1[[#This Row],[test_id]],experiments_specs!A:J,6,FALSE)</f>
        <v>True</v>
      </c>
      <c r="G228" s="1" t="str">
        <f>VLOOKUP(Tabella1[[#This Row],[test_id]],experiments_specs!A:J,7,FALSE)</f>
        <v>True</v>
      </c>
      <c r="H228" s="1" t="str">
        <f>VLOOKUP(Tabella1[[#This Row],[test_id]],experiments_specs!A:J,8,FALSE)</f>
        <v>False</v>
      </c>
      <c r="I228" s="1" t="str">
        <f>VLOOKUP(Tabella1[[#This Row],[test_id]],experiments_specs!A:J,9,FALSE)</f>
        <v>wup_similarity</v>
      </c>
      <c r="J228" s="1" t="str">
        <f>VLOOKUP(Tabella1[[#This Row],[test_id]],experiments_specs!A:J,10,FALSE)</f>
        <v>False</v>
      </c>
      <c r="K228" t="s">
        <v>12</v>
      </c>
      <c r="L228" t="s">
        <v>24</v>
      </c>
      <c r="M228" t="s">
        <v>25</v>
      </c>
      <c r="N228">
        <v>0.42857142857142855</v>
      </c>
      <c r="O228" t="s">
        <v>115</v>
      </c>
      <c r="P228" t="s">
        <v>116</v>
      </c>
      <c r="Q228" s="33">
        <v>0.46153846153846156</v>
      </c>
    </row>
    <row r="229" spans="1:17" ht="16" x14ac:dyDescent="0.2">
      <c r="A229" t="s">
        <v>164</v>
      </c>
      <c r="B229" s="1" t="str">
        <f>VLOOKUP(Tabella1[[#This Row],[test_id]],experiments_specs!A:J,2,FALSE)</f>
        <v>NN,RB</v>
      </c>
      <c r="C229" s="1">
        <f>VLOOKUP(Tabella1[[#This Row],[test_id]],experiments_specs!A:J,3,FALSE)</f>
        <v>1</v>
      </c>
      <c r="D229" s="1">
        <f>VLOOKUP(Tabella1[[#This Row],[test_id]],experiments_specs!A:J,4,FALSE)</f>
        <v>2</v>
      </c>
      <c r="E229" s="1" t="str">
        <f>VLOOKUP(Tabella1[[#This Row],[test_id]],experiments_specs!A:J,5,FALSE)</f>
        <v>True</v>
      </c>
      <c r="F229" s="1" t="str">
        <f>VLOOKUP(Tabella1[[#This Row],[test_id]],experiments_specs!A:J,6,FALSE)</f>
        <v>True</v>
      </c>
      <c r="G229" s="1" t="str">
        <f>VLOOKUP(Tabella1[[#This Row],[test_id]],experiments_specs!A:J,7,FALSE)</f>
        <v>True</v>
      </c>
      <c r="H229" s="1" t="str">
        <f>VLOOKUP(Tabella1[[#This Row],[test_id]],experiments_specs!A:J,8,FALSE)</f>
        <v>False</v>
      </c>
      <c r="I229" s="1" t="str">
        <f>VLOOKUP(Tabella1[[#This Row],[test_id]],experiments_specs!A:J,9,FALSE)</f>
        <v>wup_similarity</v>
      </c>
      <c r="J229" s="1" t="str">
        <f>VLOOKUP(Tabella1[[#This Row],[test_id]],experiments_specs!A:J,10,FALSE)</f>
        <v>False</v>
      </c>
      <c r="K229" t="s">
        <v>13</v>
      </c>
      <c r="L229" t="s">
        <v>82</v>
      </c>
      <c r="M229" t="s">
        <v>117</v>
      </c>
      <c r="N229">
        <v>0.4</v>
      </c>
      <c r="O229" t="s">
        <v>84</v>
      </c>
      <c r="P229" t="s">
        <v>85</v>
      </c>
      <c r="Q229" s="33" t="s">
        <v>29</v>
      </c>
    </row>
    <row r="230" spans="1:17" ht="16" x14ac:dyDescent="0.2">
      <c r="A230" t="s">
        <v>164</v>
      </c>
      <c r="B230" s="1" t="str">
        <f>VLOOKUP(Tabella1[[#This Row],[test_id]],experiments_specs!A:J,2,FALSE)</f>
        <v>NN,RB</v>
      </c>
      <c r="C230" s="1">
        <f>VLOOKUP(Tabella1[[#This Row],[test_id]],experiments_specs!A:J,3,FALSE)</f>
        <v>1</v>
      </c>
      <c r="D230" s="1">
        <f>VLOOKUP(Tabella1[[#This Row],[test_id]],experiments_specs!A:J,4,FALSE)</f>
        <v>2</v>
      </c>
      <c r="E230" s="1" t="str">
        <f>VLOOKUP(Tabella1[[#This Row],[test_id]],experiments_specs!A:J,5,FALSE)</f>
        <v>True</v>
      </c>
      <c r="F230" s="1" t="str">
        <f>VLOOKUP(Tabella1[[#This Row],[test_id]],experiments_specs!A:J,6,FALSE)</f>
        <v>True</v>
      </c>
      <c r="G230" s="1" t="str">
        <f>VLOOKUP(Tabella1[[#This Row],[test_id]],experiments_specs!A:J,7,FALSE)</f>
        <v>True</v>
      </c>
      <c r="H230" s="1" t="str">
        <f>VLOOKUP(Tabella1[[#This Row],[test_id]],experiments_specs!A:J,8,FALSE)</f>
        <v>False</v>
      </c>
      <c r="I230" s="1" t="str">
        <f>VLOOKUP(Tabella1[[#This Row],[test_id]],experiments_specs!A:J,9,FALSE)</f>
        <v>wup_similarity</v>
      </c>
      <c r="J230" s="1" t="str">
        <f>VLOOKUP(Tabella1[[#This Row],[test_id]],experiments_specs!A:J,10,FALSE)</f>
        <v>False</v>
      </c>
      <c r="K230" t="s">
        <v>14</v>
      </c>
      <c r="L230" t="s">
        <v>86</v>
      </c>
      <c r="M230" t="s">
        <v>87</v>
      </c>
      <c r="N230">
        <v>0.33333333333333331</v>
      </c>
      <c r="O230" t="s">
        <v>88</v>
      </c>
      <c r="P230" t="s">
        <v>87</v>
      </c>
      <c r="Q230" s="33">
        <v>0.33333333333333331</v>
      </c>
    </row>
    <row r="231" spans="1:17" ht="16" x14ac:dyDescent="0.2">
      <c r="A231" t="s">
        <v>164</v>
      </c>
      <c r="B231" s="1" t="str">
        <f>VLOOKUP(Tabella1[[#This Row],[test_id]],experiments_specs!A:J,2,FALSE)</f>
        <v>NN,RB</v>
      </c>
      <c r="C231" s="1">
        <f>VLOOKUP(Tabella1[[#This Row],[test_id]],experiments_specs!A:J,3,FALSE)</f>
        <v>1</v>
      </c>
      <c r="D231" s="1">
        <f>VLOOKUP(Tabella1[[#This Row],[test_id]],experiments_specs!A:J,4,FALSE)</f>
        <v>2</v>
      </c>
      <c r="E231" s="1" t="str">
        <f>VLOOKUP(Tabella1[[#This Row],[test_id]],experiments_specs!A:J,5,FALSE)</f>
        <v>True</v>
      </c>
      <c r="F231" s="1" t="str">
        <f>VLOOKUP(Tabella1[[#This Row],[test_id]],experiments_specs!A:J,6,FALSE)</f>
        <v>True</v>
      </c>
      <c r="G231" s="1" t="str">
        <f>VLOOKUP(Tabella1[[#This Row],[test_id]],experiments_specs!A:J,7,FALSE)</f>
        <v>True</v>
      </c>
      <c r="H231" s="1" t="str">
        <f>VLOOKUP(Tabella1[[#This Row],[test_id]],experiments_specs!A:J,8,FALSE)</f>
        <v>False</v>
      </c>
      <c r="I231" s="1" t="str">
        <f>VLOOKUP(Tabella1[[#This Row],[test_id]],experiments_specs!A:J,9,FALSE)</f>
        <v>wup_similarity</v>
      </c>
      <c r="J231" s="1" t="str">
        <f>VLOOKUP(Tabella1[[#This Row],[test_id]],experiments_specs!A:J,10,FALSE)</f>
        <v>False</v>
      </c>
      <c r="K231" t="s">
        <v>15</v>
      </c>
      <c r="L231" t="s">
        <v>34</v>
      </c>
      <c r="M231" t="s">
        <v>35</v>
      </c>
      <c r="N231">
        <v>0.16666666666666666</v>
      </c>
      <c r="O231" t="s">
        <v>57</v>
      </c>
      <c r="P231" t="s">
        <v>34</v>
      </c>
      <c r="Q231" s="33">
        <v>0.18181818181818182</v>
      </c>
    </row>
    <row r="232" spans="1:17" ht="16" x14ac:dyDescent="0.2">
      <c r="A232" t="s">
        <v>164</v>
      </c>
      <c r="B232" s="1" t="str">
        <f>VLOOKUP(Tabella1[[#This Row],[test_id]],experiments_specs!A:J,2,FALSE)</f>
        <v>NN,RB</v>
      </c>
      <c r="C232" s="1">
        <f>VLOOKUP(Tabella1[[#This Row],[test_id]],experiments_specs!A:J,3,FALSE)</f>
        <v>1</v>
      </c>
      <c r="D232" s="1">
        <f>VLOOKUP(Tabella1[[#This Row],[test_id]],experiments_specs!A:J,4,FALSE)</f>
        <v>2</v>
      </c>
      <c r="E232" s="1" t="str">
        <f>VLOOKUP(Tabella1[[#This Row],[test_id]],experiments_specs!A:J,5,FALSE)</f>
        <v>True</v>
      </c>
      <c r="F232" s="1" t="str">
        <f>VLOOKUP(Tabella1[[#This Row],[test_id]],experiments_specs!A:J,6,FALSE)</f>
        <v>True</v>
      </c>
      <c r="G232" s="1" t="str">
        <f>VLOOKUP(Tabella1[[#This Row],[test_id]],experiments_specs!A:J,7,FALSE)</f>
        <v>True</v>
      </c>
      <c r="H232" s="1" t="str">
        <f>VLOOKUP(Tabella1[[#This Row],[test_id]],experiments_specs!A:J,8,FALSE)</f>
        <v>False</v>
      </c>
      <c r="I232" s="1" t="str">
        <f>VLOOKUP(Tabella1[[#This Row],[test_id]],experiments_specs!A:J,9,FALSE)</f>
        <v>wup_similarity</v>
      </c>
      <c r="J232" s="1" t="str">
        <f>VLOOKUP(Tabella1[[#This Row],[test_id]],experiments_specs!A:J,10,FALSE)</f>
        <v>False</v>
      </c>
      <c r="K232" t="s">
        <v>16</v>
      </c>
      <c r="L232" t="s">
        <v>90</v>
      </c>
      <c r="M232" t="s">
        <v>91</v>
      </c>
      <c r="N232">
        <v>0.22222222222222221</v>
      </c>
      <c r="O232" t="s">
        <v>92</v>
      </c>
      <c r="P232" t="s">
        <v>91</v>
      </c>
      <c r="Q232" s="33">
        <v>0.22222222222222221</v>
      </c>
    </row>
    <row r="233" spans="1:17" ht="16" x14ac:dyDescent="0.2">
      <c r="A233" t="s">
        <v>164</v>
      </c>
      <c r="B233" s="1" t="str">
        <f>VLOOKUP(Tabella1[[#This Row],[test_id]],experiments_specs!A:J,2,FALSE)</f>
        <v>NN,RB</v>
      </c>
      <c r="C233" s="1">
        <f>VLOOKUP(Tabella1[[#This Row],[test_id]],experiments_specs!A:J,3,FALSE)</f>
        <v>1</v>
      </c>
      <c r="D233" s="1">
        <f>VLOOKUP(Tabella1[[#This Row],[test_id]],experiments_specs!A:J,4,FALSE)</f>
        <v>2</v>
      </c>
      <c r="E233" s="1" t="str">
        <f>VLOOKUP(Tabella1[[#This Row],[test_id]],experiments_specs!A:J,5,FALSE)</f>
        <v>True</v>
      </c>
      <c r="F233" s="1" t="str">
        <f>VLOOKUP(Tabella1[[#This Row],[test_id]],experiments_specs!A:J,6,FALSE)</f>
        <v>True</v>
      </c>
      <c r="G233" s="1" t="str">
        <f>VLOOKUP(Tabella1[[#This Row],[test_id]],experiments_specs!A:J,7,FALSE)</f>
        <v>True</v>
      </c>
      <c r="H233" s="1" t="str">
        <f>VLOOKUP(Tabella1[[#This Row],[test_id]],experiments_specs!A:J,8,FALSE)</f>
        <v>False</v>
      </c>
      <c r="I233" s="1" t="str">
        <f>VLOOKUP(Tabella1[[#This Row],[test_id]],experiments_specs!A:J,9,FALSE)</f>
        <v>wup_similarity</v>
      </c>
      <c r="J233" s="1" t="str">
        <f>VLOOKUP(Tabella1[[#This Row],[test_id]],experiments_specs!A:J,10,FALSE)</f>
        <v>False</v>
      </c>
      <c r="K233" t="s">
        <v>17</v>
      </c>
      <c r="L233" t="s">
        <v>93</v>
      </c>
      <c r="M233" t="s">
        <v>94</v>
      </c>
      <c r="N233">
        <v>0.30769230769230771</v>
      </c>
      <c r="O233" t="s">
        <v>95</v>
      </c>
      <c r="P233" t="s">
        <v>94</v>
      </c>
      <c r="Q233" s="33">
        <v>0.30769230769230771</v>
      </c>
    </row>
    <row r="234" spans="1:17" ht="16" x14ac:dyDescent="0.2">
      <c r="A234" t="s">
        <v>164</v>
      </c>
      <c r="B234" s="1" t="str">
        <f>VLOOKUP(Tabella1[[#This Row],[test_id]],experiments_specs!A:J,2,FALSE)</f>
        <v>NN,RB</v>
      </c>
      <c r="C234" s="1">
        <f>VLOOKUP(Tabella1[[#This Row],[test_id]],experiments_specs!A:J,3,FALSE)</f>
        <v>1</v>
      </c>
      <c r="D234" s="1">
        <f>VLOOKUP(Tabella1[[#This Row],[test_id]],experiments_specs!A:J,4,FALSE)</f>
        <v>2</v>
      </c>
      <c r="E234" s="1" t="str">
        <f>VLOOKUP(Tabella1[[#This Row],[test_id]],experiments_specs!A:J,5,FALSE)</f>
        <v>True</v>
      </c>
      <c r="F234" s="1" t="str">
        <f>VLOOKUP(Tabella1[[#This Row],[test_id]],experiments_specs!A:J,6,FALSE)</f>
        <v>True</v>
      </c>
      <c r="G234" s="1" t="str">
        <f>VLOOKUP(Tabella1[[#This Row],[test_id]],experiments_specs!A:J,7,FALSE)</f>
        <v>True</v>
      </c>
      <c r="H234" s="1" t="str">
        <f>VLOOKUP(Tabella1[[#This Row],[test_id]],experiments_specs!A:J,8,FALSE)</f>
        <v>False</v>
      </c>
      <c r="I234" s="1" t="str">
        <f>VLOOKUP(Tabella1[[#This Row],[test_id]],experiments_specs!A:J,9,FALSE)</f>
        <v>wup_similarity</v>
      </c>
      <c r="J234" s="1" t="str">
        <f>VLOOKUP(Tabella1[[#This Row],[test_id]],experiments_specs!A:J,10,FALSE)</f>
        <v>False</v>
      </c>
      <c r="K234" t="s">
        <v>18</v>
      </c>
      <c r="L234" t="s">
        <v>96</v>
      </c>
      <c r="M234" t="s">
        <v>97</v>
      </c>
      <c r="N234">
        <v>0.21052631578947367</v>
      </c>
      <c r="O234" t="s">
        <v>98</v>
      </c>
      <c r="P234" t="s">
        <v>97</v>
      </c>
      <c r="Q234" s="33">
        <v>0.21052631578947367</v>
      </c>
    </row>
    <row r="235" spans="1:17" ht="16" x14ac:dyDescent="0.2">
      <c r="A235" t="s">
        <v>165</v>
      </c>
      <c r="B235" s="1" t="str">
        <f>VLOOKUP(Tabella1[[#This Row],[test_id]],experiments_specs!A:J,2,FALSE)</f>
        <v>NN,JJ,VB,VBD,VBG,VBN,VBP,VBZ</v>
      </c>
      <c r="C235" s="1">
        <f>VLOOKUP(Tabella1[[#This Row],[test_id]],experiments_specs!A:J,3,FALSE)</f>
        <v>1</v>
      </c>
      <c r="D235" s="1">
        <f>VLOOKUP(Tabella1[[#This Row],[test_id]],experiments_specs!A:J,4,FALSE)</f>
        <v>2</v>
      </c>
      <c r="E235" s="1" t="str">
        <f>VLOOKUP(Tabella1[[#This Row],[test_id]],experiments_specs!A:J,5,FALSE)</f>
        <v>True</v>
      </c>
      <c r="F235" s="1" t="str">
        <f>VLOOKUP(Tabella1[[#This Row],[test_id]],experiments_specs!A:J,6,FALSE)</f>
        <v>True</v>
      </c>
      <c r="G235" s="1" t="str">
        <f>VLOOKUP(Tabella1[[#This Row],[test_id]],experiments_specs!A:J,7,FALSE)</f>
        <v>True</v>
      </c>
      <c r="H235" s="1" t="str">
        <f>VLOOKUP(Tabella1[[#This Row],[test_id]],experiments_specs!A:J,8,FALSE)</f>
        <v>False</v>
      </c>
      <c r="I235" s="1" t="str">
        <f>VLOOKUP(Tabella1[[#This Row],[test_id]],experiments_specs!A:J,9,FALSE)</f>
        <v>wup_similarity</v>
      </c>
      <c r="J235" s="1" t="str">
        <f>VLOOKUP(Tabella1[[#This Row],[test_id]],experiments_specs!A:J,10,FALSE)</f>
        <v>False</v>
      </c>
      <c r="K235" t="s">
        <v>19</v>
      </c>
      <c r="L235" t="s">
        <v>59</v>
      </c>
      <c r="M235" t="s">
        <v>60</v>
      </c>
      <c r="N235">
        <v>0.17391304347826086</v>
      </c>
      <c r="O235" t="s">
        <v>49</v>
      </c>
      <c r="P235" t="s">
        <v>60</v>
      </c>
      <c r="Q235" s="33">
        <v>0.17391304347826086</v>
      </c>
    </row>
    <row r="236" spans="1:17" ht="16" x14ac:dyDescent="0.2">
      <c r="A236" t="s">
        <v>165</v>
      </c>
      <c r="B236" s="1" t="str">
        <f>VLOOKUP(Tabella1[[#This Row],[test_id]],experiments_specs!A:J,2,FALSE)</f>
        <v>NN,JJ,VB,VBD,VBG,VBN,VBP,VBZ</v>
      </c>
      <c r="C236" s="1">
        <f>VLOOKUP(Tabella1[[#This Row],[test_id]],experiments_specs!A:J,3,FALSE)</f>
        <v>1</v>
      </c>
      <c r="D236" s="1">
        <f>VLOOKUP(Tabella1[[#This Row],[test_id]],experiments_specs!A:J,4,FALSE)</f>
        <v>2</v>
      </c>
      <c r="E236" s="1" t="str">
        <f>VLOOKUP(Tabella1[[#This Row],[test_id]],experiments_specs!A:J,5,FALSE)</f>
        <v>True</v>
      </c>
      <c r="F236" s="1" t="str">
        <f>VLOOKUP(Tabella1[[#This Row],[test_id]],experiments_specs!A:J,6,FALSE)</f>
        <v>True</v>
      </c>
      <c r="G236" s="1" t="str">
        <f>VLOOKUP(Tabella1[[#This Row],[test_id]],experiments_specs!A:J,7,FALSE)</f>
        <v>True</v>
      </c>
      <c r="H236" s="1" t="str">
        <f>VLOOKUP(Tabella1[[#This Row],[test_id]],experiments_specs!A:J,8,FALSE)</f>
        <v>False</v>
      </c>
      <c r="I236" s="1" t="str">
        <f>VLOOKUP(Tabella1[[#This Row],[test_id]],experiments_specs!A:J,9,FALSE)</f>
        <v>wup_similarity</v>
      </c>
      <c r="J236" s="1" t="str">
        <f>VLOOKUP(Tabella1[[#This Row],[test_id]],experiments_specs!A:J,10,FALSE)</f>
        <v>False</v>
      </c>
      <c r="K236" t="s">
        <v>12</v>
      </c>
      <c r="L236" t="s">
        <v>24</v>
      </c>
      <c r="M236" t="s">
        <v>25</v>
      </c>
      <c r="N236">
        <v>0.42857142857142855</v>
      </c>
      <c r="O236" t="s">
        <v>115</v>
      </c>
      <c r="P236" t="s">
        <v>116</v>
      </c>
      <c r="Q236" s="33">
        <v>0.46153846153846156</v>
      </c>
    </row>
    <row r="237" spans="1:17" ht="16" x14ac:dyDescent="0.2">
      <c r="A237" t="s">
        <v>165</v>
      </c>
      <c r="B237" s="1" t="str">
        <f>VLOOKUP(Tabella1[[#This Row],[test_id]],experiments_specs!A:J,2,FALSE)</f>
        <v>NN,JJ,VB,VBD,VBG,VBN,VBP,VBZ</v>
      </c>
      <c r="C237" s="1">
        <f>VLOOKUP(Tabella1[[#This Row],[test_id]],experiments_specs!A:J,3,FALSE)</f>
        <v>1</v>
      </c>
      <c r="D237" s="1">
        <f>VLOOKUP(Tabella1[[#This Row],[test_id]],experiments_specs!A:J,4,FALSE)</f>
        <v>2</v>
      </c>
      <c r="E237" s="1" t="str">
        <f>VLOOKUP(Tabella1[[#This Row],[test_id]],experiments_specs!A:J,5,FALSE)</f>
        <v>True</v>
      </c>
      <c r="F237" s="1" t="str">
        <f>VLOOKUP(Tabella1[[#This Row],[test_id]],experiments_specs!A:J,6,FALSE)</f>
        <v>True</v>
      </c>
      <c r="G237" s="1" t="str">
        <f>VLOOKUP(Tabella1[[#This Row],[test_id]],experiments_specs!A:J,7,FALSE)</f>
        <v>True</v>
      </c>
      <c r="H237" s="1" t="str">
        <f>VLOOKUP(Tabella1[[#This Row],[test_id]],experiments_specs!A:J,8,FALSE)</f>
        <v>False</v>
      </c>
      <c r="I237" s="1" t="str">
        <f>VLOOKUP(Tabella1[[#This Row],[test_id]],experiments_specs!A:J,9,FALSE)</f>
        <v>wup_similarity</v>
      </c>
      <c r="J237" s="1" t="str">
        <f>VLOOKUP(Tabella1[[#This Row],[test_id]],experiments_specs!A:J,10,FALSE)</f>
        <v>False</v>
      </c>
      <c r="K237" t="s">
        <v>13</v>
      </c>
      <c r="L237" t="s">
        <v>82</v>
      </c>
      <c r="M237" t="s">
        <v>117</v>
      </c>
      <c r="N237">
        <v>0.4</v>
      </c>
      <c r="O237" t="s">
        <v>84</v>
      </c>
      <c r="P237" t="s">
        <v>85</v>
      </c>
      <c r="Q237" s="33" t="s">
        <v>29</v>
      </c>
    </row>
    <row r="238" spans="1:17" ht="16" x14ac:dyDescent="0.2">
      <c r="A238" t="s">
        <v>165</v>
      </c>
      <c r="B238" s="1" t="str">
        <f>VLOOKUP(Tabella1[[#This Row],[test_id]],experiments_specs!A:J,2,FALSE)</f>
        <v>NN,JJ,VB,VBD,VBG,VBN,VBP,VBZ</v>
      </c>
      <c r="C238" s="1">
        <f>VLOOKUP(Tabella1[[#This Row],[test_id]],experiments_specs!A:J,3,FALSE)</f>
        <v>1</v>
      </c>
      <c r="D238" s="1">
        <f>VLOOKUP(Tabella1[[#This Row],[test_id]],experiments_specs!A:J,4,FALSE)</f>
        <v>2</v>
      </c>
      <c r="E238" s="1" t="str">
        <f>VLOOKUP(Tabella1[[#This Row],[test_id]],experiments_specs!A:J,5,FALSE)</f>
        <v>True</v>
      </c>
      <c r="F238" s="1" t="str">
        <f>VLOOKUP(Tabella1[[#This Row],[test_id]],experiments_specs!A:J,6,FALSE)</f>
        <v>True</v>
      </c>
      <c r="G238" s="1" t="str">
        <f>VLOOKUP(Tabella1[[#This Row],[test_id]],experiments_specs!A:J,7,FALSE)</f>
        <v>True</v>
      </c>
      <c r="H238" s="1" t="str">
        <f>VLOOKUP(Tabella1[[#This Row],[test_id]],experiments_specs!A:J,8,FALSE)</f>
        <v>False</v>
      </c>
      <c r="I238" s="1" t="str">
        <f>VLOOKUP(Tabella1[[#This Row],[test_id]],experiments_specs!A:J,9,FALSE)</f>
        <v>wup_similarity</v>
      </c>
      <c r="J238" s="1" t="str">
        <f>VLOOKUP(Tabella1[[#This Row],[test_id]],experiments_specs!A:J,10,FALSE)</f>
        <v>False</v>
      </c>
      <c r="K238" t="s">
        <v>14</v>
      </c>
      <c r="L238" t="s">
        <v>86</v>
      </c>
      <c r="M238" t="s">
        <v>87</v>
      </c>
      <c r="N238">
        <v>0.33333333333333331</v>
      </c>
      <c r="O238" t="s">
        <v>88</v>
      </c>
      <c r="P238" t="s">
        <v>87</v>
      </c>
      <c r="Q238" s="33">
        <v>0.33333333333333331</v>
      </c>
    </row>
    <row r="239" spans="1:17" ht="16" x14ac:dyDescent="0.2">
      <c r="A239" t="s">
        <v>165</v>
      </c>
      <c r="B239" s="1" t="str">
        <f>VLOOKUP(Tabella1[[#This Row],[test_id]],experiments_specs!A:J,2,FALSE)</f>
        <v>NN,JJ,VB,VBD,VBG,VBN,VBP,VBZ</v>
      </c>
      <c r="C239" s="1">
        <f>VLOOKUP(Tabella1[[#This Row],[test_id]],experiments_specs!A:J,3,FALSE)</f>
        <v>1</v>
      </c>
      <c r="D239" s="1">
        <f>VLOOKUP(Tabella1[[#This Row],[test_id]],experiments_specs!A:J,4,FALSE)</f>
        <v>2</v>
      </c>
      <c r="E239" s="1" t="str">
        <f>VLOOKUP(Tabella1[[#This Row],[test_id]],experiments_specs!A:J,5,FALSE)</f>
        <v>True</v>
      </c>
      <c r="F239" s="1" t="str">
        <f>VLOOKUP(Tabella1[[#This Row],[test_id]],experiments_specs!A:J,6,FALSE)</f>
        <v>True</v>
      </c>
      <c r="G239" s="1" t="str">
        <f>VLOOKUP(Tabella1[[#This Row],[test_id]],experiments_specs!A:J,7,FALSE)</f>
        <v>True</v>
      </c>
      <c r="H239" s="1" t="str">
        <f>VLOOKUP(Tabella1[[#This Row],[test_id]],experiments_specs!A:J,8,FALSE)</f>
        <v>False</v>
      </c>
      <c r="I239" s="1" t="str">
        <f>VLOOKUP(Tabella1[[#This Row],[test_id]],experiments_specs!A:J,9,FALSE)</f>
        <v>wup_similarity</v>
      </c>
      <c r="J239" s="1" t="str">
        <f>VLOOKUP(Tabella1[[#This Row],[test_id]],experiments_specs!A:J,10,FALSE)</f>
        <v>False</v>
      </c>
      <c r="K239" t="s">
        <v>15</v>
      </c>
      <c r="L239" t="s">
        <v>34</v>
      </c>
      <c r="M239" t="s">
        <v>35</v>
      </c>
      <c r="N239">
        <v>0.16666666666666666</v>
      </c>
      <c r="O239" t="s">
        <v>57</v>
      </c>
      <c r="P239" t="s">
        <v>34</v>
      </c>
      <c r="Q239" s="33">
        <v>0.18181818181818182</v>
      </c>
    </row>
    <row r="240" spans="1:17" ht="16" x14ac:dyDescent="0.2">
      <c r="A240" t="s">
        <v>165</v>
      </c>
      <c r="B240" s="1" t="str">
        <f>VLOOKUP(Tabella1[[#This Row],[test_id]],experiments_specs!A:J,2,FALSE)</f>
        <v>NN,JJ,VB,VBD,VBG,VBN,VBP,VBZ</v>
      </c>
      <c r="C240" s="1">
        <f>VLOOKUP(Tabella1[[#This Row],[test_id]],experiments_specs!A:J,3,FALSE)</f>
        <v>1</v>
      </c>
      <c r="D240" s="1">
        <f>VLOOKUP(Tabella1[[#This Row],[test_id]],experiments_specs!A:J,4,FALSE)</f>
        <v>2</v>
      </c>
      <c r="E240" s="1" t="str">
        <f>VLOOKUP(Tabella1[[#This Row],[test_id]],experiments_specs!A:J,5,FALSE)</f>
        <v>True</v>
      </c>
      <c r="F240" s="1" t="str">
        <f>VLOOKUP(Tabella1[[#This Row],[test_id]],experiments_specs!A:J,6,FALSE)</f>
        <v>True</v>
      </c>
      <c r="G240" s="1" t="str">
        <f>VLOOKUP(Tabella1[[#This Row],[test_id]],experiments_specs!A:J,7,FALSE)</f>
        <v>True</v>
      </c>
      <c r="H240" s="1" t="str">
        <f>VLOOKUP(Tabella1[[#This Row],[test_id]],experiments_specs!A:J,8,FALSE)</f>
        <v>False</v>
      </c>
      <c r="I240" s="1" t="str">
        <f>VLOOKUP(Tabella1[[#This Row],[test_id]],experiments_specs!A:J,9,FALSE)</f>
        <v>wup_similarity</v>
      </c>
      <c r="J240" s="1" t="str">
        <f>VLOOKUP(Tabella1[[#This Row],[test_id]],experiments_specs!A:J,10,FALSE)</f>
        <v>False</v>
      </c>
      <c r="K240" t="s">
        <v>16</v>
      </c>
      <c r="L240" t="s">
        <v>90</v>
      </c>
      <c r="M240" t="s">
        <v>91</v>
      </c>
      <c r="N240">
        <v>0.22222222222222221</v>
      </c>
      <c r="O240" t="s">
        <v>92</v>
      </c>
      <c r="P240" t="s">
        <v>91</v>
      </c>
      <c r="Q240" s="33">
        <v>0.22222222222222221</v>
      </c>
    </row>
    <row r="241" spans="1:17" ht="16" x14ac:dyDescent="0.2">
      <c r="A241" t="s">
        <v>165</v>
      </c>
      <c r="B241" s="1" t="str">
        <f>VLOOKUP(Tabella1[[#This Row],[test_id]],experiments_specs!A:J,2,FALSE)</f>
        <v>NN,JJ,VB,VBD,VBG,VBN,VBP,VBZ</v>
      </c>
      <c r="C241" s="1">
        <f>VLOOKUP(Tabella1[[#This Row],[test_id]],experiments_specs!A:J,3,FALSE)</f>
        <v>1</v>
      </c>
      <c r="D241" s="1">
        <f>VLOOKUP(Tabella1[[#This Row],[test_id]],experiments_specs!A:J,4,FALSE)</f>
        <v>2</v>
      </c>
      <c r="E241" s="1" t="str">
        <f>VLOOKUP(Tabella1[[#This Row],[test_id]],experiments_specs!A:J,5,FALSE)</f>
        <v>True</v>
      </c>
      <c r="F241" s="1" t="str">
        <f>VLOOKUP(Tabella1[[#This Row],[test_id]],experiments_specs!A:J,6,FALSE)</f>
        <v>True</v>
      </c>
      <c r="G241" s="1" t="str">
        <f>VLOOKUP(Tabella1[[#This Row],[test_id]],experiments_specs!A:J,7,FALSE)</f>
        <v>True</v>
      </c>
      <c r="H241" s="1" t="str">
        <f>VLOOKUP(Tabella1[[#This Row],[test_id]],experiments_specs!A:J,8,FALSE)</f>
        <v>False</v>
      </c>
      <c r="I241" s="1" t="str">
        <f>VLOOKUP(Tabella1[[#This Row],[test_id]],experiments_specs!A:J,9,FALSE)</f>
        <v>wup_similarity</v>
      </c>
      <c r="J241" s="1" t="str">
        <f>VLOOKUP(Tabella1[[#This Row],[test_id]],experiments_specs!A:J,10,FALSE)</f>
        <v>False</v>
      </c>
      <c r="K241" t="s">
        <v>17</v>
      </c>
      <c r="L241" t="s">
        <v>80</v>
      </c>
      <c r="M241" t="s">
        <v>81</v>
      </c>
      <c r="N241">
        <v>0.22222222222222221</v>
      </c>
      <c r="O241" t="s">
        <v>80</v>
      </c>
      <c r="P241" t="s">
        <v>107</v>
      </c>
      <c r="Q241" s="33">
        <v>0.2</v>
      </c>
    </row>
    <row r="242" spans="1:17" ht="16" x14ac:dyDescent="0.2">
      <c r="A242" t="s">
        <v>165</v>
      </c>
      <c r="B242" s="1" t="str">
        <f>VLOOKUP(Tabella1[[#This Row],[test_id]],experiments_specs!A:J,2,FALSE)</f>
        <v>NN,JJ,VB,VBD,VBG,VBN,VBP,VBZ</v>
      </c>
      <c r="C242" s="1">
        <f>VLOOKUP(Tabella1[[#This Row],[test_id]],experiments_specs!A:J,3,FALSE)</f>
        <v>1</v>
      </c>
      <c r="D242" s="1">
        <f>VLOOKUP(Tabella1[[#This Row],[test_id]],experiments_specs!A:J,4,FALSE)</f>
        <v>2</v>
      </c>
      <c r="E242" s="1" t="str">
        <f>VLOOKUP(Tabella1[[#This Row],[test_id]],experiments_specs!A:J,5,FALSE)</f>
        <v>True</v>
      </c>
      <c r="F242" s="1" t="str">
        <f>VLOOKUP(Tabella1[[#This Row],[test_id]],experiments_specs!A:J,6,FALSE)</f>
        <v>True</v>
      </c>
      <c r="G242" s="1" t="str">
        <f>VLOOKUP(Tabella1[[#This Row],[test_id]],experiments_specs!A:J,7,FALSE)</f>
        <v>True</v>
      </c>
      <c r="H242" s="1" t="str">
        <f>VLOOKUP(Tabella1[[#This Row],[test_id]],experiments_specs!A:J,8,FALSE)</f>
        <v>False</v>
      </c>
      <c r="I242" s="1" t="str">
        <f>VLOOKUP(Tabella1[[#This Row],[test_id]],experiments_specs!A:J,9,FALSE)</f>
        <v>wup_similarity</v>
      </c>
      <c r="J242" s="1" t="str">
        <f>VLOOKUP(Tabella1[[#This Row],[test_id]],experiments_specs!A:J,10,FALSE)</f>
        <v>False</v>
      </c>
      <c r="K242" t="s">
        <v>18</v>
      </c>
      <c r="L242" t="s">
        <v>96</v>
      </c>
      <c r="M242" t="s">
        <v>97</v>
      </c>
      <c r="N242">
        <v>0.21052631578947367</v>
      </c>
      <c r="O242" t="s">
        <v>98</v>
      </c>
      <c r="P242" t="s">
        <v>97</v>
      </c>
      <c r="Q242" s="33">
        <v>0.21052631578947367</v>
      </c>
    </row>
    <row r="243" spans="1:17" ht="16" x14ac:dyDescent="0.2">
      <c r="A243" t="s">
        <v>166</v>
      </c>
      <c r="B243" s="1" t="str">
        <f>VLOOKUP(Tabella1[[#This Row],[test_id]],experiments_specs!A:J,2,FALSE)</f>
        <v>NN</v>
      </c>
      <c r="C243" s="1">
        <f>VLOOKUP(Tabella1[[#This Row],[test_id]],experiments_specs!A:J,3,FALSE)</f>
        <v>1</v>
      </c>
      <c r="D243" s="1">
        <f>VLOOKUP(Tabella1[[#This Row],[test_id]],experiments_specs!A:J,4,FALSE)</f>
        <v>2</v>
      </c>
      <c r="E243" s="1" t="str">
        <f>VLOOKUP(Tabella1[[#This Row],[test_id]],experiments_specs!A:J,5,FALSE)</f>
        <v>False</v>
      </c>
      <c r="F243" s="1" t="str">
        <f>VLOOKUP(Tabella1[[#This Row],[test_id]],experiments_specs!A:J,6,FALSE)</f>
        <v>True</v>
      </c>
      <c r="G243" s="1" t="str">
        <f>VLOOKUP(Tabella1[[#This Row],[test_id]],experiments_specs!A:J,7,FALSE)</f>
        <v>True</v>
      </c>
      <c r="H243" s="1" t="str">
        <f>VLOOKUP(Tabella1[[#This Row],[test_id]],experiments_specs!A:J,8,FALSE)</f>
        <v>False</v>
      </c>
      <c r="I243" s="1" t="str">
        <f>VLOOKUP(Tabella1[[#This Row],[test_id]],experiments_specs!A:J,9,FALSE)</f>
        <v>wup_similarity</v>
      </c>
      <c r="J243" s="1" t="str">
        <f>VLOOKUP(Tabella1[[#This Row],[test_id]],experiments_specs!A:J,10,FALSE)</f>
        <v>True</v>
      </c>
      <c r="K243" t="s">
        <v>19</v>
      </c>
      <c r="L243" t="s">
        <v>50</v>
      </c>
      <c r="M243" t="s">
        <v>49</v>
      </c>
      <c r="N243">
        <v>0.19047619047619047</v>
      </c>
      <c r="O243" t="s">
        <v>22</v>
      </c>
      <c r="P243" t="s">
        <v>23</v>
      </c>
      <c r="Q243" s="33">
        <v>9.5238095238095233E-2</v>
      </c>
    </row>
    <row r="244" spans="1:17" ht="16" x14ac:dyDescent="0.2">
      <c r="A244" t="s">
        <v>166</v>
      </c>
      <c r="B244" s="1" t="str">
        <f>VLOOKUP(Tabella1[[#This Row],[test_id]],experiments_specs!A:J,2,FALSE)</f>
        <v>NN</v>
      </c>
      <c r="C244" s="1">
        <f>VLOOKUP(Tabella1[[#This Row],[test_id]],experiments_specs!A:J,3,FALSE)</f>
        <v>1</v>
      </c>
      <c r="D244" s="1">
        <f>VLOOKUP(Tabella1[[#This Row],[test_id]],experiments_specs!A:J,4,FALSE)</f>
        <v>2</v>
      </c>
      <c r="E244" s="1" t="str">
        <f>VLOOKUP(Tabella1[[#This Row],[test_id]],experiments_specs!A:J,5,FALSE)</f>
        <v>False</v>
      </c>
      <c r="F244" s="1" t="str">
        <f>VLOOKUP(Tabella1[[#This Row],[test_id]],experiments_specs!A:J,6,FALSE)</f>
        <v>True</v>
      </c>
      <c r="G244" s="1" t="str">
        <f>VLOOKUP(Tabella1[[#This Row],[test_id]],experiments_specs!A:J,7,FALSE)</f>
        <v>True</v>
      </c>
      <c r="H244" s="1" t="str">
        <f>VLOOKUP(Tabella1[[#This Row],[test_id]],experiments_specs!A:J,8,FALSE)</f>
        <v>False</v>
      </c>
      <c r="I244" s="1" t="str">
        <f>VLOOKUP(Tabella1[[#This Row],[test_id]],experiments_specs!A:J,9,FALSE)</f>
        <v>wup_similarity</v>
      </c>
      <c r="J244" s="1" t="str">
        <f>VLOOKUP(Tabella1[[#This Row],[test_id]],experiments_specs!A:J,10,FALSE)</f>
        <v>True</v>
      </c>
      <c r="K244" t="s">
        <v>12</v>
      </c>
      <c r="L244" t="s">
        <v>51</v>
      </c>
      <c r="M244" t="s">
        <v>52</v>
      </c>
      <c r="N244">
        <v>0.42857142857142855</v>
      </c>
      <c r="O244" t="s">
        <v>53</v>
      </c>
      <c r="P244" t="s">
        <v>54</v>
      </c>
      <c r="Q244" s="33">
        <v>0.2857142857142857</v>
      </c>
    </row>
    <row r="245" spans="1:17" ht="16" x14ac:dyDescent="0.2">
      <c r="A245" t="s">
        <v>166</v>
      </c>
      <c r="B245" s="1" t="str">
        <f>VLOOKUP(Tabella1[[#This Row],[test_id]],experiments_specs!A:J,2,FALSE)</f>
        <v>NN</v>
      </c>
      <c r="C245" s="1">
        <f>VLOOKUP(Tabella1[[#This Row],[test_id]],experiments_specs!A:J,3,FALSE)</f>
        <v>1</v>
      </c>
      <c r="D245" s="1">
        <f>VLOOKUP(Tabella1[[#This Row],[test_id]],experiments_specs!A:J,4,FALSE)</f>
        <v>2</v>
      </c>
      <c r="E245" s="1" t="str">
        <f>VLOOKUP(Tabella1[[#This Row],[test_id]],experiments_specs!A:J,5,FALSE)</f>
        <v>False</v>
      </c>
      <c r="F245" s="1" t="str">
        <f>VLOOKUP(Tabella1[[#This Row],[test_id]],experiments_specs!A:J,6,FALSE)</f>
        <v>True</v>
      </c>
      <c r="G245" s="1" t="str">
        <f>VLOOKUP(Tabella1[[#This Row],[test_id]],experiments_specs!A:J,7,FALSE)</f>
        <v>True</v>
      </c>
      <c r="H245" s="1" t="str">
        <f>VLOOKUP(Tabella1[[#This Row],[test_id]],experiments_specs!A:J,8,FALSE)</f>
        <v>False</v>
      </c>
      <c r="I245" s="1" t="str">
        <f>VLOOKUP(Tabella1[[#This Row],[test_id]],experiments_specs!A:J,9,FALSE)</f>
        <v>wup_similarity</v>
      </c>
      <c r="J245" s="1" t="str">
        <f>VLOOKUP(Tabella1[[#This Row],[test_id]],experiments_specs!A:J,10,FALSE)</f>
        <v>True</v>
      </c>
      <c r="K245" t="s">
        <v>13</v>
      </c>
      <c r="L245" t="s">
        <v>27</v>
      </c>
      <c r="M245" t="s">
        <v>28</v>
      </c>
      <c r="N245" t="s">
        <v>29</v>
      </c>
      <c r="O245" t="s">
        <v>30</v>
      </c>
      <c r="P245" t="s">
        <v>28</v>
      </c>
      <c r="Q245" s="33" t="s">
        <v>29</v>
      </c>
    </row>
    <row r="246" spans="1:17" ht="16" x14ac:dyDescent="0.2">
      <c r="A246" t="s">
        <v>166</v>
      </c>
      <c r="B246" s="1" t="str">
        <f>VLOOKUP(Tabella1[[#This Row],[test_id]],experiments_specs!A:J,2,FALSE)</f>
        <v>NN</v>
      </c>
      <c r="C246" s="1">
        <f>VLOOKUP(Tabella1[[#This Row],[test_id]],experiments_specs!A:J,3,FALSE)</f>
        <v>1</v>
      </c>
      <c r="D246" s="1">
        <f>VLOOKUP(Tabella1[[#This Row],[test_id]],experiments_specs!A:J,4,FALSE)</f>
        <v>2</v>
      </c>
      <c r="E246" s="1" t="str">
        <f>VLOOKUP(Tabella1[[#This Row],[test_id]],experiments_specs!A:J,5,FALSE)</f>
        <v>False</v>
      </c>
      <c r="F246" s="1" t="str">
        <f>VLOOKUP(Tabella1[[#This Row],[test_id]],experiments_specs!A:J,6,FALSE)</f>
        <v>True</v>
      </c>
      <c r="G246" s="1" t="str">
        <f>VLOOKUP(Tabella1[[#This Row],[test_id]],experiments_specs!A:J,7,FALSE)</f>
        <v>True</v>
      </c>
      <c r="H246" s="1" t="str">
        <f>VLOOKUP(Tabella1[[#This Row],[test_id]],experiments_specs!A:J,8,FALSE)</f>
        <v>False</v>
      </c>
      <c r="I246" s="1" t="str">
        <f>VLOOKUP(Tabella1[[#This Row],[test_id]],experiments_specs!A:J,9,FALSE)</f>
        <v>wup_similarity</v>
      </c>
      <c r="J246" s="1" t="str">
        <f>VLOOKUP(Tabella1[[#This Row],[test_id]],experiments_specs!A:J,10,FALSE)</f>
        <v>True</v>
      </c>
      <c r="K246" t="s">
        <v>14</v>
      </c>
      <c r="L246" t="s">
        <v>31</v>
      </c>
      <c r="M246" t="s">
        <v>32</v>
      </c>
      <c r="N246">
        <v>0.14285714285714285</v>
      </c>
      <c r="O246" t="s">
        <v>55</v>
      </c>
      <c r="P246" t="s">
        <v>56</v>
      </c>
      <c r="Q246" s="33">
        <v>0.125</v>
      </c>
    </row>
    <row r="247" spans="1:17" ht="16" x14ac:dyDescent="0.2">
      <c r="A247" t="s">
        <v>166</v>
      </c>
      <c r="B247" s="1" t="str">
        <f>VLOOKUP(Tabella1[[#This Row],[test_id]],experiments_specs!A:J,2,FALSE)</f>
        <v>NN</v>
      </c>
      <c r="C247" s="1">
        <f>VLOOKUP(Tabella1[[#This Row],[test_id]],experiments_specs!A:J,3,FALSE)</f>
        <v>1</v>
      </c>
      <c r="D247" s="1">
        <f>VLOOKUP(Tabella1[[#This Row],[test_id]],experiments_specs!A:J,4,FALSE)</f>
        <v>2</v>
      </c>
      <c r="E247" s="1" t="str">
        <f>VLOOKUP(Tabella1[[#This Row],[test_id]],experiments_specs!A:J,5,FALSE)</f>
        <v>False</v>
      </c>
      <c r="F247" s="1" t="str">
        <f>VLOOKUP(Tabella1[[#This Row],[test_id]],experiments_specs!A:J,6,FALSE)</f>
        <v>True</v>
      </c>
      <c r="G247" s="1" t="str">
        <f>VLOOKUP(Tabella1[[#This Row],[test_id]],experiments_specs!A:J,7,FALSE)</f>
        <v>True</v>
      </c>
      <c r="H247" s="1" t="str">
        <f>VLOOKUP(Tabella1[[#This Row],[test_id]],experiments_specs!A:J,8,FALSE)</f>
        <v>False</v>
      </c>
      <c r="I247" s="1" t="str">
        <f>VLOOKUP(Tabella1[[#This Row],[test_id]],experiments_specs!A:J,9,FALSE)</f>
        <v>wup_similarity</v>
      </c>
      <c r="J247" s="1" t="str">
        <f>VLOOKUP(Tabella1[[#This Row],[test_id]],experiments_specs!A:J,10,FALSE)</f>
        <v>True</v>
      </c>
      <c r="K247" t="s">
        <v>15</v>
      </c>
      <c r="L247" t="s">
        <v>34</v>
      </c>
      <c r="M247" t="s">
        <v>35</v>
      </c>
      <c r="N247">
        <v>0.16666666666666666</v>
      </c>
      <c r="O247" t="s">
        <v>57</v>
      </c>
      <c r="P247" t="s">
        <v>34</v>
      </c>
      <c r="Q247" s="33">
        <v>0.18181818181818182</v>
      </c>
    </row>
    <row r="248" spans="1:17" ht="16" x14ac:dyDescent="0.2">
      <c r="A248" t="s">
        <v>166</v>
      </c>
      <c r="B248" s="1" t="str">
        <f>VLOOKUP(Tabella1[[#This Row],[test_id]],experiments_specs!A:J,2,FALSE)</f>
        <v>NN</v>
      </c>
      <c r="C248" s="1">
        <f>VLOOKUP(Tabella1[[#This Row],[test_id]],experiments_specs!A:J,3,FALSE)</f>
        <v>1</v>
      </c>
      <c r="D248" s="1">
        <f>VLOOKUP(Tabella1[[#This Row],[test_id]],experiments_specs!A:J,4,FALSE)</f>
        <v>2</v>
      </c>
      <c r="E248" s="1" t="str">
        <f>VLOOKUP(Tabella1[[#This Row],[test_id]],experiments_specs!A:J,5,FALSE)</f>
        <v>False</v>
      </c>
      <c r="F248" s="1" t="str">
        <f>VLOOKUP(Tabella1[[#This Row],[test_id]],experiments_specs!A:J,6,FALSE)</f>
        <v>True</v>
      </c>
      <c r="G248" s="1" t="str">
        <f>VLOOKUP(Tabella1[[#This Row],[test_id]],experiments_specs!A:J,7,FALSE)</f>
        <v>True</v>
      </c>
      <c r="H248" s="1" t="str">
        <f>VLOOKUP(Tabella1[[#This Row],[test_id]],experiments_specs!A:J,8,FALSE)</f>
        <v>False</v>
      </c>
      <c r="I248" s="1" t="str">
        <f>VLOOKUP(Tabella1[[#This Row],[test_id]],experiments_specs!A:J,9,FALSE)</f>
        <v>wup_similarity</v>
      </c>
      <c r="J248" s="1" t="str">
        <f>VLOOKUP(Tabella1[[#This Row],[test_id]],experiments_specs!A:J,10,FALSE)</f>
        <v>True</v>
      </c>
      <c r="K248" t="s">
        <v>16</v>
      </c>
      <c r="L248" t="s">
        <v>38</v>
      </c>
      <c r="M248" t="s">
        <v>39</v>
      </c>
      <c r="N248">
        <v>0.55555555555555558</v>
      </c>
      <c r="O248" t="s">
        <v>40</v>
      </c>
      <c r="P248" t="s">
        <v>58</v>
      </c>
      <c r="Q248" s="33">
        <v>0.13333333333333333</v>
      </c>
    </row>
    <row r="249" spans="1:17" ht="16" x14ac:dyDescent="0.2">
      <c r="A249" t="s">
        <v>166</v>
      </c>
      <c r="B249" s="1" t="str">
        <f>VLOOKUP(Tabella1[[#This Row],[test_id]],experiments_specs!A:J,2,FALSE)</f>
        <v>NN</v>
      </c>
      <c r="C249" s="1">
        <f>VLOOKUP(Tabella1[[#This Row],[test_id]],experiments_specs!A:J,3,FALSE)</f>
        <v>1</v>
      </c>
      <c r="D249" s="1">
        <f>VLOOKUP(Tabella1[[#This Row],[test_id]],experiments_specs!A:J,4,FALSE)</f>
        <v>2</v>
      </c>
      <c r="E249" s="1" t="str">
        <f>VLOOKUP(Tabella1[[#This Row],[test_id]],experiments_specs!A:J,5,FALSE)</f>
        <v>False</v>
      </c>
      <c r="F249" s="1" t="str">
        <f>VLOOKUP(Tabella1[[#This Row],[test_id]],experiments_specs!A:J,6,FALSE)</f>
        <v>True</v>
      </c>
      <c r="G249" s="1" t="str">
        <f>VLOOKUP(Tabella1[[#This Row],[test_id]],experiments_specs!A:J,7,FALSE)</f>
        <v>True</v>
      </c>
      <c r="H249" s="1" t="str">
        <f>VLOOKUP(Tabella1[[#This Row],[test_id]],experiments_specs!A:J,8,FALSE)</f>
        <v>False</v>
      </c>
      <c r="I249" s="1" t="str">
        <f>VLOOKUP(Tabella1[[#This Row],[test_id]],experiments_specs!A:J,9,FALSE)</f>
        <v>wup_similarity</v>
      </c>
      <c r="J249" s="1" t="str">
        <f>VLOOKUP(Tabella1[[#This Row],[test_id]],experiments_specs!A:J,10,FALSE)</f>
        <v>True</v>
      </c>
      <c r="K249" t="s">
        <v>17</v>
      </c>
      <c r="L249" t="s">
        <v>42</v>
      </c>
      <c r="M249" t="s">
        <v>43</v>
      </c>
      <c r="N249">
        <v>0.13333333333333333</v>
      </c>
      <c r="O249" t="s">
        <v>44</v>
      </c>
      <c r="P249" t="s">
        <v>45</v>
      </c>
      <c r="Q249" s="33">
        <v>0.33333333333333331</v>
      </c>
    </row>
    <row r="250" spans="1:17" ht="16" x14ac:dyDescent="0.2">
      <c r="A250" t="s">
        <v>166</v>
      </c>
      <c r="B250" s="1" t="str">
        <f>VLOOKUP(Tabella1[[#This Row],[test_id]],experiments_specs!A:J,2,FALSE)</f>
        <v>NN</v>
      </c>
      <c r="C250" s="1">
        <f>VLOOKUP(Tabella1[[#This Row],[test_id]],experiments_specs!A:J,3,FALSE)</f>
        <v>1</v>
      </c>
      <c r="D250" s="1">
        <f>VLOOKUP(Tabella1[[#This Row],[test_id]],experiments_specs!A:J,4,FALSE)</f>
        <v>2</v>
      </c>
      <c r="E250" s="1" t="str">
        <f>VLOOKUP(Tabella1[[#This Row],[test_id]],experiments_specs!A:J,5,FALSE)</f>
        <v>False</v>
      </c>
      <c r="F250" s="1" t="str">
        <f>VLOOKUP(Tabella1[[#This Row],[test_id]],experiments_specs!A:J,6,FALSE)</f>
        <v>True</v>
      </c>
      <c r="G250" s="1" t="str">
        <f>VLOOKUP(Tabella1[[#This Row],[test_id]],experiments_specs!A:J,7,FALSE)</f>
        <v>True</v>
      </c>
      <c r="H250" s="1" t="str">
        <f>VLOOKUP(Tabella1[[#This Row],[test_id]],experiments_specs!A:J,8,FALSE)</f>
        <v>False</v>
      </c>
      <c r="I250" s="1" t="str">
        <f>VLOOKUP(Tabella1[[#This Row],[test_id]],experiments_specs!A:J,9,FALSE)</f>
        <v>wup_similarity</v>
      </c>
      <c r="J250" s="1" t="str">
        <f>VLOOKUP(Tabella1[[#This Row],[test_id]],experiments_specs!A:J,10,FALSE)</f>
        <v>True</v>
      </c>
      <c r="K250" t="s">
        <v>18</v>
      </c>
      <c r="L250" t="s">
        <v>46</v>
      </c>
      <c r="M250" t="s">
        <v>47</v>
      </c>
      <c r="N250">
        <v>0.21052631578947367</v>
      </c>
      <c r="O250" t="s">
        <v>48</v>
      </c>
      <c r="P250" t="s">
        <v>47</v>
      </c>
      <c r="Q250" s="33">
        <v>0.21052631578947367</v>
      </c>
    </row>
    <row r="251" spans="1:17" ht="16" x14ac:dyDescent="0.2">
      <c r="A251" t="s">
        <v>167</v>
      </c>
      <c r="B251" s="1" t="str">
        <f>VLOOKUP(Tabella1[[#This Row],[test_id]],experiments_specs!A:J,2,FALSE)</f>
        <v>NN,JJ</v>
      </c>
      <c r="C251" s="1">
        <f>VLOOKUP(Tabella1[[#This Row],[test_id]],experiments_specs!A:J,3,FALSE)</f>
        <v>1</v>
      </c>
      <c r="D251" s="1">
        <f>VLOOKUP(Tabella1[[#This Row],[test_id]],experiments_specs!A:J,4,FALSE)</f>
        <v>2</v>
      </c>
      <c r="E251" s="1" t="str">
        <f>VLOOKUP(Tabella1[[#This Row],[test_id]],experiments_specs!A:J,5,FALSE)</f>
        <v>True</v>
      </c>
      <c r="F251" s="1" t="str">
        <f>VLOOKUP(Tabella1[[#This Row],[test_id]],experiments_specs!A:J,6,FALSE)</f>
        <v>True</v>
      </c>
      <c r="G251" s="1" t="str">
        <f>VLOOKUP(Tabella1[[#This Row],[test_id]],experiments_specs!A:J,7,FALSE)</f>
        <v>True</v>
      </c>
      <c r="H251" s="1" t="str">
        <f>VLOOKUP(Tabella1[[#This Row],[test_id]],experiments_specs!A:J,8,FALSE)</f>
        <v>False</v>
      </c>
      <c r="I251" s="1" t="str">
        <f>VLOOKUP(Tabella1[[#This Row],[test_id]],experiments_specs!A:J,9,FALSE)</f>
        <v>wup_similarity</v>
      </c>
      <c r="J251" s="1" t="str">
        <f>VLOOKUP(Tabella1[[#This Row],[test_id]],experiments_specs!A:J,10,FALSE)</f>
        <v>True</v>
      </c>
      <c r="K251" t="s">
        <v>19</v>
      </c>
      <c r="L251" t="s">
        <v>59</v>
      </c>
      <c r="M251" t="s">
        <v>60</v>
      </c>
      <c r="N251">
        <v>0.17391304347826086</v>
      </c>
      <c r="O251" t="s">
        <v>49</v>
      </c>
      <c r="P251" t="s">
        <v>60</v>
      </c>
      <c r="Q251" s="33">
        <v>0.17391304347826086</v>
      </c>
    </row>
    <row r="252" spans="1:17" ht="16" x14ac:dyDescent="0.2">
      <c r="A252" t="s">
        <v>167</v>
      </c>
      <c r="B252" s="1" t="str">
        <f>VLOOKUP(Tabella1[[#This Row],[test_id]],experiments_specs!A:J,2,FALSE)</f>
        <v>NN,JJ</v>
      </c>
      <c r="C252" s="1">
        <f>VLOOKUP(Tabella1[[#This Row],[test_id]],experiments_specs!A:J,3,FALSE)</f>
        <v>1</v>
      </c>
      <c r="D252" s="1">
        <f>VLOOKUP(Tabella1[[#This Row],[test_id]],experiments_specs!A:J,4,FALSE)</f>
        <v>2</v>
      </c>
      <c r="E252" s="1" t="str">
        <f>VLOOKUP(Tabella1[[#This Row],[test_id]],experiments_specs!A:J,5,FALSE)</f>
        <v>True</v>
      </c>
      <c r="F252" s="1" t="str">
        <f>VLOOKUP(Tabella1[[#This Row],[test_id]],experiments_specs!A:J,6,FALSE)</f>
        <v>True</v>
      </c>
      <c r="G252" s="1" t="str">
        <f>VLOOKUP(Tabella1[[#This Row],[test_id]],experiments_specs!A:J,7,FALSE)</f>
        <v>True</v>
      </c>
      <c r="H252" s="1" t="str">
        <f>VLOOKUP(Tabella1[[#This Row],[test_id]],experiments_specs!A:J,8,FALSE)</f>
        <v>False</v>
      </c>
      <c r="I252" s="1" t="str">
        <f>VLOOKUP(Tabella1[[#This Row],[test_id]],experiments_specs!A:J,9,FALSE)</f>
        <v>wup_similarity</v>
      </c>
      <c r="J252" s="1" t="str">
        <f>VLOOKUP(Tabella1[[#This Row],[test_id]],experiments_specs!A:J,10,FALSE)</f>
        <v>True</v>
      </c>
      <c r="K252" t="s">
        <v>12</v>
      </c>
      <c r="L252" t="s">
        <v>24</v>
      </c>
      <c r="M252" t="s">
        <v>25</v>
      </c>
      <c r="N252">
        <v>0.42857142857142855</v>
      </c>
      <c r="O252" t="s">
        <v>115</v>
      </c>
      <c r="P252" t="s">
        <v>116</v>
      </c>
      <c r="Q252" s="33">
        <v>0.46153846153846156</v>
      </c>
    </row>
    <row r="253" spans="1:17" ht="16" x14ac:dyDescent="0.2">
      <c r="A253" t="s">
        <v>167</v>
      </c>
      <c r="B253" s="1" t="str">
        <f>VLOOKUP(Tabella1[[#This Row],[test_id]],experiments_specs!A:J,2,FALSE)</f>
        <v>NN,JJ</v>
      </c>
      <c r="C253" s="1">
        <f>VLOOKUP(Tabella1[[#This Row],[test_id]],experiments_specs!A:J,3,FALSE)</f>
        <v>1</v>
      </c>
      <c r="D253" s="1">
        <f>VLOOKUP(Tabella1[[#This Row],[test_id]],experiments_specs!A:J,4,FALSE)</f>
        <v>2</v>
      </c>
      <c r="E253" s="1" t="str">
        <f>VLOOKUP(Tabella1[[#This Row],[test_id]],experiments_specs!A:J,5,FALSE)</f>
        <v>True</v>
      </c>
      <c r="F253" s="1" t="str">
        <f>VLOOKUP(Tabella1[[#This Row],[test_id]],experiments_specs!A:J,6,FALSE)</f>
        <v>True</v>
      </c>
      <c r="G253" s="1" t="str">
        <f>VLOOKUP(Tabella1[[#This Row],[test_id]],experiments_specs!A:J,7,FALSE)</f>
        <v>True</v>
      </c>
      <c r="H253" s="1" t="str">
        <f>VLOOKUP(Tabella1[[#This Row],[test_id]],experiments_specs!A:J,8,FALSE)</f>
        <v>False</v>
      </c>
      <c r="I253" s="1" t="str">
        <f>VLOOKUP(Tabella1[[#This Row],[test_id]],experiments_specs!A:J,9,FALSE)</f>
        <v>wup_similarity</v>
      </c>
      <c r="J253" s="1" t="str">
        <f>VLOOKUP(Tabella1[[#This Row],[test_id]],experiments_specs!A:J,10,FALSE)</f>
        <v>True</v>
      </c>
      <c r="K253" t="s">
        <v>13</v>
      </c>
      <c r="L253" t="s">
        <v>101</v>
      </c>
      <c r="M253" t="s">
        <v>102</v>
      </c>
      <c r="N253" t="s">
        <v>29</v>
      </c>
      <c r="O253" t="s">
        <v>84</v>
      </c>
      <c r="P253" t="s">
        <v>85</v>
      </c>
      <c r="Q253" s="33" t="s">
        <v>29</v>
      </c>
    </row>
    <row r="254" spans="1:17" ht="16" x14ac:dyDescent="0.2">
      <c r="A254" t="s">
        <v>167</v>
      </c>
      <c r="B254" s="1" t="str">
        <f>VLOOKUP(Tabella1[[#This Row],[test_id]],experiments_specs!A:J,2,FALSE)</f>
        <v>NN,JJ</v>
      </c>
      <c r="C254" s="1">
        <f>VLOOKUP(Tabella1[[#This Row],[test_id]],experiments_specs!A:J,3,FALSE)</f>
        <v>1</v>
      </c>
      <c r="D254" s="1">
        <f>VLOOKUP(Tabella1[[#This Row],[test_id]],experiments_specs!A:J,4,FALSE)</f>
        <v>2</v>
      </c>
      <c r="E254" s="1" t="str">
        <f>VLOOKUP(Tabella1[[#This Row],[test_id]],experiments_specs!A:J,5,FALSE)</f>
        <v>True</v>
      </c>
      <c r="F254" s="1" t="str">
        <f>VLOOKUP(Tabella1[[#This Row],[test_id]],experiments_specs!A:J,6,FALSE)</f>
        <v>True</v>
      </c>
      <c r="G254" s="1" t="str">
        <f>VLOOKUP(Tabella1[[#This Row],[test_id]],experiments_specs!A:J,7,FALSE)</f>
        <v>True</v>
      </c>
      <c r="H254" s="1" t="str">
        <f>VLOOKUP(Tabella1[[#This Row],[test_id]],experiments_specs!A:J,8,FALSE)</f>
        <v>False</v>
      </c>
      <c r="I254" s="1" t="str">
        <f>VLOOKUP(Tabella1[[#This Row],[test_id]],experiments_specs!A:J,9,FALSE)</f>
        <v>wup_similarity</v>
      </c>
      <c r="J254" s="1" t="str">
        <f>VLOOKUP(Tabella1[[#This Row],[test_id]],experiments_specs!A:J,10,FALSE)</f>
        <v>True</v>
      </c>
      <c r="K254" t="s">
        <v>14</v>
      </c>
      <c r="L254" t="s">
        <v>86</v>
      </c>
      <c r="M254" t="s">
        <v>87</v>
      </c>
      <c r="N254">
        <v>0.33333333333333331</v>
      </c>
      <c r="O254" t="s">
        <v>88</v>
      </c>
      <c r="P254" t="s">
        <v>87</v>
      </c>
      <c r="Q254" s="33">
        <v>0.33333333333333331</v>
      </c>
    </row>
    <row r="255" spans="1:17" ht="16" x14ac:dyDescent="0.2">
      <c r="A255" t="s">
        <v>167</v>
      </c>
      <c r="B255" s="1" t="str">
        <f>VLOOKUP(Tabella1[[#This Row],[test_id]],experiments_specs!A:J,2,FALSE)</f>
        <v>NN,JJ</v>
      </c>
      <c r="C255" s="1">
        <f>VLOOKUP(Tabella1[[#This Row],[test_id]],experiments_specs!A:J,3,FALSE)</f>
        <v>1</v>
      </c>
      <c r="D255" s="1">
        <f>VLOOKUP(Tabella1[[#This Row],[test_id]],experiments_specs!A:J,4,FALSE)</f>
        <v>2</v>
      </c>
      <c r="E255" s="1" t="str">
        <f>VLOOKUP(Tabella1[[#This Row],[test_id]],experiments_specs!A:J,5,FALSE)</f>
        <v>True</v>
      </c>
      <c r="F255" s="1" t="str">
        <f>VLOOKUP(Tabella1[[#This Row],[test_id]],experiments_specs!A:J,6,FALSE)</f>
        <v>True</v>
      </c>
      <c r="G255" s="1" t="str">
        <f>VLOOKUP(Tabella1[[#This Row],[test_id]],experiments_specs!A:J,7,FALSE)</f>
        <v>True</v>
      </c>
      <c r="H255" s="1" t="str">
        <f>VLOOKUP(Tabella1[[#This Row],[test_id]],experiments_specs!A:J,8,FALSE)</f>
        <v>False</v>
      </c>
      <c r="I255" s="1" t="str">
        <f>VLOOKUP(Tabella1[[#This Row],[test_id]],experiments_specs!A:J,9,FALSE)</f>
        <v>wup_similarity</v>
      </c>
      <c r="J255" s="1" t="str">
        <f>VLOOKUP(Tabella1[[#This Row],[test_id]],experiments_specs!A:J,10,FALSE)</f>
        <v>True</v>
      </c>
      <c r="K255" t="s">
        <v>15</v>
      </c>
      <c r="L255" t="s">
        <v>34</v>
      </c>
      <c r="M255" t="s">
        <v>35</v>
      </c>
      <c r="N255">
        <v>0.16666666666666666</v>
      </c>
      <c r="O255" t="s">
        <v>57</v>
      </c>
      <c r="P255" t="s">
        <v>34</v>
      </c>
      <c r="Q255" s="33">
        <v>0.18181818181818182</v>
      </c>
    </row>
    <row r="256" spans="1:17" ht="16" x14ac:dyDescent="0.2">
      <c r="A256" t="s">
        <v>167</v>
      </c>
      <c r="B256" s="1" t="str">
        <f>VLOOKUP(Tabella1[[#This Row],[test_id]],experiments_specs!A:J,2,FALSE)</f>
        <v>NN,JJ</v>
      </c>
      <c r="C256" s="1">
        <f>VLOOKUP(Tabella1[[#This Row],[test_id]],experiments_specs!A:J,3,FALSE)</f>
        <v>1</v>
      </c>
      <c r="D256" s="1">
        <f>VLOOKUP(Tabella1[[#This Row],[test_id]],experiments_specs!A:J,4,FALSE)</f>
        <v>2</v>
      </c>
      <c r="E256" s="1" t="str">
        <f>VLOOKUP(Tabella1[[#This Row],[test_id]],experiments_specs!A:J,5,FALSE)</f>
        <v>True</v>
      </c>
      <c r="F256" s="1" t="str">
        <f>VLOOKUP(Tabella1[[#This Row],[test_id]],experiments_specs!A:J,6,FALSE)</f>
        <v>True</v>
      </c>
      <c r="G256" s="1" t="str">
        <f>VLOOKUP(Tabella1[[#This Row],[test_id]],experiments_specs!A:J,7,FALSE)</f>
        <v>True</v>
      </c>
      <c r="H256" s="1" t="str">
        <f>VLOOKUP(Tabella1[[#This Row],[test_id]],experiments_specs!A:J,8,FALSE)</f>
        <v>False</v>
      </c>
      <c r="I256" s="1" t="str">
        <f>VLOOKUP(Tabella1[[#This Row],[test_id]],experiments_specs!A:J,9,FALSE)</f>
        <v>wup_similarity</v>
      </c>
      <c r="J256" s="1" t="str">
        <f>VLOOKUP(Tabella1[[#This Row],[test_id]],experiments_specs!A:J,10,FALSE)</f>
        <v>True</v>
      </c>
      <c r="K256" t="s">
        <v>16</v>
      </c>
      <c r="L256" t="s">
        <v>90</v>
      </c>
      <c r="M256" t="s">
        <v>91</v>
      </c>
      <c r="N256">
        <v>0.22222222222222221</v>
      </c>
      <c r="O256" t="s">
        <v>92</v>
      </c>
      <c r="P256" t="s">
        <v>91</v>
      </c>
      <c r="Q256" s="33">
        <v>0.22222222222222221</v>
      </c>
    </row>
    <row r="257" spans="1:17" ht="16" x14ac:dyDescent="0.2">
      <c r="A257" t="s">
        <v>167</v>
      </c>
      <c r="B257" s="1" t="str">
        <f>VLOOKUP(Tabella1[[#This Row],[test_id]],experiments_specs!A:J,2,FALSE)</f>
        <v>NN,JJ</v>
      </c>
      <c r="C257" s="1">
        <f>VLOOKUP(Tabella1[[#This Row],[test_id]],experiments_specs!A:J,3,FALSE)</f>
        <v>1</v>
      </c>
      <c r="D257" s="1">
        <f>VLOOKUP(Tabella1[[#This Row],[test_id]],experiments_specs!A:J,4,FALSE)</f>
        <v>2</v>
      </c>
      <c r="E257" s="1" t="str">
        <f>VLOOKUP(Tabella1[[#This Row],[test_id]],experiments_specs!A:J,5,FALSE)</f>
        <v>True</v>
      </c>
      <c r="F257" s="1" t="str">
        <f>VLOOKUP(Tabella1[[#This Row],[test_id]],experiments_specs!A:J,6,FALSE)</f>
        <v>True</v>
      </c>
      <c r="G257" s="1" t="str">
        <f>VLOOKUP(Tabella1[[#This Row],[test_id]],experiments_specs!A:J,7,FALSE)</f>
        <v>True</v>
      </c>
      <c r="H257" s="1" t="str">
        <f>VLOOKUP(Tabella1[[#This Row],[test_id]],experiments_specs!A:J,8,FALSE)</f>
        <v>False</v>
      </c>
      <c r="I257" s="1" t="str">
        <f>VLOOKUP(Tabella1[[#This Row],[test_id]],experiments_specs!A:J,9,FALSE)</f>
        <v>wup_similarity</v>
      </c>
      <c r="J257" s="1" t="str">
        <f>VLOOKUP(Tabella1[[#This Row],[test_id]],experiments_specs!A:J,10,FALSE)</f>
        <v>True</v>
      </c>
      <c r="K257" t="s">
        <v>17</v>
      </c>
      <c r="L257" t="s">
        <v>93</v>
      </c>
      <c r="M257" t="s">
        <v>94</v>
      </c>
      <c r="N257">
        <v>0.30769230769230771</v>
      </c>
      <c r="O257" t="s">
        <v>95</v>
      </c>
      <c r="P257" t="s">
        <v>94</v>
      </c>
      <c r="Q257" s="33">
        <v>0.30769230769230771</v>
      </c>
    </row>
    <row r="258" spans="1:17" ht="16" x14ac:dyDescent="0.2">
      <c r="A258" t="s">
        <v>167</v>
      </c>
      <c r="B258" s="1" t="str">
        <f>VLOOKUP(Tabella1[[#This Row],[test_id]],experiments_specs!A:J,2,FALSE)</f>
        <v>NN,JJ</v>
      </c>
      <c r="C258" s="1">
        <f>VLOOKUP(Tabella1[[#This Row],[test_id]],experiments_specs!A:J,3,FALSE)</f>
        <v>1</v>
      </c>
      <c r="D258" s="1">
        <f>VLOOKUP(Tabella1[[#This Row],[test_id]],experiments_specs!A:J,4,FALSE)</f>
        <v>2</v>
      </c>
      <c r="E258" s="1" t="str">
        <f>VLOOKUP(Tabella1[[#This Row],[test_id]],experiments_specs!A:J,5,FALSE)</f>
        <v>True</v>
      </c>
      <c r="F258" s="1" t="str">
        <f>VLOOKUP(Tabella1[[#This Row],[test_id]],experiments_specs!A:J,6,FALSE)</f>
        <v>True</v>
      </c>
      <c r="G258" s="1" t="str">
        <f>VLOOKUP(Tabella1[[#This Row],[test_id]],experiments_specs!A:J,7,FALSE)</f>
        <v>True</v>
      </c>
      <c r="H258" s="1" t="str">
        <f>VLOOKUP(Tabella1[[#This Row],[test_id]],experiments_specs!A:J,8,FALSE)</f>
        <v>False</v>
      </c>
      <c r="I258" s="1" t="str">
        <f>VLOOKUP(Tabella1[[#This Row],[test_id]],experiments_specs!A:J,9,FALSE)</f>
        <v>wup_similarity</v>
      </c>
      <c r="J258" s="1" t="str">
        <f>VLOOKUP(Tabella1[[#This Row],[test_id]],experiments_specs!A:J,10,FALSE)</f>
        <v>True</v>
      </c>
      <c r="K258" t="s">
        <v>18</v>
      </c>
      <c r="L258" t="s">
        <v>96</v>
      </c>
      <c r="M258" t="s">
        <v>97</v>
      </c>
      <c r="N258">
        <v>0.21052631578947367</v>
      </c>
      <c r="O258" t="s">
        <v>98</v>
      </c>
      <c r="P258" t="s">
        <v>97</v>
      </c>
      <c r="Q258" s="33">
        <v>0.21052631578947367</v>
      </c>
    </row>
    <row r="259" spans="1:17" ht="16" x14ac:dyDescent="0.2">
      <c r="A259" t="s">
        <v>168</v>
      </c>
      <c r="B259" s="1" t="str">
        <f>VLOOKUP(Tabella1[[#This Row],[test_id]],experiments_specs!A:J,2,FALSE)</f>
        <v>NN,VB</v>
      </c>
      <c r="C259" s="1">
        <f>VLOOKUP(Tabella1[[#This Row],[test_id]],experiments_specs!A:J,3,FALSE)</f>
        <v>1</v>
      </c>
      <c r="D259" s="1">
        <f>VLOOKUP(Tabella1[[#This Row],[test_id]],experiments_specs!A:J,4,FALSE)</f>
        <v>2</v>
      </c>
      <c r="E259" s="1" t="str">
        <f>VLOOKUP(Tabella1[[#This Row],[test_id]],experiments_specs!A:J,5,FALSE)</f>
        <v>True</v>
      </c>
      <c r="F259" s="1" t="str">
        <f>VLOOKUP(Tabella1[[#This Row],[test_id]],experiments_specs!A:J,6,FALSE)</f>
        <v>True</v>
      </c>
      <c r="G259" s="1" t="str">
        <f>VLOOKUP(Tabella1[[#This Row],[test_id]],experiments_specs!A:J,7,FALSE)</f>
        <v>True</v>
      </c>
      <c r="H259" s="1" t="str">
        <f>VLOOKUP(Tabella1[[#This Row],[test_id]],experiments_specs!A:J,8,FALSE)</f>
        <v>False</v>
      </c>
      <c r="I259" s="1" t="str">
        <f>VLOOKUP(Tabella1[[#This Row],[test_id]],experiments_specs!A:J,9,FALSE)</f>
        <v>wup_similarity</v>
      </c>
      <c r="J259" s="1" t="str">
        <f>VLOOKUP(Tabella1[[#This Row],[test_id]],experiments_specs!A:J,10,FALSE)</f>
        <v>True</v>
      </c>
      <c r="K259" t="s">
        <v>19</v>
      </c>
      <c r="L259" t="s">
        <v>50</v>
      </c>
      <c r="M259" t="s">
        <v>49</v>
      </c>
      <c r="N259">
        <v>0.19047619047619047</v>
      </c>
      <c r="O259" t="s">
        <v>99</v>
      </c>
      <c r="P259" t="s">
        <v>49</v>
      </c>
      <c r="Q259" s="33">
        <v>0.19047619047619047</v>
      </c>
    </row>
    <row r="260" spans="1:17" ht="16" x14ac:dyDescent="0.2">
      <c r="A260" t="s">
        <v>168</v>
      </c>
      <c r="B260" s="1" t="str">
        <f>VLOOKUP(Tabella1[[#This Row],[test_id]],experiments_specs!A:J,2,FALSE)</f>
        <v>NN,VB</v>
      </c>
      <c r="C260" s="1">
        <f>VLOOKUP(Tabella1[[#This Row],[test_id]],experiments_specs!A:J,3,FALSE)</f>
        <v>1</v>
      </c>
      <c r="D260" s="1">
        <f>VLOOKUP(Tabella1[[#This Row],[test_id]],experiments_specs!A:J,4,FALSE)</f>
        <v>2</v>
      </c>
      <c r="E260" s="1" t="str">
        <f>VLOOKUP(Tabella1[[#This Row],[test_id]],experiments_specs!A:J,5,FALSE)</f>
        <v>True</v>
      </c>
      <c r="F260" s="1" t="str">
        <f>VLOOKUP(Tabella1[[#This Row],[test_id]],experiments_specs!A:J,6,FALSE)</f>
        <v>True</v>
      </c>
      <c r="G260" s="1" t="str">
        <f>VLOOKUP(Tabella1[[#This Row],[test_id]],experiments_specs!A:J,7,FALSE)</f>
        <v>True</v>
      </c>
      <c r="H260" s="1" t="str">
        <f>VLOOKUP(Tabella1[[#This Row],[test_id]],experiments_specs!A:J,8,FALSE)</f>
        <v>False</v>
      </c>
      <c r="I260" s="1" t="str">
        <f>VLOOKUP(Tabella1[[#This Row],[test_id]],experiments_specs!A:J,9,FALSE)</f>
        <v>wup_similarity</v>
      </c>
      <c r="J260" s="1" t="str">
        <f>VLOOKUP(Tabella1[[#This Row],[test_id]],experiments_specs!A:J,10,FALSE)</f>
        <v>True</v>
      </c>
      <c r="K260" t="s">
        <v>12</v>
      </c>
      <c r="L260" t="s">
        <v>24</v>
      </c>
      <c r="M260" t="s">
        <v>25</v>
      </c>
      <c r="N260">
        <v>0.42857142857142855</v>
      </c>
      <c r="O260" t="s">
        <v>115</v>
      </c>
      <c r="P260" t="s">
        <v>116</v>
      </c>
      <c r="Q260" s="33">
        <v>0.46153846153846156</v>
      </c>
    </row>
    <row r="261" spans="1:17" ht="16" x14ac:dyDescent="0.2">
      <c r="A261" t="s">
        <v>168</v>
      </c>
      <c r="B261" s="1" t="str">
        <f>VLOOKUP(Tabella1[[#This Row],[test_id]],experiments_specs!A:J,2,FALSE)</f>
        <v>NN,VB</v>
      </c>
      <c r="C261" s="1">
        <f>VLOOKUP(Tabella1[[#This Row],[test_id]],experiments_specs!A:J,3,FALSE)</f>
        <v>1</v>
      </c>
      <c r="D261" s="1">
        <f>VLOOKUP(Tabella1[[#This Row],[test_id]],experiments_specs!A:J,4,FALSE)</f>
        <v>2</v>
      </c>
      <c r="E261" s="1" t="str">
        <f>VLOOKUP(Tabella1[[#This Row],[test_id]],experiments_specs!A:J,5,FALSE)</f>
        <v>True</v>
      </c>
      <c r="F261" s="1" t="str">
        <f>VLOOKUP(Tabella1[[#This Row],[test_id]],experiments_specs!A:J,6,FALSE)</f>
        <v>True</v>
      </c>
      <c r="G261" s="1" t="str">
        <f>VLOOKUP(Tabella1[[#This Row],[test_id]],experiments_specs!A:J,7,FALSE)</f>
        <v>True</v>
      </c>
      <c r="H261" s="1" t="str">
        <f>VLOOKUP(Tabella1[[#This Row],[test_id]],experiments_specs!A:J,8,FALSE)</f>
        <v>False</v>
      </c>
      <c r="I261" s="1" t="str">
        <f>VLOOKUP(Tabella1[[#This Row],[test_id]],experiments_specs!A:J,9,FALSE)</f>
        <v>wup_similarity</v>
      </c>
      <c r="J261" s="1" t="str">
        <f>VLOOKUP(Tabella1[[#This Row],[test_id]],experiments_specs!A:J,10,FALSE)</f>
        <v>True</v>
      </c>
      <c r="K261" t="s">
        <v>13</v>
      </c>
      <c r="L261" t="s">
        <v>101</v>
      </c>
      <c r="M261" t="s">
        <v>102</v>
      </c>
      <c r="N261" t="s">
        <v>29</v>
      </c>
      <c r="O261" t="s">
        <v>120</v>
      </c>
      <c r="P261" t="s">
        <v>102</v>
      </c>
      <c r="Q261" s="33" t="s">
        <v>29</v>
      </c>
    </row>
    <row r="262" spans="1:17" ht="16" x14ac:dyDescent="0.2">
      <c r="A262" t="s">
        <v>168</v>
      </c>
      <c r="B262" s="1" t="str">
        <f>VLOOKUP(Tabella1[[#This Row],[test_id]],experiments_specs!A:J,2,FALSE)</f>
        <v>NN,VB</v>
      </c>
      <c r="C262" s="1">
        <f>VLOOKUP(Tabella1[[#This Row],[test_id]],experiments_specs!A:J,3,FALSE)</f>
        <v>1</v>
      </c>
      <c r="D262" s="1">
        <f>VLOOKUP(Tabella1[[#This Row],[test_id]],experiments_specs!A:J,4,FALSE)</f>
        <v>2</v>
      </c>
      <c r="E262" s="1" t="str">
        <f>VLOOKUP(Tabella1[[#This Row],[test_id]],experiments_specs!A:J,5,FALSE)</f>
        <v>True</v>
      </c>
      <c r="F262" s="1" t="str">
        <f>VLOOKUP(Tabella1[[#This Row],[test_id]],experiments_specs!A:J,6,FALSE)</f>
        <v>True</v>
      </c>
      <c r="G262" s="1" t="str">
        <f>VLOOKUP(Tabella1[[#This Row],[test_id]],experiments_specs!A:J,7,FALSE)</f>
        <v>True</v>
      </c>
      <c r="H262" s="1" t="str">
        <f>VLOOKUP(Tabella1[[#This Row],[test_id]],experiments_specs!A:J,8,FALSE)</f>
        <v>False</v>
      </c>
      <c r="I262" s="1" t="str">
        <f>VLOOKUP(Tabella1[[#This Row],[test_id]],experiments_specs!A:J,9,FALSE)</f>
        <v>wup_similarity</v>
      </c>
      <c r="J262" s="1" t="str">
        <f>VLOOKUP(Tabella1[[#This Row],[test_id]],experiments_specs!A:J,10,FALSE)</f>
        <v>True</v>
      </c>
      <c r="K262" t="s">
        <v>14</v>
      </c>
      <c r="L262" t="s">
        <v>86</v>
      </c>
      <c r="M262" t="s">
        <v>87</v>
      </c>
      <c r="N262">
        <v>0.33333333333333331</v>
      </c>
      <c r="O262" t="s">
        <v>88</v>
      </c>
      <c r="P262" t="s">
        <v>87</v>
      </c>
      <c r="Q262" s="33">
        <v>0.33333333333333331</v>
      </c>
    </row>
    <row r="263" spans="1:17" ht="16" x14ac:dyDescent="0.2">
      <c r="A263" t="s">
        <v>168</v>
      </c>
      <c r="B263" s="1" t="str">
        <f>VLOOKUP(Tabella1[[#This Row],[test_id]],experiments_specs!A:J,2,FALSE)</f>
        <v>NN,VB</v>
      </c>
      <c r="C263" s="1">
        <f>VLOOKUP(Tabella1[[#This Row],[test_id]],experiments_specs!A:J,3,FALSE)</f>
        <v>1</v>
      </c>
      <c r="D263" s="1">
        <f>VLOOKUP(Tabella1[[#This Row],[test_id]],experiments_specs!A:J,4,FALSE)</f>
        <v>2</v>
      </c>
      <c r="E263" s="1" t="str">
        <f>VLOOKUP(Tabella1[[#This Row],[test_id]],experiments_specs!A:J,5,FALSE)</f>
        <v>True</v>
      </c>
      <c r="F263" s="1" t="str">
        <f>VLOOKUP(Tabella1[[#This Row],[test_id]],experiments_specs!A:J,6,FALSE)</f>
        <v>True</v>
      </c>
      <c r="G263" s="1" t="str">
        <f>VLOOKUP(Tabella1[[#This Row],[test_id]],experiments_specs!A:J,7,FALSE)</f>
        <v>True</v>
      </c>
      <c r="H263" s="1" t="str">
        <f>VLOOKUP(Tabella1[[#This Row],[test_id]],experiments_specs!A:J,8,FALSE)</f>
        <v>False</v>
      </c>
      <c r="I263" s="1" t="str">
        <f>VLOOKUP(Tabella1[[#This Row],[test_id]],experiments_specs!A:J,9,FALSE)</f>
        <v>wup_similarity</v>
      </c>
      <c r="J263" s="1" t="str">
        <f>VLOOKUP(Tabella1[[#This Row],[test_id]],experiments_specs!A:J,10,FALSE)</f>
        <v>True</v>
      </c>
      <c r="K263" t="s">
        <v>15</v>
      </c>
      <c r="L263" t="s">
        <v>34</v>
      </c>
      <c r="M263" t="s">
        <v>35</v>
      </c>
      <c r="N263">
        <v>0.16666666666666666</v>
      </c>
      <c r="O263" t="s">
        <v>57</v>
      </c>
      <c r="P263" t="s">
        <v>34</v>
      </c>
      <c r="Q263" s="33">
        <v>0.18181818181818182</v>
      </c>
    </row>
    <row r="264" spans="1:17" ht="16" x14ac:dyDescent="0.2">
      <c r="A264" t="s">
        <v>168</v>
      </c>
      <c r="B264" s="1" t="str">
        <f>VLOOKUP(Tabella1[[#This Row],[test_id]],experiments_specs!A:J,2,FALSE)</f>
        <v>NN,VB</v>
      </c>
      <c r="C264" s="1">
        <f>VLOOKUP(Tabella1[[#This Row],[test_id]],experiments_specs!A:J,3,FALSE)</f>
        <v>1</v>
      </c>
      <c r="D264" s="1">
        <f>VLOOKUP(Tabella1[[#This Row],[test_id]],experiments_specs!A:J,4,FALSE)</f>
        <v>2</v>
      </c>
      <c r="E264" s="1" t="str">
        <f>VLOOKUP(Tabella1[[#This Row],[test_id]],experiments_specs!A:J,5,FALSE)</f>
        <v>True</v>
      </c>
      <c r="F264" s="1" t="str">
        <f>VLOOKUP(Tabella1[[#This Row],[test_id]],experiments_specs!A:J,6,FALSE)</f>
        <v>True</v>
      </c>
      <c r="G264" s="1" t="str">
        <f>VLOOKUP(Tabella1[[#This Row],[test_id]],experiments_specs!A:J,7,FALSE)</f>
        <v>True</v>
      </c>
      <c r="H264" s="1" t="str">
        <f>VLOOKUP(Tabella1[[#This Row],[test_id]],experiments_specs!A:J,8,FALSE)</f>
        <v>False</v>
      </c>
      <c r="I264" s="1" t="str">
        <f>VLOOKUP(Tabella1[[#This Row],[test_id]],experiments_specs!A:J,9,FALSE)</f>
        <v>wup_similarity</v>
      </c>
      <c r="J264" s="1" t="str">
        <f>VLOOKUP(Tabella1[[#This Row],[test_id]],experiments_specs!A:J,10,FALSE)</f>
        <v>True</v>
      </c>
      <c r="K264" t="s">
        <v>16</v>
      </c>
      <c r="L264" t="s">
        <v>90</v>
      </c>
      <c r="M264" t="s">
        <v>91</v>
      </c>
      <c r="N264">
        <v>0.22222222222222221</v>
      </c>
      <c r="O264" t="s">
        <v>92</v>
      </c>
      <c r="P264" t="s">
        <v>91</v>
      </c>
      <c r="Q264" s="33">
        <v>0.22222222222222221</v>
      </c>
    </row>
    <row r="265" spans="1:17" ht="16" x14ac:dyDescent="0.2">
      <c r="A265" t="s">
        <v>168</v>
      </c>
      <c r="B265" s="1" t="str">
        <f>VLOOKUP(Tabella1[[#This Row],[test_id]],experiments_specs!A:J,2,FALSE)</f>
        <v>NN,VB</v>
      </c>
      <c r="C265" s="1">
        <f>VLOOKUP(Tabella1[[#This Row],[test_id]],experiments_specs!A:J,3,FALSE)</f>
        <v>1</v>
      </c>
      <c r="D265" s="1">
        <f>VLOOKUP(Tabella1[[#This Row],[test_id]],experiments_specs!A:J,4,FALSE)</f>
        <v>2</v>
      </c>
      <c r="E265" s="1" t="str">
        <f>VLOOKUP(Tabella1[[#This Row],[test_id]],experiments_specs!A:J,5,FALSE)</f>
        <v>True</v>
      </c>
      <c r="F265" s="1" t="str">
        <f>VLOOKUP(Tabella1[[#This Row],[test_id]],experiments_specs!A:J,6,FALSE)</f>
        <v>True</v>
      </c>
      <c r="G265" s="1" t="str">
        <f>VLOOKUP(Tabella1[[#This Row],[test_id]],experiments_specs!A:J,7,FALSE)</f>
        <v>True</v>
      </c>
      <c r="H265" s="1" t="str">
        <f>VLOOKUP(Tabella1[[#This Row],[test_id]],experiments_specs!A:J,8,FALSE)</f>
        <v>False</v>
      </c>
      <c r="I265" s="1" t="str">
        <f>VLOOKUP(Tabella1[[#This Row],[test_id]],experiments_specs!A:J,9,FALSE)</f>
        <v>wup_similarity</v>
      </c>
      <c r="J265" s="1" t="str">
        <f>VLOOKUP(Tabella1[[#This Row],[test_id]],experiments_specs!A:J,10,FALSE)</f>
        <v>True</v>
      </c>
      <c r="K265" t="s">
        <v>17</v>
      </c>
      <c r="L265" t="s">
        <v>93</v>
      </c>
      <c r="M265" t="s">
        <v>94</v>
      </c>
      <c r="N265">
        <v>0.30769230769230771</v>
      </c>
      <c r="O265" t="s">
        <v>95</v>
      </c>
      <c r="P265" t="s">
        <v>94</v>
      </c>
      <c r="Q265" s="33">
        <v>0.30769230769230771</v>
      </c>
    </row>
    <row r="266" spans="1:17" ht="16" x14ac:dyDescent="0.2">
      <c r="A266" t="s">
        <v>168</v>
      </c>
      <c r="B266" s="1" t="str">
        <f>VLOOKUP(Tabella1[[#This Row],[test_id]],experiments_specs!A:J,2,FALSE)</f>
        <v>NN,VB</v>
      </c>
      <c r="C266" s="1">
        <f>VLOOKUP(Tabella1[[#This Row],[test_id]],experiments_specs!A:J,3,FALSE)</f>
        <v>1</v>
      </c>
      <c r="D266" s="1">
        <f>VLOOKUP(Tabella1[[#This Row],[test_id]],experiments_specs!A:J,4,FALSE)</f>
        <v>2</v>
      </c>
      <c r="E266" s="1" t="str">
        <f>VLOOKUP(Tabella1[[#This Row],[test_id]],experiments_specs!A:J,5,FALSE)</f>
        <v>True</v>
      </c>
      <c r="F266" s="1" t="str">
        <f>VLOOKUP(Tabella1[[#This Row],[test_id]],experiments_specs!A:J,6,FALSE)</f>
        <v>True</v>
      </c>
      <c r="G266" s="1" t="str">
        <f>VLOOKUP(Tabella1[[#This Row],[test_id]],experiments_specs!A:J,7,FALSE)</f>
        <v>True</v>
      </c>
      <c r="H266" s="1" t="str">
        <f>VLOOKUP(Tabella1[[#This Row],[test_id]],experiments_specs!A:J,8,FALSE)</f>
        <v>False</v>
      </c>
      <c r="I266" s="1" t="str">
        <f>VLOOKUP(Tabella1[[#This Row],[test_id]],experiments_specs!A:J,9,FALSE)</f>
        <v>wup_similarity</v>
      </c>
      <c r="J266" s="1" t="str">
        <f>VLOOKUP(Tabella1[[#This Row],[test_id]],experiments_specs!A:J,10,FALSE)</f>
        <v>True</v>
      </c>
      <c r="K266" t="s">
        <v>18</v>
      </c>
      <c r="L266" t="s">
        <v>96</v>
      </c>
      <c r="M266" t="s">
        <v>97</v>
      </c>
      <c r="N266">
        <v>0.21052631578947367</v>
      </c>
      <c r="O266" t="s">
        <v>98</v>
      </c>
      <c r="P266" t="s">
        <v>97</v>
      </c>
      <c r="Q266" s="33">
        <v>0.21052631578947367</v>
      </c>
    </row>
    <row r="267" spans="1:17" ht="16" x14ac:dyDescent="0.2">
      <c r="A267" t="s">
        <v>169</v>
      </c>
      <c r="B267" s="1" t="str">
        <f>VLOOKUP(Tabella1[[#This Row],[test_id]],experiments_specs!A:J,2,FALSE)</f>
        <v>NN,VB,VBD,VBG,VBN,VBP,VBZ</v>
      </c>
      <c r="C267" s="1">
        <f>VLOOKUP(Tabella1[[#This Row],[test_id]],experiments_specs!A:J,3,FALSE)</f>
        <v>1</v>
      </c>
      <c r="D267" s="1">
        <f>VLOOKUP(Tabella1[[#This Row],[test_id]],experiments_specs!A:J,4,FALSE)</f>
        <v>2</v>
      </c>
      <c r="E267" s="1" t="str">
        <f>VLOOKUP(Tabella1[[#This Row],[test_id]],experiments_specs!A:J,5,FALSE)</f>
        <v>True</v>
      </c>
      <c r="F267" s="1" t="str">
        <f>VLOOKUP(Tabella1[[#This Row],[test_id]],experiments_specs!A:J,6,FALSE)</f>
        <v>True</v>
      </c>
      <c r="G267" s="1" t="str">
        <f>VLOOKUP(Tabella1[[#This Row],[test_id]],experiments_specs!A:J,7,FALSE)</f>
        <v>True</v>
      </c>
      <c r="H267" s="1" t="str">
        <f>VLOOKUP(Tabella1[[#This Row],[test_id]],experiments_specs!A:J,8,FALSE)</f>
        <v>False</v>
      </c>
      <c r="I267" s="1" t="str">
        <f>VLOOKUP(Tabella1[[#This Row],[test_id]],experiments_specs!A:J,9,FALSE)</f>
        <v>wup_similarity</v>
      </c>
      <c r="J267" s="1" t="str">
        <f>VLOOKUP(Tabella1[[#This Row],[test_id]],experiments_specs!A:J,10,FALSE)</f>
        <v>True</v>
      </c>
      <c r="K267" t="s">
        <v>19</v>
      </c>
      <c r="L267" t="s">
        <v>50</v>
      </c>
      <c r="M267" t="s">
        <v>49</v>
      </c>
      <c r="N267">
        <v>0.19047619047619047</v>
      </c>
      <c r="O267" t="s">
        <v>99</v>
      </c>
      <c r="P267" t="s">
        <v>49</v>
      </c>
      <c r="Q267" s="33">
        <v>0.19047619047619047</v>
      </c>
    </row>
    <row r="268" spans="1:17" ht="16" x14ac:dyDescent="0.2">
      <c r="A268" t="s">
        <v>169</v>
      </c>
      <c r="B268" s="1" t="str">
        <f>VLOOKUP(Tabella1[[#This Row],[test_id]],experiments_specs!A:J,2,FALSE)</f>
        <v>NN,VB,VBD,VBG,VBN,VBP,VBZ</v>
      </c>
      <c r="C268" s="1">
        <f>VLOOKUP(Tabella1[[#This Row],[test_id]],experiments_specs!A:J,3,FALSE)</f>
        <v>1</v>
      </c>
      <c r="D268" s="1">
        <f>VLOOKUP(Tabella1[[#This Row],[test_id]],experiments_specs!A:J,4,FALSE)</f>
        <v>2</v>
      </c>
      <c r="E268" s="1" t="str">
        <f>VLOOKUP(Tabella1[[#This Row],[test_id]],experiments_specs!A:J,5,FALSE)</f>
        <v>True</v>
      </c>
      <c r="F268" s="1" t="str">
        <f>VLOOKUP(Tabella1[[#This Row],[test_id]],experiments_specs!A:J,6,FALSE)</f>
        <v>True</v>
      </c>
      <c r="G268" s="1" t="str">
        <f>VLOOKUP(Tabella1[[#This Row],[test_id]],experiments_specs!A:J,7,FALSE)</f>
        <v>True</v>
      </c>
      <c r="H268" s="1" t="str">
        <f>VLOOKUP(Tabella1[[#This Row],[test_id]],experiments_specs!A:J,8,FALSE)</f>
        <v>False</v>
      </c>
      <c r="I268" s="1" t="str">
        <f>VLOOKUP(Tabella1[[#This Row],[test_id]],experiments_specs!A:J,9,FALSE)</f>
        <v>wup_similarity</v>
      </c>
      <c r="J268" s="1" t="str">
        <f>VLOOKUP(Tabella1[[#This Row],[test_id]],experiments_specs!A:J,10,FALSE)</f>
        <v>True</v>
      </c>
      <c r="K268" t="s">
        <v>12</v>
      </c>
      <c r="L268" t="s">
        <v>24</v>
      </c>
      <c r="M268" t="s">
        <v>25</v>
      </c>
      <c r="N268">
        <v>0.42857142857142855</v>
      </c>
      <c r="O268" t="s">
        <v>115</v>
      </c>
      <c r="P268" t="s">
        <v>116</v>
      </c>
      <c r="Q268" s="33">
        <v>0.46153846153846156</v>
      </c>
    </row>
    <row r="269" spans="1:17" ht="16" x14ac:dyDescent="0.2">
      <c r="A269" t="s">
        <v>169</v>
      </c>
      <c r="B269" s="1" t="str">
        <f>VLOOKUP(Tabella1[[#This Row],[test_id]],experiments_specs!A:J,2,FALSE)</f>
        <v>NN,VB,VBD,VBG,VBN,VBP,VBZ</v>
      </c>
      <c r="C269" s="1">
        <f>VLOOKUP(Tabella1[[#This Row],[test_id]],experiments_specs!A:J,3,FALSE)</f>
        <v>1</v>
      </c>
      <c r="D269" s="1">
        <f>VLOOKUP(Tabella1[[#This Row],[test_id]],experiments_specs!A:J,4,FALSE)</f>
        <v>2</v>
      </c>
      <c r="E269" s="1" t="str">
        <f>VLOOKUP(Tabella1[[#This Row],[test_id]],experiments_specs!A:J,5,FALSE)</f>
        <v>True</v>
      </c>
      <c r="F269" s="1" t="str">
        <f>VLOOKUP(Tabella1[[#This Row],[test_id]],experiments_specs!A:J,6,FALSE)</f>
        <v>True</v>
      </c>
      <c r="G269" s="1" t="str">
        <f>VLOOKUP(Tabella1[[#This Row],[test_id]],experiments_specs!A:J,7,FALSE)</f>
        <v>True</v>
      </c>
      <c r="H269" s="1" t="str">
        <f>VLOOKUP(Tabella1[[#This Row],[test_id]],experiments_specs!A:J,8,FALSE)</f>
        <v>False</v>
      </c>
      <c r="I269" s="1" t="str">
        <f>VLOOKUP(Tabella1[[#This Row],[test_id]],experiments_specs!A:J,9,FALSE)</f>
        <v>wup_similarity</v>
      </c>
      <c r="J269" s="1" t="str">
        <f>VLOOKUP(Tabella1[[#This Row],[test_id]],experiments_specs!A:J,10,FALSE)</f>
        <v>True</v>
      </c>
      <c r="K269" t="s">
        <v>13</v>
      </c>
      <c r="L269" t="s">
        <v>101</v>
      </c>
      <c r="M269" t="s">
        <v>102</v>
      </c>
      <c r="N269" t="s">
        <v>29</v>
      </c>
      <c r="O269" t="s">
        <v>120</v>
      </c>
      <c r="P269" t="s">
        <v>102</v>
      </c>
      <c r="Q269" s="33" t="s">
        <v>29</v>
      </c>
    </row>
    <row r="270" spans="1:17" ht="16" x14ac:dyDescent="0.2">
      <c r="A270" t="s">
        <v>169</v>
      </c>
      <c r="B270" s="1" t="str">
        <f>VLOOKUP(Tabella1[[#This Row],[test_id]],experiments_specs!A:J,2,FALSE)</f>
        <v>NN,VB,VBD,VBG,VBN,VBP,VBZ</v>
      </c>
      <c r="C270" s="1">
        <f>VLOOKUP(Tabella1[[#This Row],[test_id]],experiments_specs!A:J,3,FALSE)</f>
        <v>1</v>
      </c>
      <c r="D270" s="1">
        <f>VLOOKUP(Tabella1[[#This Row],[test_id]],experiments_specs!A:J,4,FALSE)</f>
        <v>2</v>
      </c>
      <c r="E270" s="1" t="str">
        <f>VLOOKUP(Tabella1[[#This Row],[test_id]],experiments_specs!A:J,5,FALSE)</f>
        <v>True</v>
      </c>
      <c r="F270" s="1" t="str">
        <f>VLOOKUP(Tabella1[[#This Row],[test_id]],experiments_specs!A:J,6,FALSE)</f>
        <v>True</v>
      </c>
      <c r="G270" s="1" t="str">
        <f>VLOOKUP(Tabella1[[#This Row],[test_id]],experiments_specs!A:J,7,FALSE)</f>
        <v>True</v>
      </c>
      <c r="H270" s="1" t="str">
        <f>VLOOKUP(Tabella1[[#This Row],[test_id]],experiments_specs!A:J,8,FALSE)</f>
        <v>False</v>
      </c>
      <c r="I270" s="1" t="str">
        <f>VLOOKUP(Tabella1[[#This Row],[test_id]],experiments_specs!A:J,9,FALSE)</f>
        <v>wup_similarity</v>
      </c>
      <c r="J270" s="1" t="str">
        <f>VLOOKUP(Tabella1[[#This Row],[test_id]],experiments_specs!A:J,10,FALSE)</f>
        <v>True</v>
      </c>
      <c r="K270" t="s">
        <v>14</v>
      </c>
      <c r="L270" t="s">
        <v>86</v>
      </c>
      <c r="M270" t="s">
        <v>87</v>
      </c>
      <c r="N270">
        <v>0.33333333333333331</v>
      </c>
      <c r="O270" t="s">
        <v>88</v>
      </c>
      <c r="P270" t="s">
        <v>87</v>
      </c>
      <c r="Q270" s="33">
        <v>0.33333333333333331</v>
      </c>
    </row>
    <row r="271" spans="1:17" ht="16" x14ac:dyDescent="0.2">
      <c r="A271" t="s">
        <v>169</v>
      </c>
      <c r="B271" s="1" t="str">
        <f>VLOOKUP(Tabella1[[#This Row],[test_id]],experiments_specs!A:J,2,FALSE)</f>
        <v>NN,VB,VBD,VBG,VBN,VBP,VBZ</v>
      </c>
      <c r="C271" s="1">
        <f>VLOOKUP(Tabella1[[#This Row],[test_id]],experiments_specs!A:J,3,FALSE)</f>
        <v>1</v>
      </c>
      <c r="D271" s="1">
        <f>VLOOKUP(Tabella1[[#This Row],[test_id]],experiments_specs!A:J,4,FALSE)</f>
        <v>2</v>
      </c>
      <c r="E271" s="1" t="str">
        <f>VLOOKUP(Tabella1[[#This Row],[test_id]],experiments_specs!A:J,5,FALSE)</f>
        <v>True</v>
      </c>
      <c r="F271" s="1" t="str">
        <f>VLOOKUP(Tabella1[[#This Row],[test_id]],experiments_specs!A:J,6,FALSE)</f>
        <v>True</v>
      </c>
      <c r="G271" s="1" t="str">
        <f>VLOOKUP(Tabella1[[#This Row],[test_id]],experiments_specs!A:J,7,FALSE)</f>
        <v>True</v>
      </c>
      <c r="H271" s="1" t="str">
        <f>VLOOKUP(Tabella1[[#This Row],[test_id]],experiments_specs!A:J,8,FALSE)</f>
        <v>False</v>
      </c>
      <c r="I271" s="1" t="str">
        <f>VLOOKUP(Tabella1[[#This Row],[test_id]],experiments_specs!A:J,9,FALSE)</f>
        <v>wup_similarity</v>
      </c>
      <c r="J271" s="1" t="str">
        <f>VLOOKUP(Tabella1[[#This Row],[test_id]],experiments_specs!A:J,10,FALSE)</f>
        <v>True</v>
      </c>
      <c r="K271" t="s">
        <v>15</v>
      </c>
      <c r="L271" t="s">
        <v>34</v>
      </c>
      <c r="M271" t="s">
        <v>35</v>
      </c>
      <c r="N271">
        <v>0.16666666666666666</v>
      </c>
      <c r="O271" t="s">
        <v>57</v>
      </c>
      <c r="P271" t="s">
        <v>34</v>
      </c>
      <c r="Q271" s="33">
        <v>0.18181818181818182</v>
      </c>
    </row>
    <row r="272" spans="1:17" ht="16" x14ac:dyDescent="0.2">
      <c r="A272" t="s">
        <v>169</v>
      </c>
      <c r="B272" s="1" t="str">
        <f>VLOOKUP(Tabella1[[#This Row],[test_id]],experiments_specs!A:J,2,FALSE)</f>
        <v>NN,VB,VBD,VBG,VBN,VBP,VBZ</v>
      </c>
      <c r="C272" s="1">
        <f>VLOOKUP(Tabella1[[#This Row],[test_id]],experiments_specs!A:J,3,FALSE)</f>
        <v>1</v>
      </c>
      <c r="D272" s="1">
        <f>VLOOKUP(Tabella1[[#This Row],[test_id]],experiments_specs!A:J,4,FALSE)</f>
        <v>2</v>
      </c>
      <c r="E272" s="1" t="str">
        <f>VLOOKUP(Tabella1[[#This Row],[test_id]],experiments_specs!A:J,5,FALSE)</f>
        <v>True</v>
      </c>
      <c r="F272" s="1" t="str">
        <f>VLOOKUP(Tabella1[[#This Row],[test_id]],experiments_specs!A:J,6,FALSE)</f>
        <v>True</v>
      </c>
      <c r="G272" s="1" t="str">
        <f>VLOOKUP(Tabella1[[#This Row],[test_id]],experiments_specs!A:J,7,FALSE)</f>
        <v>True</v>
      </c>
      <c r="H272" s="1" t="str">
        <f>VLOOKUP(Tabella1[[#This Row],[test_id]],experiments_specs!A:J,8,FALSE)</f>
        <v>False</v>
      </c>
      <c r="I272" s="1" t="str">
        <f>VLOOKUP(Tabella1[[#This Row],[test_id]],experiments_specs!A:J,9,FALSE)</f>
        <v>wup_similarity</v>
      </c>
      <c r="J272" s="1" t="str">
        <f>VLOOKUP(Tabella1[[#This Row],[test_id]],experiments_specs!A:J,10,FALSE)</f>
        <v>True</v>
      </c>
      <c r="K272" t="s">
        <v>16</v>
      </c>
      <c r="L272" t="s">
        <v>90</v>
      </c>
      <c r="M272" t="s">
        <v>91</v>
      </c>
      <c r="N272">
        <v>0.22222222222222221</v>
      </c>
      <c r="O272" t="s">
        <v>92</v>
      </c>
      <c r="P272" t="s">
        <v>91</v>
      </c>
      <c r="Q272" s="33">
        <v>0.22222222222222221</v>
      </c>
    </row>
    <row r="273" spans="1:17" ht="16" x14ac:dyDescent="0.2">
      <c r="A273" t="s">
        <v>169</v>
      </c>
      <c r="B273" s="1" t="str">
        <f>VLOOKUP(Tabella1[[#This Row],[test_id]],experiments_specs!A:J,2,FALSE)</f>
        <v>NN,VB,VBD,VBG,VBN,VBP,VBZ</v>
      </c>
      <c r="C273" s="1">
        <f>VLOOKUP(Tabella1[[#This Row],[test_id]],experiments_specs!A:J,3,FALSE)</f>
        <v>1</v>
      </c>
      <c r="D273" s="1">
        <f>VLOOKUP(Tabella1[[#This Row],[test_id]],experiments_specs!A:J,4,FALSE)</f>
        <v>2</v>
      </c>
      <c r="E273" s="1" t="str">
        <f>VLOOKUP(Tabella1[[#This Row],[test_id]],experiments_specs!A:J,5,FALSE)</f>
        <v>True</v>
      </c>
      <c r="F273" s="1" t="str">
        <f>VLOOKUP(Tabella1[[#This Row],[test_id]],experiments_specs!A:J,6,FALSE)</f>
        <v>True</v>
      </c>
      <c r="G273" s="1" t="str">
        <f>VLOOKUP(Tabella1[[#This Row],[test_id]],experiments_specs!A:J,7,FALSE)</f>
        <v>True</v>
      </c>
      <c r="H273" s="1" t="str">
        <f>VLOOKUP(Tabella1[[#This Row],[test_id]],experiments_specs!A:J,8,FALSE)</f>
        <v>False</v>
      </c>
      <c r="I273" s="1" t="str">
        <f>VLOOKUP(Tabella1[[#This Row],[test_id]],experiments_specs!A:J,9,FALSE)</f>
        <v>wup_similarity</v>
      </c>
      <c r="J273" s="1" t="str">
        <f>VLOOKUP(Tabella1[[#This Row],[test_id]],experiments_specs!A:J,10,FALSE)</f>
        <v>True</v>
      </c>
      <c r="K273" t="s">
        <v>17</v>
      </c>
      <c r="L273" t="s">
        <v>93</v>
      </c>
      <c r="M273" t="s">
        <v>94</v>
      </c>
      <c r="N273">
        <v>0.30769230769230771</v>
      </c>
      <c r="O273" t="s">
        <v>95</v>
      </c>
      <c r="P273" t="s">
        <v>94</v>
      </c>
      <c r="Q273" s="33">
        <v>0.30769230769230771</v>
      </c>
    </row>
    <row r="274" spans="1:17" ht="16" x14ac:dyDescent="0.2">
      <c r="A274" t="s">
        <v>169</v>
      </c>
      <c r="B274" s="1" t="str">
        <f>VLOOKUP(Tabella1[[#This Row],[test_id]],experiments_specs!A:J,2,FALSE)</f>
        <v>NN,VB,VBD,VBG,VBN,VBP,VBZ</v>
      </c>
      <c r="C274" s="1">
        <f>VLOOKUP(Tabella1[[#This Row],[test_id]],experiments_specs!A:J,3,FALSE)</f>
        <v>1</v>
      </c>
      <c r="D274" s="1">
        <f>VLOOKUP(Tabella1[[#This Row],[test_id]],experiments_specs!A:J,4,FALSE)</f>
        <v>2</v>
      </c>
      <c r="E274" s="1" t="str">
        <f>VLOOKUP(Tabella1[[#This Row],[test_id]],experiments_specs!A:J,5,FALSE)</f>
        <v>True</v>
      </c>
      <c r="F274" s="1" t="str">
        <f>VLOOKUP(Tabella1[[#This Row],[test_id]],experiments_specs!A:J,6,FALSE)</f>
        <v>True</v>
      </c>
      <c r="G274" s="1" t="str">
        <f>VLOOKUP(Tabella1[[#This Row],[test_id]],experiments_specs!A:J,7,FALSE)</f>
        <v>True</v>
      </c>
      <c r="H274" s="1" t="str">
        <f>VLOOKUP(Tabella1[[#This Row],[test_id]],experiments_specs!A:J,8,FALSE)</f>
        <v>False</v>
      </c>
      <c r="I274" s="1" t="str">
        <f>VLOOKUP(Tabella1[[#This Row],[test_id]],experiments_specs!A:J,9,FALSE)</f>
        <v>wup_similarity</v>
      </c>
      <c r="J274" s="1" t="str">
        <f>VLOOKUP(Tabella1[[#This Row],[test_id]],experiments_specs!A:J,10,FALSE)</f>
        <v>True</v>
      </c>
      <c r="K274" t="s">
        <v>18</v>
      </c>
      <c r="L274" t="s">
        <v>96</v>
      </c>
      <c r="M274" t="s">
        <v>97</v>
      </c>
      <c r="N274">
        <v>0.21052631578947367</v>
      </c>
      <c r="O274" t="s">
        <v>98</v>
      </c>
      <c r="P274" t="s">
        <v>97</v>
      </c>
      <c r="Q274" s="33">
        <v>0.21052631578947367</v>
      </c>
    </row>
    <row r="275" spans="1:17" ht="16" x14ac:dyDescent="0.2">
      <c r="A275" t="s">
        <v>170</v>
      </c>
      <c r="B275" s="1" t="str">
        <f>VLOOKUP(Tabella1[[#This Row],[test_id]],experiments_specs!A:J,2,FALSE)</f>
        <v>NN,RB</v>
      </c>
      <c r="C275" s="1">
        <f>VLOOKUP(Tabella1[[#This Row],[test_id]],experiments_specs!A:J,3,FALSE)</f>
        <v>1</v>
      </c>
      <c r="D275" s="1">
        <f>VLOOKUP(Tabella1[[#This Row],[test_id]],experiments_specs!A:J,4,FALSE)</f>
        <v>2</v>
      </c>
      <c r="E275" s="1" t="str">
        <f>VLOOKUP(Tabella1[[#This Row],[test_id]],experiments_specs!A:J,5,FALSE)</f>
        <v>True</v>
      </c>
      <c r="F275" s="1" t="str">
        <f>VLOOKUP(Tabella1[[#This Row],[test_id]],experiments_specs!A:J,6,FALSE)</f>
        <v>True</v>
      </c>
      <c r="G275" s="1" t="str">
        <f>VLOOKUP(Tabella1[[#This Row],[test_id]],experiments_specs!A:J,7,FALSE)</f>
        <v>True</v>
      </c>
      <c r="H275" s="1" t="str">
        <f>VLOOKUP(Tabella1[[#This Row],[test_id]],experiments_specs!A:J,8,FALSE)</f>
        <v>False</v>
      </c>
      <c r="I275" s="1" t="str">
        <f>VLOOKUP(Tabella1[[#This Row],[test_id]],experiments_specs!A:J,9,FALSE)</f>
        <v>wup_similarity</v>
      </c>
      <c r="J275" s="1" t="str">
        <f>VLOOKUP(Tabella1[[#This Row],[test_id]],experiments_specs!A:J,10,FALSE)</f>
        <v>True</v>
      </c>
      <c r="K275" t="s">
        <v>19</v>
      </c>
      <c r="L275" t="s">
        <v>50</v>
      </c>
      <c r="M275" t="s">
        <v>49</v>
      </c>
      <c r="N275">
        <v>0.19047619047619047</v>
      </c>
      <c r="O275" t="s">
        <v>99</v>
      </c>
      <c r="P275" t="s">
        <v>49</v>
      </c>
      <c r="Q275" s="33">
        <v>0.19047619047619047</v>
      </c>
    </row>
    <row r="276" spans="1:17" ht="16" x14ac:dyDescent="0.2">
      <c r="A276" t="s">
        <v>170</v>
      </c>
      <c r="B276" s="1" t="str">
        <f>VLOOKUP(Tabella1[[#This Row],[test_id]],experiments_specs!A:J,2,FALSE)</f>
        <v>NN,RB</v>
      </c>
      <c r="C276" s="1">
        <f>VLOOKUP(Tabella1[[#This Row],[test_id]],experiments_specs!A:J,3,FALSE)</f>
        <v>1</v>
      </c>
      <c r="D276" s="1">
        <f>VLOOKUP(Tabella1[[#This Row],[test_id]],experiments_specs!A:J,4,FALSE)</f>
        <v>2</v>
      </c>
      <c r="E276" s="1" t="str">
        <f>VLOOKUP(Tabella1[[#This Row],[test_id]],experiments_specs!A:J,5,FALSE)</f>
        <v>True</v>
      </c>
      <c r="F276" s="1" t="str">
        <f>VLOOKUP(Tabella1[[#This Row],[test_id]],experiments_specs!A:J,6,FALSE)</f>
        <v>True</v>
      </c>
      <c r="G276" s="1" t="str">
        <f>VLOOKUP(Tabella1[[#This Row],[test_id]],experiments_specs!A:J,7,FALSE)</f>
        <v>True</v>
      </c>
      <c r="H276" s="1" t="str">
        <f>VLOOKUP(Tabella1[[#This Row],[test_id]],experiments_specs!A:J,8,FALSE)</f>
        <v>False</v>
      </c>
      <c r="I276" s="1" t="str">
        <f>VLOOKUP(Tabella1[[#This Row],[test_id]],experiments_specs!A:J,9,FALSE)</f>
        <v>wup_similarity</v>
      </c>
      <c r="J276" s="1" t="str">
        <f>VLOOKUP(Tabella1[[#This Row],[test_id]],experiments_specs!A:J,10,FALSE)</f>
        <v>True</v>
      </c>
      <c r="K276" t="s">
        <v>12</v>
      </c>
      <c r="L276" t="s">
        <v>24</v>
      </c>
      <c r="M276" t="s">
        <v>25</v>
      </c>
      <c r="N276">
        <v>0.42857142857142855</v>
      </c>
      <c r="O276" t="s">
        <v>115</v>
      </c>
      <c r="P276" t="s">
        <v>116</v>
      </c>
      <c r="Q276" s="33">
        <v>0.46153846153846156</v>
      </c>
    </row>
    <row r="277" spans="1:17" ht="16" x14ac:dyDescent="0.2">
      <c r="A277" t="s">
        <v>170</v>
      </c>
      <c r="B277" s="1" t="str">
        <f>VLOOKUP(Tabella1[[#This Row],[test_id]],experiments_specs!A:J,2,FALSE)</f>
        <v>NN,RB</v>
      </c>
      <c r="C277" s="1">
        <f>VLOOKUP(Tabella1[[#This Row],[test_id]],experiments_specs!A:J,3,FALSE)</f>
        <v>1</v>
      </c>
      <c r="D277" s="1">
        <f>VLOOKUP(Tabella1[[#This Row],[test_id]],experiments_specs!A:J,4,FALSE)</f>
        <v>2</v>
      </c>
      <c r="E277" s="1" t="str">
        <f>VLOOKUP(Tabella1[[#This Row],[test_id]],experiments_specs!A:J,5,FALSE)</f>
        <v>True</v>
      </c>
      <c r="F277" s="1" t="str">
        <f>VLOOKUP(Tabella1[[#This Row],[test_id]],experiments_specs!A:J,6,FALSE)</f>
        <v>True</v>
      </c>
      <c r="G277" s="1" t="str">
        <f>VLOOKUP(Tabella1[[#This Row],[test_id]],experiments_specs!A:J,7,FALSE)</f>
        <v>True</v>
      </c>
      <c r="H277" s="1" t="str">
        <f>VLOOKUP(Tabella1[[#This Row],[test_id]],experiments_specs!A:J,8,FALSE)</f>
        <v>False</v>
      </c>
      <c r="I277" s="1" t="str">
        <f>VLOOKUP(Tabella1[[#This Row],[test_id]],experiments_specs!A:J,9,FALSE)</f>
        <v>wup_similarity</v>
      </c>
      <c r="J277" s="1" t="str">
        <f>VLOOKUP(Tabella1[[#This Row],[test_id]],experiments_specs!A:J,10,FALSE)</f>
        <v>True</v>
      </c>
      <c r="K277" t="s">
        <v>13</v>
      </c>
      <c r="L277" t="s">
        <v>101</v>
      </c>
      <c r="M277" t="s">
        <v>102</v>
      </c>
      <c r="N277" t="s">
        <v>29</v>
      </c>
      <c r="O277" t="s">
        <v>84</v>
      </c>
      <c r="P277" t="s">
        <v>85</v>
      </c>
      <c r="Q277" s="33" t="s">
        <v>29</v>
      </c>
    </row>
    <row r="278" spans="1:17" ht="16" x14ac:dyDescent="0.2">
      <c r="A278" t="s">
        <v>170</v>
      </c>
      <c r="B278" s="1" t="str">
        <f>VLOOKUP(Tabella1[[#This Row],[test_id]],experiments_specs!A:J,2,FALSE)</f>
        <v>NN,RB</v>
      </c>
      <c r="C278" s="1">
        <f>VLOOKUP(Tabella1[[#This Row],[test_id]],experiments_specs!A:J,3,FALSE)</f>
        <v>1</v>
      </c>
      <c r="D278" s="1">
        <f>VLOOKUP(Tabella1[[#This Row],[test_id]],experiments_specs!A:J,4,FALSE)</f>
        <v>2</v>
      </c>
      <c r="E278" s="1" t="str">
        <f>VLOOKUP(Tabella1[[#This Row],[test_id]],experiments_specs!A:J,5,FALSE)</f>
        <v>True</v>
      </c>
      <c r="F278" s="1" t="str">
        <f>VLOOKUP(Tabella1[[#This Row],[test_id]],experiments_specs!A:J,6,FALSE)</f>
        <v>True</v>
      </c>
      <c r="G278" s="1" t="str">
        <f>VLOOKUP(Tabella1[[#This Row],[test_id]],experiments_specs!A:J,7,FALSE)</f>
        <v>True</v>
      </c>
      <c r="H278" s="1" t="str">
        <f>VLOOKUP(Tabella1[[#This Row],[test_id]],experiments_specs!A:J,8,FALSE)</f>
        <v>False</v>
      </c>
      <c r="I278" s="1" t="str">
        <f>VLOOKUP(Tabella1[[#This Row],[test_id]],experiments_specs!A:J,9,FALSE)</f>
        <v>wup_similarity</v>
      </c>
      <c r="J278" s="1" t="str">
        <f>VLOOKUP(Tabella1[[#This Row],[test_id]],experiments_specs!A:J,10,FALSE)</f>
        <v>True</v>
      </c>
      <c r="K278" t="s">
        <v>14</v>
      </c>
      <c r="L278" t="s">
        <v>86</v>
      </c>
      <c r="M278" t="s">
        <v>87</v>
      </c>
      <c r="N278">
        <v>0.33333333333333331</v>
      </c>
      <c r="O278" t="s">
        <v>88</v>
      </c>
      <c r="P278" t="s">
        <v>87</v>
      </c>
      <c r="Q278" s="33">
        <v>0.33333333333333331</v>
      </c>
    </row>
    <row r="279" spans="1:17" ht="16" x14ac:dyDescent="0.2">
      <c r="A279" t="s">
        <v>170</v>
      </c>
      <c r="B279" s="1" t="str">
        <f>VLOOKUP(Tabella1[[#This Row],[test_id]],experiments_specs!A:J,2,FALSE)</f>
        <v>NN,RB</v>
      </c>
      <c r="C279" s="1">
        <f>VLOOKUP(Tabella1[[#This Row],[test_id]],experiments_specs!A:J,3,FALSE)</f>
        <v>1</v>
      </c>
      <c r="D279" s="1">
        <f>VLOOKUP(Tabella1[[#This Row],[test_id]],experiments_specs!A:J,4,FALSE)</f>
        <v>2</v>
      </c>
      <c r="E279" s="1" t="str">
        <f>VLOOKUP(Tabella1[[#This Row],[test_id]],experiments_specs!A:J,5,FALSE)</f>
        <v>True</v>
      </c>
      <c r="F279" s="1" t="str">
        <f>VLOOKUP(Tabella1[[#This Row],[test_id]],experiments_specs!A:J,6,FALSE)</f>
        <v>True</v>
      </c>
      <c r="G279" s="1" t="str">
        <f>VLOOKUP(Tabella1[[#This Row],[test_id]],experiments_specs!A:J,7,FALSE)</f>
        <v>True</v>
      </c>
      <c r="H279" s="1" t="str">
        <f>VLOOKUP(Tabella1[[#This Row],[test_id]],experiments_specs!A:J,8,FALSE)</f>
        <v>False</v>
      </c>
      <c r="I279" s="1" t="str">
        <f>VLOOKUP(Tabella1[[#This Row],[test_id]],experiments_specs!A:J,9,FALSE)</f>
        <v>wup_similarity</v>
      </c>
      <c r="J279" s="1" t="str">
        <f>VLOOKUP(Tabella1[[#This Row],[test_id]],experiments_specs!A:J,10,FALSE)</f>
        <v>True</v>
      </c>
      <c r="K279" t="s">
        <v>15</v>
      </c>
      <c r="L279" t="s">
        <v>34</v>
      </c>
      <c r="M279" t="s">
        <v>35</v>
      </c>
      <c r="N279">
        <v>0.16666666666666666</v>
      </c>
      <c r="O279" t="s">
        <v>57</v>
      </c>
      <c r="P279" t="s">
        <v>34</v>
      </c>
      <c r="Q279" s="33">
        <v>0.18181818181818182</v>
      </c>
    </row>
    <row r="280" spans="1:17" ht="16" x14ac:dyDescent="0.2">
      <c r="A280" t="s">
        <v>170</v>
      </c>
      <c r="B280" s="1" t="str">
        <f>VLOOKUP(Tabella1[[#This Row],[test_id]],experiments_specs!A:J,2,FALSE)</f>
        <v>NN,RB</v>
      </c>
      <c r="C280" s="1">
        <f>VLOOKUP(Tabella1[[#This Row],[test_id]],experiments_specs!A:J,3,FALSE)</f>
        <v>1</v>
      </c>
      <c r="D280" s="1">
        <f>VLOOKUP(Tabella1[[#This Row],[test_id]],experiments_specs!A:J,4,FALSE)</f>
        <v>2</v>
      </c>
      <c r="E280" s="1" t="str">
        <f>VLOOKUP(Tabella1[[#This Row],[test_id]],experiments_specs!A:J,5,FALSE)</f>
        <v>True</v>
      </c>
      <c r="F280" s="1" t="str">
        <f>VLOOKUP(Tabella1[[#This Row],[test_id]],experiments_specs!A:J,6,FALSE)</f>
        <v>True</v>
      </c>
      <c r="G280" s="1" t="str">
        <f>VLOOKUP(Tabella1[[#This Row],[test_id]],experiments_specs!A:J,7,FALSE)</f>
        <v>True</v>
      </c>
      <c r="H280" s="1" t="str">
        <f>VLOOKUP(Tabella1[[#This Row],[test_id]],experiments_specs!A:J,8,FALSE)</f>
        <v>False</v>
      </c>
      <c r="I280" s="1" t="str">
        <f>VLOOKUP(Tabella1[[#This Row],[test_id]],experiments_specs!A:J,9,FALSE)</f>
        <v>wup_similarity</v>
      </c>
      <c r="J280" s="1" t="str">
        <f>VLOOKUP(Tabella1[[#This Row],[test_id]],experiments_specs!A:J,10,FALSE)</f>
        <v>True</v>
      </c>
      <c r="K280" t="s">
        <v>16</v>
      </c>
      <c r="L280" t="s">
        <v>90</v>
      </c>
      <c r="M280" t="s">
        <v>91</v>
      </c>
      <c r="N280">
        <v>0.22222222222222221</v>
      </c>
      <c r="O280" t="s">
        <v>92</v>
      </c>
      <c r="P280" t="s">
        <v>91</v>
      </c>
      <c r="Q280" s="33">
        <v>0.22222222222222221</v>
      </c>
    </row>
    <row r="281" spans="1:17" ht="16" x14ac:dyDescent="0.2">
      <c r="A281" t="s">
        <v>170</v>
      </c>
      <c r="B281" s="1" t="str">
        <f>VLOOKUP(Tabella1[[#This Row],[test_id]],experiments_specs!A:J,2,FALSE)</f>
        <v>NN,RB</v>
      </c>
      <c r="C281" s="1">
        <f>VLOOKUP(Tabella1[[#This Row],[test_id]],experiments_specs!A:J,3,FALSE)</f>
        <v>1</v>
      </c>
      <c r="D281" s="1">
        <f>VLOOKUP(Tabella1[[#This Row],[test_id]],experiments_specs!A:J,4,FALSE)</f>
        <v>2</v>
      </c>
      <c r="E281" s="1" t="str">
        <f>VLOOKUP(Tabella1[[#This Row],[test_id]],experiments_specs!A:J,5,FALSE)</f>
        <v>True</v>
      </c>
      <c r="F281" s="1" t="str">
        <f>VLOOKUP(Tabella1[[#This Row],[test_id]],experiments_specs!A:J,6,FALSE)</f>
        <v>True</v>
      </c>
      <c r="G281" s="1" t="str">
        <f>VLOOKUP(Tabella1[[#This Row],[test_id]],experiments_specs!A:J,7,FALSE)</f>
        <v>True</v>
      </c>
      <c r="H281" s="1" t="str">
        <f>VLOOKUP(Tabella1[[#This Row],[test_id]],experiments_specs!A:J,8,FALSE)</f>
        <v>False</v>
      </c>
      <c r="I281" s="1" t="str">
        <f>VLOOKUP(Tabella1[[#This Row],[test_id]],experiments_specs!A:J,9,FALSE)</f>
        <v>wup_similarity</v>
      </c>
      <c r="J281" s="1" t="str">
        <f>VLOOKUP(Tabella1[[#This Row],[test_id]],experiments_specs!A:J,10,FALSE)</f>
        <v>True</v>
      </c>
      <c r="K281" t="s">
        <v>17</v>
      </c>
      <c r="L281" t="s">
        <v>93</v>
      </c>
      <c r="M281" t="s">
        <v>94</v>
      </c>
      <c r="N281">
        <v>0.30769230769230771</v>
      </c>
      <c r="O281" t="s">
        <v>95</v>
      </c>
      <c r="P281" t="s">
        <v>94</v>
      </c>
      <c r="Q281" s="33">
        <v>0.30769230769230771</v>
      </c>
    </row>
    <row r="282" spans="1:17" ht="16" x14ac:dyDescent="0.2">
      <c r="A282" t="s">
        <v>170</v>
      </c>
      <c r="B282" s="1" t="str">
        <f>VLOOKUP(Tabella1[[#This Row],[test_id]],experiments_specs!A:J,2,FALSE)</f>
        <v>NN,RB</v>
      </c>
      <c r="C282" s="1">
        <f>VLOOKUP(Tabella1[[#This Row],[test_id]],experiments_specs!A:J,3,FALSE)</f>
        <v>1</v>
      </c>
      <c r="D282" s="1">
        <f>VLOOKUP(Tabella1[[#This Row],[test_id]],experiments_specs!A:J,4,FALSE)</f>
        <v>2</v>
      </c>
      <c r="E282" s="1" t="str">
        <f>VLOOKUP(Tabella1[[#This Row],[test_id]],experiments_specs!A:J,5,FALSE)</f>
        <v>True</v>
      </c>
      <c r="F282" s="1" t="str">
        <f>VLOOKUP(Tabella1[[#This Row],[test_id]],experiments_specs!A:J,6,FALSE)</f>
        <v>True</v>
      </c>
      <c r="G282" s="1" t="str">
        <f>VLOOKUP(Tabella1[[#This Row],[test_id]],experiments_specs!A:J,7,FALSE)</f>
        <v>True</v>
      </c>
      <c r="H282" s="1" t="str">
        <f>VLOOKUP(Tabella1[[#This Row],[test_id]],experiments_specs!A:J,8,FALSE)</f>
        <v>False</v>
      </c>
      <c r="I282" s="1" t="str">
        <f>VLOOKUP(Tabella1[[#This Row],[test_id]],experiments_specs!A:J,9,FALSE)</f>
        <v>wup_similarity</v>
      </c>
      <c r="J282" s="1" t="str">
        <f>VLOOKUP(Tabella1[[#This Row],[test_id]],experiments_specs!A:J,10,FALSE)</f>
        <v>True</v>
      </c>
      <c r="K282" t="s">
        <v>18</v>
      </c>
      <c r="L282" t="s">
        <v>96</v>
      </c>
      <c r="M282" t="s">
        <v>97</v>
      </c>
      <c r="N282">
        <v>0.21052631578947367</v>
      </c>
      <c r="O282" t="s">
        <v>98</v>
      </c>
      <c r="P282" t="s">
        <v>97</v>
      </c>
      <c r="Q282" s="33">
        <v>0.21052631578947367</v>
      </c>
    </row>
    <row r="283" spans="1:17" ht="16" x14ac:dyDescent="0.2">
      <c r="A283" t="s">
        <v>171</v>
      </c>
      <c r="B283" s="1" t="str">
        <f>VLOOKUP(Tabella1[[#This Row],[test_id]],experiments_specs!A:J,2,FALSE)</f>
        <v>NN,JJ,VB,VBD,VBG,VBN,VBP,VBZ</v>
      </c>
      <c r="C283" s="1">
        <f>VLOOKUP(Tabella1[[#This Row],[test_id]],experiments_specs!A:J,3,FALSE)</f>
        <v>1</v>
      </c>
      <c r="D283" s="1">
        <f>VLOOKUP(Tabella1[[#This Row],[test_id]],experiments_specs!A:J,4,FALSE)</f>
        <v>2</v>
      </c>
      <c r="E283" s="1" t="str">
        <f>VLOOKUP(Tabella1[[#This Row],[test_id]],experiments_specs!A:J,5,FALSE)</f>
        <v>True</v>
      </c>
      <c r="F283" s="1" t="str">
        <f>VLOOKUP(Tabella1[[#This Row],[test_id]],experiments_specs!A:J,6,FALSE)</f>
        <v>True</v>
      </c>
      <c r="G283" s="1" t="str">
        <f>VLOOKUP(Tabella1[[#This Row],[test_id]],experiments_specs!A:J,7,FALSE)</f>
        <v>True</v>
      </c>
      <c r="H283" s="1" t="str">
        <f>VLOOKUP(Tabella1[[#This Row],[test_id]],experiments_specs!A:J,8,FALSE)</f>
        <v>False</v>
      </c>
      <c r="I283" s="1" t="str">
        <f>VLOOKUP(Tabella1[[#This Row],[test_id]],experiments_specs!A:J,9,FALSE)</f>
        <v>wup_similarity</v>
      </c>
      <c r="J283" s="1" t="str">
        <f>VLOOKUP(Tabella1[[#This Row],[test_id]],experiments_specs!A:J,10,FALSE)</f>
        <v>True</v>
      </c>
      <c r="K283" t="s">
        <v>19</v>
      </c>
      <c r="L283" t="s">
        <v>59</v>
      </c>
      <c r="M283" t="s">
        <v>60</v>
      </c>
      <c r="N283">
        <v>0.17391304347826086</v>
      </c>
      <c r="O283" t="s">
        <v>49</v>
      </c>
      <c r="P283" t="s">
        <v>60</v>
      </c>
      <c r="Q283" s="33">
        <v>0.17391304347826086</v>
      </c>
    </row>
    <row r="284" spans="1:17" ht="16" x14ac:dyDescent="0.2">
      <c r="A284" t="s">
        <v>171</v>
      </c>
      <c r="B284" s="1" t="str">
        <f>VLOOKUP(Tabella1[[#This Row],[test_id]],experiments_specs!A:J,2,FALSE)</f>
        <v>NN,JJ,VB,VBD,VBG,VBN,VBP,VBZ</v>
      </c>
      <c r="C284" s="1">
        <f>VLOOKUP(Tabella1[[#This Row],[test_id]],experiments_specs!A:J,3,FALSE)</f>
        <v>1</v>
      </c>
      <c r="D284" s="1">
        <f>VLOOKUP(Tabella1[[#This Row],[test_id]],experiments_specs!A:J,4,FALSE)</f>
        <v>2</v>
      </c>
      <c r="E284" s="1" t="str">
        <f>VLOOKUP(Tabella1[[#This Row],[test_id]],experiments_specs!A:J,5,FALSE)</f>
        <v>True</v>
      </c>
      <c r="F284" s="1" t="str">
        <f>VLOOKUP(Tabella1[[#This Row],[test_id]],experiments_specs!A:J,6,FALSE)</f>
        <v>True</v>
      </c>
      <c r="G284" s="1" t="str">
        <f>VLOOKUP(Tabella1[[#This Row],[test_id]],experiments_specs!A:J,7,FALSE)</f>
        <v>True</v>
      </c>
      <c r="H284" s="1" t="str">
        <f>VLOOKUP(Tabella1[[#This Row],[test_id]],experiments_specs!A:J,8,FALSE)</f>
        <v>False</v>
      </c>
      <c r="I284" s="1" t="str">
        <f>VLOOKUP(Tabella1[[#This Row],[test_id]],experiments_specs!A:J,9,FALSE)</f>
        <v>wup_similarity</v>
      </c>
      <c r="J284" s="1" t="str">
        <f>VLOOKUP(Tabella1[[#This Row],[test_id]],experiments_specs!A:J,10,FALSE)</f>
        <v>True</v>
      </c>
      <c r="K284" t="s">
        <v>12</v>
      </c>
      <c r="L284" t="s">
        <v>24</v>
      </c>
      <c r="M284" t="s">
        <v>25</v>
      </c>
      <c r="N284">
        <v>0.42857142857142855</v>
      </c>
      <c r="O284" t="s">
        <v>115</v>
      </c>
      <c r="P284" t="s">
        <v>116</v>
      </c>
      <c r="Q284" s="33">
        <v>0.46153846153846156</v>
      </c>
    </row>
    <row r="285" spans="1:17" ht="16" x14ac:dyDescent="0.2">
      <c r="A285" t="s">
        <v>171</v>
      </c>
      <c r="B285" s="1" t="str">
        <f>VLOOKUP(Tabella1[[#This Row],[test_id]],experiments_specs!A:J,2,FALSE)</f>
        <v>NN,JJ,VB,VBD,VBG,VBN,VBP,VBZ</v>
      </c>
      <c r="C285" s="1">
        <f>VLOOKUP(Tabella1[[#This Row],[test_id]],experiments_specs!A:J,3,FALSE)</f>
        <v>1</v>
      </c>
      <c r="D285" s="1">
        <f>VLOOKUP(Tabella1[[#This Row],[test_id]],experiments_specs!A:J,4,FALSE)</f>
        <v>2</v>
      </c>
      <c r="E285" s="1" t="str">
        <f>VLOOKUP(Tabella1[[#This Row],[test_id]],experiments_specs!A:J,5,FALSE)</f>
        <v>True</v>
      </c>
      <c r="F285" s="1" t="str">
        <f>VLOOKUP(Tabella1[[#This Row],[test_id]],experiments_specs!A:J,6,FALSE)</f>
        <v>True</v>
      </c>
      <c r="G285" s="1" t="str">
        <f>VLOOKUP(Tabella1[[#This Row],[test_id]],experiments_specs!A:J,7,FALSE)</f>
        <v>True</v>
      </c>
      <c r="H285" s="1" t="str">
        <f>VLOOKUP(Tabella1[[#This Row],[test_id]],experiments_specs!A:J,8,FALSE)</f>
        <v>False</v>
      </c>
      <c r="I285" s="1" t="str">
        <f>VLOOKUP(Tabella1[[#This Row],[test_id]],experiments_specs!A:J,9,FALSE)</f>
        <v>wup_similarity</v>
      </c>
      <c r="J285" s="1" t="str">
        <f>VLOOKUP(Tabella1[[#This Row],[test_id]],experiments_specs!A:J,10,FALSE)</f>
        <v>True</v>
      </c>
      <c r="K285" t="s">
        <v>13</v>
      </c>
      <c r="L285" t="s">
        <v>101</v>
      </c>
      <c r="M285" t="s">
        <v>102</v>
      </c>
      <c r="N285" t="s">
        <v>29</v>
      </c>
      <c r="O285" t="s">
        <v>120</v>
      </c>
      <c r="P285" t="s">
        <v>102</v>
      </c>
      <c r="Q285" s="33" t="s">
        <v>29</v>
      </c>
    </row>
    <row r="286" spans="1:17" ht="16" x14ac:dyDescent="0.2">
      <c r="A286" t="s">
        <v>171</v>
      </c>
      <c r="B286" s="1" t="str">
        <f>VLOOKUP(Tabella1[[#This Row],[test_id]],experiments_specs!A:J,2,FALSE)</f>
        <v>NN,JJ,VB,VBD,VBG,VBN,VBP,VBZ</v>
      </c>
      <c r="C286" s="1">
        <f>VLOOKUP(Tabella1[[#This Row],[test_id]],experiments_specs!A:J,3,FALSE)</f>
        <v>1</v>
      </c>
      <c r="D286" s="1">
        <f>VLOOKUP(Tabella1[[#This Row],[test_id]],experiments_specs!A:J,4,FALSE)</f>
        <v>2</v>
      </c>
      <c r="E286" s="1" t="str">
        <f>VLOOKUP(Tabella1[[#This Row],[test_id]],experiments_specs!A:J,5,FALSE)</f>
        <v>True</v>
      </c>
      <c r="F286" s="1" t="str">
        <f>VLOOKUP(Tabella1[[#This Row],[test_id]],experiments_specs!A:J,6,FALSE)</f>
        <v>True</v>
      </c>
      <c r="G286" s="1" t="str">
        <f>VLOOKUP(Tabella1[[#This Row],[test_id]],experiments_specs!A:J,7,FALSE)</f>
        <v>True</v>
      </c>
      <c r="H286" s="1" t="str">
        <f>VLOOKUP(Tabella1[[#This Row],[test_id]],experiments_specs!A:J,8,FALSE)</f>
        <v>False</v>
      </c>
      <c r="I286" s="1" t="str">
        <f>VLOOKUP(Tabella1[[#This Row],[test_id]],experiments_specs!A:J,9,FALSE)</f>
        <v>wup_similarity</v>
      </c>
      <c r="J286" s="1" t="str">
        <f>VLOOKUP(Tabella1[[#This Row],[test_id]],experiments_specs!A:J,10,FALSE)</f>
        <v>True</v>
      </c>
      <c r="K286" t="s">
        <v>14</v>
      </c>
      <c r="L286" t="s">
        <v>86</v>
      </c>
      <c r="M286" t="s">
        <v>87</v>
      </c>
      <c r="N286">
        <v>0.33333333333333331</v>
      </c>
      <c r="O286" t="s">
        <v>88</v>
      </c>
      <c r="P286" t="s">
        <v>87</v>
      </c>
      <c r="Q286" s="33">
        <v>0.33333333333333331</v>
      </c>
    </row>
    <row r="287" spans="1:17" ht="16" x14ac:dyDescent="0.2">
      <c r="A287" t="s">
        <v>171</v>
      </c>
      <c r="B287" s="1" t="str">
        <f>VLOOKUP(Tabella1[[#This Row],[test_id]],experiments_specs!A:J,2,FALSE)</f>
        <v>NN,JJ,VB,VBD,VBG,VBN,VBP,VBZ</v>
      </c>
      <c r="C287" s="1">
        <f>VLOOKUP(Tabella1[[#This Row],[test_id]],experiments_specs!A:J,3,FALSE)</f>
        <v>1</v>
      </c>
      <c r="D287" s="1">
        <f>VLOOKUP(Tabella1[[#This Row],[test_id]],experiments_specs!A:J,4,FALSE)</f>
        <v>2</v>
      </c>
      <c r="E287" s="1" t="str">
        <f>VLOOKUP(Tabella1[[#This Row],[test_id]],experiments_specs!A:J,5,FALSE)</f>
        <v>True</v>
      </c>
      <c r="F287" s="1" t="str">
        <f>VLOOKUP(Tabella1[[#This Row],[test_id]],experiments_specs!A:J,6,FALSE)</f>
        <v>True</v>
      </c>
      <c r="G287" s="1" t="str">
        <f>VLOOKUP(Tabella1[[#This Row],[test_id]],experiments_specs!A:J,7,FALSE)</f>
        <v>True</v>
      </c>
      <c r="H287" s="1" t="str">
        <f>VLOOKUP(Tabella1[[#This Row],[test_id]],experiments_specs!A:J,8,FALSE)</f>
        <v>False</v>
      </c>
      <c r="I287" s="1" t="str">
        <f>VLOOKUP(Tabella1[[#This Row],[test_id]],experiments_specs!A:J,9,FALSE)</f>
        <v>wup_similarity</v>
      </c>
      <c r="J287" s="1" t="str">
        <f>VLOOKUP(Tabella1[[#This Row],[test_id]],experiments_specs!A:J,10,FALSE)</f>
        <v>True</v>
      </c>
      <c r="K287" t="s">
        <v>15</v>
      </c>
      <c r="L287" t="s">
        <v>34</v>
      </c>
      <c r="M287" t="s">
        <v>35</v>
      </c>
      <c r="N287">
        <v>0.16666666666666666</v>
      </c>
      <c r="O287" t="s">
        <v>15</v>
      </c>
      <c r="P287" t="s">
        <v>89</v>
      </c>
      <c r="Q287" s="33">
        <v>0.90909090909090906</v>
      </c>
    </row>
    <row r="288" spans="1:17" ht="16" x14ac:dyDescent="0.2">
      <c r="A288" t="s">
        <v>171</v>
      </c>
      <c r="B288" s="1" t="str">
        <f>VLOOKUP(Tabella1[[#This Row],[test_id]],experiments_specs!A:J,2,FALSE)</f>
        <v>NN,JJ,VB,VBD,VBG,VBN,VBP,VBZ</v>
      </c>
      <c r="C288" s="1">
        <f>VLOOKUP(Tabella1[[#This Row],[test_id]],experiments_specs!A:J,3,FALSE)</f>
        <v>1</v>
      </c>
      <c r="D288" s="1">
        <f>VLOOKUP(Tabella1[[#This Row],[test_id]],experiments_specs!A:J,4,FALSE)</f>
        <v>2</v>
      </c>
      <c r="E288" s="1" t="str">
        <f>VLOOKUP(Tabella1[[#This Row],[test_id]],experiments_specs!A:J,5,FALSE)</f>
        <v>True</v>
      </c>
      <c r="F288" s="1" t="str">
        <f>VLOOKUP(Tabella1[[#This Row],[test_id]],experiments_specs!A:J,6,FALSE)</f>
        <v>True</v>
      </c>
      <c r="G288" s="1" t="str">
        <f>VLOOKUP(Tabella1[[#This Row],[test_id]],experiments_specs!A:J,7,FALSE)</f>
        <v>True</v>
      </c>
      <c r="H288" s="1" t="str">
        <f>VLOOKUP(Tabella1[[#This Row],[test_id]],experiments_specs!A:J,8,FALSE)</f>
        <v>False</v>
      </c>
      <c r="I288" s="1" t="str">
        <f>VLOOKUP(Tabella1[[#This Row],[test_id]],experiments_specs!A:J,9,FALSE)</f>
        <v>wup_similarity</v>
      </c>
      <c r="J288" s="1" t="str">
        <f>VLOOKUP(Tabella1[[#This Row],[test_id]],experiments_specs!A:J,10,FALSE)</f>
        <v>True</v>
      </c>
      <c r="K288" t="s">
        <v>16</v>
      </c>
      <c r="L288" t="s">
        <v>90</v>
      </c>
      <c r="M288" t="s">
        <v>91</v>
      </c>
      <c r="N288">
        <v>0.22222222222222221</v>
      </c>
      <c r="O288" t="s">
        <v>92</v>
      </c>
      <c r="P288" t="s">
        <v>91</v>
      </c>
      <c r="Q288" s="33">
        <v>0.22222222222222221</v>
      </c>
    </row>
    <row r="289" spans="1:17" ht="16" x14ac:dyDescent="0.2">
      <c r="A289" t="s">
        <v>171</v>
      </c>
      <c r="B289" s="1" t="str">
        <f>VLOOKUP(Tabella1[[#This Row],[test_id]],experiments_specs!A:J,2,FALSE)</f>
        <v>NN,JJ,VB,VBD,VBG,VBN,VBP,VBZ</v>
      </c>
      <c r="C289" s="1">
        <f>VLOOKUP(Tabella1[[#This Row],[test_id]],experiments_specs!A:J,3,FALSE)</f>
        <v>1</v>
      </c>
      <c r="D289" s="1">
        <f>VLOOKUP(Tabella1[[#This Row],[test_id]],experiments_specs!A:J,4,FALSE)</f>
        <v>2</v>
      </c>
      <c r="E289" s="1" t="str">
        <f>VLOOKUP(Tabella1[[#This Row],[test_id]],experiments_specs!A:J,5,FALSE)</f>
        <v>True</v>
      </c>
      <c r="F289" s="1" t="str">
        <f>VLOOKUP(Tabella1[[#This Row],[test_id]],experiments_specs!A:J,6,FALSE)</f>
        <v>True</v>
      </c>
      <c r="G289" s="1" t="str">
        <f>VLOOKUP(Tabella1[[#This Row],[test_id]],experiments_specs!A:J,7,FALSE)</f>
        <v>True</v>
      </c>
      <c r="H289" s="1" t="str">
        <f>VLOOKUP(Tabella1[[#This Row],[test_id]],experiments_specs!A:J,8,FALSE)</f>
        <v>False</v>
      </c>
      <c r="I289" s="1" t="str">
        <f>VLOOKUP(Tabella1[[#This Row],[test_id]],experiments_specs!A:J,9,FALSE)</f>
        <v>wup_similarity</v>
      </c>
      <c r="J289" s="1" t="str">
        <f>VLOOKUP(Tabella1[[#This Row],[test_id]],experiments_specs!A:J,10,FALSE)</f>
        <v>True</v>
      </c>
      <c r="K289" t="s">
        <v>17</v>
      </c>
      <c r="L289" t="s">
        <v>93</v>
      </c>
      <c r="M289" t="s">
        <v>94</v>
      </c>
      <c r="N289">
        <v>0.30769230769230771</v>
      </c>
      <c r="O289" t="s">
        <v>95</v>
      </c>
      <c r="P289" t="s">
        <v>94</v>
      </c>
      <c r="Q289" s="33">
        <v>0.30769230769230771</v>
      </c>
    </row>
    <row r="290" spans="1:17" ht="16" x14ac:dyDescent="0.2">
      <c r="A290" t="s">
        <v>171</v>
      </c>
      <c r="B290" s="1" t="str">
        <f>VLOOKUP(Tabella1[[#This Row],[test_id]],experiments_specs!A:J,2,FALSE)</f>
        <v>NN,JJ,VB,VBD,VBG,VBN,VBP,VBZ</v>
      </c>
      <c r="C290" s="1">
        <f>VLOOKUP(Tabella1[[#This Row],[test_id]],experiments_specs!A:J,3,FALSE)</f>
        <v>1</v>
      </c>
      <c r="D290" s="1">
        <f>VLOOKUP(Tabella1[[#This Row],[test_id]],experiments_specs!A:J,4,FALSE)</f>
        <v>2</v>
      </c>
      <c r="E290" s="1" t="str">
        <f>VLOOKUP(Tabella1[[#This Row],[test_id]],experiments_specs!A:J,5,FALSE)</f>
        <v>True</v>
      </c>
      <c r="F290" s="1" t="str">
        <f>VLOOKUP(Tabella1[[#This Row],[test_id]],experiments_specs!A:J,6,FALSE)</f>
        <v>True</v>
      </c>
      <c r="G290" s="1" t="str">
        <f>VLOOKUP(Tabella1[[#This Row],[test_id]],experiments_specs!A:J,7,FALSE)</f>
        <v>True</v>
      </c>
      <c r="H290" s="1" t="str">
        <f>VLOOKUP(Tabella1[[#This Row],[test_id]],experiments_specs!A:J,8,FALSE)</f>
        <v>False</v>
      </c>
      <c r="I290" s="1" t="str">
        <f>VLOOKUP(Tabella1[[#This Row],[test_id]],experiments_specs!A:J,9,FALSE)</f>
        <v>wup_similarity</v>
      </c>
      <c r="J290" s="1" t="str">
        <f>VLOOKUP(Tabella1[[#This Row],[test_id]],experiments_specs!A:J,10,FALSE)</f>
        <v>True</v>
      </c>
      <c r="K290" t="s">
        <v>18</v>
      </c>
      <c r="L290" t="s">
        <v>96</v>
      </c>
      <c r="M290" t="s">
        <v>97</v>
      </c>
      <c r="N290">
        <v>0.21052631578947367</v>
      </c>
      <c r="O290" t="s">
        <v>98</v>
      </c>
      <c r="P290" t="s">
        <v>97</v>
      </c>
      <c r="Q290" s="33">
        <v>0.21052631578947367</v>
      </c>
    </row>
    <row r="291" spans="1:17" ht="16" x14ac:dyDescent="0.2">
      <c r="A291" t="s">
        <v>172</v>
      </c>
      <c r="B291" s="1" t="str">
        <f>VLOOKUP(Tabella1[[#This Row],[test_id]],experiments_specs!A:J,2,FALSE)</f>
        <v>NN</v>
      </c>
      <c r="C291" s="1">
        <f>VLOOKUP(Tabella1[[#This Row],[test_id]],experiments_specs!A:J,3,FALSE)</f>
        <v>1</v>
      </c>
      <c r="D291" s="1">
        <f>VLOOKUP(Tabella1[[#This Row],[test_id]],experiments_specs!A:J,4,FALSE)</f>
        <v>2</v>
      </c>
      <c r="E291" s="1" t="str">
        <f>VLOOKUP(Tabella1[[#This Row],[test_id]],experiments_specs!A:J,5,FALSE)</f>
        <v>False</v>
      </c>
      <c r="F291" s="1" t="str">
        <f>VLOOKUP(Tabella1[[#This Row],[test_id]],experiments_specs!A:J,6,FALSE)</f>
        <v>True</v>
      </c>
      <c r="G291" s="1" t="str">
        <f>VLOOKUP(Tabella1[[#This Row],[test_id]],experiments_specs!A:J,7,FALSE)</f>
        <v>True</v>
      </c>
      <c r="H291" s="1" t="str">
        <f>VLOOKUP(Tabella1[[#This Row],[test_id]],experiments_specs!A:J,8,FALSE)</f>
        <v>True</v>
      </c>
      <c r="I291" s="1" t="str">
        <f>VLOOKUP(Tabella1[[#This Row],[test_id]],experiments_specs!A:J,9,FALSE)</f>
        <v>wup_similarity</v>
      </c>
      <c r="J291" s="1" t="str">
        <f>VLOOKUP(Tabella1[[#This Row],[test_id]],experiments_specs!A:J,10,FALSE)</f>
        <v>False</v>
      </c>
      <c r="K291" t="s">
        <v>19</v>
      </c>
      <c r="L291" t="s">
        <v>50</v>
      </c>
      <c r="M291" t="s">
        <v>49</v>
      </c>
      <c r="N291">
        <v>0.19047619047619047</v>
      </c>
      <c r="O291" t="s">
        <v>22</v>
      </c>
      <c r="P291" t="s">
        <v>23</v>
      </c>
      <c r="Q291" s="33">
        <v>9.5238095238095233E-2</v>
      </c>
    </row>
    <row r="292" spans="1:17" ht="16" x14ac:dyDescent="0.2">
      <c r="A292" t="s">
        <v>172</v>
      </c>
      <c r="B292" s="1" t="str">
        <f>VLOOKUP(Tabella1[[#This Row],[test_id]],experiments_specs!A:J,2,FALSE)</f>
        <v>NN</v>
      </c>
      <c r="C292" s="1">
        <f>VLOOKUP(Tabella1[[#This Row],[test_id]],experiments_specs!A:J,3,FALSE)</f>
        <v>1</v>
      </c>
      <c r="D292" s="1">
        <f>VLOOKUP(Tabella1[[#This Row],[test_id]],experiments_specs!A:J,4,FALSE)</f>
        <v>2</v>
      </c>
      <c r="E292" s="1" t="str">
        <f>VLOOKUP(Tabella1[[#This Row],[test_id]],experiments_specs!A:J,5,FALSE)</f>
        <v>False</v>
      </c>
      <c r="F292" s="1" t="str">
        <f>VLOOKUP(Tabella1[[#This Row],[test_id]],experiments_specs!A:J,6,FALSE)</f>
        <v>True</v>
      </c>
      <c r="G292" s="1" t="str">
        <f>VLOOKUP(Tabella1[[#This Row],[test_id]],experiments_specs!A:J,7,FALSE)</f>
        <v>True</v>
      </c>
      <c r="H292" s="1" t="str">
        <f>VLOOKUP(Tabella1[[#This Row],[test_id]],experiments_specs!A:J,8,FALSE)</f>
        <v>True</v>
      </c>
      <c r="I292" s="1" t="str">
        <f>VLOOKUP(Tabella1[[#This Row],[test_id]],experiments_specs!A:J,9,FALSE)</f>
        <v>wup_similarity</v>
      </c>
      <c r="J292" s="1" t="str">
        <f>VLOOKUP(Tabella1[[#This Row],[test_id]],experiments_specs!A:J,10,FALSE)</f>
        <v>False</v>
      </c>
      <c r="K292" t="s">
        <v>12</v>
      </c>
      <c r="L292" t="s">
        <v>205</v>
      </c>
      <c r="M292" t="s">
        <v>206</v>
      </c>
      <c r="N292">
        <v>0.2857142857142857</v>
      </c>
      <c r="O292" t="s">
        <v>26</v>
      </c>
      <c r="P292" t="s">
        <v>207</v>
      </c>
      <c r="Q292" s="33">
        <v>0.42857142857142855</v>
      </c>
    </row>
    <row r="293" spans="1:17" ht="16" x14ac:dyDescent="0.2">
      <c r="A293" t="s">
        <v>172</v>
      </c>
      <c r="B293" s="1" t="str">
        <f>VLOOKUP(Tabella1[[#This Row],[test_id]],experiments_specs!A:J,2,FALSE)</f>
        <v>NN</v>
      </c>
      <c r="C293" s="1">
        <f>VLOOKUP(Tabella1[[#This Row],[test_id]],experiments_specs!A:J,3,FALSE)</f>
        <v>1</v>
      </c>
      <c r="D293" s="1">
        <f>VLOOKUP(Tabella1[[#This Row],[test_id]],experiments_specs!A:J,4,FALSE)</f>
        <v>2</v>
      </c>
      <c r="E293" s="1" t="str">
        <f>VLOOKUP(Tabella1[[#This Row],[test_id]],experiments_specs!A:J,5,FALSE)</f>
        <v>False</v>
      </c>
      <c r="F293" s="1" t="str">
        <f>VLOOKUP(Tabella1[[#This Row],[test_id]],experiments_specs!A:J,6,FALSE)</f>
        <v>True</v>
      </c>
      <c r="G293" s="1" t="str">
        <f>VLOOKUP(Tabella1[[#This Row],[test_id]],experiments_specs!A:J,7,FALSE)</f>
        <v>True</v>
      </c>
      <c r="H293" s="1" t="str">
        <f>VLOOKUP(Tabella1[[#This Row],[test_id]],experiments_specs!A:J,8,FALSE)</f>
        <v>True</v>
      </c>
      <c r="I293" s="1" t="str">
        <f>VLOOKUP(Tabella1[[#This Row],[test_id]],experiments_specs!A:J,9,FALSE)</f>
        <v>wup_similarity</v>
      </c>
      <c r="J293" s="1" t="str">
        <f>VLOOKUP(Tabella1[[#This Row],[test_id]],experiments_specs!A:J,10,FALSE)</f>
        <v>False</v>
      </c>
      <c r="K293" t="s">
        <v>13</v>
      </c>
      <c r="L293" t="s">
        <v>208</v>
      </c>
      <c r="M293" t="s">
        <v>209</v>
      </c>
      <c r="N293" t="s">
        <v>29</v>
      </c>
      <c r="O293" t="s">
        <v>210</v>
      </c>
      <c r="P293" t="s">
        <v>209</v>
      </c>
      <c r="Q293" s="33" t="s">
        <v>29</v>
      </c>
    </row>
    <row r="294" spans="1:17" ht="16" x14ac:dyDescent="0.2">
      <c r="A294" t="s">
        <v>172</v>
      </c>
      <c r="B294" s="1" t="str">
        <f>VLOOKUP(Tabella1[[#This Row],[test_id]],experiments_specs!A:J,2,FALSE)</f>
        <v>NN</v>
      </c>
      <c r="C294" s="1">
        <f>VLOOKUP(Tabella1[[#This Row],[test_id]],experiments_specs!A:J,3,FALSE)</f>
        <v>1</v>
      </c>
      <c r="D294" s="1">
        <f>VLOOKUP(Tabella1[[#This Row],[test_id]],experiments_specs!A:J,4,FALSE)</f>
        <v>2</v>
      </c>
      <c r="E294" s="1" t="str">
        <f>VLOOKUP(Tabella1[[#This Row],[test_id]],experiments_specs!A:J,5,FALSE)</f>
        <v>False</v>
      </c>
      <c r="F294" s="1" t="str">
        <f>VLOOKUP(Tabella1[[#This Row],[test_id]],experiments_specs!A:J,6,FALSE)</f>
        <v>True</v>
      </c>
      <c r="G294" s="1" t="str">
        <f>VLOOKUP(Tabella1[[#This Row],[test_id]],experiments_specs!A:J,7,FALSE)</f>
        <v>True</v>
      </c>
      <c r="H294" s="1" t="str">
        <f>VLOOKUP(Tabella1[[#This Row],[test_id]],experiments_specs!A:J,8,FALSE)</f>
        <v>True</v>
      </c>
      <c r="I294" s="1" t="str">
        <f>VLOOKUP(Tabella1[[#This Row],[test_id]],experiments_specs!A:J,9,FALSE)</f>
        <v>wup_similarity</v>
      </c>
      <c r="J294" s="1" t="str">
        <f>VLOOKUP(Tabella1[[#This Row],[test_id]],experiments_specs!A:J,10,FALSE)</f>
        <v>False</v>
      </c>
      <c r="K294" t="s">
        <v>14</v>
      </c>
      <c r="L294" t="s">
        <v>211</v>
      </c>
      <c r="M294" t="s">
        <v>212</v>
      </c>
      <c r="N294">
        <v>0.125</v>
      </c>
      <c r="O294" t="s">
        <v>55</v>
      </c>
      <c r="P294" t="s">
        <v>212</v>
      </c>
      <c r="Q294" s="33">
        <v>0.125</v>
      </c>
    </row>
    <row r="295" spans="1:17" ht="16" x14ac:dyDescent="0.2">
      <c r="A295" t="s">
        <v>172</v>
      </c>
      <c r="B295" s="1" t="str">
        <f>VLOOKUP(Tabella1[[#This Row],[test_id]],experiments_specs!A:J,2,FALSE)</f>
        <v>NN</v>
      </c>
      <c r="C295" s="1">
        <f>VLOOKUP(Tabella1[[#This Row],[test_id]],experiments_specs!A:J,3,FALSE)</f>
        <v>1</v>
      </c>
      <c r="D295" s="1">
        <f>VLOOKUP(Tabella1[[#This Row],[test_id]],experiments_specs!A:J,4,FALSE)</f>
        <v>2</v>
      </c>
      <c r="E295" s="1" t="str">
        <f>VLOOKUP(Tabella1[[#This Row],[test_id]],experiments_specs!A:J,5,FALSE)</f>
        <v>False</v>
      </c>
      <c r="F295" s="1" t="str">
        <f>VLOOKUP(Tabella1[[#This Row],[test_id]],experiments_specs!A:J,6,FALSE)</f>
        <v>True</v>
      </c>
      <c r="G295" s="1" t="str">
        <f>VLOOKUP(Tabella1[[#This Row],[test_id]],experiments_specs!A:J,7,FALSE)</f>
        <v>True</v>
      </c>
      <c r="H295" s="1" t="str">
        <f>VLOOKUP(Tabella1[[#This Row],[test_id]],experiments_specs!A:J,8,FALSE)</f>
        <v>True</v>
      </c>
      <c r="I295" s="1" t="str">
        <f>VLOOKUP(Tabella1[[#This Row],[test_id]],experiments_specs!A:J,9,FALSE)</f>
        <v>wup_similarity</v>
      </c>
      <c r="J295" s="1" t="str">
        <f>VLOOKUP(Tabella1[[#This Row],[test_id]],experiments_specs!A:J,10,FALSE)</f>
        <v>False</v>
      </c>
      <c r="K295" t="s">
        <v>15</v>
      </c>
      <c r="L295" t="s">
        <v>34</v>
      </c>
      <c r="M295" t="s">
        <v>35</v>
      </c>
      <c r="N295">
        <v>0.16666666666666666</v>
      </c>
      <c r="O295" t="s">
        <v>57</v>
      </c>
      <c r="P295" t="s">
        <v>35</v>
      </c>
      <c r="Q295" s="33">
        <v>0.16666666666666666</v>
      </c>
    </row>
    <row r="296" spans="1:17" ht="16" x14ac:dyDescent="0.2">
      <c r="A296" t="s">
        <v>172</v>
      </c>
      <c r="B296" s="1" t="str">
        <f>VLOOKUP(Tabella1[[#This Row],[test_id]],experiments_specs!A:J,2,FALSE)</f>
        <v>NN</v>
      </c>
      <c r="C296" s="1">
        <f>VLOOKUP(Tabella1[[#This Row],[test_id]],experiments_specs!A:J,3,FALSE)</f>
        <v>1</v>
      </c>
      <c r="D296" s="1">
        <f>VLOOKUP(Tabella1[[#This Row],[test_id]],experiments_specs!A:J,4,FALSE)</f>
        <v>2</v>
      </c>
      <c r="E296" s="1" t="str">
        <f>VLOOKUP(Tabella1[[#This Row],[test_id]],experiments_specs!A:J,5,FALSE)</f>
        <v>False</v>
      </c>
      <c r="F296" s="1" t="str">
        <f>VLOOKUP(Tabella1[[#This Row],[test_id]],experiments_specs!A:J,6,FALSE)</f>
        <v>True</v>
      </c>
      <c r="G296" s="1" t="str">
        <f>VLOOKUP(Tabella1[[#This Row],[test_id]],experiments_specs!A:J,7,FALSE)</f>
        <v>True</v>
      </c>
      <c r="H296" s="1" t="str">
        <f>VLOOKUP(Tabella1[[#This Row],[test_id]],experiments_specs!A:J,8,FALSE)</f>
        <v>True</v>
      </c>
      <c r="I296" s="1" t="str">
        <f>VLOOKUP(Tabella1[[#This Row],[test_id]],experiments_specs!A:J,9,FALSE)</f>
        <v>wup_similarity</v>
      </c>
      <c r="J296" s="1" t="str">
        <f>VLOOKUP(Tabella1[[#This Row],[test_id]],experiments_specs!A:J,10,FALSE)</f>
        <v>False</v>
      </c>
      <c r="K296" t="s">
        <v>16</v>
      </c>
      <c r="L296" t="s">
        <v>38</v>
      </c>
      <c r="M296" t="s">
        <v>213</v>
      </c>
      <c r="N296">
        <v>0.55555555555555558</v>
      </c>
      <c r="O296" t="s">
        <v>214</v>
      </c>
      <c r="P296" t="s">
        <v>215</v>
      </c>
      <c r="Q296" s="33">
        <v>0.13333333333333333</v>
      </c>
    </row>
    <row r="297" spans="1:17" ht="16" x14ac:dyDescent="0.2">
      <c r="A297" t="s">
        <v>172</v>
      </c>
      <c r="B297" s="1" t="str">
        <f>VLOOKUP(Tabella1[[#This Row],[test_id]],experiments_specs!A:J,2,FALSE)</f>
        <v>NN</v>
      </c>
      <c r="C297" s="1">
        <f>VLOOKUP(Tabella1[[#This Row],[test_id]],experiments_specs!A:J,3,FALSE)</f>
        <v>1</v>
      </c>
      <c r="D297" s="1">
        <f>VLOOKUP(Tabella1[[#This Row],[test_id]],experiments_specs!A:J,4,FALSE)</f>
        <v>2</v>
      </c>
      <c r="E297" s="1" t="str">
        <f>VLOOKUP(Tabella1[[#This Row],[test_id]],experiments_specs!A:J,5,FALSE)</f>
        <v>False</v>
      </c>
      <c r="F297" s="1" t="str">
        <f>VLOOKUP(Tabella1[[#This Row],[test_id]],experiments_specs!A:J,6,FALSE)</f>
        <v>True</v>
      </c>
      <c r="G297" s="1" t="str">
        <f>VLOOKUP(Tabella1[[#This Row],[test_id]],experiments_specs!A:J,7,FALSE)</f>
        <v>True</v>
      </c>
      <c r="H297" s="1" t="str">
        <f>VLOOKUP(Tabella1[[#This Row],[test_id]],experiments_specs!A:J,8,FALSE)</f>
        <v>True</v>
      </c>
      <c r="I297" s="1" t="str">
        <f>VLOOKUP(Tabella1[[#This Row],[test_id]],experiments_specs!A:J,9,FALSE)</f>
        <v>wup_similarity</v>
      </c>
      <c r="J297" s="1" t="str">
        <f>VLOOKUP(Tabella1[[#This Row],[test_id]],experiments_specs!A:J,10,FALSE)</f>
        <v>False</v>
      </c>
      <c r="K297" t="s">
        <v>17</v>
      </c>
      <c r="L297" t="s">
        <v>42</v>
      </c>
      <c r="M297" t="s">
        <v>43</v>
      </c>
      <c r="N297">
        <v>0.13333333333333333</v>
      </c>
      <c r="O297" t="s">
        <v>216</v>
      </c>
      <c r="P297" t="s">
        <v>217</v>
      </c>
      <c r="Q297" s="33">
        <v>0.44444444444444442</v>
      </c>
    </row>
    <row r="298" spans="1:17" ht="16" x14ac:dyDescent="0.2">
      <c r="A298" t="s">
        <v>172</v>
      </c>
      <c r="B298" s="1" t="str">
        <f>VLOOKUP(Tabella1[[#This Row],[test_id]],experiments_specs!A:J,2,FALSE)</f>
        <v>NN</v>
      </c>
      <c r="C298" s="1">
        <f>VLOOKUP(Tabella1[[#This Row],[test_id]],experiments_specs!A:J,3,FALSE)</f>
        <v>1</v>
      </c>
      <c r="D298" s="1">
        <f>VLOOKUP(Tabella1[[#This Row],[test_id]],experiments_specs!A:J,4,FALSE)</f>
        <v>2</v>
      </c>
      <c r="E298" s="1" t="str">
        <f>VLOOKUP(Tabella1[[#This Row],[test_id]],experiments_specs!A:J,5,FALSE)</f>
        <v>False</v>
      </c>
      <c r="F298" s="1" t="str">
        <f>VLOOKUP(Tabella1[[#This Row],[test_id]],experiments_specs!A:J,6,FALSE)</f>
        <v>True</v>
      </c>
      <c r="G298" s="1" t="str">
        <f>VLOOKUP(Tabella1[[#This Row],[test_id]],experiments_specs!A:J,7,FALSE)</f>
        <v>True</v>
      </c>
      <c r="H298" s="1" t="str">
        <f>VLOOKUP(Tabella1[[#This Row],[test_id]],experiments_specs!A:J,8,FALSE)</f>
        <v>True</v>
      </c>
      <c r="I298" s="1" t="str">
        <f>VLOOKUP(Tabella1[[#This Row],[test_id]],experiments_specs!A:J,9,FALSE)</f>
        <v>wup_similarity</v>
      </c>
      <c r="J298" s="1" t="str">
        <f>VLOOKUP(Tabella1[[#This Row],[test_id]],experiments_specs!A:J,10,FALSE)</f>
        <v>False</v>
      </c>
      <c r="K298" t="s">
        <v>18</v>
      </c>
      <c r="L298" t="s">
        <v>46</v>
      </c>
      <c r="M298" t="s">
        <v>47</v>
      </c>
      <c r="N298">
        <v>0.21052631578947367</v>
      </c>
      <c r="O298" t="s">
        <v>98</v>
      </c>
      <c r="P298" t="s">
        <v>218</v>
      </c>
      <c r="Q298" s="33">
        <v>0.22222222222222221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649B-52C6-5A49-A1F4-AE9CD23A3CE1}">
  <sheetPr codeName="Foglio9"/>
  <dimension ref="B1:L39"/>
  <sheetViews>
    <sheetView workbookViewId="0">
      <selection activeCell="L10" sqref="B10:L10"/>
    </sheetView>
  </sheetViews>
  <sheetFormatPr baseColWidth="10" defaultRowHeight="16" x14ac:dyDescent="0.2"/>
  <cols>
    <col min="2" max="2" width="8.33203125" customWidth="1"/>
    <col min="3" max="3" width="12" customWidth="1"/>
    <col min="4" max="10" width="8.33203125" customWidth="1"/>
    <col min="11" max="12" width="12.1640625" bestFit="1" customWidth="1"/>
  </cols>
  <sheetData>
    <row r="1" spans="2:12" x14ac:dyDescent="0.2">
      <c r="B1" s="39" t="s">
        <v>259</v>
      </c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2:12" ht="17" x14ac:dyDescent="0.2">
      <c r="B2" s="2" t="s">
        <v>0</v>
      </c>
      <c r="C2" s="35" t="s">
        <v>1</v>
      </c>
      <c r="D2" s="35" t="s">
        <v>263</v>
      </c>
      <c r="E2" s="35" t="s">
        <v>264</v>
      </c>
      <c r="F2" s="35" t="s">
        <v>265</v>
      </c>
      <c r="G2" s="35" t="s">
        <v>260</v>
      </c>
      <c r="H2" s="35" t="s">
        <v>261</v>
      </c>
      <c r="I2" s="35" t="s">
        <v>262</v>
      </c>
      <c r="J2" s="35" t="s">
        <v>266</v>
      </c>
      <c r="K2" t="s">
        <v>257</v>
      </c>
      <c r="L2" t="s">
        <v>258</v>
      </c>
    </row>
    <row r="3" spans="2:12" x14ac:dyDescent="0.2">
      <c r="B3" t="s">
        <v>10</v>
      </c>
      <c r="C3" t="str">
        <f>VLOOKUP($B3,experiments_specs!$A:$J,2,FALSE)</f>
        <v>NN</v>
      </c>
      <c r="D3">
        <f>VLOOKUP($B3,experiments_specs!$A:$J,3,FALSE)</f>
        <v>1</v>
      </c>
      <c r="E3">
        <f>VLOOKUP($B3,experiments_specs!$A:$J,4,FALSE)</f>
        <v>2</v>
      </c>
      <c r="F3" t="str">
        <f>VLOOKUP($B3,experiments_specs!$A:$J,5,FALSE)</f>
        <v>False</v>
      </c>
      <c r="G3" t="str">
        <f>VLOOKUP($B3,experiments_specs!$A:$J,6,FALSE)</f>
        <v>True</v>
      </c>
      <c r="H3" t="str">
        <f>VLOOKUP($B3,experiments_specs!$A:$J,7,FALSE)</f>
        <v>False</v>
      </c>
      <c r="I3" t="str">
        <f>VLOOKUP($B3,experiments_specs!$A:$J,8,FALSE)</f>
        <v>False</v>
      </c>
      <c r="J3" t="str">
        <f>VLOOKUP($B3,experiments_specs!$A:$J,10,FALSE)</f>
        <v>False</v>
      </c>
      <c r="K3" s="34">
        <f>SUMIF(Dataset!$A:$A,scores_results!$B3,Dataset!N:N)</f>
        <v>1.8279866332497912</v>
      </c>
      <c r="L3" s="34">
        <f>SUMIF(Dataset!$A:$A,scores_results!$B3,Dataset!Q:Q)</f>
        <v>1.5256778309409886</v>
      </c>
    </row>
    <row r="4" spans="2:12" x14ac:dyDescent="0.2">
      <c r="B4" t="s">
        <v>132</v>
      </c>
      <c r="C4" t="str">
        <f>VLOOKUP($B4,experiments_specs!$A:$J,2,FALSE)</f>
        <v>NN,JJ</v>
      </c>
      <c r="D4">
        <f>VLOOKUP($B4,experiments_specs!$A:$J,3,FALSE)</f>
        <v>1</v>
      </c>
      <c r="E4">
        <f>VLOOKUP($B4,experiments_specs!$A:$J,4,FALSE)</f>
        <v>2</v>
      </c>
      <c r="F4" t="str">
        <f>VLOOKUP($B4,experiments_specs!$A:$J,5,FALSE)</f>
        <v>False</v>
      </c>
      <c r="G4" t="str">
        <f>VLOOKUP($B4,experiments_specs!$A:$J,6,FALSE)</f>
        <v>True</v>
      </c>
      <c r="H4" t="str">
        <f>VLOOKUP($B4,experiments_specs!$A:$J,7,FALSE)</f>
        <v>False</v>
      </c>
      <c r="I4" t="str">
        <f>VLOOKUP($B4,experiments_specs!$A:$J,8,FALSE)</f>
        <v>False</v>
      </c>
      <c r="J4" t="str">
        <f>VLOOKUP($B4,experiments_specs!$A:$J,10,FALSE)</f>
        <v>False</v>
      </c>
      <c r="K4" s="34">
        <f>SUMIF(Dataset!A:A,scores_results!B4,Dataset!N:N)</f>
        <v>1.8114234862518612</v>
      </c>
      <c r="L4" s="34">
        <f>SUMIF(Dataset!$A:$A,scores_results!$B4,Dataset!Q:Q)</f>
        <v>1.5480867945264229</v>
      </c>
    </row>
    <row r="5" spans="2:12" x14ac:dyDescent="0.2">
      <c r="B5" t="s">
        <v>134</v>
      </c>
      <c r="C5" t="str">
        <f>VLOOKUP($B5,experiments_specs!$A:$J,2,FALSE)</f>
        <v>NN,VB</v>
      </c>
      <c r="D5">
        <f>VLOOKUP($B5,experiments_specs!$A:$J,3,FALSE)</f>
        <v>1</v>
      </c>
      <c r="E5">
        <f>VLOOKUP($B5,experiments_specs!$A:$J,4,FALSE)</f>
        <v>2</v>
      </c>
      <c r="F5" t="str">
        <f>VLOOKUP($B5,experiments_specs!$A:$J,5,FALSE)</f>
        <v>False</v>
      </c>
      <c r="G5" t="str">
        <f>VLOOKUP($B5,experiments_specs!$A:$J,6,FALSE)</f>
        <v>True</v>
      </c>
      <c r="H5" t="str">
        <f>VLOOKUP($B5,experiments_specs!$A:$J,7,FALSE)</f>
        <v>False</v>
      </c>
      <c r="I5" t="str">
        <f>VLOOKUP($B5,experiments_specs!$A:$J,8,FALSE)</f>
        <v>False</v>
      </c>
      <c r="J5" t="str">
        <f>VLOOKUP($B5,experiments_specs!$A:$J,10,FALSE)</f>
        <v>False</v>
      </c>
      <c r="K5" s="34">
        <f>SUMIF(Dataset!A:A,scores_results!B5,Dataset!N:N)</f>
        <v>1.8613199665831244</v>
      </c>
      <c r="L5" s="34">
        <f>SUMIF(Dataset!$A:$A,scores_results!$B5,Dataset!Q:Q)</f>
        <v>0.96645658263305312</v>
      </c>
    </row>
    <row r="6" spans="2:12" x14ac:dyDescent="0.2">
      <c r="B6" t="s">
        <v>136</v>
      </c>
      <c r="C6" t="str">
        <f>VLOOKUP($B6,experiments_specs!$A:$J,2,FALSE)</f>
        <v>NN,VB,VBD,VBG,VBN,VBP,VBZ</v>
      </c>
      <c r="D6">
        <f>VLOOKUP($B6,experiments_specs!$A:$J,3,FALSE)</f>
        <v>1</v>
      </c>
      <c r="E6">
        <f>VLOOKUP($B6,experiments_specs!$A:$J,4,FALSE)</f>
        <v>2</v>
      </c>
      <c r="F6" t="str">
        <f>VLOOKUP($B6,experiments_specs!$A:$J,5,FALSE)</f>
        <v>False</v>
      </c>
      <c r="G6" t="str">
        <f>VLOOKUP($B6,experiments_specs!$A:$J,6,FALSE)</f>
        <v>True</v>
      </c>
      <c r="H6" t="str">
        <f>VLOOKUP($B6,experiments_specs!$A:$J,7,FALSE)</f>
        <v>False</v>
      </c>
      <c r="I6" t="str">
        <f>VLOOKUP($B6,experiments_specs!$A:$J,8,FALSE)</f>
        <v>False</v>
      </c>
      <c r="J6" t="str">
        <f>VLOOKUP($B6,experiments_specs!$A:$J,10,FALSE)</f>
        <v>False</v>
      </c>
      <c r="K6" s="34">
        <f>SUMIF(Dataset!A:A,scores_results!B6,Dataset!N:N)</f>
        <v>1.646637426900585</v>
      </c>
      <c r="L6" s="34">
        <f>SUMIF(Dataset!$A:$A,scores_results!$B6,Dataset!Q:Q)</f>
        <v>1.9501867413632121</v>
      </c>
    </row>
    <row r="7" spans="2:12" x14ac:dyDescent="0.2">
      <c r="B7" t="s">
        <v>138</v>
      </c>
      <c r="C7" t="str">
        <f>VLOOKUP($B7,experiments_specs!$A:$J,2,FALSE)</f>
        <v>NN,RB</v>
      </c>
      <c r="D7">
        <f>VLOOKUP($B7,experiments_specs!$A:$J,3,FALSE)</f>
        <v>1</v>
      </c>
      <c r="E7">
        <f>VLOOKUP($B7,experiments_specs!$A:$J,4,FALSE)</f>
        <v>2</v>
      </c>
      <c r="F7" t="str">
        <f>VLOOKUP($B7,experiments_specs!$A:$J,5,FALSE)</f>
        <v>False</v>
      </c>
      <c r="G7" t="str">
        <f>VLOOKUP($B7,experiments_specs!$A:$J,6,FALSE)</f>
        <v>True</v>
      </c>
      <c r="H7" t="str">
        <f>VLOOKUP($B7,experiments_specs!$A:$J,7,FALSE)</f>
        <v>False</v>
      </c>
      <c r="I7" t="str">
        <f>VLOOKUP($B7,experiments_specs!$A:$J,8,FALSE)</f>
        <v>False</v>
      </c>
      <c r="J7" t="str">
        <f>VLOOKUP($B7,experiments_specs!$A:$J,10,FALSE)</f>
        <v>False</v>
      </c>
      <c r="K7" s="34">
        <f>SUMIF(Dataset!A:A,scores_results!B7,Dataset!N:N)</f>
        <v>1.8279866332497912</v>
      </c>
      <c r="L7" s="34">
        <f>SUMIF(Dataset!$A:$A,scores_results!$B7,Dataset!Q:Q)</f>
        <v>1.5256778309409886</v>
      </c>
    </row>
    <row r="8" spans="2:12" x14ac:dyDescent="0.2">
      <c r="B8" t="s">
        <v>140</v>
      </c>
      <c r="C8" t="str">
        <f>VLOOKUP($B8,experiments_specs!$A:$J,2,FALSE)</f>
        <v>NN,JJ,VB,VBD,VBG,VBN,VBP,VBZ</v>
      </c>
      <c r="D8">
        <f>VLOOKUP($B8,experiments_specs!$A:$J,3,FALSE)</f>
        <v>1</v>
      </c>
      <c r="E8">
        <f>VLOOKUP($B8,experiments_specs!$A:$J,4,FALSE)</f>
        <v>2</v>
      </c>
      <c r="F8" t="str">
        <f>VLOOKUP($B8,experiments_specs!$A:$J,5,FALSE)</f>
        <v>False</v>
      </c>
      <c r="G8" t="str">
        <f>VLOOKUP($B8,experiments_specs!$A:$J,6,FALSE)</f>
        <v>True</v>
      </c>
      <c r="H8" t="str">
        <f>VLOOKUP($B8,experiments_specs!$A:$J,7,FALSE)</f>
        <v>False</v>
      </c>
      <c r="I8" t="str">
        <f>VLOOKUP($B8,experiments_specs!$A:$J,8,FALSE)</f>
        <v>False</v>
      </c>
      <c r="J8" t="str">
        <f>VLOOKUP($B8,experiments_specs!$A:$J,10,FALSE)</f>
        <v>False</v>
      </c>
      <c r="K8" s="34">
        <f>SUMIF(Dataset!A:A,scores_results!B8,Dataset!N:N)</f>
        <v>1.6300742799026551</v>
      </c>
      <c r="L8" s="34">
        <f>SUMIF(Dataset!$A:$A,scores_results!$B8,Dataset!Q:Q)</f>
        <v>1.9725957049486462</v>
      </c>
    </row>
    <row r="9" spans="2:12" x14ac:dyDescent="0.2">
      <c r="B9" t="s">
        <v>142</v>
      </c>
      <c r="C9" t="str">
        <f>VLOOKUP($B9,experiments_specs!$A:$J,2,FALSE)</f>
        <v>NN</v>
      </c>
      <c r="D9">
        <f>VLOOKUP($B9,experiments_specs!$A:$J,3,FALSE)</f>
        <v>1</v>
      </c>
      <c r="E9">
        <f>VLOOKUP($B9,experiments_specs!$A:$J,4,FALSE)</f>
        <v>2</v>
      </c>
      <c r="F9" t="str">
        <f>VLOOKUP($B9,experiments_specs!$A:$J,5,FALSE)</f>
        <v>True</v>
      </c>
      <c r="G9" t="str">
        <f>VLOOKUP($B9,experiments_specs!$A:$J,6,FALSE)</f>
        <v>True</v>
      </c>
      <c r="H9" t="str">
        <f>VLOOKUP($B9,experiments_specs!$A:$J,7,FALSE)</f>
        <v>False</v>
      </c>
      <c r="I9" t="str">
        <f>VLOOKUP($B9,experiments_specs!$A:$J,8,FALSE)</f>
        <v>False</v>
      </c>
      <c r="J9" t="str">
        <f>VLOOKUP($B9,experiments_specs!$A:$J,10,FALSE)</f>
        <v>False</v>
      </c>
      <c r="K9" s="34">
        <f>SUMIF(Dataset!A:A,scores_results!B9,Dataset!N:N)</f>
        <v>1.8279866332497912</v>
      </c>
      <c r="L9" s="34">
        <f>SUMIF(Dataset!$A:$A,scores_results!$B9,Dataset!Q:Q)</f>
        <v>1.5256778309409886</v>
      </c>
    </row>
    <row r="10" spans="2:12" x14ac:dyDescent="0.2">
      <c r="B10" t="s">
        <v>143</v>
      </c>
      <c r="C10" t="str">
        <f>VLOOKUP($B10,experiments_specs!$A:$J,2,FALSE)</f>
        <v>NN,JJ</v>
      </c>
      <c r="D10">
        <f>VLOOKUP($B10,experiments_specs!$A:$J,3,FALSE)</f>
        <v>1</v>
      </c>
      <c r="E10">
        <f>VLOOKUP($B10,experiments_specs!$A:$J,4,FALSE)</f>
        <v>2</v>
      </c>
      <c r="F10" t="str">
        <f>VLOOKUP($B10,experiments_specs!$A:$J,5,FALSE)</f>
        <v>True</v>
      </c>
      <c r="G10" t="str">
        <f>VLOOKUP($B10,experiments_specs!$A:$J,6,FALSE)</f>
        <v>True</v>
      </c>
      <c r="H10" t="str">
        <f>VLOOKUP($B10,experiments_specs!$A:$J,7,FALSE)</f>
        <v>False</v>
      </c>
      <c r="I10" t="str">
        <f>VLOOKUP($B10,experiments_specs!$A:$J,8,FALSE)</f>
        <v>False</v>
      </c>
      <c r="J10" t="str">
        <f>VLOOKUP($B10,experiments_specs!$A:$J,10,FALSE)</f>
        <v>False</v>
      </c>
      <c r="K10" s="34">
        <f>SUMIF(Dataset!A:A,scores_results!B10,Dataset!N:N)</f>
        <v>2.2429253177536932</v>
      </c>
      <c r="L10" s="34">
        <f>SUMIF(Dataset!$A:$A,scores_results!$B10,Dataset!Q:Q)</f>
        <v>2.585349560177935</v>
      </c>
    </row>
    <row r="11" spans="2:12" x14ac:dyDescent="0.2">
      <c r="B11" t="s">
        <v>144</v>
      </c>
      <c r="C11" t="str">
        <f>VLOOKUP($B11,experiments_specs!$A:$J,2,FALSE)</f>
        <v>NN,VB</v>
      </c>
      <c r="D11">
        <f>VLOOKUP($B11,experiments_specs!$A:$J,3,FALSE)</f>
        <v>1</v>
      </c>
      <c r="E11">
        <f>VLOOKUP($B11,experiments_specs!$A:$J,4,FALSE)</f>
        <v>2</v>
      </c>
      <c r="F11" t="str">
        <f>VLOOKUP($B11,experiments_specs!$A:$J,5,FALSE)</f>
        <v>True</v>
      </c>
      <c r="G11" t="str">
        <f>VLOOKUP($B11,experiments_specs!$A:$J,6,FALSE)</f>
        <v>True</v>
      </c>
      <c r="H11" t="str">
        <f>VLOOKUP($B11,experiments_specs!$A:$J,7,FALSE)</f>
        <v>False</v>
      </c>
      <c r="I11" t="str">
        <f>VLOOKUP($B11,experiments_specs!$A:$J,8,FALSE)</f>
        <v>False</v>
      </c>
      <c r="J11" t="str">
        <f>VLOOKUP($B11,experiments_specs!$A:$J,10,FALSE)</f>
        <v>False</v>
      </c>
      <c r="K11" s="34">
        <f>SUMIF(Dataset!A:A,scores_results!B11,Dataset!N:N)</f>
        <v>2.1740183792815371</v>
      </c>
      <c r="L11" s="34">
        <f>SUMIF(Dataset!$A:$A,scores_results!$B11,Dataset!Q:Q)</f>
        <v>1.8841637894269474</v>
      </c>
    </row>
    <row r="12" spans="2:12" x14ac:dyDescent="0.2">
      <c r="B12" t="s">
        <v>145</v>
      </c>
      <c r="C12" t="str">
        <f>VLOOKUP($B12,experiments_specs!$A:$J,2,FALSE)</f>
        <v>NN,VB,VBD,VBG,VBN,VBP,VBZ</v>
      </c>
      <c r="D12">
        <f>VLOOKUP($B12,experiments_specs!$A:$J,3,FALSE)</f>
        <v>1</v>
      </c>
      <c r="E12">
        <f>VLOOKUP($B12,experiments_specs!$A:$J,4,FALSE)</f>
        <v>2</v>
      </c>
      <c r="F12" t="str">
        <f>VLOOKUP($B12,experiments_specs!$A:$J,5,FALSE)</f>
        <v>True</v>
      </c>
      <c r="G12" t="str">
        <f>VLOOKUP($B12,experiments_specs!$A:$J,6,FALSE)</f>
        <v>True</v>
      </c>
      <c r="H12" t="str">
        <f>VLOOKUP($B12,experiments_specs!$A:$J,7,FALSE)</f>
        <v>False</v>
      </c>
      <c r="I12" t="str">
        <f>VLOOKUP($B12,experiments_specs!$A:$J,8,FALSE)</f>
        <v>False</v>
      </c>
      <c r="J12" t="str">
        <f>VLOOKUP($B12,experiments_specs!$A:$J,10,FALSE)</f>
        <v>False</v>
      </c>
      <c r="K12" s="34">
        <f>SUMIF(Dataset!A:A,scores_results!B12,Dataset!N:N)</f>
        <v>2.1740183792815371</v>
      </c>
      <c r="L12" s="34">
        <f>SUMIF(Dataset!$A:$A,scores_results!$B12,Dataset!Q:Q)</f>
        <v>1.798693703956862</v>
      </c>
    </row>
    <row r="13" spans="2:12" x14ac:dyDescent="0.2">
      <c r="B13" t="s">
        <v>146</v>
      </c>
      <c r="C13" t="str">
        <f>VLOOKUP($B13,experiments_specs!$A:$J,2,FALSE)</f>
        <v>NN,RB</v>
      </c>
      <c r="D13">
        <f>VLOOKUP($B13,experiments_specs!$A:$J,3,FALSE)</f>
        <v>1</v>
      </c>
      <c r="E13">
        <f>VLOOKUP($B13,experiments_specs!$A:$J,4,FALSE)</f>
        <v>2</v>
      </c>
      <c r="F13" t="str">
        <f>VLOOKUP($B13,experiments_specs!$A:$J,5,FALSE)</f>
        <v>True</v>
      </c>
      <c r="G13" t="str">
        <f>VLOOKUP($B13,experiments_specs!$A:$J,6,FALSE)</f>
        <v>True</v>
      </c>
      <c r="H13" t="str">
        <f>VLOOKUP($B13,experiments_specs!$A:$J,7,FALSE)</f>
        <v>False</v>
      </c>
      <c r="I13" t="str">
        <f>VLOOKUP($B13,experiments_specs!$A:$J,8,FALSE)</f>
        <v>False</v>
      </c>
      <c r="J13" t="str">
        <f>VLOOKUP($B13,experiments_specs!$A:$J,10,FALSE)</f>
        <v>False</v>
      </c>
      <c r="K13" s="34">
        <f>SUMIF(Dataset!A:A,scores_results!B13,Dataset!N:N)</f>
        <v>2.2594884647516222</v>
      </c>
      <c r="L13" s="34">
        <f>SUMIF(Dataset!$A:$A,scores_results!$B13,Dataset!Q:Q)</f>
        <v>1.8841637894269474</v>
      </c>
    </row>
    <row r="14" spans="2:12" x14ac:dyDescent="0.2">
      <c r="B14" t="s">
        <v>147</v>
      </c>
      <c r="C14" t="str">
        <f>VLOOKUP($B14,experiments_specs!$A:$J,2,FALSE)</f>
        <v>NN,JJ,VB,VBD,VBG,VBN,VBP,VBZ</v>
      </c>
      <c r="D14">
        <f>VLOOKUP($B14,experiments_specs!$A:$J,3,FALSE)</f>
        <v>1</v>
      </c>
      <c r="E14">
        <f>VLOOKUP($B14,experiments_specs!$A:$J,4,FALSE)</f>
        <v>2</v>
      </c>
      <c r="F14" t="str">
        <f>VLOOKUP($B14,experiments_specs!$A:$J,5,FALSE)</f>
        <v>True</v>
      </c>
      <c r="G14" t="str">
        <f>VLOOKUP($B14,experiments_specs!$A:$J,6,FALSE)</f>
        <v>True</v>
      </c>
      <c r="H14" t="str">
        <f>VLOOKUP($B14,experiments_specs!$A:$J,7,FALSE)</f>
        <v>False</v>
      </c>
      <c r="I14" t="str">
        <f>VLOOKUP($B14,experiments_specs!$A:$J,8,FALSE)</f>
        <v>False</v>
      </c>
      <c r="J14" t="str">
        <f>VLOOKUP($B14,experiments_specs!$A:$J,10,FALSE)</f>
        <v>False</v>
      </c>
      <c r="K14" s="34">
        <f>SUMIF(Dataset!A:A,scores_results!B14,Dataset!N:N)</f>
        <v>2.157455232283608</v>
      </c>
      <c r="L14" s="34">
        <f>SUMIF(Dataset!$A:$A,scores_results!$B14,Dataset!Q:Q)</f>
        <v>2.4998794747078499</v>
      </c>
    </row>
    <row r="15" spans="2:12" x14ac:dyDescent="0.2">
      <c r="B15" t="s">
        <v>148</v>
      </c>
      <c r="C15" t="str">
        <f>VLOOKUP($B15,experiments_specs!$A:$J,2,FALSE)</f>
        <v>NN</v>
      </c>
      <c r="D15">
        <f>VLOOKUP($B15,experiments_specs!$A:$J,3,FALSE)</f>
        <v>1</v>
      </c>
      <c r="E15">
        <f>VLOOKUP($B15,experiments_specs!$A:$J,4,FALSE)</f>
        <v>2</v>
      </c>
      <c r="F15" t="str">
        <f>VLOOKUP($B15,experiments_specs!$A:$J,5,FALSE)</f>
        <v>False</v>
      </c>
      <c r="G15" t="str">
        <f>VLOOKUP($B15,experiments_specs!$A:$J,6,FALSE)</f>
        <v>True</v>
      </c>
      <c r="H15" t="str">
        <f>VLOOKUP($B15,experiments_specs!$A:$J,7,FALSE)</f>
        <v>False</v>
      </c>
      <c r="I15" t="str">
        <f>VLOOKUP($B15,experiments_specs!$A:$J,8,FALSE)</f>
        <v>False</v>
      </c>
      <c r="J15" t="str">
        <f>VLOOKUP($B15,experiments_specs!$A:$J,10,FALSE)</f>
        <v>True</v>
      </c>
      <c r="K15" s="34">
        <f>SUMIF(Dataset!A:A,scores_results!B15,Dataset!N:N)</f>
        <v>1.8279866332497912</v>
      </c>
      <c r="L15" s="34">
        <f>SUMIF(Dataset!$A:$A,scores_results!$B15,Dataset!Q:Q)</f>
        <v>1.5256778309409886</v>
      </c>
    </row>
    <row r="16" spans="2:12" x14ac:dyDescent="0.2">
      <c r="B16" t="s">
        <v>149</v>
      </c>
      <c r="C16" t="str">
        <f>VLOOKUP($B16,experiments_specs!$A:$J,2,FALSE)</f>
        <v>NN,JJ</v>
      </c>
      <c r="D16">
        <f>VLOOKUP($B16,experiments_specs!$A:$J,3,FALSE)</f>
        <v>1</v>
      </c>
      <c r="E16">
        <f>VLOOKUP($B16,experiments_specs!$A:$J,4,FALSE)</f>
        <v>2</v>
      </c>
      <c r="F16" t="str">
        <f>VLOOKUP($B16,experiments_specs!$A:$J,5,FALSE)</f>
        <v>True</v>
      </c>
      <c r="G16" t="str">
        <f>VLOOKUP($B16,experiments_specs!$A:$J,6,FALSE)</f>
        <v>True</v>
      </c>
      <c r="H16" t="str">
        <f>VLOOKUP($B16,experiments_specs!$A:$J,7,FALSE)</f>
        <v>False</v>
      </c>
      <c r="I16" t="str">
        <f>VLOOKUP($B16,experiments_specs!$A:$J,8,FALSE)</f>
        <v>False</v>
      </c>
      <c r="J16" t="str">
        <f>VLOOKUP($B16,experiments_specs!$A:$J,10,FALSE)</f>
        <v>True</v>
      </c>
      <c r="K16" s="34">
        <f>SUMIF(Dataset!A:A,scores_results!B16,Dataset!N:N)</f>
        <v>1.8429253177536928</v>
      </c>
      <c r="L16" s="34">
        <f>SUMIF(Dataset!$A:$A,scores_results!$B16,Dataset!Q:Q)</f>
        <v>2.585349560177935</v>
      </c>
    </row>
    <row r="17" spans="2:12" x14ac:dyDescent="0.2">
      <c r="B17" t="s">
        <v>150</v>
      </c>
      <c r="C17" t="str">
        <f>VLOOKUP($B17,experiments_specs!$A:$J,2,FALSE)</f>
        <v>NN,VB</v>
      </c>
      <c r="D17">
        <f>VLOOKUP($B17,experiments_specs!$A:$J,3,FALSE)</f>
        <v>1</v>
      </c>
      <c r="E17">
        <f>VLOOKUP($B17,experiments_specs!$A:$J,4,FALSE)</f>
        <v>2</v>
      </c>
      <c r="F17" t="str">
        <f>VLOOKUP($B17,experiments_specs!$A:$J,5,FALSE)</f>
        <v>True</v>
      </c>
      <c r="G17" t="str">
        <f>VLOOKUP($B17,experiments_specs!$A:$J,6,FALSE)</f>
        <v>True</v>
      </c>
      <c r="H17" t="str">
        <f>VLOOKUP($B17,experiments_specs!$A:$J,7,FALSE)</f>
        <v>False</v>
      </c>
      <c r="I17" t="str">
        <f>VLOOKUP($B17,experiments_specs!$A:$J,8,FALSE)</f>
        <v>False</v>
      </c>
      <c r="J17" t="str">
        <f>VLOOKUP($B17,experiments_specs!$A:$J,10,FALSE)</f>
        <v>True</v>
      </c>
      <c r="K17" s="34">
        <f>SUMIF(Dataset!A:A,scores_results!B17,Dataset!N:N)</f>
        <v>1.8594884647516228</v>
      </c>
      <c r="L17" s="34">
        <f>SUMIF(Dataset!$A:$A,scores_results!$B17,Dataset!Q:Q)</f>
        <v>1.8841637894269474</v>
      </c>
    </row>
    <row r="18" spans="2:12" x14ac:dyDescent="0.2">
      <c r="B18" t="s">
        <v>151</v>
      </c>
      <c r="C18" t="str">
        <f>VLOOKUP($B18,experiments_specs!$A:$J,2,FALSE)</f>
        <v>NN,VB,VBD,VBG,VBN,VBP,VBZ</v>
      </c>
      <c r="D18">
        <f>VLOOKUP($B18,experiments_specs!$A:$J,3,FALSE)</f>
        <v>1</v>
      </c>
      <c r="E18">
        <f>VLOOKUP($B18,experiments_specs!$A:$J,4,FALSE)</f>
        <v>2</v>
      </c>
      <c r="F18" t="str">
        <f>VLOOKUP($B18,experiments_specs!$A:$J,5,FALSE)</f>
        <v>True</v>
      </c>
      <c r="G18" t="str">
        <f>VLOOKUP($B18,experiments_specs!$A:$J,6,FALSE)</f>
        <v>True</v>
      </c>
      <c r="H18" t="str">
        <f>VLOOKUP($B18,experiments_specs!$A:$J,7,FALSE)</f>
        <v>False</v>
      </c>
      <c r="I18" t="str">
        <f>VLOOKUP($B18,experiments_specs!$A:$J,8,FALSE)</f>
        <v>False</v>
      </c>
      <c r="J18" t="str">
        <f>VLOOKUP($B18,experiments_specs!$A:$J,10,FALSE)</f>
        <v>True</v>
      </c>
      <c r="K18" s="34">
        <f>SUMIF(Dataset!A:A,scores_results!B18,Dataset!N:N)</f>
        <v>1.8594884647516228</v>
      </c>
      <c r="L18" s="34">
        <f>SUMIF(Dataset!$A:$A,scores_results!$B18,Dataset!Q:Q)</f>
        <v>1.8841637894269474</v>
      </c>
    </row>
    <row r="19" spans="2:12" x14ac:dyDescent="0.2">
      <c r="B19" t="s">
        <v>152</v>
      </c>
      <c r="C19" t="str">
        <f>VLOOKUP($B19,experiments_specs!$A:$J,2,FALSE)</f>
        <v>NN,RB</v>
      </c>
      <c r="D19">
        <f>VLOOKUP($B19,experiments_specs!$A:$J,3,FALSE)</f>
        <v>1</v>
      </c>
      <c r="E19">
        <f>VLOOKUP($B19,experiments_specs!$A:$J,4,FALSE)</f>
        <v>2</v>
      </c>
      <c r="F19" t="str">
        <f>VLOOKUP($B19,experiments_specs!$A:$J,5,FALSE)</f>
        <v>True</v>
      </c>
      <c r="G19" t="str">
        <f>VLOOKUP($B19,experiments_specs!$A:$J,6,FALSE)</f>
        <v>True</v>
      </c>
      <c r="H19" t="str">
        <f>VLOOKUP($B19,experiments_specs!$A:$J,7,FALSE)</f>
        <v>False</v>
      </c>
      <c r="I19" t="str">
        <f>VLOOKUP($B19,experiments_specs!$A:$J,8,FALSE)</f>
        <v>False</v>
      </c>
      <c r="J19" t="str">
        <f>VLOOKUP($B19,experiments_specs!$A:$J,10,FALSE)</f>
        <v>True</v>
      </c>
      <c r="K19" s="34">
        <f>SUMIF(Dataset!A:A,scores_results!B19,Dataset!N:N)</f>
        <v>1.8594884647516228</v>
      </c>
      <c r="L19" s="34">
        <f>SUMIF(Dataset!$A:$A,scores_results!$B19,Dataset!Q:Q)</f>
        <v>1.8841637894269474</v>
      </c>
    </row>
    <row r="20" spans="2:12" x14ac:dyDescent="0.2">
      <c r="B20" t="s">
        <v>153</v>
      </c>
      <c r="C20" t="str">
        <f>VLOOKUP($B20,experiments_specs!$A:$J,2,FALSE)</f>
        <v>NN,JJ,VB,VBD,VBG,VBN,VBP,VBZ</v>
      </c>
      <c r="D20">
        <f>VLOOKUP($B20,experiments_specs!$A:$J,3,FALSE)</f>
        <v>1</v>
      </c>
      <c r="E20">
        <f>VLOOKUP($B20,experiments_specs!$A:$J,4,FALSE)</f>
        <v>2</v>
      </c>
      <c r="F20" t="str">
        <f>VLOOKUP($B20,experiments_specs!$A:$J,5,FALSE)</f>
        <v>True</v>
      </c>
      <c r="G20" t="str">
        <f>VLOOKUP($B20,experiments_specs!$A:$J,6,FALSE)</f>
        <v>True</v>
      </c>
      <c r="H20" t="str">
        <f>VLOOKUP($B20,experiments_specs!$A:$J,7,FALSE)</f>
        <v>False</v>
      </c>
      <c r="I20" t="str">
        <f>VLOOKUP($B20,experiments_specs!$A:$J,8,FALSE)</f>
        <v>False</v>
      </c>
      <c r="J20" t="str">
        <f>VLOOKUP($B20,experiments_specs!$A:$J,10,FALSE)</f>
        <v>True</v>
      </c>
      <c r="K20" s="34">
        <f>SUMIF(Dataset!A:A,scores_results!B20,Dataset!N:N)</f>
        <v>1.8429253177536928</v>
      </c>
      <c r="L20" s="34">
        <f>SUMIF(Dataset!$A:$A,scores_results!$B20,Dataset!Q:Q)</f>
        <v>2.585349560177935</v>
      </c>
    </row>
    <row r="21" spans="2:12" x14ac:dyDescent="0.2">
      <c r="B21" t="s">
        <v>154</v>
      </c>
      <c r="C21" t="str">
        <f>VLOOKUP($B21,experiments_specs!$A:$J,2,FALSE)</f>
        <v>NN</v>
      </c>
      <c r="D21">
        <f>VLOOKUP($B21,experiments_specs!$A:$J,3,FALSE)</f>
        <v>1</v>
      </c>
      <c r="E21">
        <f>VLOOKUP($B21,experiments_specs!$A:$J,4,FALSE)</f>
        <v>2</v>
      </c>
      <c r="F21" t="str">
        <f>VLOOKUP($B21,experiments_specs!$A:$J,5,FALSE)</f>
        <v>False</v>
      </c>
      <c r="G21" t="str">
        <f>VLOOKUP($B21,experiments_specs!$A:$J,6,FALSE)</f>
        <v>True</v>
      </c>
      <c r="H21" t="str">
        <f>VLOOKUP($B21,experiments_specs!$A:$J,7,FALSE)</f>
        <v>True</v>
      </c>
      <c r="I21" t="str">
        <f>VLOOKUP($B21,experiments_specs!$A:$J,8,FALSE)</f>
        <v>False</v>
      </c>
      <c r="J21" t="str">
        <f>VLOOKUP($B21,experiments_specs!$A:$J,10,FALSE)</f>
        <v>False</v>
      </c>
      <c r="K21" s="34">
        <f>SUMIF(Dataset!A:A,scores_results!B21,Dataset!N:N)</f>
        <v>1.8279866332497912</v>
      </c>
      <c r="L21" s="34">
        <f>SUMIF(Dataset!$A:$A,scores_results!$B21,Dataset!Q:Q)</f>
        <v>1.364963545226703</v>
      </c>
    </row>
    <row r="22" spans="2:12" x14ac:dyDescent="0.2">
      <c r="B22" t="s">
        <v>155</v>
      </c>
      <c r="C22" t="str">
        <f>VLOOKUP($B22,experiments_specs!$A:$J,2,FALSE)</f>
        <v>NN,JJ</v>
      </c>
      <c r="D22">
        <f>VLOOKUP($B22,experiments_specs!$A:$J,3,FALSE)</f>
        <v>1</v>
      </c>
      <c r="E22">
        <f>VLOOKUP($B22,experiments_specs!$A:$J,4,FALSE)</f>
        <v>2</v>
      </c>
      <c r="F22" t="str">
        <f>VLOOKUP($B22,experiments_specs!$A:$J,5,FALSE)</f>
        <v>False</v>
      </c>
      <c r="G22" t="str">
        <f>VLOOKUP($B22,experiments_specs!$A:$J,6,FALSE)</f>
        <v>True</v>
      </c>
      <c r="H22" t="str">
        <f>VLOOKUP($B22,experiments_specs!$A:$J,7,FALSE)</f>
        <v>True</v>
      </c>
      <c r="I22" t="str">
        <f>VLOOKUP($B22,experiments_specs!$A:$J,8,FALSE)</f>
        <v>False</v>
      </c>
      <c r="J22" t="str">
        <f>VLOOKUP($B22,experiments_specs!$A:$J,10,FALSE)</f>
        <v>False</v>
      </c>
      <c r="K22" s="34">
        <f>SUMIF(Dataset!A:A,scores_results!B22,Dataset!N:N)</f>
        <v>1.8114234862518612</v>
      </c>
      <c r="L22" s="34">
        <f>SUMIF(Dataset!$A:$A,scores_results!$B22,Dataset!Q:Q)</f>
        <v>1.3873725088121371</v>
      </c>
    </row>
    <row r="23" spans="2:12" x14ac:dyDescent="0.2">
      <c r="B23" t="s">
        <v>156</v>
      </c>
      <c r="C23" t="str">
        <f>VLOOKUP($B23,experiments_specs!$A:$J,2,FALSE)</f>
        <v>NN,VB</v>
      </c>
      <c r="D23">
        <f>VLOOKUP($B23,experiments_specs!$A:$J,3,FALSE)</f>
        <v>1</v>
      </c>
      <c r="E23">
        <f>VLOOKUP($B23,experiments_specs!$A:$J,4,FALSE)</f>
        <v>2</v>
      </c>
      <c r="F23" t="str">
        <f>VLOOKUP($B23,experiments_specs!$A:$J,5,FALSE)</f>
        <v>False</v>
      </c>
      <c r="G23" t="str">
        <f>VLOOKUP($B23,experiments_specs!$A:$J,6,FALSE)</f>
        <v>True</v>
      </c>
      <c r="H23" t="str">
        <f>VLOOKUP($B23,experiments_specs!$A:$J,7,FALSE)</f>
        <v>True</v>
      </c>
      <c r="I23" t="str">
        <f>VLOOKUP($B23,experiments_specs!$A:$J,8,FALSE)</f>
        <v>False</v>
      </c>
      <c r="J23" t="str">
        <f>VLOOKUP($B23,experiments_specs!$A:$J,10,FALSE)</f>
        <v>False</v>
      </c>
      <c r="K23" s="34">
        <f>SUMIF(Dataset!A:A,scores_results!B23,Dataset!N:N)</f>
        <v>1.5244152046783626</v>
      </c>
      <c r="L23" s="34">
        <f>SUMIF(Dataset!$A:$A,scores_results!$B23,Dataset!Q:Q)</f>
        <v>0.996218487394958</v>
      </c>
    </row>
    <row r="24" spans="2:12" x14ac:dyDescent="0.2">
      <c r="B24" t="s">
        <v>157</v>
      </c>
      <c r="C24" t="str">
        <f>VLOOKUP($B24,experiments_specs!$A:$J,2,FALSE)</f>
        <v>NN,VB,VBD,VBG,VBN,VBP,VBZ</v>
      </c>
      <c r="D24">
        <f>VLOOKUP($B24,experiments_specs!$A:$J,3,FALSE)</f>
        <v>1</v>
      </c>
      <c r="E24">
        <f>VLOOKUP($B24,experiments_specs!$A:$J,4,FALSE)</f>
        <v>2</v>
      </c>
      <c r="F24" t="str">
        <f>VLOOKUP($B24,experiments_specs!$A:$J,5,FALSE)</f>
        <v>False</v>
      </c>
      <c r="G24" t="str">
        <f>VLOOKUP($B24,experiments_specs!$A:$J,6,FALSE)</f>
        <v>True</v>
      </c>
      <c r="H24" t="str">
        <f>VLOOKUP($B24,experiments_specs!$A:$J,7,FALSE)</f>
        <v>True</v>
      </c>
      <c r="I24" t="str">
        <f>VLOOKUP($B24,experiments_specs!$A:$J,8,FALSE)</f>
        <v>False</v>
      </c>
      <c r="J24" t="str">
        <f>VLOOKUP($B24,experiments_specs!$A:$J,10,FALSE)</f>
        <v>False</v>
      </c>
      <c r="K24" s="34">
        <f>SUMIF(Dataset!A:A,scores_results!B24,Dataset!N:N)</f>
        <v>1.646637426900585</v>
      </c>
      <c r="L24" s="34">
        <f>SUMIF(Dataset!$A:$A,scores_results!$B24,Dataset!Q:Q)</f>
        <v>1.5463064713064714</v>
      </c>
    </row>
    <row r="25" spans="2:12" x14ac:dyDescent="0.2">
      <c r="B25" t="s">
        <v>158</v>
      </c>
      <c r="C25" t="str">
        <f>VLOOKUP($B25,experiments_specs!$A:$J,2,FALSE)</f>
        <v>NN,RB</v>
      </c>
      <c r="D25">
        <f>VLOOKUP($B25,experiments_specs!$A:$J,3,FALSE)</f>
        <v>1</v>
      </c>
      <c r="E25">
        <f>VLOOKUP($B25,experiments_specs!$A:$J,4,FALSE)</f>
        <v>2</v>
      </c>
      <c r="F25" t="str">
        <f>VLOOKUP($B25,experiments_specs!$A:$J,5,FALSE)</f>
        <v>False</v>
      </c>
      <c r="G25" t="str">
        <f>VLOOKUP($B25,experiments_specs!$A:$J,6,FALSE)</f>
        <v>True</v>
      </c>
      <c r="H25" t="str">
        <f>VLOOKUP($B25,experiments_specs!$A:$J,7,FALSE)</f>
        <v>True</v>
      </c>
      <c r="I25" t="str">
        <f>VLOOKUP($B25,experiments_specs!$A:$J,8,FALSE)</f>
        <v>False</v>
      </c>
      <c r="J25" t="str">
        <f>VLOOKUP($B25,experiments_specs!$A:$J,10,FALSE)</f>
        <v>False</v>
      </c>
      <c r="K25" s="34">
        <f>SUMIF(Dataset!A:A,scores_results!B25,Dataset!N:N)</f>
        <v>1.8279866332497912</v>
      </c>
      <c r="L25" s="34">
        <f>SUMIF(Dataset!$A:$A,scores_results!$B25,Dataset!Q:Q)</f>
        <v>1.364963545226703</v>
      </c>
    </row>
    <row r="26" spans="2:12" x14ac:dyDescent="0.2">
      <c r="B26" t="s">
        <v>159</v>
      </c>
      <c r="C26" t="str">
        <f>VLOOKUP($B26,experiments_specs!$A:$J,2,FALSE)</f>
        <v>NN,JJ,VB,VBD,VBG,VBN,VBP,VBZ</v>
      </c>
      <c r="D26">
        <f>VLOOKUP($B26,experiments_specs!$A:$J,3,FALSE)</f>
        <v>1</v>
      </c>
      <c r="E26">
        <f>VLOOKUP($B26,experiments_specs!$A:$J,4,FALSE)</f>
        <v>2</v>
      </c>
      <c r="F26" t="str">
        <f>VLOOKUP($B26,experiments_specs!$A:$J,5,FALSE)</f>
        <v>False</v>
      </c>
      <c r="G26" t="str">
        <f>VLOOKUP($B26,experiments_specs!$A:$J,6,FALSE)</f>
        <v>True</v>
      </c>
      <c r="H26" t="str">
        <f>VLOOKUP($B26,experiments_specs!$A:$J,7,FALSE)</f>
        <v>True</v>
      </c>
      <c r="I26" t="str">
        <f>VLOOKUP($B26,experiments_specs!$A:$J,8,FALSE)</f>
        <v>False</v>
      </c>
      <c r="J26" t="str">
        <f>VLOOKUP($B26,experiments_specs!$A:$J,10,FALSE)</f>
        <v>False</v>
      </c>
      <c r="K26" s="34">
        <f>SUMIF(Dataset!A:A,scores_results!B26,Dataset!N:N)</f>
        <v>1.6300742799026551</v>
      </c>
      <c r="L26" s="34">
        <f>SUMIF(Dataset!$A:$A,scores_results!$B26,Dataset!Q:Q)</f>
        <v>1.5613624937154349</v>
      </c>
    </row>
    <row r="27" spans="2:12" x14ac:dyDescent="0.2">
      <c r="B27" t="s">
        <v>160</v>
      </c>
      <c r="C27" t="str">
        <f>VLOOKUP($B27,experiments_specs!$A:$J,2,FALSE)</f>
        <v>NN</v>
      </c>
      <c r="D27">
        <f>VLOOKUP($B27,experiments_specs!$A:$J,3,FALSE)</f>
        <v>1</v>
      </c>
      <c r="E27">
        <f>VLOOKUP($B27,experiments_specs!$A:$J,4,FALSE)</f>
        <v>2</v>
      </c>
      <c r="F27" t="str">
        <f>VLOOKUP($B27,experiments_specs!$A:$J,5,FALSE)</f>
        <v>True</v>
      </c>
      <c r="G27" t="str">
        <f>VLOOKUP($B27,experiments_specs!$A:$J,6,FALSE)</f>
        <v>True</v>
      </c>
      <c r="H27" t="str">
        <f>VLOOKUP($B27,experiments_specs!$A:$J,7,FALSE)</f>
        <v>True</v>
      </c>
      <c r="I27" t="str">
        <f>VLOOKUP($B27,experiments_specs!$A:$J,8,FALSE)</f>
        <v>False</v>
      </c>
      <c r="J27" t="str">
        <f>VLOOKUP($B27,experiments_specs!$A:$J,10,FALSE)</f>
        <v>False</v>
      </c>
      <c r="K27" s="34">
        <f>SUMIF(Dataset!A:A,scores_results!B27,Dataset!N:N)</f>
        <v>1.8279866332497912</v>
      </c>
      <c r="L27" s="34">
        <f>SUMIF(Dataset!$A:$A,scores_results!$B27,Dataset!Q:Q)</f>
        <v>1.364963545226703</v>
      </c>
    </row>
    <row r="28" spans="2:12" x14ac:dyDescent="0.2">
      <c r="B28" t="s">
        <v>161</v>
      </c>
      <c r="C28" t="str">
        <f>VLOOKUP($B28,experiments_specs!$A:$J,2,FALSE)</f>
        <v>NN,JJ</v>
      </c>
      <c r="D28">
        <f>VLOOKUP($B28,experiments_specs!$A:$J,3,FALSE)</f>
        <v>1</v>
      </c>
      <c r="E28">
        <f>VLOOKUP($B28,experiments_specs!$A:$J,4,FALSE)</f>
        <v>2</v>
      </c>
      <c r="F28" t="str">
        <f>VLOOKUP($B28,experiments_specs!$A:$J,5,FALSE)</f>
        <v>True</v>
      </c>
      <c r="G28" t="str">
        <f>VLOOKUP($B28,experiments_specs!$A:$J,6,FALSE)</f>
        <v>True</v>
      </c>
      <c r="H28" t="str">
        <f>VLOOKUP($B28,experiments_specs!$A:$J,7,FALSE)</f>
        <v>True</v>
      </c>
      <c r="I28" t="str">
        <f>VLOOKUP($B28,experiments_specs!$A:$J,8,FALSE)</f>
        <v>False</v>
      </c>
      <c r="J28" t="str">
        <f>VLOOKUP($B28,experiments_specs!$A:$J,10,FALSE)</f>
        <v>False</v>
      </c>
      <c r="K28" s="34">
        <f>SUMIF(Dataset!A:A,scores_results!B28,Dataset!N:N)</f>
        <v>2.2429253177536932</v>
      </c>
      <c r="L28" s="34">
        <f>SUMIF(Dataset!$A:$A,scores_results!$B28,Dataset!Q:Q)</f>
        <v>1.8910438658722413</v>
      </c>
    </row>
    <row r="29" spans="2:12" x14ac:dyDescent="0.2">
      <c r="B29" t="s">
        <v>162</v>
      </c>
      <c r="C29" t="str">
        <f>VLOOKUP($B29,experiments_specs!$A:$J,2,FALSE)</f>
        <v>NN,VB</v>
      </c>
      <c r="D29">
        <f>VLOOKUP($B29,experiments_specs!$A:$J,3,FALSE)</f>
        <v>1</v>
      </c>
      <c r="E29">
        <f>VLOOKUP($B29,experiments_specs!$A:$J,4,FALSE)</f>
        <v>2</v>
      </c>
      <c r="F29" t="str">
        <f>VLOOKUP($B29,experiments_specs!$A:$J,5,FALSE)</f>
        <v>True</v>
      </c>
      <c r="G29" t="str">
        <f>VLOOKUP($B29,experiments_specs!$A:$J,6,FALSE)</f>
        <v>True</v>
      </c>
      <c r="H29" t="str">
        <f>VLOOKUP($B29,experiments_specs!$A:$J,7,FALSE)</f>
        <v>True</v>
      </c>
      <c r="I29" t="str">
        <f>VLOOKUP($B29,experiments_specs!$A:$J,8,FALSE)</f>
        <v>False</v>
      </c>
      <c r="J29" t="str">
        <f>VLOOKUP($B29,experiments_specs!$A:$J,10,FALSE)</f>
        <v>False</v>
      </c>
      <c r="K29" s="34">
        <f>SUMIF(Dataset!A:A,scores_results!B29,Dataset!N:N)</f>
        <v>2.1740183792815371</v>
      </c>
      <c r="L29" s="34">
        <f>SUMIF(Dataset!$A:$A,scores_results!$B29,Dataset!Q:Q)</f>
        <v>1.9076070128701708</v>
      </c>
    </row>
    <row r="30" spans="2:12" x14ac:dyDescent="0.2">
      <c r="B30" t="s">
        <v>163</v>
      </c>
      <c r="C30" t="str">
        <f>VLOOKUP($B30,experiments_specs!$A:$J,2,FALSE)</f>
        <v>NN,VB,VBD,VBG,VBN,VBP,VBZ</v>
      </c>
      <c r="D30">
        <f>VLOOKUP($B30,experiments_specs!$A:$J,3,FALSE)</f>
        <v>1</v>
      </c>
      <c r="E30">
        <f>VLOOKUP($B30,experiments_specs!$A:$J,4,FALSE)</f>
        <v>2</v>
      </c>
      <c r="F30" t="str">
        <f>VLOOKUP($B30,experiments_specs!$A:$J,5,FALSE)</f>
        <v>True</v>
      </c>
      <c r="G30" t="str">
        <f>VLOOKUP($B30,experiments_specs!$A:$J,6,FALSE)</f>
        <v>True</v>
      </c>
      <c r="H30" t="str">
        <f>VLOOKUP($B30,experiments_specs!$A:$J,7,FALSE)</f>
        <v>True</v>
      </c>
      <c r="I30" t="str">
        <f>VLOOKUP($B30,experiments_specs!$A:$J,8,FALSE)</f>
        <v>False</v>
      </c>
      <c r="J30" t="str">
        <f>VLOOKUP($B30,experiments_specs!$A:$J,10,FALSE)</f>
        <v>False</v>
      </c>
      <c r="K30" s="34">
        <f>SUMIF(Dataset!A:A,scores_results!B30,Dataset!N:N)</f>
        <v>2.2295739348370924</v>
      </c>
      <c r="L30" s="34">
        <f>SUMIF(Dataset!$A:$A,scores_results!$B30,Dataset!Q:Q)</f>
        <v>1.799914705177863</v>
      </c>
    </row>
    <row r="31" spans="2:12" x14ac:dyDescent="0.2">
      <c r="B31" t="s">
        <v>164</v>
      </c>
      <c r="C31" t="str">
        <f>VLOOKUP($B31,experiments_specs!$A:$J,2,FALSE)</f>
        <v>NN,RB</v>
      </c>
      <c r="D31">
        <f>VLOOKUP($B31,experiments_specs!$A:$J,3,FALSE)</f>
        <v>1</v>
      </c>
      <c r="E31">
        <f>VLOOKUP($B31,experiments_specs!$A:$J,4,FALSE)</f>
        <v>2</v>
      </c>
      <c r="F31" t="str">
        <f>VLOOKUP($B31,experiments_specs!$A:$J,5,FALSE)</f>
        <v>True</v>
      </c>
      <c r="G31" t="str">
        <f>VLOOKUP($B31,experiments_specs!$A:$J,6,FALSE)</f>
        <v>True</v>
      </c>
      <c r="H31" t="str">
        <f>VLOOKUP($B31,experiments_specs!$A:$J,7,FALSE)</f>
        <v>True</v>
      </c>
      <c r="I31" t="str">
        <f>VLOOKUP($B31,experiments_specs!$A:$J,8,FALSE)</f>
        <v>False</v>
      </c>
      <c r="J31" t="str">
        <f>VLOOKUP($B31,experiments_specs!$A:$J,10,FALSE)</f>
        <v>False</v>
      </c>
      <c r="K31" s="34">
        <f>SUMIF(Dataset!A:A,scores_results!B31,Dataset!N:N)</f>
        <v>2.2594884647516222</v>
      </c>
      <c r="L31" s="34">
        <f>SUMIF(Dataset!$A:$A,scores_results!$B31,Dataset!Q:Q)</f>
        <v>1.9076070128701708</v>
      </c>
    </row>
    <row r="32" spans="2:12" x14ac:dyDescent="0.2">
      <c r="B32" t="s">
        <v>165</v>
      </c>
      <c r="C32" t="str">
        <f>VLOOKUP($B32,experiments_specs!$A:$J,2,FALSE)</f>
        <v>NN,JJ,VB,VBD,VBG,VBN,VBP,VBZ</v>
      </c>
      <c r="D32">
        <f>VLOOKUP($B32,experiments_specs!$A:$J,3,FALSE)</f>
        <v>1</v>
      </c>
      <c r="E32">
        <f>VLOOKUP($B32,experiments_specs!$A:$J,4,FALSE)</f>
        <v>2</v>
      </c>
      <c r="F32" t="str">
        <f>VLOOKUP($B32,experiments_specs!$A:$J,5,FALSE)</f>
        <v>True</v>
      </c>
      <c r="G32" t="str">
        <f>VLOOKUP($B32,experiments_specs!$A:$J,6,FALSE)</f>
        <v>True</v>
      </c>
      <c r="H32" t="str">
        <f>VLOOKUP($B32,experiments_specs!$A:$J,7,FALSE)</f>
        <v>True</v>
      </c>
      <c r="I32" t="str">
        <f>VLOOKUP($B32,experiments_specs!$A:$J,8,FALSE)</f>
        <v>False</v>
      </c>
      <c r="J32" t="str">
        <f>VLOOKUP($B32,experiments_specs!$A:$J,10,FALSE)</f>
        <v>False</v>
      </c>
      <c r="K32" s="34">
        <f>SUMIF(Dataset!A:A,scores_results!B32,Dataset!N:N)</f>
        <v>2.157455232283608</v>
      </c>
      <c r="L32" s="34">
        <f>SUMIF(Dataset!$A:$A,scores_results!$B32,Dataset!Q:Q)</f>
        <v>1.7833515581799335</v>
      </c>
    </row>
    <row r="33" spans="2:12" x14ac:dyDescent="0.2">
      <c r="B33" t="s">
        <v>166</v>
      </c>
      <c r="C33" t="str">
        <f>VLOOKUP($B33,experiments_specs!$A:$J,2,FALSE)</f>
        <v>NN</v>
      </c>
      <c r="D33">
        <f>VLOOKUP($B33,experiments_specs!$A:$J,3,FALSE)</f>
        <v>1</v>
      </c>
      <c r="E33">
        <f>VLOOKUP($B33,experiments_specs!$A:$J,4,FALSE)</f>
        <v>2</v>
      </c>
      <c r="F33" t="str">
        <f>VLOOKUP($B33,experiments_specs!$A:$J,5,FALSE)</f>
        <v>False</v>
      </c>
      <c r="G33" t="str">
        <f>VLOOKUP($B33,experiments_specs!$A:$J,6,FALSE)</f>
        <v>True</v>
      </c>
      <c r="H33" t="str">
        <f>VLOOKUP($B33,experiments_specs!$A:$J,7,FALSE)</f>
        <v>True</v>
      </c>
      <c r="I33" t="str">
        <f>VLOOKUP($B33,experiments_specs!$A:$J,8,FALSE)</f>
        <v>False</v>
      </c>
      <c r="J33" t="str">
        <f>VLOOKUP($B33,experiments_specs!$A:$J,10,FALSE)</f>
        <v>True</v>
      </c>
      <c r="K33" s="34">
        <f>SUMIF(Dataset!A:A,scores_results!B33,Dataset!N:N)</f>
        <v>1.8279866332497912</v>
      </c>
      <c r="L33" s="34">
        <f>SUMIF(Dataset!$A:$A,scores_results!$B33,Dataset!Q:Q)</f>
        <v>1.364963545226703</v>
      </c>
    </row>
    <row r="34" spans="2:12" x14ac:dyDescent="0.2">
      <c r="B34" t="s">
        <v>167</v>
      </c>
      <c r="C34" t="str">
        <f>VLOOKUP($B34,experiments_specs!$A:$J,2,FALSE)</f>
        <v>NN,JJ</v>
      </c>
      <c r="D34">
        <f>VLOOKUP($B34,experiments_specs!$A:$J,3,FALSE)</f>
        <v>1</v>
      </c>
      <c r="E34">
        <f>VLOOKUP($B34,experiments_specs!$A:$J,4,FALSE)</f>
        <v>2</v>
      </c>
      <c r="F34" t="str">
        <f>VLOOKUP($B34,experiments_specs!$A:$J,5,FALSE)</f>
        <v>True</v>
      </c>
      <c r="G34" t="str">
        <f>VLOOKUP($B34,experiments_specs!$A:$J,6,FALSE)</f>
        <v>True</v>
      </c>
      <c r="H34" t="str">
        <f>VLOOKUP($B34,experiments_specs!$A:$J,7,FALSE)</f>
        <v>True</v>
      </c>
      <c r="I34" t="str">
        <f>VLOOKUP($B34,experiments_specs!$A:$J,8,FALSE)</f>
        <v>False</v>
      </c>
      <c r="J34" t="str">
        <f>VLOOKUP($B34,experiments_specs!$A:$J,10,FALSE)</f>
        <v>True</v>
      </c>
      <c r="K34" s="34">
        <f>SUMIF(Dataset!A:A,scores_results!B34,Dataset!N:N)</f>
        <v>1.8429253177536928</v>
      </c>
      <c r="L34" s="34">
        <f>SUMIF(Dataset!$A:$A,scores_results!$B34,Dataset!Q:Q)</f>
        <v>1.8910438658722413</v>
      </c>
    </row>
    <row r="35" spans="2:12" x14ac:dyDescent="0.2">
      <c r="B35" t="s">
        <v>168</v>
      </c>
      <c r="C35" t="str">
        <f>VLOOKUP($B35,experiments_specs!$A:$J,2,FALSE)</f>
        <v>NN,VB</v>
      </c>
      <c r="D35">
        <f>VLOOKUP($B35,experiments_specs!$A:$J,3,FALSE)</f>
        <v>1</v>
      </c>
      <c r="E35">
        <f>VLOOKUP($B35,experiments_specs!$A:$J,4,FALSE)</f>
        <v>2</v>
      </c>
      <c r="F35" t="str">
        <f>VLOOKUP($B35,experiments_specs!$A:$J,5,FALSE)</f>
        <v>True</v>
      </c>
      <c r="G35" t="str">
        <f>VLOOKUP($B35,experiments_specs!$A:$J,6,FALSE)</f>
        <v>True</v>
      </c>
      <c r="H35" t="str">
        <f>VLOOKUP($B35,experiments_specs!$A:$J,7,FALSE)</f>
        <v>True</v>
      </c>
      <c r="I35" t="str">
        <f>VLOOKUP($B35,experiments_specs!$A:$J,8,FALSE)</f>
        <v>False</v>
      </c>
      <c r="J35" t="str">
        <f>VLOOKUP($B35,experiments_specs!$A:$J,10,FALSE)</f>
        <v>True</v>
      </c>
      <c r="K35" s="34">
        <f>SUMIF(Dataset!A:A,scores_results!B35,Dataset!N:N)</f>
        <v>1.8594884647516228</v>
      </c>
      <c r="L35" s="34">
        <f>SUMIF(Dataset!$A:$A,scores_results!$B35,Dataset!Q:Q)</f>
        <v>1.9076070128701708</v>
      </c>
    </row>
    <row r="36" spans="2:12" x14ac:dyDescent="0.2">
      <c r="B36" t="s">
        <v>169</v>
      </c>
      <c r="C36" t="str">
        <f>VLOOKUP($B36,experiments_specs!$A:$J,2,FALSE)</f>
        <v>NN,VB,VBD,VBG,VBN,VBP,VBZ</v>
      </c>
      <c r="D36">
        <f>VLOOKUP($B36,experiments_specs!$A:$J,3,FALSE)</f>
        <v>1</v>
      </c>
      <c r="E36">
        <f>VLOOKUP($B36,experiments_specs!$A:$J,4,FALSE)</f>
        <v>2</v>
      </c>
      <c r="F36" t="str">
        <f>VLOOKUP($B36,experiments_specs!$A:$J,5,FALSE)</f>
        <v>True</v>
      </c>
      <c r="G36" t="str">
        <f>VLOOKUP($B36,experiments_specs!$A:$J,6,FALSE)</f>
        <v>True</v>
      </c>
      <c r="H36" t="str">
        <f>VLOOKUP($B36,experiments_specs!$A:$J,7,FALSE)</f>
        <v>True</v>
      </c>
      <c r="I36" t="str">
        <f>VLOOKUP($B36,experiments_specs!$A:$J,8,FALSE)</f>
        <v>False</v>
      </c>
      <c r="J36" t="str">
        <f>VLOOKUP($B36,experiments_specs!$A:$J,10,FALSE)</f>
        <v>True</v>
      </c>
      <c r="K36" s="34">
        <f>SUMIF(Dataset!A:A,scores_results!B36,Dataset!N:N)</f>
        <v>1.8594884647516228</v>
      </c>
      <c r="L36" s="34">
        <f>SUMIF(Dataset!$A:$A,scores_results!$B36,Dataset!Q:Q)</f>
        <v>1.9076070128701708</v>
      </c>
    </row>
    <row r="37" spans="2:12" x14ac:dyDescent="0.2">
      <c r="B37" t="s">
        <v>170</v>
      </c>
      <c r="C37" t="str">
        <f>VLOOKUP($B37,experiments_specs!$A:$J,2,FALSE)</f>
        <v>NN,RB</v>
      </c>
      <c r="D37">
        <f>VLOOKUP($B37,experiments_specs!$A:$J,3,FALSE)</f>
        <v>1</v>
      </c>
      <c r="E37">
        <f>VLOOKUP($B37,experiments_specs!$A:$J,4,FALSE)</f>
        <v>2</v>
      </c>
      <c r="F37" t="str">
        <f>VLOOKUP($B37,experiments_specs!$A:$J,5,FALSE)</f>
        <v>True</v>
      </c>
      <c r="G37" t="str">
        <f>VLOOKUP($B37,experiments_specs!$A:$J,6,FALSE)</f>
        <v>True</v>
      </c>
      <c r="H37" t="str">
        <f>VLOOKUP($B37,experiments_specs!$A:$J,7,FALSE)</f>
        <v>True</v>
      </c>
      <c r="I37" t="str">
        <f>VLOOKUP($B37,experiments_specs!$A:$J,8,FALSE)</f>
        <v>False</v>
      </c>
      <c r="J37" t="str">
        <f>VLOOKUP($B37,experiments_specs!$A:$J,10,FALSE)</f>
        <v>True</v>
      </c>
      <c r="K37" s="34">
        <f>SUMIF(Dataset!A:A,scores_results!B37,Dataset!N:N)</f>
        <v>1.8594884647516228</v>
      </c>
      <c r="L37" s="34">
        <f>SUMIF(Dataset!$A:$A,scores_results!$B37,Dataset!Q:Q)</f>
        <v>1.9076070128701708</v>
      </c>
    </row>
    <row r="38" spans="2:12" x14ac:dyDescent="0.2">
      <c r="B38" t="s">
        <v>171</v>
      </c>
      <c r="C38" t="str">
        <f>VLOOKUP($B38,experiments_specs!$A:$J,2,FALSE)</f>
        <v>NN,JJ,VB,VBD,VBG,VBN,VBP,VBZ</v>
      </c>
      <c r="D38">
        <f>VLOOKUP($B38,experiments_specs!$A:$J,3,FALSE)</f>
        <v>1</v>
      </c>
      <c r="E38">
        <f>VLOOKUP($B38,experiments_specs!$A:$J,4,FALSE)</f>
        <v>2</v>
      </c>
      <c r="F38" t="str">
        <f>VLOOKUP($B38,experiments_specs!$A:$J,5,FALSE)</f>
        <v>True</v>
      </c>
      <c r="G38" t="str">
        <f>VLOOKUP($B38,experiments_specs!$A:$J,6,FALSE)</f>
        <v>True</v>
      </c>
      <c r="H38" t="str">
        <f>VLOOKUP($B38,experiments_specs!$A:$J,7,FALSE)</f>
        <v>True</v>
      </c>
      <c r="I38" t="str">
        <f>VLOOKUP($B38,experiments_specs!$A:$J,8,FALSE)</f>
        <v>False</v>
      </c>
      <c r="J38" t="str">
        <f>VLOOKUP($B38,experiments_specs!$A:$J,10,FALSE)</f>
        <v>True</v>
      </c>
      <c r="K38" s="34">
        <f>SUMIF(Dataset!A:A,scores_results!B38,Dataset!N:N)</f>
        <v>1.8429253177536928</v>
      </c>
      <c r="L38" s="34">
        <f>SUMIF(Dataset!$A:$A,scores_results!$B38,Dataset!Q:Q)</f>
        <v>2.6183165931449679</v>
      </c>
    </row>
    <row r="39" spans="2:12" x14ac:dyDescent="0.2">
      <c r="B39" t="s">
        <v>172</v>
      </c>
      <c r="C39" t="str">
        <f>VLOOKUP($B39,experiments_specs!$A:$J,2,FALSE)</f>
        <v>NN</v>
      </c>
      <c r="D39">
        <f>VLOOKUP($B39,experiments_specs!$A:$J,3,FALSE)</f>
        <v>1</v>
      </c>
      <c r="E39">
        <f>VLOOKUP($B39,experiments_specs!$A:$J,4,FALSE)</f>
        <v>2</v>
      </c>
      <c r="F39" t="str">
        <f>VLOOKUP($B39,experiments_specs!$A:$J,5,FALSE)</f>
        <v>False</v>
      </c>
      <c r="G39" t="str">
        <f>VLOOKUP($B39,experiments_specs!$A:$J,6,FALSE)</f>
        <v>True</v>
      </c>
      <c r="H39" t="str">
        <f>VLOOKUP($B39,experiments_specs!$A:$J,7,FALSE)</f>
        <v>True</v>
      </c>
      <c r="I39" t="str">
        <f>VLOOKUP($B39,experiments_specs!$A:$J,8,FALSE)</f>
        <v>True</v>
      </c>
      <c r="J39" t="str">
        <f>VLOOKUP($B39,experiments_specs!$A:$J,10,FALSE)</f>
        <v>False</v>
      </c>
      <c r="K39" s="34">
        <f>SUMIF(Dataset!A:A,scores_results!B39,Dataset!N:N)</f>
        <v>1.6672723475355054</v>
      </c>
      <c r="L39" s="34">
        <f>SUMIF(Dataset!$A:$A,scores_results!$B39,Dataset!Q:Q)</f>
        <v>1.6154761904761905</v>
      </c>
    </row>
  </sheetData>
  <mergeCells count="1">
    <mergeCell ref="B1:L1"/>
  </mergeCells>
  <conditionalFormatting sqref="K3:L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1A37-CB6C-E146-9199-2AF9A418B054}">
  <sheetPr codeName="Foglio8"/>
  <dimension ref="A1:L6"/>
  <sheetViews>
    <sheetView workbookViewId="0">
      <selection activeCell="F11" sqref="F11"/>
    </sheetView>
  </sheetViews>
  <sheetFormatPr baseColWidth="10" defaultRowHeight="16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</row>
    <row r="2" spans="1:12" x14ac:dyDescent="0.2">
      <c r="A2" s="17" t="s">
        <v>142</v>
      </c>
      <c r="B2" t="s">
        <v>128</v>
      </c>
      <c r="C2">
        <v>1</v>
      </c>
      <c r="D2">
        <v>2</v>
      </c>
      <c r="E2" t="s">
        <v>129</v>
      </c>
      <c r="F2" t="s">
        <v>130</v>
      </c>
      <c r="G2" t="s">
        <v>129</v>
      </c>
      <c r="H2" t="s">
        <v>129</v>
      </c>
      <c r="I2" t="s">
        <v>131</v>
      </c>
      <c r="J2" t="s">
        <v>129</v>
      </c>
      <c r="K2" t="str">
        <f>_xlfn.CONCAT(B2:J2)</f>
        <v>NN12FalseTrueFalseFalsewup_similarityFalse</v>
      </c>
      <c r="L2">
        <f>COUNTIFS(K:K,K2)</f>
        <v>1</v>
      </c>
    </row>
    <row r="3" spans="1:12" x14ac:dyDescent="0.2">
      <c r="A3" s="17" t="s">
        <v>160</v>
      </c>
      <c r="B3" t="s">
        <v>128</v>
      </c>
      <c r="C3">
        <v>1</v>
      </c>
      <c r="D3">
        <v>2</v>
      </c>
      <c r="E3" t="s">
        <v>129</v>
      </c>
      <c r="F3" t="s">
        <v>130</v>
      </c>
      <c r="G3" t="s">
        <v>130</v>
      </c>
      <c r="H3" t="s">
        <v>129</v>
      </c>
      <c r="I3" t="s">
        <v>131</v>
      </c>
      <c r="J3" t="s">
        <v>129</v>
      </c>
      <c r="K3" t="str">
        <f>_xlfn.CONCAT(B3:J3)</f>
        <v>NN12FalseTrueTrueFalsewup_similarityFalse</v>
      </c>
      <c r="L3">
        <f>COUNTIFS(K:K,K3)</f>
        <v>1</v>
      </c>
    </row>
    <row r="4" spans="1:12" x14ac:dyDescent="0.2">
      <c r="A4" s="17" t="s">
        <v>178</v>
      </c>
      <c r="B4" t="s">
        <v>128</v>
      </c>
      <c r="C4">
        <v>1</v>
      </c>
      <c r="D4">
        <v>2</v>
      </c>
      <c r="E4" t="s">
        <v>129</v>
      </c>
      <c r="F4" t="s">
        <v>130</v>
      </c>
      <c r="G4" t="s">
        <v>130</v>
      </c>
      <c r="H4" t="s">
        <v>130</v>
      </c>
      <c r="I4" t="s">
        <v>131</v>
      </c>
      <c r="J4" t="s">
        <v>129</v>
      </c>
      <c r="K4" t="str">
        <f>_xlfn.CONCAT(B4:J4)</f>
        <v>NN12FalseTrueTrueTruewup_similarityFalse</v>
      </c>
      <c r="L4">
        <f>COUNTIFS(K:K,K4)</f>
        <v>1</v>
      </c>
    </row>
    <row r="5" spans="1:12" x14ac:dyDescent="0.2">
      <c r="A5" s="17" t="s">
        <v>226</v>
      </c>
      <c r="B5" t="s">
        <v>128</v>
      </c>
      <c r="C5">
        <v>1</v>
      </c>
      <c r="D5">
        <v>2</v>
      </c>
      <c r="E5" t="s">
        <v>129</v>
      </c>
      <c r="F5" t="s">
        <v>129</v>
      </c>
      <c r="G5" t="s">
        <v>130</v>
      </c>
      <c r="H5" t="s">
        <v>129</v>
      </c>
      <c r="I5" t="s">
        <v>131</v>
      </c>
      <c r="J5" t="s">
        <v>129</v>
      </c>
      <c r="K5" t="str">
        <f>_xlfn.CONCAT(B5:J5)</f>
        <v>NN12FalseFalseTrueFalsewup_similarityFalse</v>
      </c>
      <c r="L5">
        <f>COUNTIFS(K:K,K5)</f>
        <v>1</v>
      </c>
    </row>
    <row r="6" spans="1:12" x14ac:dyDescent="0.2">
      <c r="A6" s="17" t="s">
        <v>244</v>
      </c>
      <c r="B6" t="s">
        <v>128</v>
      </c>
      <c r="C6">
        <v>1</v>
      </c>
      <c r="D6">
        <v>2</v>
      </c>
      <c r="E6" t="s">
        <v>129</v>
      </c>
      <c r="F6" t="s">
        <v>129</v>
      </c>
      <c r="G6" t="s">
        <v>129</v>
      </c>
      <c r="H6" t="s">
        <v>130</v>
      </c>
      <c r="I6" t="s">
        <v>131</v>
      </c>
      <c r="J6" t="s">
        <v>129</v>
      </c>
      <c r="K6" t="str">
        <f>_xlfn.CONCAT(B6:J6)</f>
        <v>NN12FalseFalseFalseTruewup_similarityFalse</v>
      </c>
      <c r="L6">
        <f>COUNTIFS(K:K,K6)</f>
        <v>1</v>
      </c>
    </row>
  </sheetData>
  <autoFilter ref="A1:L6" xr:uid="{577C9AB2-5967-0F4A-9BA8-8D7A7C590D7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9077-1D3F-1F4E-B061-853A1DE151FD}">
  <sheetPr codeName="Foglio3"/>
  <dimension ref="A1:Q91"/>
  <sheetViews>
    <sheetView tabSelected="1" workbookViewId="0">
      <pane ySplit="1" topLeftCell="A2" activePane="bottomLeft" state="frozen"/>
      <selection pane="bottomLeft" activeCell="L1" sqref="L1"/>
    </sheetView>
  </sheetViews>
  <sheetFormatPr baseColWidth="10" defaultRowHeight="16" x14ac:dyDescent="0.2"/>
  <cols>
    <col min="1" max="1" width="7.33203125" bestFit="1" customWidth="1"/>
    <col min="2" max="2" width="29" bestFit="1" customWidth="1"/>
    <col min="3" max="3" width="16.6640625" bestFit="1" customWidth="1"/>
    <col min="4" max="4" width="22.33203125" bestFit="1" customWidth="1"/>
    <col min="5" max="5" width="13.1640625" bestFit="1" customWidth="1"/>
    <col min="6" max="7" width="17.83203125" bestFit="1" customWidth="1"/>
    <col min="8" max="8" width="16.6640625" bestFit="1" customWidth="1"/>
    <col min="9" max="9" width="13.33203125" bestFit="1" customWidth="1"/>
    <col min="10" max="10" width="10.6640625" bestFit="1" customWidth="1"/>
    <col min="11" max="11" width="26.33203125" customWidth="1"/>
    <col min="12" max="12" width="27.33203125" bestFit="1" customWidth="1"/>
    <col min="13" max="13" width="20.33203125" bestFit="1" customWidth="1"/>
    <col min="14" max="14" width="24.33203125" bestFit="1" customWidth="1"/>
    <col min="15" max="15" width="8.83203125" customWidth="1"/>
    <col min="16" max="16" width="23.83203125" bestFit="1" customWidth="1"/>
    <col min="17" max="17" width="25.1640625" bestFit="1" customWidth="1"/>
    <col min="18" max="18" width="17.83203125" bestFit="1" customWidth="1"/>
    <col min="19" max="19" width="48.8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tr">
        <f>"["&amp;_xlfn.CONCAT(K2:L55)&amp;"]"</f>
        <v>[{"test_id":"test_01", "genus_tags":["NN"], "genus_hypo_depth":1,"genus_hyper_hypo_depth":2,"lesk_on_genus":False,"definition_similarity":True,"examples_similarity":False,"lemmas_similarity":False,"score_type":"wup_similarity","lesk_only_n":False},{"test_id":"test_02", "genus_tags":["NN","JJ"], "genus_hypo_depth":1,"genus_hyper_hypo_depth":2,"lesk_on_genus":False,"definition_similarity":True,"examples_similarity":False,"lemmas_similarity":False,"score_type":"wup_similarity","lesk_only_n":False},{"test_id":"test_03", "genus_tags":["NN","VB"], "genus_hypo_depth":1,"genus_hyper_hypo_depth":2,"lesk_on_genus":False,"definition_similarity":True,"examples_similarity":False,"lemmas_similarity":False,"score_type":"wup_similarity","lesk_only_n":False},{"test_id":"test_04",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"genus_hypo_depth":1,"genus_hyper_hypo_depth":2,"lesk_on_genus":False,"definition_similarity":True,"examples_similarity":False,"lemmas_similarity":False,"score_type":"wup_similarity","lesk_only_n":False},{"test_id":"test_05", "genus_tags":["NN","RB"], "genus_hypo_depth":1,"genus_hyper_hypo_depth":2,"lesk_on_genus":False,"definition_similarity":True,"examples_similarity":False,"lemmas_similarity":False,"score_type":"wup_similarity","lesk_only_n":False},{"test_id":"test_06",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"genus_hypo_depth":1,"genus_hyper_hypo_depth":2,"lesk_on_genus":False,"definition_similarity":True,"examples_similarity":False,"lemmas_similarity":False,"score_type":"wup_similarity","lesk_only_n":False},{"test_id":"test_07", "genus_tags":["NN"], "genus_hypo_depth":1,"genus_hyper_hypo_depth":2,"lesk_on_genus":True,"definition_similarity":True,"examples_similarity":False,"lemmas_similarity":False,"score_type":"wup_similarity","lesk_only_n":False},{"test_id":"test_08", "genus_tags":["NN","JJ"], "genus_hypo_depth":1,"genus_hyper_hypo_depth":2,"lesk_on_genus":True,"definition_similarity":True,"examples_similarity":False,"lemmas_similarity":False,"score_type":"wup_similarity","lesk_only_n":False},{"test_id":"test_09", "genus_tags":["NN","VB"], "genus_hypo_depth":1,"genus_hyper_hypo_depth":2,"lesk_on_genus":True,"definition_similarity":True,"examples_similarity":False,"lemmas_similarity":False,"score_type":"wup_similarity","lesk_only_n":False},{"test_id":"test_10",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"genus_hypo_depth":1,"genus_hyper_hypo_depth":2,"lesk_on_genus":True,"definition_similarity":True,"examples_similarity":False,"lemmas_similarity":False,"score_type":"wup_similarity","lesk_only_n":False},{"test_id":"test_11", "genus_tags":["NN","RB"], "genus_hypo_depth":1,"genus_hyper_hypo_depth":2,"lesk_on_genus":True,"definition_similarity":True,"examples_similarity":False,"lemmas_similarity":False,"score_type":"wup_similarity","lesk_only_n":False},{"test_id":"test_12",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"genus_hypo_depth":1,"genus_hyper_hypo_depth":2,"lesk_on_genus":True,"definition_similarity":True,"examples_similarity":False,"lemmas_similarity":False,"score_type":"wup_similarity","lesk_only_n":False},{"test_id":"test_13", "genus_tags":["NN"], "genus_hypo_depth":1,"genus_hyper_hypo_depth":2,"lesk_on_genus":False,"definition_similarity":True,"examples_similarity":False,"lemmas_similarity":False,"score_type":"wup_similarity","lesk_only_n":True},{"test_id":"test_14", "genus_tags":["NN","JJ"], "genus_hypo_depth":1,"genus_hyper_hypo_depth":2,"lesk_on_genus":True,"definition_similarity":True,"examples_similarity":False,"lemmas_similarity":False,"score_type":"wup_similarity","lesk_only_n":True},{"test_id":"test_15", "genus_tags":["NN","VB"], "genus_hypo_depth":1,"genus_hyper_hypo_depth":2,"lesk_on_genus":True,"definition_similarity":True,"examples_similarity":False,"lemmas_similarity":False,"score_type":"wup_similarity","lesk_only_n":True},{"test_id":"test_16", "genus_tags":["NN","VB","VBD","VBG","VBN","VBP","VBZ"], "genus_hypo_depth":1,"genus_hyper_hypo_depth":2,"lesk_on_genus":True,"definition_similarity":True,"examples_similarity":False,"lemmas_similarity":False,"score_type":"wup_similarity","lesk_only_n":True},{"test_id":"test_17", "genus_tags":["NN","RB"], "genus_hypo_depth":1,"genus_hyper_hypo_depth":2,"lesk_on_genus":True,"definition_similarity":True,"examples_similarity":False,"lemmas_similarity":False,"score_type":"wup_similarity","lesk_only_n":True},{"test_id":"test_18",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"genus_hypo_depth":1,"genus_hyper_hypo_depth":2,"lesk_on_genus":True,"definition_similarity":True,"examples_similarity":False,"lemmas_similarity":False,"score_type":"wup_similarity","lesk_only_n":True},{"test_id":"test_19", "genus_tags":["NN"], "genus_hypo_depth":1,"genus_hyper_hypo_depth":2,"lesk_on_genus":False,"definition_similarity":True,"examples_similarity":True,"lemmas_similarity":False,"score_type":"wup_similarity","lesk_only_n":False},{"test_id":"test_20", "genus_tags":["NN","JJ"], "genus_hypo_depth":1,"genus_hyper_hypo_depth":2,"lesk_on_genus":False,"definition_similarity":True,"examples_similarity":True,"lemmas_similarity":False,"score_type":"wup_similarity","lesk_only_n":False},{"test_id":"test_21", "genus_tags":["NN","VB"], "genus_hypo_depth":1,"genus_hyper_hypo_depth":2,"lesk_on_genus":False,"definition_similarity":True,"examples_similarity":True,"lemmas_similarity":False,"score_type":"wup_similarity","lesk_only_n":False},{"test_id":"test_22",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"genus_hypo_depth":1,"genus_hyper_hypo_depth":2,"lesk_on_genus":False,"definition_similarity":True,"examples_similarity":True,"lemmas_similarity":False,"score_type":"wup_similarity","lesk_only_n":False},{"test_id":"test_23", "genus_tags":["NN","RB"], "genus_hypo_depth":1,"genus_hyper_hypo_depth":2,"lesk_on_genus":False,"definition_similarity":True,"examples_similarity":True,"lemmas_similarity":False,"score_type":"wup_similarity","lesk_only_n":False},{"test_id":"test_24",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"genus_hypo_depth":1,"genus_hyper_hypo_depth":2,"lesk_on_genus":False,"definition_similarity":True,"examples_similarity":True,"lemmas_similarity":False,"score_type":"wup_similarity","lesk_only_n":False},{"test_id":"test_25", "genus_tags":["NN"], "genus_hypo_depth":1,"genus_hyper_hypo_depth":2,"lesk_on_genus":True,"definition_similarity":True,"examples_similarity":True,"lemmas_similarity":False,"score_type":"wup_similarity","lesk_only_n":False},{"test_id":"test_26", "genus_tags":["NN","JJ"], "genus_hypo_depth":1,"genus_hyper_hypo_depth":2,"lesk_on_genus":True,"definition_similarity":True,"examples_similarity":True,"lemmas_similarity":False,"score_type":"wup_similarity","lesk_only_n":False},{"test_id":"test_27", "genus_tags":["NN","VB"], "genus_hypo_depth":1,"genus_hyper_hypo_depth":2,"lesk_on_genus":True,"definition_similarity":True,"examples_similarity":True,"lemmas_similarity":False,"score_type":"wup_similarity","lesk_only_n":False},{"test_id":"test_28", "genus_tags":["NN","VB","VBD","VBG","VBN","VBP","VBZ"], "genus_hypo_depth":1,"genus_hyper_hypo_depth":2,"lesk_on_genus":True,"definition_similarity":True,"examples_similarity":True,"lemmas_similarity":False,"score_type":"wup_similarity","lesk_only_n":False},{"test_id":"test_29", "genus_tags":["NN","RB"], "genus_hypo_depth":1,"genus_hyper_hypo_depth":2,"lesk_on_genus":True,"definition_similarity":True,"examples_similarity":True,"lemmas_similarity":False,"score_type":"wup_similarity","lesk_only_n":False},{"test_id":"test_30",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"genus_hypo_depth":1,"genus_hyper_hypo_depth":2,"lesk_on_genus":True,"definition_similarity":True,"examples_similarity":True,"lemmas_similarity":False,"score_type":"wup_similarity","lesk_only_n":False},{"test_id":"test_31", "genus_tags":["NN"], "genus_hypo_depth":1,"genus_hyper_hypo_depth":2,"lesk_on_genus":False,"definition_similarity":True,"examples_similarity":True,"lemmas_similarity":False,"score_type":"wup_similarity","lesk_only_n":True},{"test_id":"test_32", "genus_tags":["NN","JJ"], "genus_hypo_depth":1,"genus_hyper_hypo_depth":2,"lesk_on_genus":True,"definition_similarity":True,"examples_similarity":True,"lemmas_similarity":False,"score_type":"wup_similarity","lesk_only_n":True},{"test_id":"test_33", "genus_tags":["NN","VB"], "genus_hypo_depth":1,"genus_hyper_hypo_depth":2,"lesk_on_genus":True,"definition_similarity":True,"examples_similarity":True,"lemmas_similarity":False,"score_type":"wup_similarity","lesk_only_n":True},{"test_id":"test_34", "genus_tags":["NN","VB","VBD","VBG","VBN","VBP","VBZ"], "genus_hypo_depth":1,"genus_hyper_hypo_depth":2,"lesk_on_genus":True,"definition_similarity":True,"examples_similarity":True,"lemmas_similarity":False,"score_type":"wup_similarity","lesk_only_n":True},{"test_id":"test_35", "genus_tags":["NN","RB"], "genus_hypo_depth":1,"genus_hyper_hypo_depth":2,"lesk_on_genus":True,"definition_similarity":True,"examples_similarity":True,"lemmas_similarity":False,"score_type":"wup_similarity","lesk_only_n":True},{"test_id":"test_36",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"genus_hypo_depth":1,"genus_hyper_hypo_depth":2,"lesk_on_genus":True,"definition_similarity":True,"examples_similarity":True,"lemmas_similarity":False,"score_type":"wup_similarity","lesk_only_n":True},{"test_id":"test_37", "genus_tags":["NN"], "genus_hypo_depth":1,"genus_hyper_hypo_depth":2,"lesk_on_genus":False,"definition_similarity":True,"examples_similarity":True,"lemmas_similarity":True,"score_type":"wup_similarity","lesk_only_n":False},{"test_id":"test_38", "genus_tags":["NN","JJ"], "genus_hypo_depth":1,"genus_hyper_hypo_depth":2,"lesk_on_genus":False,"definition_similarity":True,"examples_similarity":True,"lemmas_similarity":True,"score_type":"wup_similarity","lesk_only_n":False},{"test_id":"test_39", "genus_tags":["NN","VB"], "genus_hypo_depth":1,"genus_hyper_hypo_depth":2,"lesk_on_genus":False,"definition_similarity":True,"examples_similarity":True,"lemmas_similarity":True,"score_type":"wup_similarity","lesk_only_n":False},{"test_id":"test_40", "genus_tags":["NN","VB","VBD","VBG","VBN","VBP","VBZ"], "genus_hypo_depth":1,"genus_hyper_hypo_depth":2,"lesk_on_genus":False,"definition_similarity":True,"examples_similarity":True,"lemmas_similarity":True,"score_type":"wup_similarity","lesk_only_n":False},{"test_id":"test_41", "genus_tags":["NN","RB"], "genus_hypo_depth":1,"genus_hyper_hypo_depth":2,"lesk_on_genus":False,"definition_similarity":True,"examples_similarity":True,"lemmas_similarity":True,"score_type":"wup_similarity","lesk_only_n":False},{"test_id":"test_42",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"genus_hypo_depth":1,"genus_hyper_hypo_depth":2,"lesk_on_genus":False,"definition_similarity":True,"examples_similarity":True,"lemmas_similarity":True,"score_type":"wup_similarity","lesk_only_n":False},{"test_id":"test_43", "genus_tags":["NN"], "genus_hypo_depth":1,"genus_hyper_hypo_depth":2,"lesk_on_genus":True,"definition_similarity":True,"examples_similarity":True,"lemmas_similarity":True,"score_type":"wup_similarity","lesk_only_n":False},{"test_id":"test_44", "genus_tags":["NN","JJ"], "genus_hypo_depth":1,"genus_hyper_hypo_depth":2,"lesk_on_genus":True,"definition_similarity":True,"examples_similarity":True,"lemmas_similarity":True,"score_type":"wup_similarity","lesk_only_n":False},{"test_id":"test_45", "genus_tags":["NN","VB"], "genus_hypo_depth":1,"genus_hyper_hypo_depth":2,"lesk_on_genus":True,"definition_similarity":True,"examples_similarity":True,"lemmas_similarity":True,"score_type":"wup_similarity","lesk_only_n":False},{"test_id":"test_46", "genus_tags":["NN","VB","VBD","VBG","VBN","VBP","VBZ"], "genus_hypo_depth":1,"genus_hyper_hypo_depth":2,"lesk_on_genus":True,"definition_similarity":True,"examples_similarity":True,"lemmas_similarity":True,"score_type":"wup_similarity","lesk_only_n":False},{"test_id":"test_47", "genus_tags":["NN","RB"], "genus_hypo_depth":1,"genus_hyper_hypo_depth":2,"lesk_on_genus":True,"definition_similarity":True,"examples_similarity":True,"lemmas_similarity":True,"score_type":"wup_similarity","lesk_only_n":False},{"test_id":"test_48",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"genus_hypo_depth":1,"genus_hyper_hypo_depth":2,"lesk_on_genus":True,"definition_similarity":True,"examples_similarity":True,"lemmas_similarity":True,"score_type":"wup_similarity","lesk_only_n":False},{"test_id":"test_49", "genus_tags":["NN"], "genus_hypo_depth":1,"genus_hyper_hypo_depth":2,"lesk_on_genus":False,"definition_similarity":True,"examples_similarity":True,"lemmas_similarity":True,"score_type":"wup_similarity","lesk_only_n":True},{"test_id":"test_50", "genus_tags":["NN","JJ"], "genus_hypo_depth":1,"genus_hyper_hypo_depth":2,"lesk_on_genus":True,"definition_similarity":True,"examples_similarity":True,"lemmas_similarity":True,"score_type":"wup_similarity","lesk_only_n":True},{"test_id":"test_51", "genus_tags":["NN","VB"], "genus_hypo_depth":1,"genus_hyper_hypo_depth":2,"lesk_on_genus":True,"definition_similarity":True,"examples_similarity":True,"lemmas_similarity":True,"score_type":"wup_similarity","lesk_only_n":True},{"test_id":"test_52", "genus_tags":["NN","VB","VBD","VBG","VBN","VBP","VBZ"], "genus_hypo_depth":1,"genus_hyper_hypo_depth":2,"lesk_on_genus":True,"definition_similarity":True,"examples_similarity":True,"lemmas_similarity":True,"score_type":"wup_similarity","lesk_only_n":True},{"test_id":"test_53", "genus_tags":["NN","RB"], "genus_hypo_depth":1,"genus_hyper_hypo_depth":2,"lesk_on_genus":True,"definition_similarity":True,"examples_similarity":True,"lemmas_similarity":True,"score_type":"wup_similarity","lesk_only_n":True},{"test_id":"test_54",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"genus_hypo_depth":1,"genus_hyper_hypo_depth":2,"lesk_on_genus":True,"definition_similarity":True,"examples_similarity":True,"lemmas_similarity":True,"score_type":"wup_similarity","lesk_only_n":True},]</v>
      </c>
    </row>
    <row r="2" spans="1:17" x14ac:dyDescent="0.2">
      <c r="A2" t="s">
        <v>10</v>
      </c>
      <c r="B2" t="s">
        <v>128</v>
      </c>
      <c r="C2">
        <v>1</v>
      </c>
      <c r="D2">
        <v>2</v>
      </c>
      <c r="E2" t="s">
        <v>129</v>
      </c>
      <c r="F2" t="s">
        <v>130</v>
      </c>
      <c r="G2" t="s">
        <v>129</v>
      </c>
      <c r="H2" t="s">
        <v>129</v>
      </c>
      <c r="I2" t="s">
        <v>131</v>
      </c>
      <c r="J2" t="s">
        <v>129</v>
      </c>
      <c r="K2" t="str">
        <f>"{"""&amp;A$1&amp;""""&amp;":"""&amp;A2&amp;""", "&amp;SUBSTITUTE( """"&amp;B$1&amp;""""&amp;":["""&amp;B2&amp;"""]",",",""",""")&amp;", "&amp;""""&amp;C$1&amp;""""&amp;":"&amp;C2&amp;","&amp;""""&amp;D$1&amp;""""&amp;":"&amp;D2&amp;","&amp;""""&amp;E$1&amp;""""&amp;":"&amp;E2&amp;","&amp;""""&amp;F$1&amp;""""&amp;":"&amp;F2&amp;","&amp;""""&amp;G$1&amp;""""&amp;":"&amp;G2&amp;","&amp;""""&amp;H$1&amp;""""&amp;":"&amp;H2&amp;","&amp;""""&amp;I$1&amp;""""&amp;":"""&amp;I2&amp;""","&amp;""""&amp;J$1&amp;""""&amp;":"&amp;J2&amp;"}"</f>
        <v>{"test_id":"test_01", "genus_tags":["NN"], "genus_hypo_depth":1,"genus_hyper_hypo_depth":2,"lesk_on_genus":False,"definition_similarity":True,"examples_similarity":False,"lemmas_similarity":False,"score_type":"wup_similarity","lesk_only_n":False}</v>
      </c>
      <c r="L2" t="s">
        <v>204</v>
      </c>
      <c r="Q2" t="str">
        <f>""""&amp;I$1&amp;""""&amp;":"""&amp;I2&amp;""","</f>
        <v>"score_type":"wup_similarity",</v>
      </c>
    </row>
    <row r="3" spans="1:17" x14ac:dyDescent="0.2">
      <c r="A3" t="s">
        <v>132</v>
      </c>
      <c r="B3" t="s">
        <v>133</v>
      </c>
      <c r="C3">
        <v>1</v>
      </c>
      <c r="D3">
        <v>2</v>
      </c>
      <c r="E3" t="s">
        <v>129</v>
      </c>
      <c r="F3" t="s">
        <v>130</v>
      </c>
      <c r="G3" t="s">
        <v>129</v>
      </c>
      <c r="H3" t="s">
        <v>129</v>
      </c>
      <c r="I3" t="s">
        <v>131</v>
      </c>
      <c r="J3" t="s">
        <v>129</v>
      </c>
      <c r="K3" t="str">
        <f t="shared" ref="K3:K55" si="0">"{"""&amp;A$1&amp;""""&amp;":"""&amp;A3&amp;""", "&amp;SUBSTITUTE( """"&amp;B$1&amp;""""&amp;":["""&amp;B3&amp;"""]",",",""",""")&amp;", "&amp;""""&amp;C$1&amp;""""&amp;":"&amp;C3&amp;","&amp;""""&amp;D$1&amp;""""&amp;":"&amp;D3&amp;","&amp;""""&amp;E$1&amp;""""&amp;":"&amp;E3&amp;","&amp;""""&amp;F$1&amp;""""&amp;":"&amp;F3&amp;","&amp;""""&amp;G$1&amp;""""&amp;":"&amp;G3&amp;","&amp;""""&amp;H$1&amp;""""&amp;":"&amp;H3&amp;","&amp;""""&amp;I$1&amp;""""&amp;":"""&amp;I3&amp;""","&amp;""""&amp;J$1&amp;""""&amp;":"&amp;J3&amp;"}"</f>
        <v>{"test_id":"test_02", "genus_tags":["NN","JJ"], "genus_hypo_depth":1,"genus_hyper_hypo_depth":2,"lesk_on_genus":False,"definition_similarity":True,"examples_similarity":False,"lemmas_similarity":False,"score_type":"wup_similarity","lesk_only_n":False}</v>
      </c>
      <c r="L3" t="s">
        <v>204</v>
      </c>
    </row>
    <row r="4" spans="1:17" x14ac:dyDescent="0.2">
      <c r="A4" t="s">
        <v>134</v>
      </c>
      <c r="B4" t="s">
        <v>135</v>
      </c>
      <c r="C4">
        <v>1</v>
      </c>
      <c r="D4">
        <v>2</v>
      </c>
      <c r="E4" t="s">
        <v>129</v>
      </c>
      <c r="F4" t="s">
        <v>130</v>
      </c>
      <c r="G4" t="s">
        <v>129</v>
      </c>
      <c r="H4" t="s">
        <v>129</v>
      </c>
      <c r="I4" t="s">
        <v>131</v>
      </c>
      <c r="J4" t="s">
        <v>129</v>
      </c>
      <c r="K4" t="str">
        <f t="shared" si="0"/>
        <v>{"test_id":"test_03", "genus_tags":["NN","VB"], "genus_hypo_depth":1,"genus_hyper_hypo_depth":2,"lesk_on_genus":False,"definition_similarity":True,"examples_similarity":False,"lemmas_similarity":False,"score_type":"wup_similarity","lesk_only_n":False}</v>
      </c>
      <c r="L4" t="s">
        <v>204</v>
      </c>
    </row>
    <row r="5" spans="1:17" x14ac:dyDescent="0.2">
      <c r="A5" t="s">
        <v>136</v>
      </c>
      <c r="B5" t="s">
        <v>137</v>
      </c>
      <c r="C5">
        <v>1</v>
      </c>
      <c r="D5">
        <v>2</v>
      </c>
      <c r="E5" t="s">
        <v>129</v>
      </c>
      <c r="F5" t="s">
        <v>130</v>
      </c>
      <c r="G5" t="s">
        <v>129</v>
      </c>
      <c r="H5" t="s">
        <v>129</v>
      </c>
      <c r="I5" t="s">
        <v>131</v>
      </c>
      <c r="J5" t="s">
        <v>129</v>
      </c>
      <c r="K5" t="str">
        <f t="shared" si="0"/>
        <v>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</v>
      </c>
      <c r="L5" t="s">
        <v>204</v>
      </c>
    </row>
    <row r="6" spans="1:17" x14ac:dyDescent="0.2">
      <c r="A6" t="s">
        <v>138</v>
      </c>
      <c r="B6" t="s">
        <v>139</v>
      </c>
      <c r="C6">
        <v>1</v>
      </c>
      <c r="D6">
        <v>2</v>
      </c>
      <c r="E6" t="s">
        <v>129</v>
      </c>
      <c r="F6" t="s">
        <v>130</v>
      </c>
      <c r="G6" t="s">
        <v>129</v>
      </c>
      <c r="H6" t="s">
        <v>129</v>
      </c>
      <c r="I6" t="s">
        <v>131</v>
      </c>
      <c r="J6" t="s">
        <v>129</v>
      </c>
      <c r="K6" t="str">
        <f t="shared" si="0"/>
        <v>{"test_id":"test_05", "genus_tags":["NN","RB"], "genus_hypo_depth":1,"genus_hyper_hypo_depth":2,"lesk_on_genus":False,"definition_similarity":True,"examples_similarity":False,"lemmas_similarity":False,"score_type":"wup_similarity","lesk_only_n":False}</v>
      </c>
      <c r="L6" t="s">
        <v>204</v>
      </c>
    </row>
    <row r="7" spans="1:17" x14ac:dyDescent="0.2">
      <c r="A7" t="s">
        <v>140</v>
      </c>
      <c r="B7" t="s">
        <v>141</v>
      </c>
      <c r="C7">
        <v>1</v>
      </c>
      <c r="D7">
        <v>2</v>
      </c>
      <c r="E7" t="s">
        <v>129</v>
      </c>
      <c r="F7" t="s">
        <v>130</v>
      </c>
      <c r="G7" t="s">
        <v>129</v>
      </c>
      <c r="H7" t="s">
        <v>129</v>
      </c>
      <c r="I7" t="s">
        <v>131</v>
      </c>
      <c r="J7" t="s">
        <v>129</v>
      </c>
      <c r="K7" t="str">
        <f t="shared" si="0"/>
        <v>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</v>
      </c>
      <c r="L7" t="s">
        <v>204</v>
      </c>
    </row>
    <row r="8" spans="1:17" x14ac:dyDescent="0.2">
      <c r="A8" t="s">
        <v>142</v>
      </c>
      <c r="B8" t="s">
        <v>128</v>
      </c>
      <c r="C8">
        <v>1</v>
      </c>
      <c r="D8">
        <v>2</v>
      </c>
      <c r="E8" t="s">
        <v>130</v>
      </c>
      <c r="F8" t="s">
        <v>130</v>
      </c>
      <c r="G8" t="s">
        <v>129</v>
      </c>
      <c r="H8" t="s">
        <v>129</v>
      </c>
      <c r="I8" t="s">
        <v>131</v>
      </c>
      <c r="J8" t="s">
        <v>129</v>
      </c>
      <c r="K8" t="str">
        <f t="shared" si="0"/>
        <v>{"test_id":"test_07", "genus_tags":["NN"], "genus_hypo_depth":1,"genus_hyper_hypo_depth":2,"lesk_on_genus":True,"definition_similarity":True,"examples_similarity":False,"lemmas_similarity":False,"score_type":"wup_similarity","lesk_only_n":False}</v>
      </c>
      <c r="L8" t="s">
        <v>204</v>
      </c>
    </row>
    <row r="9" spans="1:17" x14ac:dyDescent="0.2">
      <c r="A9" t="s">
        <v>143</v>
      </c>
      <c r="B9" t="s">
        <v>133</v>
      </c>
      <c r="C9">
        <v>1</v>
      </c>
      <c r="D9">
        <v>2</v>
      </c>
      <c r="E9" t="s">
        <v>130</v>
      </c>
      <c r="F9" t="s">
        <v>130</v>
      </c>
      <c r="G9" t="s">
        <v>129</v>
      </c>
      <c r="H9" t="s">
        <v>129</v>
      </c>
      <c r="I9" t="s">
        <v>131</v>
      </c>
      <c r="J9" t="s">
        <v>129</v>
      </c>
      <c r="K9" t="str">
        <f t="shared" si="0"/>
        <v>{"test_id":"test_08", "genus_tags":["NN","JJ"], "genus_hypo_depth":1,"genus_hyper_hypo_depth":2,"lesk_on_genus":True,"definition_similarity":True,"examples_similarity":False,"lemmas_similarity":False,"score_type":"wup_similarity","lesk_only_n":False}</v>
      </c>
      <c r="L9" t="s">
        <v>204</v>
      </c>
    </row>
    <row r="10" spans="1:17" x14ac:dyDescent="0.2">
      <c r="A10" t="s">
        <v>144</v>
      </c>
      <c r="B10" t="s">
        <v>135</v>
      </c>
      <c r="C10">
        <v>1</v>
      </c>
      <c r="D10">
        <v>2</v>
      </c>
      <c r="E10" t="s">
        <v>130</v>
      </c>
      <c r="F10" t="s">
        <v>130</v>
      </c>
      <c r="G10" t="s">
        <v>129</v>
      </c>
      <c r="H10" t="s">
        <v>129</v>
      </c>
      <c r="I10" t="s">
        <v>131</v>
      </c>
      <c r="J10" t="s">
        <v>129</v>
      </c>
      <c r="K10" t="str">
        <f t="shared" si="0"/>
        <v>{"test_id":"test_09", "genus_tags":["NN","VB"], "genus_hypo_depth":1,"genus_hyper_hypo_depth":2,"lesk_on_genus":True,"definition_similarity":True,"examples_similarity":False,"lemmas_similarity":False,"score_type":"wup_similarity","lesk_only_n":False}</v>
      </c>
      <c r="L10" t="s">
        <v>204</v>
      </c>
    </row>
    <row r="11" spans="1:17" x14ac:dyDescent="0.2">
      <c r="A11" t="s">
        <v>145</v>
      </c>
      <c r="B11" t="s">
        <v>137</v>
      </c>
      <c r="C11">
        <v>1</v>
      </c>
      <c r="D11">
        <v>2</v>
      </c>
      <c r="E11" t="s">
        <v>130</v>
      </c>
      <c r="F11" t="s">
        <v>130</v>
      </c>
      <c r="G11" t="s">
        <v>129</v>
      </c>
      <c r="H11" t="s">
        <v>129</v>
      </c>
      <c r="I11" t="s">
        <v>131</v>
      </c>
      <c r="J11" t="s">
        <v>129</v>
      </c>
      <c r="K11" t="str">
        <f t="shared" si="0"/>
        <v>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</v>
      </c>
      <c r="L11" t="s">
        <v>204</v>
      </c>
    </row>
    <row r="12" spans="1:17" x14ac:dyDescent="0.2">
      <c r="A12" t="s">
        <v>146</v>
      </c>
      <c r="B12" t="s">
        <v>139</v>
      </c>
      <c r="C12">
        <v>1</v>
      </c>
      <c r="D12">
        <v>2</v>
      </c>
      <c r="E12" t="s">
        <v>130</v>
      </c>
      <c r="F12" t="s">
        <v>130</v>
      </c>
      <c r="G12" t="s">
        <v>129</v>
      </c>
      <c r="H12" t="s">
        <v>129</v>
      </c>
      <c r="I12" t="s">
        <v>131</v>
      </c>
      <c r="J12" t="s">
        <v>129</v>
      </c>
      <c r="K12" t="str">
        <f t="shared" si="0"/>
        <v>{"test_id":"test_11", "genus_tags":["NN","RB"], "genus_hypo_depth":1,"genus_hyper_hypo_depth":2,"lesk_on_genus":True,"definition_similarity":True,"examples_similarity":False,"lemmas_similarity":False,"score_type":"wup_similarity","lesk_only_n":False}</v>
      </c>
      <c r="L12" t="s">
        <v>204</v>
      </c>
    </row>
    <row r="13" spans="1:17" x14ac:dyDescent="0.2">
      <c r="A13" t="s">
        <v>147</v>
      </c>
      <c r="B13" t="s">
        <v>141</v>
      </c>
      <c r="C13">
        <v>1</v>
      </c>
      <c r="D13">
        <v>2</v>
      </c>
      <c r="E13" t="s">
        <v>130</v>
      </c>
      <c r="F13" t="s">
        <v>130</v>
      </c>
      <c r="G13" t="s">
        <v>129</v>
      </c>
      <c r="H13" t="s">
        <v>129</v>
      </c>
      <c r="I13" t="s">
        <v>131</v>
      </c>
      <c r="J13" t="s">
        <v>129</v>
      </c>
      <c r="K13" t="str">
        <f t="shared" si="0"/>
        <v>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</v>
      </c>
      <c r="L13" t="s">
        <v>204</v>
      </c>
    </row>
    <row r="14" spans="1:17" x14ac:dyDescent="0.2">
      <c r="A14" t="s">
        <v>148</v>
      </c>
      <c r="B14" t="s">
        <v>128</v>
      </c>
      <c r="C14">
        <v>1</v>
      </c>
      <c r="D14">
        <v>2</v>
      </c>
      <c r="E14" t="s">
        <v>129</v>
      </c>
      <c r="F14" t="s">
        <v>130</v>
      </c>
      <c r="G14" t="s">
        <v>129</v>
      </c>
      <c r="H14" t="s">
        <v>129</v>
      </c>
      <c r="I14" t="s">
        <v>131</v>
      </c>
      <c r="J14" t="s">
        <v>130</v>
      </c>
      <c r="K14" t="str">
        <f t="shared" si="0"/>
        <v>{"test_id":"test_13", "genus_tags":["NN"], "genus_hypo_depth":1,"genus_hyper_hypo_depth":2,"lesk_on_genus":False,"definition_similarity":True,"examples_similarity":False,"lemmas_similarity":False,"score_type":"wup_similarity","lesk_only_n":True}</v>
      </c>
      <c r="L14" t="s">
        <v>204</v>
      </c>
    </row>
    <row r="15" spans="1:17" x14ac:dyDescent="0.2">
      <c r="A15" t="s">
        <v>149</v>
      </c>
      <c r="B15" t="s">
        <v>133</v>
      </c>
      <c r="C15">
        <v>1</v>
      </c>
      <c r="D15">
        <v>2</v>
      </c>
      <c r="E15" t="s">
        <v>130</v>
      </c>
      <c r="F15" t="s">
        <v>130</v>
      </c>
      <c r="G15" t="s">
        <v>129</v>
      </c>
      <c r="H15" t="s">
        <v>129</v>
      </c>
      <c r="I15" t="s">
        <v>131</v>
      </c>
      <c r="J15" t="s">
        <v>130</v>
      </c>
      <c r="K15" t="str">
        <f t="shared" si="0"/>
        <v>{"test_id":"test_14", "genus_tags":["NN","JJ"], "genus_hypo_depth":1,"genus_hyper_hypo_depth":2,"lesk_on_genus":True,"definition_similarity":True,"examples_similarity":False,"lemmas_similarity":False,"score_type":"wup_similarity","lesk_only_n":True}</v>
      </c>
      <c r="L15" t="s">
        <v>204</v>
      </c>
    </row>
    <row r="16" spans="1:17" x14ac:dyDescent="0.2">
      <c r="A16" t="s">
        <v>150</v>
      </c>
      <c r="B16" t="s">
        <v>135</v>
      </c>
      <c r="C16">
        <v>1</v>
      </c>
      <c r="D16">
        <v>2</v>
      </c>
      <c r="E16" t="s">
        <v>130</v>
      </c>
      <c r="F16" t="s">
        <v>130</v>
      </c>
      <c r="G16" t="s">
        <v>129</v>
      </c>
      <c r="H16" t="s">
        <v>129</v>
      </c>
      <c r="I16" t="s">
        <v>131</v>
      </c>
      <c r="J16" t="s">
        <v>130</v>
      </c>
      <c r="K16" t="str">
        <f t="shared" si="0"/>
        <v>{"test_id":"test_15", "genus_tags":["NN","VB"], "genus_hypo_depth":1,"genus_hyper_hypo_depth":2,"lesk_on_genus":True,"definition_similarity":True,"examples_similarity":False,"lemmas_similarity":False,"score_type":"wup_similarity","lesk_only_n":True}</v>
      </c>
      <c r="L16" t="s">
        <v>204</v>
      </c>
    </row>
    <row r="17" spans="1:12" x14ac:dyDescent="0.2">
      <c r="A17" t="s">
        <v>151</v>
      </c>
      <c r="B17" t="s">
        <v>137</v>
      </c>
      <c r="C17">
        <v>1</v>
      </c>
      <c r="D17">
        <v>2</v>
      </c>
      <c r="E17" t="s">
        <v>130</v>
      </c>
      <c r="F17" t="s">
        <v>130</v>
      </c>
      <c r="G17" t="s">
        <v>129</v>
      </c>
      <c r="H17" t="s">
        <v>129</v>
      </c>
      <c r="I17" t="s">
        <v>131</v>
      </c>
      <c r="J17" t="s">
        <v>130</v>
      </c>
      <c r="K17" t="str">
        <f t="shared" si="0"/>
        <v>{"test_id":"test_16", "genus_tags":["NN","VB","VBD","VBG","VBN","VBP","VBZ"], "genus_hypo_depth":1,"genus_hyper_hypo_depth":2,"lesk_on_genus":True,"definition_similarity":True,"examples_similarity":False,"lemmas_similarity":False,"score_type":"wup_similarity","lesk_only_n":True}</v>
      </c>
      <c r="L17" t="s">
        <v>204</v>
      </c>
    </row>
    <row r="18" spans="1:12" x14ac:dyDescent="0.2">
      <c r="A18" t="s">
        <v>152</v>
      </c>
      <c r="B18" t="s">
        <v>139</v>
      </c>
      <c r="C18">
        <v>1</v>
      </c>
      <c r="D18">
        <v>2</v>
      </c>
      <c r="E18" t="s">
        <v>130</v>
      </c>
      <c r="F18" t="s">
        <v>130</v>
      </c>
      <c r="G18" t="s">
        <v>129</v>
      </c>
      <c r="H18" t="s">
        <v>129</v>
      </c>
      <c r="I18" t="s">
        <v>131</v>
      </c>
      <c r="J18" t="s">
        <v>130</v>
      </c>
      <c r="K18" t="str">
        <f t="shared" si="0"/>
        <v>{"test_id":"test_17", "genus_tags":["NN","RB"], "genus_hypo_depth":1,"genus_hyper_hypo_depth":2,"lesk_on_genus":True,"definition_similarity":True,"examples_similarity":False,"lemmas_similarity":False,"score_type":"wup_similarity","lesk_only_n":True}</v>
      </c>
      <c r="L18" t="s">
        <v>204</v>
      </c>
    </row>
    <row r="19" spans="1:12" x14ac:dyDescent="0.2">
      <c r="A19" t="s">
        <v>153</v>
      </c>
      <c r="B19" t="s">
        <v>141</v>
      </c>
      <c r="C19">
        <v>1</v>
      </c>
      <c r="D19">
        <v>2</v>
      </c>
      <c r="E19" t="s">
        <v>130</v>
      </c>
      <c r="F19" t="s">
        <v>130</v>
      </c>
      <c r="G19" t="s">
        <v>129</v>
      </c>
      <c r="H19" t="s">
        <v>129</v>
      </c>
      <c r="I19" t="s">
        <v>131</v>
      </c>
      <c r="J19" t="s">
        <v>130</v>
      </c>
      <c r="K19" t="str">
        <f t="shared" si="0"/>
        <v>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</v>
      </c>
      <c r="L19" t="s">
        <v>204</v>
      </c>
    </row>
    <row r="20" spans="1:12" x14ac:dyDescent="0.2">
      <c r="A20" t="s">
        <v>154</v>
      </c>
      <c r="B20" t="s">
        <v>128</v>
      </c>
      <c r="C20">
        <v>1</v>
      </c>
      <c r="D20">
        <v>2</v>
      </c>
      <c r="E20" t="s">
        <v>129</v>
      </c>
      <c r="F20" t="s">
        <v>130</v>
      </c>
      <c r="G20" t="s">
        <v>130</v>
      </c>
      <c r="H20" t="s">
        <v>129</v>
      </c>
      <c r="I20" t="s">
        <v>131</v>
      </c>
      <c r="J20" t="s">
        <v>129</v>
      </c>
      <c r="K20" t="str">
        <f t="shared" si="0"/>
        <v>{"test_id":"test_19", "genus_tags":["NN"], "genus_hypo_depth":1,"genus_hyper_hypo_depth":2,"lesk_on_genus":False,"definition_similarity":True,"examples_similarity":True,"lemmas_similarity":False,"score_type":"wup_similarity","lesk_only_n":False}</v>
      </c>
      <c r="L20" t="s">
        <v>204</v>
      </c>
    </row>
    <row r="21" spans="1:12" x14ac:dyDescent="0.2">
      <c r="A21" t="s">
        <v>155</v>
      </c>
      <c r="B21" t="s">
        <v>133</v>
      </c>
      <c r="C21">
        <v>1</v>
      </c>
      <c r="D21">
        <v>2</v>
      </c>
      <c r="E21" t="s">
        <v>129</v>
      </c>
      <c r="F21" t="s">
        <v>130</v>
      </c>
      <c r="G21" t="s">
        <v>130</v>
      </c>
      <c r="H21" t="s">
        <v>129</v>
      </c>
      <c r="I21" t="s">
        <v>131</v>
      </c>
      <c r="J21" t="s">
        <v>129</v>
      </c>
      <c r="K21" t="str">
        <f t="shared" si="0"/>
        <v>{"test_id":"test_20", "genus_tags":["NN","JJ"], "genus_hypo_depth":1,"genus_hyper_hypo_depth":2,"lesk_on_genus":False,"definition_similarity":True,"examples_similarity":True,"lemmas_similarity":False,"score_type":"wup_similarity","lesk_only_n":False}</v>
      </c>
      <c r="L21" t="s">
        <v>204</v>
      </c>
    </row>
    <row r="22" spans="1:12" x14ac:dyDescent="0.2">
      <c r="A22" t="s">
        <v>156</v>
      </c>
      <c r="B22" t="s">
        <v>135</v>
      </c>
      <c r="C22">
        <v>1</v>
      </c>
      <c r="D22">
        <v>2</v>
      </c>
      <c r="E22" t="s">
        <v>129</v>
      </c>
      <c r="F22" t="s">
        <v>130</v>
      </c>
      <c r="G22" t="s">
        <v>130</v>
      </c>
      <c r="H22" t="s">
        <v>129</v>
      </c>
      <c r="I22" t="s">
        <v>131</v>
      </c>
      <c r="J22" t="s">
        <v>129</v>
      </c>
      <c r="K22" t="str">
        <f t="shared" si="0"/>
        <v>{"test_id":"test_21", "genus_tags":["NN","VB"], "genus_hypo_depth":1,"genus_hyper_hypo_depth":2,"lesk_on_genus":False,"definition_similarity":True,"examples_similarity":True,"lemmas_similarity":False,"score_type":"wup_similarity","lesk_only_n":False}</v>
      </c>
      <c r="L22" t="s">
        <v>204</v>
      </c>
    </row>
    <row r="23" spans="1:12" x14ac:dyDescent="0.2">
      <c r="A23" t="s">
        <v>157</v>
      </c>
      <c r="B23" t="s">
        <v>137</v>
      </c>
      <c r="C23">
        <v>1</v>
      </c>
      <c r="D23">
        <v>2</v>
      </c>
      <c r="E23" t="s">
        <v>129</v>
      </c>
      <c r="F23" t="s">
        <v>130</v>
      </c>
      <c r="G23" t="s">
        <v>130</v>
      </c>
      <c r="H23" t="s">
        <v>129</v>
      </c>
      <c r="I23" t="s">
        <v>131</v>
      </c>
      <c r="J23" t="s">
        <v>129</v>
      </c>
      <c r="K23" t="str">
        <f t="shared" si="0"/>
        <v>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</v>
      </c>
      <c r="L23" t="s">
        <v>204</v>
      </c>
    </row>
    <row r="24" spans="1:12" x14ac:dyDescent="0.2">
      <c r="A24" t="s">
        <v>158</v>
      </c>
      <c r="B24" t="s">
        <v>139</v>
      </c>
      <c r="C24">
        <v>1</v>
      </c>
      <c r="D24">
        <v>2</v>
      </c>
      <c r="E24" t="s">
        <v>129</v>
      </c>
      <c r="F24" t="s">
        <v>130</v>
      </c>
      <c r="G24" t="s">
        <v>130</v>
      </c>
      <c r="H24" t="s">
        <v>129</v>
      </c>
      <c r="I24" t="s">
        <v>131</v>
      </c>
      <c r="J24" t="s">
        <v>129</v>
      </c>
      <c r="K24" t="str">
        <f t="shared" si="0"/>
        <v>{"test_id":"test_23", "genus_tags":["NN","RB"], "genus_hypo_depth":1,"genus_hyper_hypo_depth":2,"lesk_on_genus":False,"definition_similarity":True,"examples_similarity":True,"lemmas_similarity":False,"score_type":"wup_similarity","lesk_only_n":False}</v>
      </c>
      <c r="L24" t="s">
        <v>204</v>
      </c>
    </row>
    <row r="25" spans="1:12" x14ac:dyDescent="0.2">
      <c r="A25" t="s">
        <v>159</v>
      </c>
      <c r="B25" t="s">
        <v>141</v>
      </c>
      <c r="C25">
        <v>1</v>
      </c>
      <c r="D25">
        <v>2</v>
      </c>
      <c r="E25" t="s">
        <v>129</v>
      </c>
      <c r="F25" t="s">
        <v>130</v>
      </c>
      <c r="G25" t="s">
        <v>130</v>
      </c>
      <c r="H25" t="s">
        <v>129</v>
      </c>
      <c r="I25" t="s">
        <v>131</v>
      </c>
      <c r="J25" t="s">
        <v>129</v>
      </c>
      <c r="K25" t="str">
        <f t="shared" si="0"/>
        <v>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</v>
      </c>
      <c r="L25" t="s">
        <v>204</v>
      </c>
    </row>
    <row r="26" spans="1:12" x14ac:dyDescent="0.2">
      <c r="A26" t="s">
        <v>160</v>
      </c>
      <c r="B26" t="s">
        <v>128</v>
      </c>
      <c r="C26">
        <v>1</v>
      </c>
      <c r="D26">
        <v>2</v>
      </c>
      <c r="E26" t="s">
        <v>130</v>
      </c>
      <c r="F26" t="s">
        <v>130</v>
      </c>
      <c r="G26" t="s">
        <v>130</v>
      </c>
      <c r="H26" t="s">
        <v>129</v>
      </c>
      <c r="I26" t="s">
        <v>131</v>
      </c>
      <c r="J26" t="s">
        <v>129</v>
      </c>
      <c r="K26" t="str">
        <f t="shared" si="0"/>
        <v>{"test_id":"test_25", "genus_tags":["NN"], "genus_hypo_depth":1,"genus_hyper_hypo_depth":2,"lesk_on_genus":True,"definition_similarity":True,"examples_similarity":True,"lemmas_similarity":False,"score_type":"wup_similarity","lesk_only_n":False}</v>
      </c>
      <c r="L26" t="s">
        <v>204</v>
      </c>
    </row>
    <row r="27" spans="1:12" x14ac:dyDescent="0.2">
      <c r="A27" t="s">
        <v>161</v>
      </c>
      <c r="B27" t="s">
        <v>133</v>
      </c>
      <c r="C27">
        <v>1</v>
      </c>
      <c r="D27">
        <v>2</v>
      </c>
      <c r="E27" t="s">
        <v>130</v>
      </c>
      <c r="F27" t="s">
        <v>130</v>
      </c>
      <c r="G27" t="s">
        <v>130</v>
      </c>
      <c r="H27" t="s">
        <v>129</v>
      </c>
      <c r="I27" t="s">
        <v>131</v>
      </c>
      <c r="J27" t="s">
        <v>129</v>
      </c>
      <c r="K27" t="str">
        <f t="shared" si="0"/>
        <v>{"test_id":"test_26", "genus_tags":["NN","JJ"], "genus_hypo_depth":1,"genus_hyper_hypo_depth":2,"lesk_on_genus":True,"definition_similarity":True,"examples_similarity":True,"lemmas_similarity":False,"score_type":"wup_similarity","lesk_only_n":False}</v>
      </c>
      <c r="L27" t="s">
        <v>204</v>
      </c>
    </row>
    <row r="28" spans="1:12" x14ac:dyDescent="0.2">
      <c r="A28" t="s">
        <v>162</v>
      </c>
      <c r="B28" t="s">
        <v>135</v>
      </c>
      <c r="C28">
        <v>1</v>
      </c>
      <c r="D28">
        <v>2</v>
      </c>
      <c r="E28" t="s">
        <v>130</v>
      </c>
      <c r="F28" t="s">
        <v>130</v>
      </c>
      <c r="G28" t="s">
        <v>130</v>
      </c>
      <c r="H28" t="s">
        <v>129</v>
      </c>
      <c r="I28" t="s">
        <v>131</v>
      </c>
      <c r="J28" t="s">
        <v>129</v>
      </c>
      <c r="K28" t="str">
        <f t="shared" si="0"/>
        <v>{"test_id":"test_27", "genus_tags":["NN","VB"], "genus_hypo_depth":1,"genus_hyper_hypo_depth":2,"lesk_on_genus":True,"definition_similarity":True,"examples_similarity":True,"lemmas_similarity":False,"score_type":"wup_similarity","lesk_only_n":False}</v>
      </c>
      <c r="L28" t="s">
        <v>204</v>
      </c>
    </row>
    <row r="29" spans="1:12" x14ac:dyDescent="0.2">
      <c r="A29" t="s">
        <v>163</v>
      </c>
      <c r="B29" t="s">
        <v>137</v>
      </c>
      <c r="C29">
        <v>1</v>
      </c>
      <c r="D29">
        <v>2</v>
      </c>
      <c r="E29" t="s">
        <v>130</v>
      </c>
      <c r="F29" t="s">
        <v>130</v>
      </c>
      <c r="G29" t="s">
        <v>130</v>
      </c>
      <c r="H29" t="s">
        <v>129</v>
      </c>
      <c r="I29" t="s">
        <v>131</v>
      </c>
      <c r="J29" t="s">
        <v>129</v>
      </c>
      <c r="K29" t="str">
        <f t="shared" si="0"/>
        <v>{"test_id":"test_28", "genus_tags":["NN","VB","VBD","VBG","VBN","VBP","VBZ"], "genus_hypo_depth":1,"genus_hyper_hypo_depth":2,"lesk_on_genus":True,"definition_similarity":True,"examples_similarity":True,"lemmas_similarity":False,"score_type":"wup_similarity","lesk_only_n":False}</v>
      </c>
      <c r="L29" t="s">
        <v>204</v>
      </c>
    </row>
    <row r="30" spans="1:12" x14ac:dyDescent="0.2">
      <c r="A30" t="s">
        <v>164</v>
      </c>
      <c r="B30" t="s">
        <v>139</v>
      </c>
      <c r="C30">
        <v>1</v>
      </c>
      <c r="D30">
        <v>2</v>
      </c>
      <c r="E30" t="s">
        <v>130</v>
      </c>
      <c r="F30" t="s">
        <v>130</v>
      </c>
      <c r="G30" t="s">
        <v>130</v>
      </c>
      <c r="H30" t="s">
        <v>129</v>
      </c>
      <c r="I30" t="s">
        <v>131</v>
      </c>
      <c r="J30" t="s">
        <v>129</v>
      </c>
      <c r="K30" t="str">
        <f t="shared" si="0"/>
        <v>{"test_id":"test_29", "genus_tags":["NN","RB"], "genus_hypo_depth":1,"genus_hyper_hypo_depth":2,"lesk_on_genus":True,"definition_similarity":True,"examples_similarity":True,"lemmas_similarity":False,"score_type":"wup_similarity","lesk_only_n":False}</v>
      </c>
      <c r="L30" t="s">
        <v>204</v>
      </c>
    </row>
    <row r="31" spans="1:12" x14ac:dyDescent="0.2">
      <c r="A31" t="s">
        <v>165</v>
      </c>
      <c r="B31" t="s">
        <v>141</v>
      </c>
      <c r="C31">
        <v>1</v>
      </c>
      <c r="D31">
        <v>2</v>
      </c>
      <c r="E31" t="s">
        <v>130</v>
      </c>
      <c r="F31" t="s">
        <v>130</v>
      </c>
      <c r="G31" t="s">
        <v>130</v>
      </c>
      <c r="H31" t="s">
        <v>129</v>
      </c>
      <c r="I31" t="s">
        <v>131</v>
      </c>
      <c r="J31" t="s">
        <v>129</v>
      </c>
      <c r="K31" t="str">
        <f t="shared" si="0"/>
        <v>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</v>
      </c>
      <c r="L31" t="s">
        <v>204</v>
      </c>
    </row>
    <row r="32" spans="1:12" x14ac:dyDescent="0.2">
      <c r="A32" t="s">
        <v>166</v>
      </c>
      <c r="B32" t="s">
        <v>128</v>
      </c>
      <c r="C32">
        <v>1</v>
      </c>
      <c r="D32">
        <v>2</v>
      </c>
      <c r="E32" t="s">
        <v>129</v>
      </c>
      <c r="F32" t="s">
        <v>130</v>
      </c>
      <c r="G32" t="s">
        <v>130</v>
      </c>
      <c r="H32" t="s">
        <v>129</v>
      </c>
      <c r="I32" t="s">
        <v>131</v>
      </c>
      <c r="J32" t="s">
        <v>130</v>
      </c>
      <c r="K32" t="str">
        <f t="shared" si="0"/>
        <v>{"test_id":"test_31", "genus_tags":["NN"], "genus_hypo_depth":1,"genus_hyper_hypo_depth":2,"lesk_on_genus":False,"definition_similarity":True,"examples_similarity":True,"lemmas_similarity":False,"score_type":"wup_similarity","lesk_only_n":True}</v>
      </c>
      <c r="L32" t="s">
        <v>204</v>
      </c>
    </row>
    <row r="33" spans="1:12" x14ac:dyDescent="0.2">
      <c r="A33" t="s">
        <v>167</v>
      </c>
      <c r="B33" t="s">
        <v>133</v>
      </c>
      <c r="C33">
        <v>1</v>
      </c>
      <c r="D33">
        <v>2</v>
      </c>
      <c r="E33" t="s">
        <v>130</v>
      </c>
      <c r="F33" t="s">
        <v>130</v>
      </c>
      <c r="G33" t="s">
        <v>130</v>
      </c>
      <c r="H33" t="s">
        <v>129</v>
      </c>
      <c r="I33" t="s">
        <v>131</v>
      </c>
      <c r="J33" t="s">
        <v>130</v>
      </c>
      <c r="K33" t="str">
        <f t="shared" si="0"/>
        <v>{"test_id":"test_32", "genus_tags":["NN","JJ"], "genus_hypo_depth":1,"genus_hyper_hypo_depth":2,"lesk_on_genus":True,"definition_similarity":True,"examples_similarity":True,"lemmas_similarity":False,"score_type":"wup_similarity","lesk_only_n":True}</v>
      </c>
      <c r="L33" t="s">
        <v>204</v>
      </c>
    </row>
    <row r="34" spans="1:12" x14ac:dyDescent="0.2">
      <c r="A34" t="s">
        <v>168</v>
      </c>
      <c r="B34" t="s">
        <v>135</v>
      </c>
      <c r="C34">
        <v>1</v>
      </c>
      <c r="D34">
        <v>2</v>
      </c>
      <c r="E34" t="s">
        <v>130</v>
      </c>
      <c r="F34" t="s">
        <v>130</v>
      </c>
      <c r="G34" t="s">
        <v>130</v>
      </c>
      <c r="H34" t="s">
        <v>129</v>
      </c>
      <c r="I34" t="s">
        <v>131</v>
      </c>
      <c r="J34" t="s">
        <v>130</v>
      </c>
      <c r="K34" t="str">
        <f t="shared" si="0"/>
        <v>{"test_id":"test_33", "genus_tags":["NN","VB"], "genus_hypo_depth":1,"genus_hyper_hypo_depth":2,"lesk_on_genus":True,"definition_similarity":True,"examples_similarity":True,"lemmas_similarity":False,"score_type":"wup_similarity","lesk_only_n":True}</v>
      </c>
      <c r="L34" t="s">
        <v>204</v>
      </c>
    </row>
    <row r="35" spans="1:12" x14ac:dyDescent="0.2">
      <c r="A35" t="s">
        <v>169</v>
      </c>
      <c r="B35" t="s">
        <v>137</v>
      </c>
      <c r="C35">
        <v>1</v>
      </c>
      <c r="D35">
        <v>2</v>
      </c>
      <c r="E35" t="s">
        <v>130</v>
      </c>
      <c r="F35" t="s">
        <v>130</v>
      </c>
      <c r="G35" t="s">
        <v>130</v>
      </c>
      <c r="H35" t="s">
        <v>129</v>
      </c>
      <c r="I35" t="s">
        <v>131</v>
      </c>
      <c r="J35" t="s">
        <v>130</v>
      </c>
      <c r="K35" t="str">
        <f t="shared" si="0"/>
        <v>{"test_id":"test_34", "genus_tags":["NN","VB","VBD","VBG","VBN","VBP","VBZ"], "genus_hypo_depth":1,"genus_hyper_hypo_depth":2,"lesk_on_genus":True,"definition_similarity":True,"examples_similarity":True,"lemmas_similarity":False,"score_type":"wup_similarity","lesk_only_n":True}</v>
      </c>
      <c r="L35" t="s">
        <v>204</v>
      </c>
    </row>
    <row r="36" spans="1:12" x14ac:dyDescent="0.2">
      <c r="A36" t="s">
        <v>170</v>
      </c>
      <c r="B36" t="s">
        <v>139</v>
      </c>
      <c r="C36">
        <v>1</v>
      </c>
      <c r="D36">
        <v>2</v>
      </c>
      <c r="E36" t="s">
        <v>130</v>
      </c>
      <c r="F36" t="s">
        <v>130</v>
      </c>
      <c r="G36" t="s">
        <v>130</v>
      </c>
      <c r="H36" t="s">
        <v>129</v>
      </c>
      <c r="I36" t="s">
        <v>131</v>
      </c>
      <c r="J36" t="s">
        <v>130</v>
      </c>
      <c r="K36" t="str">
        <f t="shared" si="0"/>
        <v>{"test_id":"test_35", "genus_tags":["NN","RB"], "genus_hypo_depth":1,"genus_hyper_hypo_depth":2,"lesk_on_genus":True,"definition_similarity":True,"examples_similarity":True,"lemmas_similarity":False,"score_type":"wup_similarity","lesk_only_n":True}</v>
      </c>
      <c r="L36" t="s">
        <v>204</v>
      </c>
    </row>
    <row r="37" spans="1:12" x14ac:dyDescent="0.2">
      <c r="A37" t="s">
        <v>171</v>
      </c>
      <c r="B37" t="s">
        <v>141</v>
      </c>
      <c r="C37">
        <v>1</v>
      </c>
      <c r="D37">
        <v>2</v>
      </c>
      <c r="E37" t="s">
        <v>130</v>
      </c>
      <c r="F37" t="s">
        <v>130</v>
      </c>
      <c r="G37" t="s">
        <v>130</v>
      </c>
      <c r="H37" t="s">
        <v>129</v>
      </c>
      <c r="I37" t="s">
        <v>131</v>
      </c>
      <c r="J37" t="s">
        <v>130</v>
      </c>
      <c r="K37" t="str">
        <f t="shared" si="0"/>
        <v>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</v>
      </c>
      <c r="L37" t="s">
        <v>204</v>
      </c>
    </row>
    <row r="38" spans="1:12" x14ac:dyDescent="0.2">
      <c r="A38" t="s">
        <v>172</v>
      </c>
      <c r="B38" t="s">
        <v>128</v>
      </c>
      <c r="C38">
        <v>1</v>
      </c>
      <c r="D38">
        <v>2</v>
      </c>
      <c r="E38" t="s">
        <v>129</v>
      </c>
      <c r="F38" t="s">
        <v>130</v>
      </c>
      <c r="G38" t="s">
        <v>130</v>
      </c>
      <c r="H38" t="s">
        <v>130</v>
      </c>
      <c r="I38" t="s">
        <v>131</v>
      </c>
      <c r="J38" t="s">
        <v>129</v>
      </c>
      <c r="K38" t="str">
        <f t="shared" si="0"/>
        <v>{"test_id":"test_37", "genus_tags":["NN"], "genus_hypo_depth":1,"genus_hyper_hypo_depth":2,"lesk_on_genus":False,"definition_similarity":True,"examples_similarity":True,"lemmas_similarity":True,"score_type":"wup_similarity","lesk_only_n":False}</v>
      </c>
      <c r="L38" t="s">
        <v>204</v>
      </c>
    </row>
    <row r="39" spans="1:12" x14ac:dyDescent="0.2">
      <c r="A39" t="s">
        <v>173</v>
      </c>
      <c r="B39" t="s">
        <v>133</v>
      </c>
      <c r="C39">
        <v>1</v>
      </c>
      <c r="D39">
        <v>2</v>
      </c>
      <c r="E39" t="s">
        <v>129</v>
      </c>
      <c r="F39" t="s">
        <v>130</v>
      </c>
      <c r="G39" t="s">
        <v>130</v>
      </c>
      <c r="H39" t="s">
        <v>130</v>
      </c>
      <c r="I39" t="s">
        <v>131</v>
      </c>
      <c r="J39" t="s">
        <v>129</v>
      </c>
      <c r="K39" t="str">
        <f t="shared" si="0"/>
        <v>{"test_id":"test_38", "genus_tags":["NN","JJ"], "genus_hypo_depth":1,"genus_hyper_hypo_depth":2,"lesk_on_genus":False,"definition_similarity":True,"examples_similarity":True,"lemmas_similarity":True,"score_type":"wup_similarity","lesk_only_n":False}</v>
      </c>
      <c r="L39" t="s">
        <v>204</v>
      </c>
    </row>
    <row r="40" spans="1:12" x14ac:dyDescent="0.2">
      <c r="A40" t="s">
        <v>174</v>
      </c>
      <c r="B40" t="s">
        <v>135</v>
      </c>
      <c r="C40">
        <v>1</v>
      </c>
      <c r="D40">
        <v>2</v>
      </c>
      <c r="E40" t="s">
        <v>129</v>
      </c>
      <c r="F40" t="s">
        <v>130</v>
      </c>
      <c r="G40" t="s">
        <v>130</v>
      </c>
      <c r="H40" t="s">
        <v>130</v>
      </c>
      <c r="I40" t="s">
        <v>131</v>
      </c>
      <c r="J40" t="s">
        <v>129</v>
      </c>
      <c r="K40" t="str">
        <f t="shared" si="0"/>
        <v>{"test_id":"test_39", "genus_tags":["NN","VB"], "genus_hypo_depth":1,"genus_hyper_hypo_depth":2,"lesk_on_genus":False,"definition_similarity":True,"examples_similarity":True,"lemmas_similarity":True,"score_type":"wup_similarity","lesk_only_n":False}</v>
      </c>
      <c r="L40" t="s">
        <v>204</v>
      </c>
    </row>
    <row r="41" spans="1:12" x14ac:dyDescent="0.2">
      <c r="A41" t="s">
        <v>175</v>
      </c>
      <c r="B41" t="s">
        <v>137</v>
      </c>
      <c r="C41">
        <v>1</v>
      </c>
      <c r="D41">
        <v>2</v>
      </c>
      <c r="E41" t="s">
        <v>129</v>
      </c>
      <c r="F41" t="s">
        <v>130</v>
      </c>
      <c r="G41" t="s">
        <v>130</v>
      </c>
      <c r="H41" t="s">
        <v>130</v>
      </c>
      <c r="I41" t="s">
        <v>131</v>
      </c>
      <c r="J41" t="s">
        <v>129</v>
      </c>
      <c r="K41" t="str">
        <f t="shared" si="0"/>
        <v>{"test_id":"test_40", "genus_tags":["NN","VB","VBD","VBG","VBN","VBP","VBZ"], "genus_hypo_depth":1,"genus_hyper_hypo_depth":2,"lesk_on_genus":False,"definition_similarity":True,"examples_similarity":True,"lemmas_similarity":True,"score_type":"wup_similarity","lesk_only_n":False}</v>
      </c>
      <c r="L41" t="s">
        <v>204</v>
      </c>
    </row>
    <row r="42" spans="1:12" x14ac:dyDescent="0.2">
      <c r="A42" t="s">
        <v>176</v>
      </c>
      <c r="B42" t="s">
        <v>139</v>
      </c>
      <c r="C42">
        <v>1</v>
      </c>
      <c r="D42">
        <v>2</v>
      </c>
      <c r="E42" t="s">
        <v>129</v>
      </c>
      <c r="F42" t="s">
        <v>130</v>
      </c>
      <c r="G42" t="s">
        <v>130</v>
      </c>
      <c r="H42" t="s">
        <v>130</v>
      </c>
      <c r="I42" t="s">
        <v>131</v>
      </c>
      <c r="J42" t="s">
        <v>129</v>
      </c>
      <c r="K42" t="str">
        <f t="shared" si="0"/>
        <v>{"test_id":"test_41", "genus_tags":["NN","RB"], "genus_hypo_depth":1,"genus_hyper_hypo_depth":2,"lesk_on_genus":False,"definition_similarity":True,"examples_similarity":True,"lemmas_similarity":True,"score_type":"wup_similarity","lesk_only_n":False}</v>
      </c>
      <c r="L42" t="s">
        <v>204</v>
      </c>
    </row>
    <row r="43" spans="1:12" x14ac:dyDescent="0.2">
      <c r="A43" t="s">
        <v>177</v>
      </c>
      <c r="B43" t="s">
        <v>141</v>
      </c>
      <c r="C43">
        <v>1</v>
      </c>
      <c r="D43">
        <v>2</v>
      </c>
      <c r="E43" t="s">
        <v>129</v>
      </c>
      <c r="F43" t="s">
        <v>130</v>
      </c>
      <c r="G43" t="s">
        <v>130</v>
      </c>
      <c r="H43" t="s">
        <v>130</v>
      </c>
      <c r="I43" t="s">
        <v>131</v>
      </c>
      <c r="J43" t="s">
        <v>129</v>
      </c>
      <c r="K43" t="str">
        <f t="shared" si="0"/>
        <v>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</v>
      </c>
      <c r="L43" t="s">
        <v>204</v>
      </c>
    </row>
    <row r="44" spans="1:12" x14ac:dyDescent="0.2">
      <c r="A44" t="s">
        <v>178</v>
      </c>
      <c r="B44" t="s">
        <v>128</v>
      </c>
      <c r="C44">
        <v>1</v>
      </c>
      <c r="D44">
        <v>2</v>
      </c>
      <c r="E44" t="s">
        <v>130</v>
      </c>
      <c r="F44" t="s">
        <v>130</v>
      </c>
      <c r="G44" t="s">
        <v>130</v>
      </c>
      <c r="H44" t="s">
        <v>130</v>
      </c>
      <c r="I44" t="s">
        <v>131</v>
      </c>
      <c r="J44" t="s">
        <v>129</v>
      </c>
      <c r="K44" t="str">
        <f t="shared" si="0"/>
        <v>{"test_id":"test_43", "genus_tags":["NN"], "genus_hypo_depth":1,"genus_hyper_hypo_depth":2,"lesk_on_genus":True,"definition_similarity":True,"examples_similarity":True,"lemmas_similarity":True,"score_type":"wup_similarity","lesk_only_n":False}</v>
      </c>
      <c r="L44" t="s">
        <v>204</v>
      </c>
    </row>
    <row r="45" spans="1:12" x14ac:dyDescent="0.2">
      <c r="A45" t="s">
        <v>179</v>
      </c>
      <c r="B45" t="s">
        <v>133</v>
      </c>
      <c r="C45">
        <v>1</v>
      </c>
      <c r="D45">
        <v>2</v>
      </c>
      <c r="E45" t="s">
        <v>130</v>
      </c>
      <c r="F45" t="s">
        <v>130</v>
      </c>
      <c r="G45" t="s">
        <v>130</v>
      </c>
      <c r="H45" t="s">
        <v>130</v>
      </c>
      <c r="I45" t="s">
        <v>131</v>
      </c>
      <c r="J45" t="s">
        <v>129</v>
      </c>
      <c r="K45" t="str">
        <f t="shared" si="0"/>
        <v>{"test_id":"test_44", "genus_tags":["NN","JJ"], "genus_hypo_depth":1,"genus_hyper_hypo_depth":2,"lesk_on_genus":True,"definition_similarity":True,"examples_similarity":True,"lemmas_similarity":True,"score_type":"wup_similarity","lesk_only_n":False}</v>
      </c>
      <c r="L45" t="s">
        <v>204</v>
      </c>
    </row>
    <row r="46" spans="1:12" x14ac:dyDescent="0.2">
      <c r="A46" t="s">
        <v>180</v>
      </c>
      <c r="B46" t="s">
        <v>135</v>
      </c>
      <c r="C46">
        <v>1</v>
      </c>
      <c r="D46">
        <v>2</v>
      </c>
      <c r="E46" t="s">
        <v>130</v>
      </c>
      <c r="F46" t="s">
        <v>130</v>
      </c>
      <c r="G46" t="s">
        <v>130</v>
      </c>
      <c r="H46" t="s">
        <v>130</v>
      </c>
      <c r="I46" t="s">
        <v>131</v>
      </c>
      <c r="J46" t="s">
        <v>129</v>
      </c>
      <c r="K46" t="str">
        <f t="shared" si="0"/>
        <v>{"test_id":"test_45", "genus_tags":["NN","VB"], "genus_hypo_depth":1,"genus_hyper_hypo_depth":2,"lesk_on_genus":True,"definition_similarity":True,"examples_similarity":True,"lemmas_similarity":True,"score_type":"wup_similarity","lesk_only_n":False}</v>
      </c>
      <c r="L46" t="s">
        <v>204</v>
      </c>
    </row>
    <row r="47" spans="1:12" x14ac:dyDescent="0.2">
      <c r="A47" t="s">
        <v>181</v>
      </c>
      <c r="B47" t="s">
        <v>137</v>
      </c>
      <c r="C47">
        <v>1</v>
      </c>
      <c r="D47">
        <v>2</v>
      </c>
      <c r="E47" t="s">
        <v>130</v>
      </c>
      <c r="F47" t="s">
        <v>130</v>
      </c>
      <c r="G47" t="s">
        <v>130</v>
      </c>
      <c r="H47" t="s">
        <v>130</v>
      </c>
      <c r="I47" t="s">
        <v>131</v>
      </c>
      <c r="J47" t="s">
        <v>129</v>
      </c>
      <c r="K47" t="str">
        <f t="shared" si="0"/>
        <v>{"test_id":"test_46", "genus_tags":["NN","VB","VBD","VBG","VBN","VBP","VBZ"], "genus_hypo_depth":1,"genus_hyper_hypo_depth":2,"lesk_on_genus":True,"definition_similarity":True,"examples_similarity":True,"lemmas_similarity":True,"score_type":"wup_similarity","lesk_only_n":False}</v>
      </c>
      <c r="L47" t="s">
        <v>204</v>
      </c>
    </row>
    <row r="48" spans="1:12" x14ac:dyDescent="0.2">
      <c r="A48" t="s">
        <v>182</v>
      </c>
      <c r="B48" t="s">
        <v>139</v>
      </c>
      <c r="C48">
        <v>1</v>
      </c>
      <c r="D48">
        <v>2</v>
      </c>
      <c r="E48" t="s">
        <v>130</v>
      </c>
      <c r="F48" t="s">
        <v>130</v>
      </c>
      <c r="G48" t="s">
        <v>130</v>
      </c>
      <c r="H48" t="s">
        <v>130</v>
      </c>
      <c r="I48" t="s">
        <v>131</v>
      </c>
      <c r="J48" t="s">
        <v>129</v>
      </c>
      <c r="K48" t="str">
        <f t="shared" si="0"/>
        <v>{"test_id":"test_47", "genus_tags":["NN","RB"], "genus_hypo_depth":1,"genus_hyper_hypo_depth":2,"lesk_on_genus":True,"definition_similarity":True,"examples_similarity":True,"lemmas_similarity":True,"score_type":"wup_similarity","lesk_only_n":False}</v>
      </c>
      <c r="L48" t="s">
        <v>204</v>
      </c>
    </row>
    <row r="49" spans="1:12" x14ac:dyDescent="0.2">
      <c r="A49" t="s">
        <v>183</v>
      </c>
      <c r="B49" t="s">
        <v>141</v>
      </c>
      <c r="C49">
        <v>1</v>
      </c>
      <c r="D49">
        <v>2</v>
      </c>
      <c r="E49" t="s">
        <v>130</v>
      </c>
      <c r="F49" t="s">
        <v>130</v>
      </c>
      <c r="G49" t="s">
        <v>130</v>
      </c>
      <c r="H49" t="s">
        <v>130</v>
      </c>
      <c r="I49" t="s">
        <v>131</v>
      </c>
      <c r="J49" t="s">
        <v>129</v>
      </c>
      <c r="K49" t="str">
        <f t="shared" si="0"/>
        <v>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</v>
      </c>
      <c r="L49" t="s">
        <v>204</v>
      </c>
    </row>
    <row r="50" spans="1:12" x14ac:dyDescent="0.2">
      <c r="A50" t="s">
        <v>184</v>
      </c>
      <c r="B50" t="s">
        <v>128</v>
      </c>
      <c r="C50">
        <v>1</v>
      </c>
      <c r="D50">
        <v>2</v>
      </c>
      <c r="E50" t="s">
        <v>129</v>
      </c>
      <c r="F50" t="s">
        <v>130</v>
      </c>
      <c r="G50" t="s">
        <v>130</v>
      </c>
      <c r="H50" t="s">
        <v>130</v>
      </c>
      <c r="I50" t="s">
        <v>131</v>
      </c>
      <c r="J50" t="s">
        <v>130</v>
      </c>
      <c r="K50" t="str">
        <f t="shared" si="0"/>
        <v>{"test_id":"test_49", "genus_tags":["NN"], "genus_hypo_depth":1,"genus_hyper_hypo_depth":2,"lesk_on_genus":False,"definition_similarity":True,"examples_similarity":True,"lemmas_similarity":True,"score_type":"wup_similarity","lesk_only_n":True}</v>
      </c>
      <c r="L50" t="s">
        <v>204</v>
      </c>
    </row>
    <row r="51" spans="1:12" x14ac:dyDescent="0.2">
      <c r="A51" t="s">
        <v>185</v>
      </c>
      <c r="B51" t="s">
        <v>133</v>
      </c>
      <c r="C51">
        <v>1</v>
      </c>
      <c r="D51">
        <v>2</v>
      </c>
      <c r="E51" t="s">
        <v>130</v>
      </c>
      <c r="F51" t="s">
        <v>130</v>
      </c>
      <c r="G51" t="s">
        <v>130</v>
      </c>
      <c r="H51" t="s">
        <v>130</v>
      </c>
      <c r="I51" t="s">
        <v>131</v>
      </c>
      <c r="J51" t="s">
        <v>130</v>
      </c>
      <c r="K51" t="str">
        <f t="shared" si="0"/>
        <v>{"test_id":"test_50", "genus_tags":["NN","JJ"], "genus_hypo_depth":1,"genus_hyper_hypo_depth":2,"lesk_on_genus":True,"definition_similarity":True,"examples_similarity":True,"lemmas_similarity":True,"score_type":"wup_similarity","lesk_only_n":True}</v>
      </c>
      <c r="L51" t="s">
        <v>204</v>
      </c>
    </row>
    <row r="52" spans="1:12" x14ac:dyDescent="0.2">
      <c r="A52" t="s">
        <v>186</v>
      </c>
      <c r="B52" t="s">
        <v>135</v>
      </c>
      <c r="C52">
        <v>1</v>
      </c>
      <c r="D52">
        <v>2</v>
      </c>
      <c r="E52" t="s">
        <v>130</v>
      </c>
      <c r="F52" t="s">
        <v>130</v>
      </c>
      <c r="G52" t="s">
        <v>130</v>
      </c>
      <c r="H52" t="s">
        <v>130</v>
      </c>
      <c r="I52" t="s">
        <v>131</v>
      </c>
      <c r="J52" t="s">
        <v>130</v>
      </c>
      <c r="K52" t="str">
        <f t="shared" si="0"/>
        <v>{"test_id":"test_51", "genus_tags":["NN","VB"], "genus_hypo_depth":1,"genus_hyper_hypo_depth":2,"lesk_on_genus":True,"definition_similarity":True,"examples_similarity":True,"lemmas_similarity":True,"score_type":"wup_similarity","lesk_only_n":True}</v>
      </c>
      <c r="L52" t="s">
        <v>204</v>
      </c>
    </row>
    <row r="53" spans="1:12" x14ac:dyDescent="0.2">
      <c r="A53" t="s">
        <v>187</v>
      </c>
      <c r="B53" t="s">
        <v>137</v>
      </c>
      <c r="C53">
        <v>1</v>
      </c>
      <c r="D53">
        <v>2</v>
      </c>
      <c r="E53" t="s">
        <v>130</v>
      </c>
      <c r="F53" t="s">
        <v>130</v>
      </c>
      <c r="G53" t="s">
        <v>130</v>
      </c>
      <c r="H53" t="s">
        <v>130</v>
      </c>
      <c r="I53" t="s">
        <v>131</v>
      </c>
      <c r="J53" t="s">
        <v>130</v>
      </c>
      <c r="K53" t="str">
        <f t="shared" si="0"/>
        <v>{"test_id":"test_52", "genus_tags":["NN","VB","VBD","VBG","VBN","VBP","VBZ"], "genus_hypo_depth":1,"genus_hyper_hypo_depth":2,"lesk_on_genus":True,"definition_similarity":True,"examples_similarity":True,"lemmas_similarity":True,"score_type":"wup_similarity","lesk_only_n":True}</v>
      </c>
      <c r="L53" t="s">
        <v>204</v>
      </c>
    </row>
    <row r="54" spans="1:12" x14ac:dyDescent="0.2">
      <c r="A54" t="s">
        <v>188</v>
      </c>
      <c r="B54" t="s">
        <v>139</v>
      </c>
      <c r="C54">
        <v>1</v>
      </c>
      <c r="D54">
        <v>2</v>
      </c>
      <c r="E54" t="s">
        <v>130</v>
      </c>
      <c r="F54" t="s">
        <v>130</v>
      </c>
      <c r="G54" t="s">
        <v>130</v>
      </c>
      <c r="H54" t="s">
        <v>130</v>
      </c>
      <c r="I54" t="s">
        <v>131</v>
      </c>
      <c r="J54" t="s">
        <v>130</v>
      </c>
      <c r="K54" t="str">
        <f t="shared" si="0"/>
        <v>{"test_id":"test_53", "genus_tags":["NN","RB"], "genus_hypo_depth":1,"genus_hyper_hypo_depth":2,"lesk_on_genus":True,"definition_similarity":True,"examples_similarity":True,"lemmas_similarity":True,"score_type":"wup_similarity","lesk_only_n":True}</v>
      </c>
      <c r="L54" t="s">
        <v>204</v>
      </c>
    </row>
    <row r="55" spans="1:12" x14ac:dyDescent="0.2">
      <c r="A55" t="s">
        <v>189</v>
      </c>
      <c r="B55" t="s">
        <v>141</v>
      </c>
      <c r="C55">
        <v>1</v>
      </c>
      <c r="D55">
        <v>2</v>
      </c>
      <c r="E55" t="s">
        <v>130</v>
      </c>
      <c r="F55" t="s">
        <v>130</v>
      </c>
      <c r="G55" t="s">
        <v>130</v>
      </c>
      <c r="H55" t="s">
        <v>130</v>
      </c>
      <c r="I55" t="s">
        <v>131</v>
      </c>
      <c r="J55" t="s">
        <v>130</v>
      </c>
      <c r="K55" t="str">
        <f t="shared" si="0"/>
        <v>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</v>
      </c>
      <c r="L55" t="s">
        <v>204</v>
      </c>
    </row>
    <row r="56" spans="1:12" x14ac:dyDescent="0.2">
      <c r="A56" t="s">
        <v>220</v>
      </c>
      <c r="B56" t="s">
        <v>128</v>
      </c>
      <c r="C56">
        <v>1</v>
      </c>
      <c r="D56">
        <v>2</v>
      </c>
      <c r="E56" t="s">
        <v>129</v>
      </c>
      <c r="F56" t="s">
        <v>129</v>
      </c>
      <c r="G56" t="s">
        <v>130</v>
      </c>
      <c r="H56" t="s">
        <v>129</v>
      </c>
      <c r="I56" t="s">
        <v>131</v>
      </c>
      <c r="J56" t="s">
        <v>129</v>
      </c>
      <c r="K56" t="str">
        <f t="shared" ref="K56:K73" si="1">"{"""&amp;A$1&amp;""""&amp;":"""&amp;A56&amp;""", "&amp;SUBSTITUTE( """"&amp;B$1&amp;""""&amp;":["""&amp;B56&amp;"""]",",",""",""")&amp;", "&amp;""""&amp;C$1&amp;""""&amp;":"&amp;C56&amp;","&amp;""""&amp;D$1&amp;""""&amp;":"&amp;D56&amp;","&amp;""""&amp;E$1&amp;""""&amp;":"&amp;E56&amp;","&amp;""""&amp;F$1&amp;""""&amp;":"&amp;F56&amp;","&amp;""""&amp;G$1&amp;""""&amp;":"&amp;G56&amp;","&amp;""""&amp;H$1&amp;""""&amp;":"&amp;H56&amp;","&amp;""""&amp;I$1&amp;""""&amp;":"""&amp;I56&amp;""","&amp;""""&amp;J$1&amp;""""&amp;":"&amp;J56&amp;"}"</f>
        <v>{"test_id":"test_55", "genus_tags":["NN"], "genus_hypo_depth":1,"genus_hyper_hypo_depth":2,"lesk_on_genus":False,"definition_similarity":False,"examples_similarity":True,"lemmas_similarity":False,"score_type":"wup_similarity","lesk_only_n":False}</v>
      </c>
      <c r="L56" t="s">
        <v>204</v>
      </c>
    </row>
    <row r="57" spans="1:12" x14ac:dyDescent="0.2">
      <c r="A57" t="s">
        <v>221</v>
      </c>
      <c r="B57" t="s">
        <v>133</v>
      </c>
      <c r="C57">
        <v>1</v>
      </c>
      <c r="D57">
        <v>2</v>
      </c>
      <c r="E57" t="s">
        <v>129</v>
      </c>
      <c r="F57" t="s">
        <v>129</v>
      </c>
      <c r="G57" t="s">
        <v>130</v>
      </c>
      <c r="H57" t="s">
        <v>129</v>
      </c>
      <c r="I57" t="s">
        <v>131</v>
      </c>
      <c r="J57" t="s">
        <v>129</v>
      </c>
      <c r="K57" t="str">
        <f t="shared" si="1"/>
        <v>{"test_id":"test_56", "genus_tags":["NN","JJ"], "genus_hypo_depth":1,"genus_hyper_hypo_depth":2,"lesk_on_genus":False,"definition_similarity":False,"examples_similarity":True,"lemmas_similarity":False,"score_type":"wup_similarity","lesk_only_n":False}</v>
      </c>
      <c r="L57" t="s">
        <v>204</v>
      </c>
    </row>
    <row r="58" spans="1:12" x14ac:dyDescent="0.2">
      <c r="A58" t="s">
        <v>222</v>
      </c>
      <c r="B58" t="s">
        <v>135</v>
      </c>
      <c r="C58">
        <v>1</v>
      </c>
      <c r="D58">
        <v>2</v>
      </c>
      <c r="E58" t="s">
        <v>129</v>
      </c>
      <c r="F58" t="s">
        <v>129</v>
      </c>
      <c r="G58" t="s">
        <v>130</v>
      </c>
      <c r="H58" t="s">
        <v>129</v>
      </c>
      <c r="I58" t="s">
        <v>131</v>
      </c>
      <c r="J58" t="s">
        <v>129</v>
      </c>
      <c r="K58" t="str">
        <f t="shared" si="1"/>
        <v>{"test_id":"test_57", "genus_tags":["NN","VB"], "genus_hypo_depth":1,"genus_hyper_hypo_depth":2,"lesk_on_genus":False,"definition_similarity":False,"examples_similarity":True,"lemmas_similarity":False,"score_type":"wup_similarity","lesk_only_n":False}</v>
      </c>
      <c r="L58" t="s">
        <v>204</v>
      </c>
    </row>
    <row r="59" spans="1:12" x14ac:dyDescent="0.2">
      <c r="A59" t="s">
        <v>223</v>
      </c>
      <c r="B59" t="s">
        <v>137</v>
      </c>
      <c r="C59">
        <v>1</v>
      </c>
      <c r="D59">
        <v>2</v>
      </c>
      <c r="E59" t="s">
        <v>129</v>
      </c>
      <c r="F59" t="s">
        <v>129</v>
      </c>
      <c r="G59" t="s">
        <v>130</v>
      </c>
      <c r="H59" t="s">
        <v>129</v>
      </c>
      <c r="I59" t="s">
        <v>131</v>
      </c>
      <c r="J59" t="s">
        <v>129</v>
      </c>
      <c r="K59" t="str">
        <f t="shared" si="1"/>
        <v>{"test_id":"test_58", "genus_tags":["NN","VB","VBD","VBG","VBN","VBP","VBZ"], "genus_hypo_depth":1,"genus_hyper_hypo_depth":2,"lesk_on_genus":False,"definition_similarity":False,"examples_similarity":True,"lemmas_similarity":False,"score_type":"wup_similarity","lesk_only_n":False}</v>
      </c>
      <c r="L59" t="s">
        <v>204</v>
      </c>
    </row>
    <row r="60" spans="1:12" x14ac:dyDescent="0.2">
      <c r="A60" t="s">
        <v>224</v>
      </c>
      <c r="B60" t="s">
        <v>139</v>
      </c>
      <c r="C60">
        <v>1</v>
      </c>
      <c r="D60">
        <v>2</v>
      </c>
      <c r="E60" t="s">
        <v>129</v>
      </c>
      <c r="F60" t="s">
        <v>129</v>
      </c>
      <c r="G60" t="s">
        <v>130</v>
      </c>
      <c r="H60" t="s">
        <v>129</v>
      </c>
      <c r="I60" t="s">
        <v>131</v>
      </c>
      <c r="J60" t="s">
        <v>129</v>
      </c>
      <c r="K60" t="str">
        <f t="shared" si="1"/>
        <v>{"test_id":"test_59", "genus_tags":["NN","RB"], "genus_hypo_depth":1,"genus_hyper_hypo_depth":2,"lesk_on_genus":False,"definition_similarity":False,"examples_similarity":True,"lemmas_similarity":False,"score_type":"wup_similarity","lesk_only_n":False}</v>
      </c>
      <c r="L60" t="s">
        <v>204</v>
      </c>
    </row>
    <row r="61" spans="1:12" x14ac:dyDescent="0.2">
      <c r="A61" t="s">
        <v>225</v>
      </c>
      <c r="B61" t="s">
        <v>141</v>
      </c>
      <c r="C61">
        <v>1</v>
      </c>
      <c r="D61">
        <v>2</v>
      </c>
      <c r="E61" t="s">
        <v>129</v>
      </c>
      <c r="F61" t="s">
        <v>129</v>
      </c>
      <c r="G61" t="s">
        <v>130</v>
      </c>
      <c r="H61" t="s">
        <v>129</v>
      </c>
      <c r="I61" t="s">
        <v>131</v>
      </c>
      <c r="J61" t="s">
        <v>129</v>
      </c>
      <c r="K61" t="str">
        <f t="shared" si="1"/>
        <v>{"test_id":"test_60", "genus_tags":["NN","JJ","VB","VBD","VBG","VBN","VBP","VBZ"], "genus_hypo_depth":1,"genus_hyper_hypo_depth":2,"lesk_on_genus":False,"definition_similarity":False,"examples_similarity":True,"lemmas_similarity":False,"score_type":"wup_similarity","lesk_only_n":False}</v>
      </c>
      <c r="L61" t="s">
        <v>204</v>
      </c>
    </row>
    <row r="62" spans="1:12" x14ac:dyDescent="0.2">
      <c r="A62" t="s">
        <v>226</v>
      </c>
      <c r="B62" t="s">
        <v>128</v>
      </c>
      <c r="C62">
        <v>1</v>
      </c>
      <c r="D62">
        <v>2</v>
      </c>
      <c r="E62" t="s">
        <v>130</v>
      </c>
      <c r="F62" t="s">
        <v>129</v>
      </c>
      <c r="G62" t="s">
        <v>130</v>
      </c>
      <c r="H62" t="s">
        <v>129</v>
      </c>
      <c r="I62" t="s">
        <v>131</v>
      </c>
      <c r="J62" t="s">
        <v>129</v>
      </c>
      <c r="K62" t="str">
        <f t="shared" si="1"/>
        <v>{"test_id":"test_61", "genus_tags":["NN"], "genus_hypo_depth":1,"genus_hyper_hypo_depth":2,"lesk_on_genus":True,"definition_similarity":False,"examples_similarity":True,"lemmas_similarity":False,"score_type":"wup_similarity","lesk_only_n":False}</v>
      </c>
      <c r="L62" t="s">
        <v>204</v>
      </c>
    </row>
    <row r="63" spans="1:12" x14ac:dyDescent="0.2">
      <c r="A63" t="s">
        <v>227</v>
      </c>
      <c r="B63" t="s">
        <v>133</v>
      </c>
      <c r="C63">
        <v>1</v>
      </c>
      <c r="D63">
        <v>2</v>
      </c>
      <c r="E63" t="s">
        <v>130</v>
      </c>
      <c r="F63" t="s">
        <v>129</v>
      </c>
      <c r="G63" t="s">
        <v>130</v>
      </c>
      <c r="H63" t="s">
        <v>129</v>
      </c>
      <c r="I63" t="s">
        <v>131</v>
      </c>
      <c r="J63" t="s">
        <v>129</v>
      </c>
      <c r="K63" t="str">
        <f t="shared" si="1"/>
        <v>{"test_id":"test_62", "genus_tags":["NN","JJ"], "genus_hypo_depth":1,"genus_hyper_hypo_depth":2,"lesk_on_genus":True,"definition_similarity":False,"examples_similarity":True,"lemmas_similarity":False,"score_type":"wup_similarity","lesk_only_n":False}</v>
      </c>
      <c r="L63" t="s">
        <v>204</v>
      </c>
    </row>
    <row r="64" spans="1:12" x14ac:dyDescent="0.2">
      <c r="A64" t="s">
        <v>228</v>
      </c>
      <c r="B64" t="s">
        <v>135</v>
      </c>
      <c r="C64">
        <v>1</v>
      </c>
      <c r="D64">
        <v>2</v>
      </c>
      <c r="E64" t="s">
        <v>130</v>
      </c>
      <c r="F64" t="s">
        <v>129</v>
      </c>
      <c r="G64" t="s">
        <v>130</v>
      </c>
      <c r="H64" t="s">
        <v>129</v>
      </c>
      <c r="I64" t="s">
        <v>131</v>
      </c>
      <c r="J64" t="s">
        <v>129</v>
      </c>
      <c r="K64" t="str">
        <f t="shared" si="1"/>
        <v>{"test_id":"test_63", "genus_tags":["NN","VB"], "genus_hypo_depth":1,"genus_hyper_hypo_depth":2,"lesk_on_genus":True,"definition_similarity":False,"examples_similarity":True,"lemmas_similarity":False,"score_type":"wup_similarity","lesk_only_n":False}</v>
      </c>
      <c r="L64" t="s">
        <v>204</v>
      </c>
    </row>
    <row r="65" spans="1:12" x14ac:dyDescent="0.2">
      <c r="A65" t="s">
        <v>229</v>
      </c>
      <c r="B65" t="s">
        <v>137</v>
      </c>
      <c r="C65">
        <v>1</v>
      </c>
      <c r="D65">
        <v>2</v>
      </c>
      <c r="E65" t="s">
        <v>130</v>
      </c>
      <c r="F65" t="s">
        <v>129</v>
      </c>
      <c r="G65" t="s">
        <v>130</v>
      </c>
      <c r="H65" t="s">
        <v>129</v>
      </c>
      <c r="I65" t="s">
        <v>131</v>
      </c>
      <c r="J65" t="s">
        <v>129</v>
      </c>
      <c r="K65" t="str">
        <f t="shared" si="1"/>
        <v>{"test_id":"test_64", "genus_tags":["NN","VB","VBD","VBG","VBN","VBP","VBZ"], "genus_hypo_depth":1,"genus_hyper_hypo_depth":2,"lesk_on_genus":True,"definition_similarity":False,"examples_similarity":True,"lemmas_similarity":False,"score_type":"wup_similarity","lesk_only_n":False}</v>
      </c>
      <c r="L65" t="s">
        <v>204</v>
      </c>
    </row>
    <row r="66" spans="1:12" x14ac:dyDescent="0.2">
      <c r="A66" t="s">
        <v>230</v>
      </c>
      <c r="B66" t="s">
        <v>139</v>
      </c>
      <c r="C66">
        <v>1</v>
      </c>
      <c r="D66">
        <v>2</v>
      </c>
      <c r="E66" t="s">
        <v>130</v>
      </c>
      <c r="F66" t="s">
        <v>129</v>
      </c>
      <c r="G66" t="s">
        <v>130</v>
      </c>
      <c r="H66" t="s">
        <v>129</v>
      </c>
      <c r="I66" t="s">
        <v>131</v>
      </c>
      <c r="J66" t="s">
        <v>129</v>
      </c>
      <c r="K66" t="str">
        <f t="shared" si="1"/>
        <v>{"test_id":"test_65", "genus_tags":["NN","RB"], "genus_hypo_depth":1,"genus_hyper_hypo_depth":2,"lesk_on_genus":True,"definition_similarity":False,"examples_similarity":True,"lemmas_similarity":False,"score_type":"wup_similarity","lesk_only_n":False}</v>
      </c>
      <c r="L66" t="s">
        <v>204</v>
      </c>
    </row>
    <row r="67" spans="1:12" x14ac:dyDescent="0.2">
      <c r="A67" t="s">
        <v>231</v>
      </c>
      <c r="B67" t="s">
        <v>141</v>
      </c>
      <c r="C67">
        <v>1</v>
      </c>
      <c r="D67">
        <v>2</v>
      </c>
      <c r="E67" t="s">
        <v>130</v>
      </c>
      <c r="F67" t="s">
        <v>129</v>
      </c>
      <c r="G67" t="s">
        <v>130</v>
      </c>
      <c r="H67" t="s">
        <v>129</v>
      </c>
      <c r="I67" t="s">
        <v>131</v>
      </c>
      <c r="J67" t="s">
        <v>129</v>
      </c>
      <c r="K67" t="str">
        <f t="shared" si="1"/>
        <v>{"test_id":"test_66", "genus_tags":["NN","JJ","VB","VBD","VBG","VBN","VBP","VBZ"], "genus_hypo_depth":1,"genus_hyper_hypo_depth":2,"lesk_on_genus":True,"definition_similarity":False,"examples_similarity":True,"lemmas_similarity":False,"score_type":"wup_similarity","lesk_only_n":False}</v>
      </c>
      <c r="L67" t="s">
        <v>204</v>
      </c>
    </row>
    <row r="68" spans="1:12" x14ac:dyDescent="0.2">
      <c r="A68" t="s">
        <v>232</v>
      </c>
      <c r="B68" t="s">
        <v>128</v>
      </c>
      <c r="C68">
        <v>1</v>
      </c>
      <c r="D68">
        <v>2</v>
      </c>
      <c r="E68" t="s">
        <v>129</v>
      </c>
      <c r="F68" t="s">
        <v>129</v>
      </c>
      <c r="G68" t="s">
        <v>130</v>
      </c>
      <c r="H68" t="s">
        <v>129</v>
      </c>
      <c r="I68" t="s">
        <v>131</v>
      </c>
      <c r="J68" t="s">
        <v>130</v>
      </c>
      <c r="K68" t="str">
        <f t="shared" si="1"/>
        <v>{"test_id":"test_67", "genus_tags":["NN"], "genus_hypo_depth":1,"genus_hyper_hypo_depth":2,"lesk_on_genus":False,"definition_similarity":False,"examples_similarity":True,"lemmas_similarity":False,"score_type":"wup_similarity","lesk_only_n":True}</v>
      </c>
      <c r="L68" t="s">
        <v>204</v>
      </c>
    </row>
    <row r="69" spans="1:12" x14ac:dyDescent="0.2">
      <c r="A69" t="s">
        <v>233</v>
      </c>
      <c r="B69" t="s">
        <v>133</v>
      </c>
      <c r="C69">
        <v>1</v>
      </c>
      <c r="D69">
        <v>2</v>
      </c>
      <c r="E69" t="s">
        <v>130</v>
      </c>
      <c r="F69" t="s">
        <v>129</v>
      </c>
      <c r="G69" t="s">
        <v>130</v>
      </c>
      <c r="H69" t="s">
        <v>129</v>
      </c>
      <c r="I69" t="s">
        <v>131</v>
      </c>
      <c r="J69" t="s">
        <v>130</v>
      </c>
      <c r="K69" t="str">
        <f t="shared" si="1"/>
        <v>{"test_id":"test_68", "genus_tags":["NN","JJ"], "genus_hypo_depth":1,"genus_hyper_hypo_depth":2,"lesk_on_genus":True,"definition_similarity":False,"examples_similarity":True,"lemmas_similarity":False,"score_type":"wup_similarity","lesk_only_n":True}</v>
      </c>
      <c r="L69" t="s">
        <v>204</v>
      </c>
    </row>
    <row r="70" spans="1:12" x14ac:dyDescent="0.2">
      <c r="A70" t="s">
        <v>234</v>
      </c>
      <c r="B70" t="s">
        <v>135</v>
      </c>
      <c r="C70">
        <v>1</v>
      </c>
      <c r="D70">
        <v>2</v>
      </c>
      <c r="E70" t="s">
        <v>130</v>
      </c>
      <c r="F70" t="s">
        <v>129</v>
      </c>
      <c r="G70" t="s">
        <v>130</v>
      </c>
      <c r="H70" t="s">
        <v>129</v>
      </c>
      <c r="I70" t="s">
        <v>131</v>
      </c>
      <c r="J70" t="s">
        <v>130</v>
      </c>
      <c r="K70" t="str">
        <f t="shared" si="1"/>
        <v>{"test_id":"test_69", "genus_tags":["NN","VB"], "genus_hypo_depth":1,"genus_hyper_hypo_depth":2,"lesk_on_genus":True,"definition_similarity":False,"examples_similarity":True,"lemmas_similarity":False,"score_type":"wup_similarity","lesk_only_n":True}</v>
      </c>
      <c r="L70" t="s">
        <v>204</v>
      </c>
    </row>
    <row r="71" spans="1:12" x14ac:dyDescent="0.2">
      <c r="A71" t="s">
        <v>235</v>
      </c>
      <c r="B71" t="s">
        <v>137</v>
      </c>
      <c r="C71">
        <v>1</v>
      </c>
      <c r="D71">
        <v>2</v>
      </c>
      <c r="E71" t="s">
        <v>130</v>
      </c>
      <c r="F71" t="s">
        <v>129</v>
      </c>
      <c r="G71" t="s">
        <v>130</v>
      </c>
      <c r="H71" t="s">
        <v>129</v>
      </c>
      <c r="I71" t="s">
        <v>131</v>
      </c>
      <c r="J71" t="s">
        <v>130</v>
      </c>
      <c r="K71" t="str">
        <f t="shared" si="1"/>
        <v>{"test_id":"test_70", "genus_tags":["NN","VB","VBD","VBG","VBN","VBP","VBZ"], "genus_hypo_depth":1,"genus_hyper_hypo_depth":2,"lesk_on_genus":True,"definition_similarity":False,"examples_similarity":True,"lemmas_similarity":False,"score_type":"wup_similarity","lesk_only_n":True}</v>
      </c>
      <c r="L71" t="s">
        <v>204</v>
      </c>
    </row>
    <row r="72" spans="1:12" x14ac:dyDescent="0.2">
      <c r="A72" t="s">
        <v>236</v>
      </c>
      <c r="B72" t="s">
        <v>139</v>
      </c>
      <c r="C72">
        <v>1</v>
      </c>
      <c r="D72">
        <v>2</v>
      </c>
      <c r="E72" t="s">
        <v>130</v>
      </c>
      <c r="F72" t="s">
        <v>129</v>
      </c>
      <c r="G72" t="s">
        <v>130</v>
      </c>
      <c r="H72" t="s">
        <v>129</v>
      </c>
      <c r="I72" t="s">
        <v>131</v>
      </c>
      <c r="J72" t="s">
        <v>130</v>
      </c>
      <c r="K72" t="str">
        <f t="shared" si="1"/>
        <v>{"test_id":"test_71", "genus_tags":["NN","RB"], "genus_hypo_depth":1,"genus_hyper_hypo_depth":2,"lesk_on_genus":True,"definition_similarity":False,"examples_similarity":True,"lemmas_similarity":False,"score_type":"wup_similarity","lesk_only_n":True}</v>
      </c>
      <c r="L72" t="s">
        <v>204</v>
      </c>
    </row>
    <row r="73" spans="1:12" x14ac:dyDescent="0.2">
      <c r="A73" t="s">
        <v>237</v>
      </c>
      <c r="B73" t="s">
        <v>141</v>
      </c>
      <c r="C73">
        <v>1</v>
      </c>
      <c r="D73">
        <v>2</v>
      </c>
      <c r="E73" t="s">
        <v>130</v>
      </c>
      <c r="F73" t="s">
        <v>129</v>
      </c>
      <c r="G73" t="s">
        <v>130</v>
      </c>
      <c r="H73" t="s">
        <v>129</v>
      </c>
      <c r="I73" t="s">
        <v>131</v>
      </c>
      <c r="J73" t="s">
        <v>130</v>
      </c>
      <c r="K73" t="str">
        <f t="shared" si="1"/>
        <v>{"test_id":"test_72", "genus_tags":["NN","JJ","VB","VBD","VBG","VBN","VBP","VBZ"], "genus_hypo_depth":1,"genus_hyper_hypo_depth":2,"lesk_on_genus":True,"definition_similarity":False,"examples_similarity":True,"lemmas_similarity":False,"score_type":"wup_similarity","lesk_only_n":True}</v>
      </c>
      <c r="L73" t="s">
        <v>204</v>
      </c>
    </row>
    <row r="74" spans="1:12" x14ac:dyDescent="0.2">
      <c r="A74" t="s">
        <v>238</v>
      </c>
      <c r="B74" t="s">
        <v>128</v>
      </c>
      <c r="C74">
        <v>1</v>
      </c>
      <c r="D74">
        <v>2</v>
      </c>
      <c r="E74" t="s">
        <v>129</v>
      </c>
      <c r="F74" t="s">
        <v>129</v>
      </c>
      <c r="G74" t="s">
        <v>129</v>
      </c>
      <c r="H74" t="s">
        <v>130</v>
      </c>
      <c r="I74" t="s">
        <v>131</v>
      </c>
      <c r="J74" t="s">
        <v>129</v>
      </c>
      <c r="K74" t="str">
        <f t="shared" ref="K74:K91" si="2">"{"""&amp;A$1&amp;""""&amp;":"""&amp;A74&amp;""", "&amp;SUBSTITUTE( """"&amp;B$1&amp;""""&amp;":["""&amp;B74&amp;"""]",",",""",""")&amp;", "&amp;""""&amp;C$1&amp;""""&amp;":"&amp;C74&amp;","&amp;""""&amp;D$1&amp;""""&amp;":"&amp;D74&amp;","&amp;""""&amp;E$1&amp;""""&amp;":"&amp;E74&amp;","&amp;""""&amp;F$1&amp;""""&amp;":"&amp;F74&amp;","&amp;""""&amp;G$1&amp;""""&amp;":"&amp;G74&amp;","&amp;""""&amp;H$1&amp;""""&amp;":"&amp;H74&amp;","&amp;""""&amp;I$1&amp;""""&amp;":"""&amp;I74&amp;""","&amp;""""&amp;J$1&amp;""""&amp;":"&amp;J74&amp;"}"</f>
        <v>{"test_id":"test_73", "genus_tags":["NN"], "genus_hypo_depth":1,"genus_hyper_hypo_depth":2,"lesk_on_genus":False,"definition_similarity":False,"examples_similarity":False,"lemmas_similarity":True,"score_type":"wup_similarity","lesk_only_n":False}</v>
      </c>
      <c r="L74" t="s">
        <v>204</v>
      </c>
    </row>
    <row r="75" spans="1:12" x14ac:dyDescent="0.2">
      <c r="A75" t="s">
        <v>239</v>
      </c>
      <c r="B75" t="s">
        <v>133</v>
      </c>
      <c r="C75">
        <v>1</v>
      </c>
      <c r="D75">
        <v>2</v>
      </c>
      <c r="E75" t="s">
        <v>129</v>
      </c>
      <c r="F75" t="s">
        <v>129</v>
      </c>
      <c r="G75" t="s">
        <v>129</v>
      </c>
      <c r="H75" t="s">
        <v>130</v>
      </c>
      <c r="I75" t="s">
        <v>131</v>
      </c>
      <c r="J75" t="s">
        <v>129</v>
      </c>
      <c r="K75" t="str">
        <f t="shared" si="2"/>
        <v>{"test_id":"test_74", "genus_tags":["NN","JJ"], "genus_hypo_depth":1,"genus_hyper_hypo_depth":2,"lesk_on_genus":False,"definition_similarity":False,"examples_similarity":False,"lemmas_similarity":True,"score_type":"wup_similarity","lesk_only_n":False}</v>
      </c>
      <c r="L75" t="s">
        <v>204</v>
      </c>
    </row>
    <row r="76" spans="1:12" x14ac:dyDescent="0.2">
      <c r="A76" t="s">
        <v>240</v>
      </c>
      <c r="B76" t="s">
        <v>135</v>
      </c>
      <c r="C76">
        <v>1</v>
      </c>
      <c r="D76">
        <v>2</v>
      </c>
      <c r="E76" t="s">
        <v>129</v>
      </c>
      <c r="F76" t="s">
        <v>129</v>
      </c>
      <c r="G76" t="s">
        <v>129</v>
      </c>
      <c r="H76" t="s">
        <v>130</v>
      </c>
      <c r="I76" t="s">
        <v>131</v>
      </c>
      <c r="J76" t="s">
        <v>129</v>
      </c>
      <c r="K76" t="str">
        <f t="shared" si="2"/>
        <v>{"test_id":"test_75", "genus_tags":["NN","VB"], "genus_hypo_depth":1,"genus_hyper_hypo_depth":2,"lesk_on_genus":False,"definition_similarity":False,"examples_similarity":False,"lemmas_similarity":True,"score_type":"wup_similarity","lesk_only_n":False}</v>
      </c>
      <c r="L76" t="s">
        <v>204</v>
      </c>
    </row>
    <row r="77" spans="1:12" x14ac:dyDescent="0.2">
      <c r="A77" t="s">
        <v>241</v>
      </c>
      <c r="B77" t="s">
        <v>137</v>
      </c>
      <c r="C77">
        <v>1</v>
      </c>
      <c r="D77">
        <v>2</v>
      </c>
      <c r="E77" t="s">
        <v>129</v>
      </c>
      <c r="F77" t="s">
        <v>129</v>
      </c>
      <c r="G77" t="s">
        <v>129</v>
      </c>
      <c r="H77" t="s">
        <v>130</v>
      </c>
      <c r="I77" t="s">
        <v>131</v>
      </c>
      <c r="J77" t="s">
        <v>129</v>
      </c>
      <c r="K77" t="str">
        <f t="shared" si="2"/>
        <v>{"test_id":"test_76", "genus_tags":["NN","VB","VBD","VBG","VBN","VBP","VBZ"], "genus_hypo_depth":1,"genus_hyper_hypo_depth":2,"lesk_on_genus":False,"definition_similarity":False,"examples_similarity":False,"lemmas_similarity":True,"score_type":"wup_similarity","lesk_only_n":False}</v>
      </c>
      <c r="L77" t="s">
        <v>204</v>
      </c>
    </row>
    <row r="78" spans="1:12" x14ac:dyDescent="0.2">
      <c r="A78" t="s">
        <v>242</v>
      </c>
      <c r="B78" t="s">
        <v>139</v>
      </c>
      <c r="C78">
        <v>1</v>
      </c>
      <c r="D78">
        <v>2</v>
      </c>
      <c r="E78" t="s">
        <v>129</v>
      </c>
      <c r="F78" t="s">
        <v>129</v>
      </c>
      <c r="G78" t="s">
        <v>129</v>
      </c>
      <c r="H78" t="s">
        <v>130</v>
      </c>
      <c r="I78" t="s">
        <v>131</v>
      </c>
      <c r="J78" t="s">
        <v>129</v>
      </c>
      <c r="K78" t="str">
        <f t="shared" si="2"/>
        <v>{"test_id":"test_77", "genus_tags":["NN","RB"], "genus_hypo_depth":1,"genus_hyper_hypo_depth":2,"lesk_on_genus":False,"definition_similarity":False,"examples_similarity":False,"lemmas_similarity":True,"score_type":"wup_similarity","lesk_only_n":False}</v>
      </c>
      <c r="L78" t="s">
        <v>204</v>
      </c>
    </row>
    <row r="79" spans="1:12" x14ac:dyDescent="0.2">
      <c r="A79" t="s">
        <v>243</v>
      </c>
      <c r="B79" t="s">
        <v>141</v>
      </c>
      <c r="C79">
        <v>1</v>
      </c>
      <c r="D79">
        <v>2</v>
      </c>
      <c r="E79" t="s">
        <v>129</v>
      </c>
      <c r="F79" t="s">
        <v>129</v>
      </c>
      <c r="G79" t="s">
        <v>129</v>
      </c>
      <c r="H79" t="s">
        <v>130</v>
      </c>
      <c r="I79" t="s">
        <v>131</v>
      </c>
      <c r="J79" t="s">
        <v>129</v>
      </c>
      <c r="K79" t="str">
        <f t="shared" si="2"/>
        <v>{"test_id":"test_78", "genus_tags":["NN","JJ","VB","VBD","VBG","VBN","VBP","VBZ"], "genus_hypo_depth":1,"genus_hyper_hypo_depth":2,"lesk_on_genus":False,"definition_similarity":False,"examples_similarity":False,"lemmas_similarity":True,"score_type":"wup_similarity","lesk_only_n":False}</v>
      </c>
      <c r="L79" t="s">
        <v>204</v>
      </c>
    </row>
    <row r="80" spans="1:12" x14ac:dyDescent="0.2">
      <c r="A80" t="s">
        <v>244</v>
      </c>
      <c r="B80" t="s">
        <v>128</v>
      </c>
      <c r="C80">
        <v>1</v>
      </c>
      <c r="D80">
        <v>2</v>
      </c>
      <c r="E80" t="s">
        <v>130</v>
      </c>
      <c r="F80" t="s">
        <v>129</v>
      </c>
      <c r="G80" t="s">
        <v>129</v>
      </c>
      <c r="H80" t="s">
        <v>130</v>
      </c>
      <c r="I80" t="s">
        <v>131</v>
      </c>
      <c r="J80" t="s">
        <v>129</v>
      </c>
      <c r="K80" t="str">
        <f t="shared" si="2"/>
        <v>{"test_id":"test_79", "genus_tags":["NN"], "genus_hypo_depth":1,"genus_hyper_hypo_depth":2,"lesk_on_genus":True,"definition_similarity":False,"examples_similarity":False,"lemmas_similarity":True,"score_type":"wup_similarity","lesk_only_n":False}</v>
      </c>
      <c r="L80" t="s">
        <v>204</v>
      </c>
    </row>
    <row r="81" spans="1:12" x14ac:dyDescent="0.2">
      <c r="A81" t="s">
        <v>245</v>
      </c>
      <c r="B81" t="s">
        <v>133</v>
      </c>
      <c r="C81">
        <v>1</v>
      </c>
      <c r="D81">
        <v>2</v>
      </c>
      <c r="E81" t="s">
        <v>130</v>
      </c>
      <c r="F81" t="s">
        <v>129</v>
      </c>
      <c r="G81" t="s">
        <v>129</v>
      </c>
      <c r="H81" t="s">
        <v>130</v>
      </c>
      <c r="I81" t="s">
        <v>131</v>
      </c>
      <c r="J81" t="s">
        <v>129</v>
      </c>
      <c r="K81" t="str">
        <f t="shared" si="2"/>
        <v>{"test_id":"test_80", "genus_tags":["NN","JJ"], "genus_hypo_depth":1,"genus_hyper_hypo_depth":2,"lesk_on_genus":True,"definition_similarity":False,"examples_similarity":False,"lemmas_similarity":True,"score_type":"wup_similarity","lesk_only_n":False}</v>
      </c>
      <c r="L81" t="s">
        <v>204</v>
      </c>
    </row>
    <row r="82" spans="1:12" x14ac:dyDescent="0.2">
      <c r="A82" t="s">
        <v>246</v>
      </c>
      <c r="B82" t="s">
        <v>135</v>
      </c>
      <c r="C82">
        <v>1</v>
      </c>
      <c r="D82">
        <v>2</v>
      </c>
      <c r="E82" t="s">
        <v>130</v>
      </c>
      <c r="F82" t="s">
        <v>129</v>
      </c>
      <c r="G82" t="s">
        <v>129</v>
      </c>
      <c r="H82" t="s">
        <v>130</v>
      </c>
      <c r="I82" t="s">
        <v>131</v>
      </c>
      <c r="J82" t="s">
        <v>129</v>
      </c>
      <c r="K82" t="str">
        <f t="shared" si="2"/>
        <v>{"test_id":"test_81", "genus_tags":["NN","VB"], "genus_hypo_depth":1,"genus_hyper_hypo_depth":2,"lesk_on_genus":True,"definition_similarity":False,"examples_similarity":False,"lemmas_similarity":True,"score_type":"wup_similarity","lesk_only_n":False}</v>
      </c>
      <c r="L82" t="s">
        <v>204</v>
      </c>
    </row>
    <row r="83" spans="1:12" x14ac:dyDescent="0.2">
      <c r="A83" t="s">
        <v>247</v>
      </c>
      <c r="B83" t="s">
        <v>137</v>
      </c>
      <c r="C83">
        <v>1</v>
      </c>
      <c r="D83">
        <v>2</v>
      </c>
      <c r="E83" t="s">
        <v>130</v>
      </c>
      <c r="F83" t="s">
        <v>129</v>
      </c>
      <c r="G83" t="s">
        <v>129</v>
      </c>
      <c r="H83" t="s">
        <v>130</v>
      </c>
      <c r="I83" t="s">
        <v>131</v>
      </c>
      <c r="J83" t="s">
        <v>129</v>
      </c>
      <c r="K83" t="str">
        <f t="shared" si="2"/>
        <v>{"test_id":"test_82", "genus_tags":["NN","VB","VBD","VBG","VBN","VBP","VBZ"], "genus_hypo_depth":1,"genus_hyper_hypo_depth":2,"lesk_on_genus":True,"definition_similarity":False,"examples_similarity":False,"lemmas_similarity":True,"score_type":"wup_similarity","lesk_only_n":False}</v>
      </c>
      <c r="L83" t="s">
        <v>204</v>
      </c>
    </row>
    <row r="84" spans="1:12" x14ac:dyDescent="0.2">
      <c r="A84" t="s">
        <v>248</v>
      </c>
      <c r="B84" t="s">
        <v>139</v>
      </c>
      <c r="C84">
        <v>1</v>
      </c>
      <c r="D84">
        <v>2</v>
      </c>
      <c r="E84" t="s">
        <v>130</v>
      </c>
      <c r="F84" t="s">
        <v>129</v>
      </c>
      <c r="G84" t="s">
        <v>129</v>
      </c>
      <c r="H84" t="s">
        <v>130</v>
      </c>
      <c r="I84" t="s">
        <v>131</v>
      </c>
      <c r="J84" t="s">
        <v>129</v>
      </c>
      <c r="K84" t="str">
        <f t="shared" si="2"/>
        <v>{"test_id":"test_83", "genus_tags":["NN","RB"], "genus_hypo_depth":1,"genus_hyper_hypo_depth":2,"lesk_on_genus":True,"definition_similarity":False,"examples_similarity":False,"lemmas_similarity":True,"score_type":"wup_similarity","lesk_only_n":False}</v>
      </c>
      <c r="L84" t="s">
        <v>204</v>
      </c>
    </row>
    <row r="85" spans="1:12" x14ac:dyDescent="0.2">
      <c r="A85" t="s">
        <v>249</v>
      </c>
      <c r="B85" t="s">
        <v>141</v>
      </c>
      <c r="C85">
        <v>1</v>
      </c>
      <c r="D85">
        <v>2</v>
      </c>
      <c r="E85" t="s">
        <v>130</v>
      </c>
      <c r="F85" t="s">
        <v>129</v>
      </c>
      <c r="G85" t="s">
        <v>129</v>
      </c>
      <c r="H85" t="s">
        <v>130</v>
      </c>
      <c r="I85" t="s">
        <v>131</v>
      </c>
      <c r="J85" t="s">
        <v>129</v>
      </c>
      <c r="K85" t="str">
        <f t="shared" si="2"/>
        <v>{"test_id":"test_84", "genus_tags":["NN","JJ","VB","VBD","VBG","VBN","VBP","VBZ"], "genus_hypo_depth":1,"genus_hyper_hypo_depth":2,"lesk_on_genus":True,"definition_similarity":False,"examples_similarity":False,"lemmas_similarity":True,"score_type":"wup_similarity","lesk_only_n":False}</v>
      </c>
      <c r="L85" t="s">
        <v>204</v>
      </c>
    </row>
    <row r="86" spans="1:12" x14ac:dyDescent="0.2">
      <c r="A86" t="s">
        <v>250</v>
      </c>
      <c r="B86" t="s">
        <v>128</v>
      </c>
      <c r="C86">
        <v>1</v>
      </c>
      <c r="D86">
        <v>2</v>
      </c>
      <c r="E86" t="s">
        <v>129</v>
      </c>
      <c r="F86" t="s">
        <v>129</v>
      </c>
      <c r="G86" t="s">
        <v>129</v>
      </c>
      <c r="H86" t="s">
        <v>130</v>
      </c>
      <c r="I86" t="s">
        <v>131</v>
      </c>
      <c r="J86" t="s">
        <v>130</v>
      </c>
      <c r="K86" t="str">
        <f t="shared" si="2"/>
        <v>{"test_id":"test_85", "genus_tags":["NN"], "genus_hypo_depth":1,"genus_hyper_hypo_depth":2,"lesk_on_genus":False,"definition_similarity":False,"examples_similarity":False,"lemmas_similarity":True,"score_type":"wup_similarity","lesk_only_n":True}</v>
      </c>
      <c r="L86" t="s">
        <v>204</v>
      </c>
    </row>
    <row r="87" spans="1:12" x14ac:dyDescent="0.2">
      <c r="A87" t="s">
        <v>251</v>
      </c>
      <c r="B87" t="s">
        <v>133</v>
      </c>
      <c r="C87">
        <v>1</v>
      </c>
      <c r="D87">
        <v>2</v>
      </c>
      <c r="E87" t="s">
        <v>130</v>
      </c>
      <c r="F87" t="s">
        <v>129</v>
      </c>
      <c r="G87" t="s">
        <v>129</v>
      </c>
      <c r="H87" t="s">
        <v>130</v>
      </c>
      <c r="I87" t="s">
        <v>131</v>
      </c>
      <c r="J87" t="s">
        <v>130</v>
      </c>
      <c r="K87" t="str">
        <f t="shared" si="2"/>
        <v>{"test_id":"test_86", "genus_tags":["NN","JJ"], "genus_hypo_depth":1,"genus_hyper_hypo_depth":2,"lesk_on_genus":True,"definition_similarity":False,"examples_similarity":False,"lemmas_similarity":True,"score_type":"wup_similarity","lesk_only_n":True}</v>
      </c>
      <c r="L87" t="s">
        <v>204</v>
      </c>
    </row>
    <row r="88" spans="1:12" x14ac:dyDescent="0.2">
      <c r="A88" t="s">
        <v>252</v>
      </c>
      <c r="B88" t="s">
        <v>135</v>
      </c>
      <c r="C88">
        <v>1</v>
      </c>
      <c r="D88">
        <v>2</v>
      </c>
      <c r="E88" t="s">
        <v>130</v>
      </c>
      <c r="F88" t="s">
        <v>129</v>
      </c>
      <c r="G88" t="s">
        <v>129</v>
      </c>
      <c r="H88" t="s">
        <v>130</v>
      </c>
      <c r="I88" t="s">
        <v>131</v>
      </c>
      <c r="J88" t="s">
        <v>130</v>
      </c>
      <c r="K88" t="str">
        <f t="shared" si="2"/>
        <v>{"test_id":"test_87", "genus_tags":["NN","VB"], "genus_hypo_depth":1,"genus_hyper_hypo_depth":2,"lesk_on_genus":True,"definition_similarity":False,"examples_similarity":False,"lemmas_similarity":True,"score_type":"wup_similarity","lesk_only_n":True}</v>
      </c>
      <c r="L88" t="s">
        <v>204</v>
      </c>
    </row>
    <row r="89" spans="1:12" x14ac:dyDescent="0.2">
      <c r="A89" t="s">
        <v>253</v>
      </c>
      <c r="B89" t="s">
        <v>137</v>
      </c>
      <c r="C89">
        <v>1</v>
      </c>
      <c r="D89">
        <v>2</v>
      </c>
      <c r="E89" t="s">
        <v>130</v>
      </c>
      <c r="F89" t="s">
        <v>129</v>
      </c>
      <c r="G89" t="s">
        <v>129</v>
      </c>
      <c r="H89" t="s">
        <v>130</v>
      </c>
      <c r="I89" t="s">
        <v>131</v>
      </c>
      <c r="J89" t="s">
        <v>130</v>
      </c>
      <c r="K89" t="str">
        <f t="shared" si="2"/>
        <v>{"test_id":"test_88", "genus_tags":["NN","VB","VBD","VBG","VBN","VBP","VBZ"], "genus_hypo_depth":1,"genus_hyper_hypo_depth":2,"lesk_on_genus":True,"definition_similarity":False,"examples_similarity":False,"lemmas_similarity":True,"score_type":"wup_similarity","lesk_only_n":True}</v>
      </c>
      <c r="L89" t="s">
        <v>204</v>
      </c>
    </row>
    <row r="90" spans="1:12" x14ac:dyDescent="0.2">
      <c r="A90" t="s">
        <v>254</v>
      </c>
      <c r="B90" t="s">
        <v>139</v>
      </c>
      <c r="C90">
        <v>1</v>
      </c>
      <c r="D90">
        <v>2</v>
      </c>
      <c r="E90" t="s">
        <v>130</v>
      </c>
      <c r="F90" t="s">
        <v>129</v>
      </c>
      <c r="G90" t="s">
        <v>129</v>
      </c>
      <c r="H90" t="s">
        <v>130</v>
      </c>
      <c r="I90" t="s">
        <v>131</v>
      </c>
      <c r="J90" t="s">
        <v>130</v>
      </c>
      <c r="K90" t="str">
        <f t="shared" si="2"/>
        <v>{"test_id":"test_89", "genus_tags":["NN","RB"], "genus_hypo_depth":1,"genus_hyper_hypo_depth":2,"lesk_on_genus":True,"definition_similarity":False,"examples_similarity":False,"lemmas_similarity":True,"score_type":"wup_similarity","lesk_only_n":True}</v>
      </c>
      <c r="L90" t="s">
        <v>204</v>
      </c>
    </row>
    <row r="91" spans="1:12" x14ac:dyDescent="0.2">
      <c r="A91" t="s">
        <v>255</v>
      </c>
      <c r="B91" t="s">
        <v>141</v>
      </c>
      <c r="C91">
        <v>1</v>
      </c>
      <c r="D91">
        <v>2</v>
      </c>
      <c r="E91" t="s">
        <v>130</v>
      </c>
      <c r="F91" t="s">
        <v>129</v>
      </c>
      <c r="G91" t="s">
        <v>129</v>
      </c>
      <c r="H91" t="s">
        <v>130</v>
      </c>
      <c r="I91" t="s">
        <v>131</v>
      </c>
      <c r="J91" t="s">
        <v>130</v>
      </c>
      <c r="K91" t="str">
        <f t="shared" si="2"/>
        <v>{"test_id":"test_90", "genus_tags":["NN","JJ","VB","VBD","VBG","VBN","VBP","VBZ"], "genus_hypo_depth":1,"genus_hyper_hypo_depth":2,"lesk_on_genus":True,"definition_similarity":False,"examples_similarity":False,"lemmas_similarity":True,"score_type":"wup_similarity","lesk_only_n":True}</v>
      </c>
      <c r="L91" t="s">
        <v>204</v>
      </c>
    </row>
  </sheetData>
  <autoFilter ref="A1:L55" xr:uid="{644EB1C3-9D7C-A949-8DA6-850ACEFACCD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gloss_similarity</vt:lpstr>
      <vt:lpstr>gloss_example_similarity</vt:lpstr>
      <vt:lpstr>gloss_example_lemmas_similarity</vt:lpstr>
      <vt:lpstr>example_similarity</vt:lpstr>
      <vt:lpstr>example_lemmas</vt:lpstr>
      <vt:lpstr>Dataset</vt:lpstr>
      <vt:lpstr>scores_results</vt:lpstr>
      <vt:lpstr>test da rieseguire</vt:lpstr>
      <vt:lpstr>experiments_specs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2020-11-07T12:36:51Z</dcterms:created>
  <dcterms:modified xsi:type="dcterms:W3CDTF">2020-11-08T16:38:27Z</dcterms:modified>
</cp:coreProperties>
</file>