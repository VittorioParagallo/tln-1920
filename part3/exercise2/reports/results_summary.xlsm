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darka/Desktop/tln_repo/tln-1920/part3/exercise2/reports/"/>
    </mc:Choice>
  </mc:AlternateContent>
  <xr:revisionPtr revIDLastSave="0" documentId="13_ncr:1_{D39EB5CF-33EE-6B41-98D1-A79126B2F307}" xr6:coauthVersionLast="45" xr6:coauthVersionMax="45" xr10:uidLastSave="{00000000-0000-0000-0000-000000000000}"/>
  <bookViews>
    <workbookView xWindow="5380" yWindow="460" windowWidth="32060" windowHeight="19860" xr2:uid="{E9BDE07A-8BC4-724E-BE54-94A4DC5B1916}"/>
  </bookViews>
  <sheets>
    <sheet name="gloss_similarity" sheetId="1" r:id="rId1"/>
    <sheet name="gloss_example_similarity" sheetId="5" r:id="rId2"/>
    <sheet name="gloss_example_lemmas_similarity" sheetId="6" r:id="rId3"/>
    <sheet name="example_similarity" sheetId="7" r:id="rId4"/>
    <sheet name="example_lemmas" sheetId="8" r:id="rId5"/>
    <sheet name="Dataset" sheetId="3" r:id="rId6"/>
    <sheet name="scores_results" sheetId="10" r:id="rId7"/>
    <sheet name="test da rieseguire" sheetId="9" r:id="rId8"/>
    <sheet name="experiments_specs" sheetId="4" r:id="rId9"/>
  </sheets>
  <functionGroups builtInGroupCount="19"/>
  <definedNames>
    <definedName name="_xlnm._FilterDatabase" localSheetId="8" hidden="1">experiments_specs!$A$1:$L$55</definedName>
    <definedName name="_xlnm._FilterDatabase" localSheetId="7" hidden="1">'test da rieseguire'!$A$1:$L$6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3" l="1"/>
  <c r="C10" i="3"/>
  <c r="D10" i="3"/>
  <c r="E10" i="3"/>
  <c r="F10" i="3"/>
  <c r="G10" i="3"/>
  <c r="H10" i="3"/>
  <c r="I10" i="3"/>
  <c r="J10" i="3"/>
  <c r="B9" i="3"/>
  <c r="C9" i="3"/>
  <c r="D9" i="3"/>
  <c r="E9" i="3"/>
  <c r="F9" i="3"/>
  <c r="G9" i="3"/>
  <c r="H9" i="3"/>
  <c r="I9" i="3"/>
  <c r="J9" i="3"/>
  <c r="B8" i="3"/>
  <c r="C8" i="3"/>
  <c r="D8" i="3"/>
  <c r="E8" i="3"/>
  <c r="F8" i="3"/>
  <c r="G8" i="3"/>
  <c r="H8" i="3"/>
  <c r="I8" i="3"/>
  <c r="J8" i="3"/>
  <c r="B7" i="3"/>
  <c r="C7" i="3"/>
  <c r="D7" i="3"/>
  <c r="E7" i="3"/>
  <c r="F7" i="3"/>
  <c r="G7" i="3"/>
  <c r="H7" i="3"/>
  <c r="I7" i="3"/>
  <c r="J7" i="3"/>
  <c r="B6" i="3"/>
  <c r="C6" i="3"/>
  <c r="D6" i="3"/>
  <c r="E6" i="3"/>
  <c r="F6" i="3"/>
  <c r="G6" i="3"/>
  <c r="H6" i="3"/>
  <c r="I6" i="3"/>
  <c r="J6" i="3"/>
  <c r="B5" i="3"/>
  <c r="C5" i="3"/>
  <c r="D5" i="3"/>
  <c r="E5" i="3"/>
  <c r="F5" i="3"/>
  <c r="G5" i="3"/>
  <c r="H5" i="3"/>
  <c r="I5" i="3"/>
  <c r="J5" i="3"/>
  <c r="B4" i="3"/>
  <c r="C4" i="3"/>
  <c r="D4" i="3"/>
  <c r="E4" i="3"/>
  <c r="F4" i="3"/>
  <c r="G4" i="3"/>
  <c r="H4" i="3"/>
  <c r="I4" i="3"/>
  <c r="J4" i="3"/>
  <c r="B3" i="3"/>
  <c r="C3" i="3"/>
  <c r="D3" i="3"/>
  <c r="E3" i="3"/>
  <c r="F3" i="3"/>
  <c r="G3" i="3"/>
  <c r="H3" i="3"/>
  <c r="I3" i="3"/>
  <c r="J3" i="3"/>
  <c r="G2" i="3"/>
  <c r="C4" i="10" l="1"/>
  <c r="D4" i="10"/>
  <c r="E4" i="10"/>
  <c r="F4" i="10"/>
  <c r="G4" i="10"/>
  <c r="H4" i="10"/>
  <c r="I4" i="10"/>
  <c r="J4" i="10"/>
  <c r="C5" i="10"/>
  <c r="D5" i="10"/>
  <c r="E5" i="10"/>
  <c r="F5" i="10"/>
  <c r="G5" i="10"/>
  <c r="H5" i="10"/>
  <c r="I5" i="10"/>
  <c r="J5" i="10"/>
  <c r="C6" i="10"/>
  <c r="D6" i="10"/>
  <c r="E6" i="10"/>
  <c r="F6" i="10"/>
  <c r="G6" i="10"/>
  <c r="H6" i="10"/>
  <c r="I6" i="10"/>
  <c r="J6" i="10"/>
  <c r="C7" i="10"/>
  <c r="D7" i="10"/>
  <c r="E7" i="10"/>
  <c r="F7" i="10"/>
  <c r="G7" i="10"/>
  <c r="H7" i="10"/>
  <c r="I7" i="10"/>
  <c r="J7" i="10"/>
  <c r="C8" i="10"/>
  <c r="D8" i="10"/>
  <c r="E8" i="10"/>
  <c r="F8" i="10"/>
  <c r="G8" i="10"/>
  <c r="H8" i="10"/>
  <c r="I8" i="10"/>
  <c r="J8" i="10"/>
  <c r="C9" i="10"/>
  <c r="D9" i="10"/>
  <c r="E9" i="10"/>
  <c r="F9" i="10"/>
  <c r="G9" i="10"/>
  <c r="H9" i="10"/>
  <c r="I9" i="10"/>
  <c r="J9" i="10"/>
  <c r="C10" i="10"/>
  <c r="D10" i="10"/>
  <c r="E10" i="10"/>
  <c r="F10" i="10"/>
  <c r="G10" i="10"/>
  <c r="H10" i="10"/>
  <c r="I10" i="10"/>
  <c r="J10" i="10"/>
  <c r="C11" i="10"/>
  <c r="D11" i="10"/>
  <c r="E11" i="10"/>
  <c r="F11" i="10"/>
  <c r="G11" i="10"/>
  <c r="H11" i="10"/>
  <c r="I11" i="10"/>
  <c r="J11" i="10"/>
  <c r="C12" i="10"/>
  <c r="D12" i="10"/>
  <c r="E12" i="10"/>
  <c r="F12" i="10"/>
  <c r="G12" i="10"/>
  <c r="H12" i="10"/>
  <c r="I12" i="10"/>
  <c r="J12" i="10"/>
  <c r="C13" i="10"/>
  <c r="D13" i="10"/>
  <c r="E13" i="10"/>
  <c r="F13" i="10"/>
  <c r="G13" i="10"/>
  <c r="H13" i="10"/>
  <c r="I13" i="10"/>
  <c r="J13" i="10"/>
  <c r="C14" i="10"/>
  <c r="D14" i="10"/>
  <c r="E14" i="10"/>
  <c r="F14" i="10"/>
  <c r="G14" i="10"/>
  <c r="H14" i="10"/>
  <c r="I14" i="10"/>
  <c r="J14" i="10"/>
  <c r="C15" i="10"/>
  <c r="D15" i="10"/>
  <c r="E15" i="10"/>
  <c r="F15" i="10"/>
  <c r="G15" i="10"/>
  <c r="H15" i="10"/>
  <c r="I15" i="10"/>
  <c r="J15" i="10"/>
  <c r="C16" i="10"/>
  <c r="D16" i="10"/>
  <c r="E16" i="10"/>
  <c r="F16" i="10"/>
  <c r="G16" i="10"/>
  <c r="H16" i="10"/>
  <c r="I16" i="10"/>
  <c r="J16" i="10"/>
  <c r="C17" i="10"/>
  <c r="D17" i="10"/>
  <c r="E17" i="10"/>
  <c r="F17" i="10"/>
  <c r="G17" i="10"/>
  <c r="H17" i="10"/>
  <c r="I17" i="10"/>
  <c r="J17" i="10"/>
  <c r="C18" i="10"/>
  <c r="D18" i="10"/>
  <c r="E18" i="10"/>
  <c r="F18" i="10"/>
  <c r="G18" i="10"/>
  <c r="H18" i="10"/>
  <c r="I18" i="10"/>
  <c r="J18" i="10"/>
  <c r="C19" i="10"/>
  <c r="D19" i="10"/>
  <c r="E19" i="10"/>
  <c r="F19" i="10"/>
  <c r="G19" i="10"/>
  <c r="H19" i="10"/>
  <c r="I19" i="10"/>
  <c r="J19" i="10"/>
  <c r="C20" i="10"/>
  <c r="D20" i="10"/>
  <c r="E20" i="10"/>
  <c r="F20" i="10"/>
  <c r="G20" i="10"/>
  <c r="H20" i="10"/>
  <c r="I20" i="10"/>
  <c r="J20" i="10"/>
  <c r="C21" i="10"/>
  <c r="D21" i="10"/>
  <c r="E21" i="10"/>
  <c r="F21" i="10"/>
  <c r="G21" i="10"/>
  <c r="H21" i="10"/>
  <c r="I21" i="10"/>
  <c r="J21" i="10"/>
  <c r="C22" i="10"/>
  <c r="D22" i="10"/>
  <c r="E22" i="10"/>
  <c r="F22" i="10"/>
  <c r="G22" i="10"/>
  <c r="H22" i="10"/>
  <c r="I22" i="10"/>
  <c r="J22" i="10"/>
  <c r="C23" i="10"/>
  <c r="D23" i="10"/>
  <c r="E23" i="10"/>
  <c r="F23" i="10"/>
  <c r="G23" i="10"/>
  <c r="H23" i="10"/>
  <c r="I23" i="10"/>
  <c r="J23" i="10"/>
  <c r="C24" i="10"/>
  <c r="D24" i="10"/>
  <c r="E24" i="10"/>
  <c r="F24" i="10"/>
  <c r="G24" i="10"/>
  <c r="H24" i="10"/>
  <c r="I24" i="10"/>
  <c r="J24" i="10"/>
  <c r="C25" i="10"/>
  <c r="D25" i="10"/>
  <c r="E25" i="10"/>
  <c r="F25" i="10"/>
  <c r="G25" i="10"/>
  <c r="H25" i="10"/>
  <c r="I25" i="10"/>
  <c r="J25" i="10"/>
  <c r="C26" i="10"/>
  <c r="D26" i="10"/>
  <c r="E26" i="10"/>
  <c r="F26" i="10"/>
  <c r="G26" i="10"/>
  <c r="H26" i="10"/>
  <c r="I26" i="10"/>
  <c r="J26" i="10"/>
  <c r="C27" i="10"/>
  <c r="D27" i="10"/>
  <c r="E27" i="10"/>
  <c r="F27" i="10"/>
  <c r="G27" i="10"/>
  <c r="H27" i="10"/>
  <c r="I27" i="10"/>
  <c r="J27" i="10"/>
  <c r="C28" i="10"/>
  <c r="D28" i="10"/>
  <c r="E28" i="10"/>
  <c r="F28" i="10"/>
  <c r="G28" i="10"/>
  <c r="H28" i="10"/>
  <c r="I28" i="10"/>
  <c r="J28" i="10"/>
  <c r="C29" i="10"/>
  <c r="D29" i="10"/>
  <c r="E29" i="10"/>
  <c r="F29" i="10"/>
  <c r="G29" i="10"/>
  <c r="H29" i="10"/>
  <c r="I29" i="10"/>
  <c r="J29" i="10"/>
  <c r="C30" i="10"/>
  <c r="D30" i="10"/>
  <c r="E30" i="10"/>
  <c r="F30" i="10"/>
  <c r="G30" i="10"/>
  <c r="H30" i="10"/>
  <c r="I30" i="10"/>
  <c r="J30" i="10"/>
  <c r="C31" i="10"/>
  <c r="D31" i="10"/>
  <c r="E31" i="10"/>
  <c r="F31" i="10"/>
  <c r="G31" i="10"/>
  <c r="H31" i="10"/>
  <c r="I31" i="10"/>
  <c r="J31" i="10"/>
  <c r="C32" i="10"/>
  <c r="D32" i="10"/>
  <c r="E32" i="10"/>
  <c r="F32" i="10"/>
  <c r="G32" i="10"/>
  <c r="H32" i="10"/>
  <c r="I32" i="10"/>
  <c r="J32" i="10"/>
  <c r="C33" i="10"/>
  <c r="D33" i="10"/>
  <c r="E33" i="10"/>
  <c r="F33" i="10"/>
  <c r="G33" i="10"/>
  <c r="H33" i="10"/>
  <c r="I33" i="10"/>
  <c r="J33" i="10"/>
  <c r="C34" i="10"/>
  <c r="D34" i="10"/>
  <c r="E34" i="10"/>
  <c r="F34" i="10"/>
  <c r="G34" i="10"/>
  <c r="H34" i="10"/>
  <c r="I34" i="10"/>
  <c r="J34" i="10"/>
  <c r="C35" i="10"/>
  <c r="D35" i="10"/>
  <c r="E35" i="10"/>
  <c r="F35" i="10"/>
  <c r="G35" i="10"/>
  <c r="H35" i="10"/>
  <c r="I35" i="10"/>
  <c r="J35" i="10"/>
  <c r="C36" i="10"/>
  <c r="D36" i="10"/>
  <c r="E36" i="10"/>
  <c r="F36" i="10"/>
  <c r="G36" i="10"/>
  <c r="H36" i="10"/>
  <c r="I36" i="10"/>
  <c r="J36" i="10"/>
  <c r="C37" i="10"/>
  <c r="D37" i="10"/>
  <c r="E37" i="10"/>
  <c r="F37" i="10"/>
  <c r="G37" i="10"/>
  <c r="H37" i="10"/>
  <c r="I37" i="10"/>
  <c r="J37" i="10"/>
  <c r="C38" i="10"/>
  <c r="D38" i="10"/>
  <c r="E38" i="10"/>
  <c r="F38" i="10"/>
  <c r="G38" i="10"/>
  <c r="H38" i="10"/>
  <c r="I38" i="10"/>
  <c r="J38" i="10"/>
  <c r="C39" i="10"/>
  <c r="D39" i="10"/>
  <c r="E39" i="10"/>
  <c r="F39" i="10"/>
  <c r="G39" i="10"/>
  <c r="H39" i="10"/>
  <c r="I39" i="10"/>
  <c r="J39" i="10"/>
  <c r="J3" i="10"/>
  <c r="I3" i="10"/>
  <c r="H3" i="10"/>
  <c r="G3" i="10"/>
  <c r="F3" i="10"/>
  <c r="E3" i="10"/>
  <c r="D3" i="10"/>
  <c r="C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3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2" i="9" l="1"/>
  <c r="K3" i="9"/>
  <c r="K4" i="9"/>
  <c r="K5" i="9"/>
  <c r="K6" i="9"/>
  <c r="G15" i="8"/>
  <c r="E18" i="8" s="1"/>
  <c r="E13" i="8"/>
  <c r="E12" i="8"/>
  <c r="E11" i="8"/>
  <c r="E10" i="8"/>
  <c r="E9" i="8"/>
  <c r="E8" i="8"/>
  <c r="E7" i="8"/>
  <c r="E6" i="8"/>
  <c r="F5" i="8"/>
  <c r="E5" i="8"/>
  <c r="E13" i="7"/>
  <c r="K57" i="4"/>
  <c r="K56" i="4"/>
  <c r="G15" i="7"/>
  <c r="E18" i="7" s="1"/>
  <c r="E9" i="7"/>
  <c r="E8" i="7"/>
  <c r="E7" i="7"/>
  <c r="E6" i="7"/>
  <c r="F5" i="7"/>
  <c r="L6" i="9" l="1"/>
  <c r="L5" i="9"/>
  <c r="L4" i="9"/>
  <c r="L3" i="9"/>
  <c r="L2" i="9"/>
  <c r="E21" i="8"/>
  <c r="E24" i="8"/>
  <c r="E19" i="8"/>
  <c r="E22" i="8"/>
  <c r="E17" i="8"/>
  <c r="G26" i="8"/>
  <c r="E20" i="8"/>
  <c r="E16" i="8"/>
  <c r="E23" i="8"/>
  <c r="F16" i="8"/>
  <c r="K58" i="4"/>
  <c r="E10" i="7"/>
  <c r="E11" i="7"/>
  <c r="E5" i="7"/>
  <c r="E12" i="7"/>
  <c r="E21" i="7"/>
  <c r="E24" i="7"/>
  <c r="E19" i="7"/>
  <c r="E22" i="7"/>
  <c r="E17" i="7"/>
  <c r="G26" i="7"/>
  <c r="E20" i="7"/>
  <c r="E16" i="7"/>
  <c r="E23" i="7"/>
  <c r="F16" i="7"/>
  <c r="G15" i="6"/>
  <c r="E18" i="6" s="1"/>
  <c r="E13" i="6"/>
  <c r="E12" i="6"/>
  <c r="E11" i="6"/>
  <c r="E10" i="6"/>
  <c r="E9" i="6"/>
  <c r="E8" i="6"/>
  <c r="E7" i="6"/>
  <c r="E6" i="6"/>
  <c r="F5" i="6"/>
  <c r="E5" i="6"/>
  <c r="G15" i="5"/>
  <c r="E18" i="5" s="1"/>
  <c r="E13" i="5"/>
  <c r="E12" i="5"/>
  <c r="E11" i="5"/>
  <c r="E10" i="5"/>
  <c r="E9" i="5"/>
  <c r="E8" i="5"/>
  <c r="E7" i="5"/>
  <c r="E6" i="5"/>
  <c r="F5" i="5"/>
  <c r="E5" i="5"/>
  <c r="AS4" i="1"/>
  <c r="AQ12" i="1" s="1"/>
  <c r="X8" i="1"/>
  <c r="X19" i="1"/>
  <c r="X30" i="1"/>
  <c r="X41" i="1"/>
  <c r="X52" i="1"/>
  <c r="X63" i="1"/>
  <c r="E63" i="1"/>
  <c r="E52" i="1"/>
  <c r="E41" i="1"/>
  <c r="E30" i="1"/>
  <c r="E19" i="1"/>
  <c r="E8" i="1"/>
  <c r="Z4" i="1"/>
  <c r="Z15" i="1" s="1"/>
  <c r="X20" i="1" s="1"/>
  <c r="G59" i="1"/>
  <c r="E68" i="1" s="1"/>
  <c r="G48" i="1"/>
  <c r="G37" i="1"/>
  <c r="G26" i="1"/>
  <c r="E32" i="1" s="1"/>
  <c r="G15" i="1"/>
  <c r="E22" i="1" s="1"/>
  <c r="E13" i="1"/>
  <c r="E12" i="1"/>
  <c r="E11" i="1"/>
  <c r="E10" i="1"/>
  <c r="E9" i="1"/>
  <c r="E7" i="1"/>
  <c r="E6" i="1"/>
  <c r="E5" i="1"/>
  <c r="F5" i="1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Q2" i="4"/>
  <c r="K2" i="4"/>
  <c r="E34" i="8" l="1"/>
  <c r="E27" i="8"/>
  <c r="E31" i="8"/>
  <c r="G37" i="8"/>
  <c r="E28" i="8"/>
  <c r="E33" i="8"/>
  <c r="E30" i="8"/>
  <c r="E35" i="8"/>
  <c r="F27" i="8"/>
  <c r="E32" i="8"/>
  <c r="E29" i="8"/>
  <c r="K59" i="4"/>
  <c r="E34" i="7"/>
  <c r="E27" i="7"/>
  <c r="E31" i="7"/>
  <c r="E29" i="7"/>
  <c r="G37" i="7"/>
  <c r="E28" i="7"/>
  <c r="E33" i="7"/>
  <c r="E30" i="7"/>
  <c r="E35" i="7"/>
  <c r="E32" i="7"/>
  <c r="F27" i="7"/>
  <c r="L1" i="4"/>
  <c r="E21" i="6"/>
  <c r="E24" i="6"/>
  <c r="E19" i="6"/>
  <c r="E22" i="6"/>
  <c r="E17" i="6"/>
  <c r="G26" i="6"/>
  <c r="E20" i="6"/>
  <c r="E16" i="6"/>
  <c r="E23" i="6"/>
  <c r="F16" i="6"/>
  <c r="E22" i="5"/>
  <c r="E24" i="5"/>
  <c r="E17" i="5"/>
  <c r="G26" i="5"/>
  <c r="E19" i="5"/>
  <c r="E20" i="5"/>
  <c r="E16" i="5"/>
  <c r="E23" i="5"/>
  <c r="E21" i="5"/>
  <c r="F16" i="5"/>
  <c r="AQ13" i="1"/>
  <c r="AQ6" i="1"/>
  <c r="AQ8" i="1"/>
  <c r="AQ9" i="1"/>
  <c r="AQ10" i="1"/>
  <c r="AQ11" i="1"/>
  <c r="AR5" i="1"/>
  <c r="AS15" i="1"/>
  <c r="AQ7" i="1"/>
  <c r="AQ5" i="1"/>
  <c r="X7" i="1"/>
  <c r="X9" i="1"/>
  <c r="X10" i="1"/>
  <c r="X11" i="1"/>
  <c r="X5" i="1"/>
  <c r="X12" i="1"/>
  <c r="X13" i="1"/>
  <c r="Y5" i="1"/>
  <c r="X6" i="1"/>
  <c r="X16" i="1"/>
  <c r="X17" i="1"/>
  <c r="Z26" i="1"/>
  <c r="X21" i="1"/>
  <c r="X22" i="1"/>
  <c r="X23" i="1"/>
  <c r="X18" i="1"/>
  <c r="Y16" i="1"/>
  <c r="X24" i="1"/>
  <c r="E66" i="1"/>
  <c r="E61" i="1"/>
  <c r="E64" i="1"/>
  <c r="E60" i="1"/>
  <c r="E67" i="1"/>
  <c r="E62" i="1"/>
  <c r="E65" i="1"/>
  <c r="F60" i="1"/>
  <c r="E54" i="1"/>
  <c r="E49" i="1"/>
  <c r="E57" i="1"/>
  <c r="E50" i="1"/>
  <c r="F49" i="1"/>
  <c r="E51" i="1"/>
  <c r="E53" i="1"/>
  <c r="E55" i="1"/>
  <c r="E56" i="1"/>
  <c r="E42" i="1"/>
  <c r="E44" i="1"/>
  <c r="E45" i="1"/>
  <c r="E39" i="1"/>
  <c r="E43" i="1"/>
  <c r="F38" i="1"/>
  <c r="E40" i="1"/>
  <c r="E38" i="1"/>
  <c r="E46" i="1"/>
  <c r="E34" i="1"/>
  <c r="E28" i="1"/>
  <c r="F27" i="1"/>
  <c r="E31" i="1"/>
  <c r="E33" i="1"/>
  <c r="E27" i="1"/>
  <c r="E35" i="1"/>
  <c r="E29" i="1"/>
  <c r="E16" i="1"/>
  <c r="E23" i="1"/>
  <c r="F16" i="1"/>
  <c r="E18" i="1"/>
  <c r="E20" i="1"/>
  <c r="E21" i="1"/>
  <c r="E24" i="1"/>
  <c r="E17" i="1"/>
  <c r="E42" i="8" l="1"/>
  <c r="G48" i="8"/>
  <c r="E39" i="8"/>
  <c r="E44" i="8"/>
  <c r="E41" i="8"/>
  <c r="E46" i="8"/>
  <c r="E43" i="8"/>
  <c r="E40" i="8"/>
  <c r="F38" i="8"/>
  <c r="E45" i="8"/>
  <c r="E38" i="8"/>
  <c r="K60" i="4"/>
  <c r="E42" i="7"/>
  <c r="E45" i="7"/>
  <c r="E38" i="7"/>
  <c r="G48" i="7"/>
  <c r="E39" i="7"/>
  <c r="E44" i="7"/>
  <c r="E41" i="7"/>
  <c r="E46" i="7"/>
  <c r="E43" i="7"/>
  <c r="E40" i="7"/>
  <c r="F38" i="7"/>
  <c r="E34" i="6"/>
  <c r="E27" i="6"/>
  <c r="E31" i="6"/>
  <c r="G37" i="6"/>
  <c r="E28" i="6"/>
  <c r="E33" i="6"/>
  <c r="E30" i="6"/>
  <c r="E35" i="6"/>
  <c r="E32" i="6"/>
  <c r="E29" i="6"/>
  <c r="F27" i="6"/>
  <c r="E34" i="5"/>
  <c r="E27" i="5"/>
  <c r="E31" i="5"/>
  <c r="G37" i="5"/>
  <c r="E28" i="5"/>
  <c r="E29" i="5"/>
  <c r="E33" i="5"/>
  <c r="E35" i="5"/>
  <c r="E30" i="5"/>
  <c r="F27" i="5"/>
  <c r="E32" i="5"/>
  <c r="AQ20" i="1"/>
  <c r="AQ17" i="1"/>
  <c r="AQ24" i="1"/>
  <c r="AQ23" i="1"/>
  <c r="AQ19" i="1"/>
  <c r="AQ18" i="1"/>
  <c r="AS26" i="1"/>
  <c r="AR16" i="1"/>
  <c r="AQ16" i="1"/>
  <c r="AQ22" i="1"/>
  <c r="AQ21" i="1"/>
  <c r="Z37" i="1"/>
  <c r="X28" i="1"/>
  <c r="X35" i="1"/>
  <c r="Y27" i="1"/>
  <c r="X32" i="1"/>
  <c r="X31" i="1"/>
  <c r="X34" i="1"/>
  <c r="X27" i="1"/>
  <c r="X29" i="1"/>
  <c r="X33" i="1"/>
  <c r="G59" i="8" l="1"/>
  <c r="E50" i="8"/>
  <c r="E55" i="8"/>
  <c r="E52" i="8"/>
  <c r="E57" i="8"/>
  <c r="E54" i="8"/>
  <c r="E53" i="8"/>
  <c r="E51" i="8"/>
  <c r="F49" i="8"/>
  <c r="E56" i="8"/>
  <c r="E49" i="8"/>
  <c r="K61" i="4"/>
  <c r="G59" i="7"/>
  <c r="E50" i="7"/>
  <c r="E55" i="7"/>
  <c r="E52" i="7"/>
  <c r="E57" i="7"/>
  <c r="E54" i="7"/>
  <c r="E53" i="7"/>
  <c r="E51" i="7"/>
  <c r="F49" i="7"/>
  <c r="E56" i="7"/>
  <c r="E49" i="7"/>
  <c r="E42" i="6"/>
  <c r="G48" i="6"/>
  <c r="E39" i="6"/>
  <c r="E44" i="6"/>
  <c r="E41" i="6"/>
  <c r="E46" i="6"/>
  <c r="E43" i="6"/>
  <c r="E40" i="6"/>
  <c r="F38" i="6"/>
  <c r="E45" i="6"/>
  <c r="E38" i="6"/>
  <c r="E42" i="5"/>
  <c r="E38" i="5"/>
  <c r="G48" i="5"/>
  <c r="E39" i="5"/>
  <c r="E40" i="5"/>
  <c r="E45" i="5"/>
  <c r="E44" i="5"/>
  <c r="F38" i="5"/>
  <c r="E41" i="5"/>
  <c r="E43" i="5"/>
  <c r="E46" i="5"/>
  <c r="AS37" i="1"/>
  <c r="AQ28" i="1"/>
  <c r="AQ31" i="1"/>
  <c r="AQ29" i="1"/>
  <c r="AQ35" i="1"/>
  <c r="AR27" i="1"/>
  <c r="AQ34" i="1"/>
  <c r="AQ27" i="1"/>
  <c r="AQ33" i="1"/>
  <c r="AQ32" i="1"/>
  <c r="AQ30" i="1"/>
  <c r="X44" i="1"/>
  <c r="X40" i="1"/>
  <c r="X46" i="1"/>
  <c r="X43" i="1"/>
  <c r="X39" i="1"/>
  <c r="X45" i="1"/>
  <c r="X42" i="1"/>
  <c r="X38" i="1"/>
  <c r="Z48" i="1"/>
  <c r="Y38" i="1"/>
  <c r="E66" i="8" l="1"/>
  <c r="E63" i="8"/>
  <c r="E68" i="8"/>
  <c r="E65" i="8"/>
  <c r="Z4" i="8"/>
  <c r="E61" i="8"/>
  <c r="E62" i="8"/>
  <c r="F60" i="8"/>
  <c r="E67" i="8"/>
  <c r="E60" i="8"/>
  <c r="E64" i="8"/>
  <c r="K62" i="4"/>
  <c r="E66" i="7"/>
  <c r="Z4" i="7"/>
  <c r="E63" i="7"/>
  <c r="E68" i="7"/>
  <c r="E65" i="7"/>
  <c r="E62" i="7"/>
  <c r="F60" i="7"/>
  <c r="E67" i="7"/>
  <c r="E60" i="7"/>
  <c r="E64" i="7"/>
  <c r="E61" i="7"/>
  <c r="G59" i="6"/>
  <c r="E50" i="6"/>
  <c r="E55" i="6"/>
  <c r="E52" i="6"/>
  <c r="E57" i="6"/>
  <c r="E54" i="6"/>
  <c r="E51" i="6"/>
  <c r="F49" i="6"/>
  <c r="E56" i="6"/>
  <c r="E49" i="6"/>
  <c r="E53" i="6"/>
  <c r="G59" i="5"/>
  <c r="E50" i="5"/>
  <c r="E53" i="5"/>
  <c r="E55" i="5"/>
  <c r="E52" i="5"/>
  <c r="E51" i="5"/>
  <c r="E56" i="5"/>
  <c r="E57" i="5"/>
  <c r="F49" i="5"/>
  <c r="E54" i="5"/>
  <c r="E49" i="5"/>
  <c r="AQ44" i="1"/>
  <c r="AQ41" i="1"/>
  <c r="AS48" i="1"/>
  <c r="AR38" i="1"/>
  <c r="AQ45" i="1"/>
  <c r="AQ43" i="1"/>
  <c r="AQ42" i="1"/>
  <c r="AQ40" i="1"/>
  <c r="AQ39" i="1"/>
  <c r="AQ46" i="1"/>
  <c r="AQ38" i="1"/>
  <c r="X56" i="1"/>
  <c r="X51" i="1"/>
  <c r="X49" i="1"/>
  <c r="Z59" i="1"/>
  <c r="X50" i="1"/>
  <c r="X55" i="1"/>
  <c r="X53" i="1"/>
  <c r="X57" i="1"/>
  <c r="Y49" i="1"/>
  <c r="X54" i="1"/>
  <c r="X7" i="8" l="1"/>
  <c r="X5" i="8"/>
  <c r="X12" i="8"/>
  <c r="X9" i="8"/>
  <c r="Z15" i="8"/>
  <c r="X6" i="8"/>
  <c r="Y5" i="8"/>
  <c r="X11" i="8"/>
  <c r="X10" i="8"/>
  <c r="X8" i="8"/>
  <c r="X13" i="8"/>
  <c r="K63" i="4"/>
  <c r="X7" i="7"/>
  <c r="X5" i="7"/>
  <c r="X10" i="7"/>
  <c r="X12" i="7"/>
  <c r="X11" i="7"/>
  <c r="X9" i="7"/>
  <c r="Z15" i="7"/>
  <c r="X6" i="7"/>
  <c r="X8" i="7"/>
  <c r="X13" i="7"/>
  <c r="Y5" i="7"/>
  <c r="E66" i="6"/>
  <c r="Z4" i="6"/>
  <c r="E63" i="6"/>
  <c r="E68" i="6"/>
  <c r="E65" i="6"/>
  <c r="E62" i="6"/>
  <c r="F60" i="6"/>
  <c r="E67" i="6"/>
  <c r="E60" i="6"/>
  <c r="E64" i="6"/>
  <c r="E61" i="6"/>
  <c r="E66" i="5"/>
  <c r="E64" i="5"/>
  <c r="E63" i="5"/>
  <c r="E68" i="5"/>
  <c r="E65" i="5"/>
  <c r="Z4" i="5"/>
  <c r="E67" i="5"/>
  <c r="E60" i="5"/>
  <c r="E62" i="5"/>
  <c r="F60" i="5"/>
  <c r="E61" i="5"/>
  <c r="AQ52" i="1"/>
  <c r="AQ49" i="1"/>
  <c r="AQ55" i="1"/>
  <c r="AQ54" i="1"/>
  <c r="AQ53" i="1"/>
  <c r="AQ51" i="1"/>
  <c r="AS59" i="1"/>
  <c r="AQ50" i="1"/>
  <c r="AQ57" i="1"/>
  <c r="AR49" i="1"/>
  <c r="AQ56" i="1"/>
  <c r="X68" i="1"/>
  <c r="Y60" i="1"/>
  <c r="X67" i="1"/>
  <c r="X60" i="1"/>
  <c r="X64" i="1"/>
  <c r="X66" i="1"/>
  <c r="X62" i="1"/>
  <c r="X61" i="1"/>
  <c r="X65" i="1"/>
  <c r="X23" i="8" l="1"/>
  <c r="X20" i="8"/>
  <c r="Z26" i="8"/>
  <c r="X17" i="8"/>
  <c r="X22" i="8"/>
  <c r="X19" i="8"/>
  <c r="X24" i="8"/>
  <c r="X18" i="8"/>
  <c r="X16" i="8"/>
  <c r="X21" i="8"/>
  <c r="Y16" i="8"/>
  <c r="K64" i="4"/>
  <c r="X23" i="7"/>
  <c r="X18" i="7"/>
  <c r="X20" i="7"/>
  <c r="Z26" i="7"/>
  <c r="X17" i="7"/>
  <c r="X22" i="7"/>
  <c r="X19" i="7"/>
  <c r="X24" i="7"/>
  <c r="X21" i="7"/>
  <c r="Y16" i="7"/>
  <c r="X16" i="7"/>
  <c r="X7" i="6"/>
  <c r="X5" i="6"/>
  <c r="X8" i="6"/>
  <c r="X12" i="6"/>
  <c r="X9" i="6"/>
  <c r="X6" i="6"/>
  <c r="X11" i="6"/>
  <c r="Z15" i="6"/>
  <c r="X13" i="6"/>
  <c r="X10" i="6"/>
  <c r="Y5" i="6"/>
  <c r="X7" i="5"/>
  <c r="X5" i="5"/>
  <c r="Y5" i="5"/>
  <c r="X12" i="5"/>
  <c r="X9" i="5"/>
  <c r="X8" i="5"/>
  <c r="Z15" i="5"/>
  <c r="X6" i="5"/>
  <c r="X11" i="5"/>
  <c r="X13" i="5"/>
  <c r="X10" i="5"/>
  <c r="AQ68" i="1"/>
  <c r="AR60" i="1"/>
  <c r="AQ64" i="1"/>
  <c r="AQ67" i="1"/>
  <c r="AQ60" i="1"/>
  <c r="AQ66" i="1"/>
  <c r="AQ65" i="1"/>
  <c r="AQ63" i="1"/>
  <c r="AQ62" i="1"/>
  <c r="AQ61" i="1"/>
  <c r="X31" i="8" l="1"/>
  <c r="Z37" i="8"/>
  <c r="X28" i="8"/>
  <c r="X33" i="8"/>
  <c r="X30" i="8"/>
  <c r="X35" i="8"/>
  <c r="X32" i="8"/>
  <c r="Y27" i="8"/>
  <c r="X34" i="8"/>
  <c r="X29" i="8"/>
  <c r="X27" i="8"/>
  <c r="K65" i="4"/>
  <c r="X31" i="7"/>
  <c r="Z37" i="7"/>
  <c r="X28" i="7"/>
  <c r="X34" i="7"/>
  <c r="X33" i="7"/>
  <c r="X30" i="7"/>
  <c r="X35" i="7"/>
  <c r="X32" i="7"/>
  <c r="Y27" i="7"/>
  <c r="X29" i="7"/>
  <c r="X27" i="7"/>
  <c r="X23" i="6"/>
  <c r="X20" i="6"/>
  <c r="Z26" i="6"/>
  <c r="X17" i="6"/>
  <c r="X22" i="6"/>
  <c r="X19" i="6"/>
  <c r="X24" i="6"/>
  <c r="X21" i="6"/>
  <c r="Y16" i="6"/>
  <c r="X18" i="6"/>
  <c r="X16" i="6"/>
  <c r="X23" i="5"/>
  <c r="X21" i="5"/>
  <c r="X20" i="5"/>
  <c r="X18" i="5"/>
  <c r="Z26" i="5"/>
  <c r="X17" i="5"/>
  <c r="X22" i="5"/>
  <c r="X24" i="5"/>
  <c r="X19" i="5"/>
  <c r="Y16" i="5"/>
  <c r="X16" i="5"/>
  <c r="Z48" i="8" l="1"/>
  <c r="X39" i="8"/>
  <c r="X44" i="8"/>
  <c r="X41" i="8"/>
  <c r="X46" i="8"/>
  <c r="X43" i="8"/>
  <c r="Y38" i="8"/>
  <c r="X40" i="8"/>
  <c r="X38" i="8"/>
  <c r="X45" i="8"/>
  <c r="X42" i="8"/>
  <c r="K66" i="4"/>
  <c r="Z48" i="7"/>
  <c r="X39" i="7"/>
  <c r="X42" i="7"/>
  <c r="X44" i="7"/>
  <c r="X41" i="7"/>
  <c r="X46" i="7"/>
  <c r="X43" i="7"/>
  <c r="Y38" i="7"/>
  <c r="X40" i="7"/>
  <c r="X38" i="7"/>
  <c r="X45" i="7"/>
  <c r="X31" i="6"/>
  <c r="Z37" i="6"/>
  <c r="X28" i="6"/>
  <c r="X33" i="6"/>
  <c r="X30" i="6"/>
  <c r="X35" i="6"/>
  <c r="X32" i="6"/>
  <c r="Y27" i="6"/>
  <c r="X29" i="6"/>
  <c r="X27" i="6"/>
  <c r="X34" i="6"/>
  <c r="X31" i="5"/>
  <c r="Z37" i="5"/>
  <c r="X28" i="5"/>
  <c r="X34" i="5"/>
  <c r="X33" i="5"/>
  <c r="X32" i="5"/>
  <c r="Y27" i="5"/>
  <c r="X27" i="5"/>
  <c r="X30" i="5"/>
  <c r="X35" i="5"/>
  <c r="X29" i="5"/>
  <c r="X55" i="8" l="1"/>
  <c r="Z59" i="8"/>
  <c r="X52" i="8"/>
  <c r="X57" i="8"/>
  <c r="X50" i="8"/>
  <c r="X54" i="8"/>
  <c r="Y49" i="8"/>
  <c r="X51" i="8"/>
  <c r="X49" i="8"/>
  <c r="X56" i="8"/>
  <c r="X53" i="8"/>
  <c r="K67" i="4"/>
  <c r="X55" i="7"/>
  <c r="X52" i="7"/>
  <c r="X57" i="7"/>
  <c r="Z59" i="7"/>
  <c r="X54" i="7"/>
  <c r="Y49" i="7"/>
  <c r="X51" i="7"/>
  <c r="X49" i="7"/>
  <c r="X56" i="7"/>
  <c r="X50" i="7"/>
  <c r="X53" i="7"/>
  <c r="Z48" i="6"/>
  <c r="X39" i="6"/>
  <c r="X44" i="6"/>
  <c r="X41" i="6"/>
  <c r="X46" i="6"/>
  <c r="X43" i="6"/>
  <c r="Y38" i="6"/>
  <c r="X40" i="6"/>
  <c r="X38" i="6"/>
  <c r="X45" i="6"/>
  <c r="X42" i="6"/>
  <c r="Z48" i="5"/>
  <c r="X39" i="5"/>
  <c r="X44" i="5"/>
  <c r="X41" i="5"/>
  <c r="X38" i="5"/>
  <c r="X46" i="5"/>
  <c r="X40" i="5"/>
  <c r="X45" i="5"/>
  <c r="X42" i="5"/>
  <c r="X43" i="5"/>
  <c r="Y38" i="5"/>
  <c r="X63" i="8" l="1"/>
  <c r="X68" i="8"/>
  <c r="X65" i="8"/>
  <c r="Y60" i="8"/>
  <c r="X62" i="8"/>
  <c r="X60" i="8"/>
  <c r="AS4" i="8"/>
  <c r="X67" i="8"/>
  <c r="X64" i="8"/>
  <c r="X61" i="8"/>
  <c r="X66" i="8"/>
  <c r="K68" i="4"/>
  <c r="X63" i="7"/>
  <c r="X68" i="7"/>
  <c r="X66" i="7"/>
  <c r="X65" i="7"/>
  <c r="Y60" i="7"/>
  <c r="X62" i="7"/>
  <c r="X60" i="7"/>
  <c r="AS4" i="7"/>
  <c r="X67" i="7"/>
  <c r="X64" i="7"/>
  <c r="X61" i="7"/>
  <c r="X55" i="6"/>
  <c r="X52" i="6"/>
  <c r="X57" i="6"/>
  <c r="X54" i="6"/>
  <c r="Y49" i="6"/>
  <c r="X51" i="6"/>
  <c r="X49" i="6"/>
  <c r="X56" i="6"/>
  <c r="X53" i="6"/>
  <c r="Z59" i="6"/>
  <c r="X50" i="6"/>
  <c r="X55" i="5"/>
  <c r="X53" i="5"/>
  <c r="X52" i="5"/>
  <c r="X50" i="5"/>
  <c r="X57" i="5"/>
  <c r="X56" i="5"/>
  <c r="X54" i="5"/>
  <c r="Y49" i="5"/>
  <c r="X51" i="5"/>
  <c r="X49" i="5"/>
  <c r="Z59" i="5"/>
  <c r="AQ12" i="8" l="1"/>
  <c r="AQ9" i="8"/>
  <c r="AQ7" i="8"/>
  <c r="AS15" i="8"/>
  <c r="AQ6" i="8"/>
  <c r="AQ11" i="8"/>
  <c r="AQ8" i="8"/>
  <c r="AQ13" i="8"/>
  <c r="AR5" i="8"/>
  <c r="AQ10" i="8"/>
  <c r="AQ5" i="8"/>
  <c r="K69" i="4"/>
  <c r="AQ12" i="7"/>
  <c r="AQ9" i="7"/>
  <c r="AS15" i="7"/>
  <c r="AQ6" i="7"/>
  <c r="AQ11" i="7"/>
  <c r="AQ8" i="7"/>
  <c r="AQ7" i="7"/>
  <c r="AQ13" i="7"/>
  <c r="AR5" i="7"/>
  <c r="AQ10" i="7"/>
  <c r="AQ5" i="7"/>
  <c r="X63" i="6"/>
  <c r="X68" i="6"/>
  <c r="AS4" i="6"/>
  <c r="X65" i="6"/>
  <c r="Y60" i="6"/>
  <c r="X62" i="6"/>
  <c r="X60" i="6"/>
  <c r="X67" i="6"/>
  <c r="X64" i="6"/>
  <c r="X61" i="6"/>
  <c r="X66" i="6"/>
  <c r="X63" i="5"/>
  <c r="X66" i="5"/>
  <c r="X68" i="5"/>
  <c r="X65" i="5"/>
  <c r="Y60" i="5"/>
  <c r="X64" i="5"/>
  <c r="X61" i="5"/>
  <c r="X62" i="5"/>
  <c r="X60" i="5"/>
  <c r="AS4" i="5"/>
  <c r="X67" i="5"/>
  <c r="AQ20" i="8" l="1"/>
  <c r="AS26" i="8"/>
  <c r="AQ17" i="8"/>
  <c r="AQ22" i="8"/>
  <c r="AQ19" i="8"/>
  <c r="AQ24" i="8"/>
  <c r="AR16" i="8"/>
  <c r="AQ21" i="8"/>
  <c r="AQ16" i="8"/>
  <c r="AQ23" i="8"/>
  <c r="AQ18" i="8"/>
  <c r="K70" i="4"/>
  <c r="AQ20" i="7"/>
  <c r="AS26" i="7"/>
  <c r="AQ17" i="7"/>
  <c r="AQ22" i="7"/>
  <c r="AQ19" i="7"/>
  <c r="AQ23" i="7"/>
  <c r="AQ24" i="7"/>
  <c r="AR16" i="7"/>
  <c r="AQ21" i="7"/>
  <c r="AQ16" i="7"/>
  <c r="AQ18" i="7"/>
  <c r="AQ12" i="6"/>
  <c r="AQ6" i="6"/>
  <c r="AQ9" i="6"/>
  <c r="AQ8" i="6"/>
  <c r="AR5" i="6"/>
  <c r="AS15" i="6"/>
  <c r="AQ11" i="6"/>
  <c r="AQ13" i="6"/>
  <c r="AQ10" i="6"/>
  <c r="AQ5" i="6"/>
  <c r="AQ7" i="6"/>
  <c r="AQ12" i="5"/>
  <c r="AR5" i="5"/>
  <c r="AQ10" i="5"/>
  <c r="AQ9" i="5"/>
  <c r="AQ5" i="5"/>
  <c r="AS15" i="5"/>
  <c r="AQ6" i="5"/>
  <c r="AQ8" i="5"/>
  <c r="AQ13" i="5"/>
  <c r="AQ11" i="5"/>
  <c r="AQ7" i="5"/>
  <c r="AS37" i="8" l="1"/>
  <c r="AQ28" i="8"/>
  <c r="AQ33" i="8"/>
  <c r="AQ30" i="8"/>
  <c r="AQ35" i="8"/>
  <c r="AR27" i="8"/>
  <c r="AQ32" i="8"/>
  <c r="AQ27" i="8"/>
  <c r="AQ29" i="8"/>
  <c r="AQ34" i="8"/>
  <c r="AQ31" i="8"/>
  <c r="K71" i="4"/>
  <c r="AS37" i="7"/>
  <c r="AQ28" i="7"/>
  <c r="AQ31" i="7"/>
  <c r="AQ33" i="7"/>
  <c r="AQ30" i="7"/>
  <c r="AQ35" i="7"/>
  <c r="AR27" i="7"/>
  <c r="AQ32" i="7"/>
  <c r="AQ27" i="7"/>
  <c r="AQ29" i="7"/>
  <c r="AQ34" i="7"/>
  <c r="AQ20" i="6"/>
  <c r="AS26" i="6"/>
  <c r="AQ17" i="6"/>
  <c r="AQ22" i="6"/>
  <c r="AQ19" i="6"/>
  <c r="AQ24" i="6"/>
  <c r="AR16" i="6"/>
  <c r="AQ21" i="6"/>
  <c r="AQ16" i="6"/>
  <c r="AQ18" i="6"/>
  <c r="AQ23" i="6"/>
  <c r="AQ20" i="5"/>
  <c r="AQ21" i="5"/>
  <c r="AS26" i="5"/>
  <c r="AQ17" i="5"/>
  <c r="AQ22" i="5"/>
  <c r="AQ18" i="5"/>
  <c r="AQ19" i="5"/>
  <c r="AQ16" i="5"/>
  <c r="AQ23" i="5"/>
  <c r="AQ24" i="5"/>
  <c r="AR16" i="5"/>
  <c r="AQ44" i="8" l="1"/>
  <c r="AQ41" i="8"/>
  <c r="AQ46" i="8"/>
  <c r="AR38" i="8"/>
  <c r="AQ43" i="8"/>
  <c r="AQ38" i="8"/>
  <c r="AQ40" i="8"/>
  <c r="AQ45" i="8"/>
  <c r="AS48" i="8"/>
  <c r="AQ39" i="8"/>
  <c r="AQ42" i="8"/>
  <c r="K72" i="4"/>
  <c r="AQ44" i="7"/>
  <c r="AQ41" i="7"/>
  <c r="AS48" i="7"/>
  <c r="AQ39" i="7"/>
  <c r="AQ46" i="7"/>
  <c r="AR38" i="7"/>
  <c r="AQ43" i="7"/>
  <c r="AQ38" i="7"/>
  <c r="AQ40" i="7"/>
  <c r="AQ45" i="7"/>
  <c r="AQ42" i="7"/>
  <c r="AS37" i="6"/>
  <c r="AQ28" i="6"/>
  <c r="AQ33" i="6"/>
  <c r="AQ30" i="6"/>
  <c r="AQ35" i="6"/>
  <c r="AR27" i="6"/>
  <c r="AQ32" i="6"/>
  <c r="AQ27" i="6"/>
  <c r="AQ29" i="6"/>
  <c r="AQ34" i="6"/>
  <c r="AQ31" i="6"/>
  <c r="AS37" i="5"/>
  <c r="AQ28" i="5"/>
  <c r="AQ34" i="5"/>
  <c r="AQ33" i="5"/>
  <c r="AQ30" i="5"/>
  <c r="AQ35" i="5"/>
  <c r="AR27" i="5"/>
  <c r="AQ29" i="5"/>
  <c r="AQ32" i="5"/>
  <c r="AQ27" i="5"/>
  <c r="AQ31" i="5"/>
  <c r="AQ52" i="8" l="1"/>
  <c r="AQ57" i="8"/>
  <c r="AR49" i="8"/>
  <c r="AQ55" i="8"/>
  <c r="AQ54" i="8"/>
  <c r="AQ49" i="8"/>
  <c r="AQ51" i="8"/>
  <c r="AQ56" i="8"/>
  <c r="AQ53" i="8"/>
  <c r="AS59" i="8"/>
  <c r="AQ50" i="8"/>
  <c r="K73" i="4"/>
  <c r="AQ52" i="7"/>
  <c r="AQ57" i="7"/>
  <c r="AR49" i="7"/>
  <c r="AQ54" i="7"/>
  <c r="AQ49" i="7"/>
  <c r="AQ51" i="7"/>
  <c r="AQ55" i="7"/>
  <c r="AQ56" i="7"/>
  <c r="AQ53" i="7"/>
  <c r="AS59" i="7"/>
  <c r="AQ50" i="7"/>
  <c r="AQ44" i="6"/>
  <c r="AQ41" i="6"/>
  <c r="AQ46" i="6"/>
  <c r="AR38" i="6"/>
  <c r="AQ43" i="6"/>
  <c r="AQ38" i="6"/>
  <c r="AQ40" i="6"/>
  <c r="AQ45" i="6"/>
  <c r="AQ42" i="6"/>
  <c r="AS48" i="6"/>
  <c r="AQ39" i="6"/>
  <c r="AQ44" i="5"/>
  <c r="AQ42" i="5"/>
  <c r="AQ41" i="5"/>
  <c r="AQ46" i="5"/>
  <c r="AR38" i="5"/>
  <c r="AQ45" i="5"/>
  <c r="AQ43" i="5"/>
  <c r="AQ38" i="5"/>
  <c r="AQ40" i="5"/>
  <c r="AQ39" i="5"/>
  <c r="AS48" i="5"/>
  <c r="AQ68" i="8" l="1"/>
  <c r="AR60" i="8"/>
  <c r="AQ65" i="8"/>
  <c r="AQ60" i="8"/>
  <c r="AQ62" i="8"/>
  <c r="AQ67" i="8"/>
  <c r="AQ64" i="8"/>
  <c r="AQ61" i="8"/>
  <c r="AQ63" i="8"/>
  <c r="AQ66" i="8"/>
  <c r="K74" i="4"/>
  <c r="AQ68" i="7"/>
  <c r="AR60" i="7"/>
  <c r="AQ63" i="7"/>
  <c r="AQ65" i="7"/>
  <c r="AQ60" i="7"/>
  <c r="AQ62" i="7"/>
  <c r="AQ67" i="7"/>
  <c r="AQ64" i="7"/>
  <c r="AQ61" i="7"/>
  <c r="AQ66" i="7"/>
  <c r="AQ52" i="6"/>
  <c r="AQ57" i="6"/>
  <c r="AR49" i="6"/>
  <c r="AQ54" i="6"/>
  <c r="AQ49" i="6"/>
  <c r="AQ51" i="6"/>
  <c r="AQ56" i="6"/>
  <c r="AQ53" i="6"/>
  <c r="AS59" i="6"/>
  <c r="AQ50" i="6"/>
  <c r="AQ55" i="6"/>
  <c r="AQ52" i="5"/>
  <c r="AS59" i="5"/>
  <c r="AQ57" i="5"/>
  <c r="AR49" i="5"/>
  <c r="AQ55" i="5"/>
  <c r="AQ54" i="5"/>
  <c r="AQ49" i="5"/>
  <c r="AQ50" i="5"/>
  <c r="AQ51" i="5"/>
  <c r="AQ53" i="5"/>
  <c r="AQ56" i="5"/>
  <c r="K75" i="4" l="1"/>
  <c r="AQ68" i="6"/>
  <c r="AR60" i="6"/>
  <c r="AQ65" i="6"/>
  <c r="AQ60" i="6"/>
  <c r="AQ62" i="6"/>
  <c r="AQ67" i="6"/>
  <c r="AQ64" i="6"/>
  <c r="AQ61" i="6"/>
  <c r="AQ66" i="6"/>
  <c r="AQ63" i="6"/>
  <c r="AQ68" i="5"/>
  <c r="AR60" i="5"/>
  <c r="AQ65" i="5"/>
  <c r="AQ60" i="5"/>
  <c r="AQ62" i="5"/>
  <c r="AQ67" i="5"/>
  <c r="AQ61" i="5"/>
  <c r="AQ63" i="5"/>
  <c r="AQ64" i="5"/>
  <c r="AQ66" i="5"/>
  <c r="K76" i="4" l="1"/>
  <c r="K77" i="4" l="1"/>
  <c r="K78" i="4" l="1"/>
  <c r="K79" i="4" l="1"/>
  <c r="K80" i="4" l="1"/>
  <c r="K81" i="4" l="1"/>
  <c r="K82" i="4" l="1"/>
  <c r="K83" i="4" l="1"/>
  <c r="K84" i="4" l="1"/>
  <c r="K85" i="4" l="1"/>
  <c r="K86" i="4" l="1"/>
  <c r="K87" i="4" l="1"/>
  <c r="K88" i="4" l="1"/>
  <c r="K89" i="4" l="1"/>
  <c r="K90" i="4" l="1"/>
  <c r="K91" i="4" l="1"/>
  <c r="I2" i="3"/>
  <c r="D2" i="3"/>
  <c r="C2" i="3"/>
  <c r="F2" i="3"/>
  <c r="B2" i="3"/>
  <c r="H2" i="3"/>
  <c r="E2" i="3"/>
  <c r="J2" i="3"/>
</calcChain>
</file>

<file path=xl/sharedStrings.xml><?xml version="1.0" encoding="utf-8"?>
<sst xmlns="http://schemas.openxmlformats.org/spreadsheetml/2006/main" count="4094" uniqueCount="215">
  <si>
    <t>test_id</t>
  </si>
  <si>
    <t>genus_tags</t>
  </si>
  <si>
    <t>genus_hypo_depth</t>
  </si>
  <si>
    <t>genus_hyper_hypo_depth</t>
  </si>
  <si>
    <t>lesk_on_genus</t>
  </si>
  <si>
    <t>definition_similarity</t>
  </si>
  <si>
    <t>examples_similarity</t>
  </si>
  <si>
    <t>lemmas_similarity</t>
  </si>
  <si>
    <t>score_type</t>
  </si>
  <si>
    <t>lesk_only_n</t>
  </si>
  <si>
    <t>test_01</t>
  </si>
  <si>
    <t>json_string</t>
  </si>
  <si>
    <t>patience.n.01</t>
  </si>
  <si>
    <t>greedy.s.03</t>
  </si>
  <si>
    <t>politics.n.05</t>
  </si>
  <si>
    <t>food.n.01</t>
  </si>
  <si>
    <t>radiator.n.03</t>
  </si>
  <si>
    <t>vehicle.n.03</t>
  </si>
  <si>
    <t>screw.n.02</t>
  </si>
  <si>
    <t>department_of_justice.n.01</t>
  </si>
  <si>
    <t>concept.n.01, concept.n.01</t>
  </si>
  <si>
    <t>abstraction.n.01, rule.n.01</t>
  </si>
  <si>
    <t>ability.n.01</t>
  </si>
  <si>
    <t>penetration.n.04</t>
  </si>
  <si>
    <t>quality.n.01</t>
  </si>
  <si>
    <t>None</t>
  </si>
  <si>
    <t>animation.n.01</t>
  </si>
  <si>
    <t>eternal_life.n.01</t>
  </si>
  <si>
    <t>being.n.01, being.n.01</t>
  </si>
  <si>
    <t>animation.n.01, eternal_life.n.01</t>
  </si>
  <si>
    <t>move.v.02</t>
  </si>
  <si>
    <t>transfer.v.02</t>
  </si>
  <si>
    <t>desire.v.01</t>
  </si>
  <si>
    <t>itch.v.04</t>
  </si>
  <si>
    <t>wealth.n.04</t>
  </si>
  <si>
    <t>money.n.02</t>
  </si>
  <si>
    <t>state.n.02, government.n.01</t>
  </si>
  <si>
    <t>relationship.n.03, authoritarian_state.n.01</t>
  </si>
  <si>
    <t>attribute.n.02, polity.n.02</t>
  </si>
  <si>
    <t>heat.n.01</t>
  </si>
  <si>
    <t>latent_heat.n.01</t>
  </si>
  <si>
    <t>energy.n.01</t>
  </si>
  <si>
    <t>air_transportation_system.n.01, highway_system.n.01</t>
  </si>
  <si>
    <t>facility.n.01, facility.n.01</t>
  </si>
  <si>
    <t>metallic_element.n.01</t>
  </si>
  <si>
    <t>titanium.n.01</t>
  </si>
  <si>
    <t>chemical_element.n.01</t>
  </si>
  <si>
    <t>idea.n.01</t>
  </si>
  <si>
    <t>generalization.n.02</t>
  </si>
  <si>
    <t>target</t>
  </si>
  <si>
    <t>genus_met_a</t>
  </si>
  <si>
    <t>hypo_met_a</t>
  </si>
  <si>
    <t>hype_met_b</t>
  </si>
  <si>
    <t>hypo_met_b</t>
  </si>
  <si>
    <t>score_met_a</t>
  </si>
  <si>
    <t>score_met_b</t>
  </si>
  <si>
    <t>NN</t>
  </si>
  <si>
    <t>False</t>
  </si>
  <si>
    <t>True</t>
  </si>
  <si>
    <t>wup_similarity</t>
  </si>
  <si>
    <t>test_02</t>
  </si>
  <si>
    <t>NN,JJ</t>
  </si>
  <si>
    <t>test_03</t>
  </si>
  <si>
    <t>NN,VB</t>
  </si>
  <si>
    <t>test_04</t>
  </si>
  <si>
    <t>NN,VB,VBD,VBG,VBN,VBP,VBZ</t>
  </si>
  <si>
    <t>test_05</t>
  </si>
  <si>
    <t>NN,RB</t>
  </si>
  <si>
    <t>test_06</t>
  </si>
  <si>
    <t>NN,JJ,VB,VBD,VBG,VBN,VBP,VBZ</t>
  </si>
  <si>
    <t>test_07</t>
  </si>
  <si>
    <t>test_08</t>
  </si>
  <si>
    <t>test_09</t>
  </si>
  <si>
    <t>test_10</t>
  </si>
  <si>
    <t>test_11</t>
  </si>
  <si>
    <t>test_12</t>
  </si>
  <si>
    <t>test_13</t>
  </si>
  <si>
    <t>test_14</t>
  </si>
  <si>
    <t>test_15</t>
  </si>
  <si>
    <t>test_16</t>
  </si>
  <si>
    <t>test_17</t>
  </si>
  <si>
    <t>test_18</t>
  </si>
  <si>
    <t>test_19</t>
  </si>
  <si>
    <t>test_20</t>
  </si>
  <si>
    <t>test_21</t>
  </si>
  <si>
    <t>test_22</t>
  </si>
  <si>
    <t>test_23</t>
  </si>
  <si>
    <t>test_24</t>
  </si>
  <si>
    <t>test_25</t>
  </si>
  <si>
    <t>test_26</t>
  </si>
  <si>
    <t>test_27</t>
  </si>
  <si>
    <t>test_28</t>
  </si>
  <si>
    <t>test_29</t>
  </si>
  <si>
    <t>test_30</t>
  </si>
  <si>
    <t>test_31</t>
  </si>
  <si>
    <t>test_32</t>
  </si>
  <si>
    <t>test_33</t>
  </si>
  <si>
    <t>test_34</t>
  </si>
  <si>
    <t>test_35</t>
  </si>
  <si>
    <t>test_36</t>
  </si>
  <si>
    <t>test_37</t>
  </si>
  <si>
    <t>test_38</t>
  </si>
  <si>
    <t>test_39</t>
  </si>
  <si>
    <t>test_40</t>
  </si>
  <si>
    <t>test_41</t>
  </si>
  <si>
    <t>test_42</t>
  </si>
  <si>
    <t>test_43</t>
  </si>
  <si>
    <t>test_44</t>
  </si>
  <si>
    <t>test_45</t>
  </si>
  <si>
    <t>test_46</t>
  </si>
  <si>
    <t>test_47</t>
  </si>
  <si>
    <t>test_48</t>
  </si>
  <si>
    <t>test_49</t>
  </si>
  <si>
    <t>test_50</t>
  </si>
  <si>
    <t>test_51</t>
  </si>
  <si>
    <t>test_52</t>
  </si>
  <si>
    <t>test_53</t>
  </si>
  <si>
    <t>test_54</t>
  </si>
  <si>
    <t>TARGET</t>
  </si>
  <si>
    <t>Genus</t>
  </si>
  <si>
    <t>Hyponym</t>
  </si>
  <si>
    <t>Score</t>
  </si>
  <si>
    <t>Hyperym</t>
  </si>
  <si>
    <t>MET_B: genuses-&gt; hypernyms -&gt; hyponym</t>
  </si>
  <si>
    <t>MET_A: genuses-&gt;hyponym</t>
  </si>
  <si>
    <t>TEST_01</t>
  </si>
  <si>
    <t>PARAMETERS:</t>
  </si>
  <si>
    <t>WITHOUT LESK</t>
  </si>
  <si>
    <t>WITH LESK</t>
  </si>
  <si>
    <t>WITH LESK getting only noun from disambiguation</t>
  </si>
  <si>
    <t>TEST_19</t>
  </si>
  <si>
    <t>TEST_37</t>
  </si>
  <si>
    <t>,</t>
  </si>
  <si>
    <t>TEST_55</t>
  </si>
  <si>
    <t>test_55</t>
  </si>
  <si>
    <t>test_56</t>
  </si>
  <si>
    <t>test_57</t>
  </si>
  <si>
    <t>test_58</t>
  </si>
  <si>
    <t>test_59</t>
  </si>
  <si>
    <t>test_60</t>
  </si>
  <si>
    <t>test_61</t>
  </si>
  <si>
    <t>test_62</t>
  </si>
  <si>
    <t>test_63</t>
  </si>
  <si>
    <t>test_64</t>
  </si>
  <si>
    <t>test_65</t>
  </si>
  <si>
    <t>test_66</t>
  </si>
  <si>
    <t>test_67</t>
  </si>
  <si>
    <t>test_68</t>
  </si>
  <si>
    <t>test_69</t>
  </si>
  <si>
    <t>test_70</t>
  </si>
  <si>
    <t>test_71</t>
  </si>
  <si>
    <t>test_72</t>
  </si>
  <si>
    <t>test_73</t>
  </si>
  <si>
    <t>test_74</t>
  </si>
  <si>
    <t>test_75</t>
  </si>
  <si>
    <t>test_76</t>
  </si>
  <si>
    <t>test_77</t>
  </si>
  <si>
    <t>test_78</t>
  </si>
  <si>
    <t>test_79</t>
  </si>
  <si>
    <t>test_80</t>
  </si>
  <si>
    <t>test_81</t>
  </si>
  <si>
    <t>test_82</t>
  </si>
  <si>
    <t>test_83</t>
  </si>
  <si>
    <t>test_84</t>
  </si>
  <si>
    <t>test_85</t>
  </si>
  <si>
    <t>test_86</t>
  </si>
  <si>
    <t>test_87</t>
  </si>
  <si>
    <t>test_88</t>
  </si>
  <si>
    <t>test_89</t>
  </si>
  <si>
    <t>test_90</t>
  </si>
  <si>
    <t>TEST_73</t>
  </si>
  <si>
    <t>met_a</t>
  </si>
  <si>
    <t>met_b</t>
  </si>
  <si>
    <t>BEST TEST</t>
  </si>
  <si>
    <t>definition</t>
  </si>
  <si>
    <t>examples</t>
  </si>
  <si>
    <t>lemmas</t>
  </si>
  <si>
    <t>met_a_depth</t>
  </si>
  <si>
    <t>met_b_depth</t>
  </si>
  <si>
    <t>lesk</t>
  </si>
  <si>
    <t>lesk_on_n</t>
  </si>
  <si>
    <t>Colonna4</t>
  </si>
  <si>
    <t>symilarity</t>
  </si>
  <si>
    <t>concept.n.01
_x000D_concept.n.01</t>
  </si>
  <si>
    <t>0,118056267
_x000D_0,118056267</t>
  </si>
  <si>
    <t>0,118056267 0,118056267</t>
  </si>
  <si>
    <t>abstraction.n.01
_x000D_rule.n.01</t>
  </si>
  <si>
    <t>0,018219920
_x000D_0,018219920</t>
  </si>
  <si>
    <t>0,018219920 0,018219920</t>
  </si>
  <si>
    <t>state.n.02
_x000D_government.n.01</t>
  </si>
  <si>
    <t>0,060858061
_x000D_0,182574185</t>
  </si>
  <si>
    <t>0,060858061 0,182574185</t>
  </si>
  <si>
    <t>relationship.n.03
_x000D_authoritarian_state.n.01</t>
  </si>
  <si>
    <t>0,013715853
_x000D_0,013715853</t>
  </si>
  <si>
    <t>0,013715853 0,013715853</t>
  </si>
  <si>
    <t>attribute.n.02
_x000D_polity.n.02</t>
  </si>
  <si>
    <t>0,068041381
_x000D_0,0</t>
  </si>
  <si>
    <t>0,068041381 0,0</t>
  </si>
  <si>
    <t>0,016459023
_x000D_0,016459023</t>
  </si>
  <si>
    <t>0,016459023 0,016459023</t>
  </si>
  <si>
    <t>being.n.01
_x000D_being.n.01</t>
  </si>
  <si>
    <t>0,0
_x000D_0,0</t>
  </si>
  <si>
    <t>0,0 0,0</t>
  </si>
  <si>
    <t>animation.n.01
_x000D_eternal_life.n.01</t>
  </si>
  <si>
    <t>0,032878686
_x000D_0,032878686</t>
  </si>
  <si>
    <t>0,032878686 0,032878686</t>
  </si>
  <si>
    <t>facility.n.01
_x000D_facility.n.01</t>
  </si>
  <si>
    <t>0,174963553
_x000D_0,174963553</t>
  </si>
  <si>
    <t>0,174963553 0,174963553</t>
  </si>
  <si>
    <t>air_transportation_system.n.01
_x000D_highway_system.n.01</t>
  </si>
  <si>
    <t>0,021805642
_x000D_0,021805642</t>
  </si>
  <si>
    <t>0,021805642 0,021805642</t>
  </si>
  <si>
    <t>genus_met_a2_sym</t>
  </si>
  <si>
    <t>hypo_met_a2_sym</t>
  </si>
  <si>
    <t>hype_met_b_sym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</si>
</sst>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"/>
  </numFmts>
  <fonts count="5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472C4"/>
        <bgColor rgb="FF4472C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4472C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5" borderId="12" xfId="0" applyFill="1" applyBorder="1" applyAlignment="1">
      <alignment horizontal="center"/>
    </xf>
    <xf numFmtId="0" fontId="1" fillId="10" borderId="11" xfId="0" applyFont="1" applyFill="1" applyBorder="1"/>
    <xf numFmtId="0" fontId="2" fillId="10" borderId="11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11" borderId="0" xfId="0" applyFill="1" applyAlignment="1">
      <alignment horizontal="center" vertical="center"/>
    </xf>
    <xf numFmtId="0" fontId="1" fillId="10" borderId="13" xfId="0" applyFont="1" applyFill="1" applyBorder="1"/>
    <xf numFmtId="0" fontId="1" fillId="10" borderId="14" xfId="0" applyFont="1" applyFill="1" applyBorder="1" applyAlignment="1">
      <alignment horizontal="center"/>
    </xf>
    <xf numFmtId="0" fontId="1" fillId="0" borderId="0" xfId="0" applyFont="1"/>
    <xf numFmtId="0" fontId="0" fillId="12" borderId="0" xfId="0" applyFill="1"/>
    <xf numFmtId="0" fontId="0" fillId="7" borderId="3" xfId="0" applyFill="1" applyBorder="1" applyAlignment="1">
      <alignment horizontal="left" vertical="center" wrapText="1"/>
    </xf>
    <xf numFmtId="0" fontId="0" fillId="7" borderId="6" xfId="0" applyFill="1" applyBorder="1" applyAlignment="1">
      <alignment horizontal="left" vertical="center" wrapText="1"/>
    </xf>
    <xf numFmtId="0" fontId="0" fillId="7" borderId="6" xfId="0" applyFill="1" applyBorder="1" applyAlignment="1">
      <alignment horizontal="left" vertical="center"/>
    </xf>
    <xf numFmtId="0" fontId="0" fillId="7" borderId="9" xfId="0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  <xf numFmtId="164" fontId="0" fillId="0" borderId="0" xfId="0" applyNumberFormat="1" applyAlignment="1">
      <alignment vertical="top" wrapText="1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vertical="top" shrinkToFit="1"/>
    </xf>
    <xf numFmtId="0" fontId="0" fillId="8" borderId="1" xfId="0" applyFill="1" applyBorder="1" applyAlignment="1">
      <alignment horizontal="center" vertical="center"/>
    </xf>
    <xf numFmtId="0" fontId="0" fillId="8" borderId="3" xfId="0" applyFill="1" applyBorder="1" applyAlignment="1">
      <alignment horizontal="right" vertical="center"/>
    </xf>
    <xf numFmtId="0" fontId="0" fillId="8" borderId="6" xfId="0" applyFill="1" applyBorder="1" applyAlignment="1">
      <alignment horizontal="right" vertical="center"/>
    </xf>
    <xf numFmtId="0" fontId="0" fillId="8" borderId="9" xfId="0" applyFill="1" applyBorder="1" applyAlignment="1">
      <alignment horizontal="right" vertical="center"/>
    </xf>
    <xf numFmtId="0" fontId="0" fillId="9" borderId="4" xfId="0" applyFill="1" applyBorder="1" applyAlignment="1">
      <alignment horizontal="right" vertical="center"/>
    </xf>
    <xf numFmtId="0" fontId="0" fillId="9" borderId="7" xfId="0" applyFill="1" applyBorder="1" applyAlignment="1">
      <alignment horizontal="right" vertical="center"/>
    </xf>
    <xf numFmtId="0" fontId="0" fillId="9" borderId="10" xfId="0" applyFill="1" applyBorder="1" applyAlignment="1">
      <alignment horizontal="right" vertic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1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4" fillId="13" borderId="15" xfId="0" applyFont="1" applyFill="1" applyBorder="1" applyAlignment="1">
      <alignment vertical="top" wrapText="1"/>
    </xf>
    <xf numFmtId="0" fontId="0" fillId="0" borderId="0" xfId="0" applyAlignment="1">
      <alignment vertical="center" shrinkToFit="1"/>
    </xf>
  </cellXfs>
  <cellStyles count="1">
    <cellStyle name="Normale" xfId="0" builtinId="0"/>
  </cellStyles>
  <dxfs count="23">
    <dxf>
      <alignment horizontal="general" vertical="center" textRotation="0" wrapText="0" indent="0" justifyLastLine="0" shrinkToFit="1" readingOrder="0"/>
    </dxf>
    <dxf>
      <alignment horizontal="general" vertical="center" textRotation="0" wrapText="1" indent="0" justifyLastLine="0" shrinkToFit="0" readingOrder="0"/>
    </dxf>
    <dxf>
      <numFmt numFmtId="164" formatCode="0.000000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979867-5B53-9F4C-A944-828065649D3B}" name="Tabella1" displayName="Tabella1" ref="A1:U10" totalsRowShown="0" headerRowDxfId="22" dataDxfId="1">
  <autoFilter ref="A1:U10" xr:uid="{B2D09A11-1C0B-7342-9B91-50019EB9845F}"/>
  <tableColumns count="21">
    <tableColumn id="1" xr3:uid="{4B140DCF-39F1-C044-A650-BE5C83BF9536}" name="test_id" dataDxfId="21"/>
    <tableColumn id="2" xr3:uid="{6B160DD1-DD54-184B-90DA-47EBF897FCE3}" name="genus_tags" dataDxfId="20">
      <calculatedColumnFormula>VLOOKUP(Tabella1[[#This Row],[test_id]],experiments_specs!A:J,2,FALSE)</calculatedColumnFormula>
    </tableColumn>
    <tableColumn id="3" xr3:uid="{B26E9C8A-9F7E-324E-8EAC-7077531F3492}" name="genus_hypo_depth" dataDxfId="19">
      <calculatedColumnFormula>VLOOKUP(Tabella1[[#This Row],[test_id]],experiments_specs!A:J,3,FALSE)</calculatedColumnFormula>
    </tableColumn>
    <tableColumn id="4" xr3:uid="{5EA56011-EE6D-5D48-B913-8B4E542C917D}" name="genus_hyper_hypo_depth" dataDxfId="18">
      <calculatedColumnFormula>VLOOKUP(Tabella1[[#This Row],[test_id]],experiments_specs!A:J,4,FALSE)</calculatedColumnFormula>
    </tableColumn>
    <tableColumn id="5" xr3:uid="{3A70B891-8CE3-7B43-8F5D-6843A59D4944}" name="lesk_on_genus" dataDxfId="17">
      <calculatedColumnFormula>VLOOKUP(Tabella1[[#This Row],[test_id]],experiments_specs!A:J,5,FALSE)</calculatedColumnFormula>
    </tableColumn>
    <tableColumn id="6" xr3:uid="{F62A712B-565E-8844-A4A1-A9AD00585391}" name="definition_similarity" dataDxfId="16">
      <calculatedColumnFormula>VLOOKUP(Tabella1[[#This Row],[test_id]],experiments_specs!A:J,6,FALSE)</calculatedColumnFormula>
    </tableColumn>
    <tableColumn id="7" xr3:uid="{77D743F9-5DD6-9C47-B75D-323891FC6613}" name="examples_similarity" dataDxfId="15">
      <calculatedColumnFormula>VLOOKUP(Tabella1[[#This Row],[test_id]],experiments_specs!A:J,7,FALSE)</calculatedColumnFormula>
    </tableColumn>
    <tableColumn id="8" xr3:uid="{AF6677BC-F922-E14A-9B13-F62D5A385D58}" name="lemmas_similarity" dataDxfId="14">
      <calculatedColumnFormula>VLOOKUP(Tabella1[[#This Row],[test_id]],experiments_specs!A:J,8,FALSE)</calculatedColumnFormula>
    </tableColumn>
    <tableColumn id="9" xr3:uid="{0B594DC0-56E0-BB49-9617-CFAD50EFE3C6}" name="score_type" dataDxfId="13">
      <calculatedColumnFormula>VLOOKUP(Tabella1[[#This Row],[test_id]],experiments_specs!A:J,9,FALSE)</calculatedColumnFormula>
    </tableColumn>
    <tableColumn id="10" xr3:uid="{4BACF42C-33B4-9A4A-B277-A666E38B9365}" name="lesk_only_n" dataDxfId="12">
      <calculatedColumnFormula>VLOOKUP(Tabella1[[#This Row],[test_id]],experiments_specs!A:J,10,FALSE)</calculatedColumnFormula>
    </tableColumn>
    <tableColumn id="11" xr3:uid="{B375A257-58BE-A544-82CF-089A40DC6A50}" name="target" dataDxfId="0"/>
    <tableColumn id="12" xr3:uid="{5EE819B0-448D-6140-8018-F2E4708692A4}" name="genus_met_a" dataDxfId="11"/>
    <tableColumn id="18" xr3:uid="{E3834100-209A-D74B-AF78-71130A8059B0}" name="genus_met_a2_sym" dataDxfId="10"/>
    <tableColumn id="13" xr3:uid="{E22B3B13-13F0-794E-B5BB-097001FE788B}" name="hypo_met_a" dataDxfId="9"/>
    <tableColumn id="19" xr3:uid="{401E093A-3BE6-8B4F-A0CA-240BF2BE0246}" name="hypo_met_a2_sym" dataDxfId="8"/>
    <tableColumn id="14" xr3:uid="{7F05D52A-ACB7-DE4F-9401-5CF9D482290D}" name="score_met_a" dataDxfId="7"/>
    <tableColumn id="15" xr3:uid="{FBD10BBC-F6B9-A44C-9031-992921C4BCF6}" name="hype_met_b" dataDxfId="6"/>
    <tableColumn id="20" xr3:uid="{327E76EE-335A-BB41-8AA2-EA121D00A1ED}" name="hype_met_b_sym" dataDxfId="5"/>
    <tableColumn id="16" xr3:uid="{6C79431A-E027-F340-9F42-C25DE38F3640}" name="hypo_met_b" dataDxfId="4"/>
    <tableColumn id="21" xr3:uid="{A6D78113-8859-F440-A23A-70075554AC9D}" name="Colonna4" dataDxfId="3"/>
    <tableColumn id="17" xr3:uid="{07719745-F828-8E49-A057-8832BB365244}" name="score_met_b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494C0-0C14-3846-ACDB-64C9B1276165}">
  <sheetPr codeName="Foglio1"/>
  <dimension ref="B2:BE70"/>
  <sheetViews>
    <sheetView tabSelected="1" topLeftCell="A3" workbookViewId="0">
      <selection activeCell="AJ60" sqref="AJ60:AJ69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8" width="25.83203125" customWidth="1"/>
    <col min="9" max="9" width="11.83203125" customWidth="1"/>
    <col min="10" max="10" width="25.83203125" customWidth="1"/>
    <col min="11" max="11" width="11.83203125" customWidth="1"/>
    <col min="12" max="12" width="12.1640625" bestFit="1" customWidth="1"/>
    <col min="13" max="13" width="25.83203125" customWidth="1"/>
    <col min="14" max="14" width="11.83203125" customWidth="1"/>
    <col min="15" max="15" width="25.83203125" customWidth="1"/>
    <col min="16" max="16" width="11.83203125" customWidth="1"/>
    <col min="17" max="17" width="12.1640625" bestFit="1" customWidth="1"/>
    <col min="18" max="22" width="3.1640625" customWidth="1"/>
    <col min="23" max="23" width="22.33203125" bestFit="1" customWidth="1"/>
    <col min="24" max="24" width="24.5" customWidth="1"/>
    <col min="25" max="25" width="1.83203125" customWidth="1"/>
    <col min="26" max="26" width="24.1640625" bestFit="1" customWidth="1"/>
    <col min="27" max="27" width="25.83203125" customWidth="1"/>
    <col min="28" max="28" width="11.83203125" customWidth="1"/>
    <col min="29" max="29" width="25.83203125" customWidth="1"/>
    <col min="30" max="30" width="11.83203125" customWidth="1"/>
    <col min="31" max="31" width="12.1640625" bestFit="1" customWidth="1"/>
    <col min="32" max="32" width="25.83203125" customWidth="1"/>
    <col min="33" max="33" width="11.83203125" customWidth="1"/>
    <col min="34" max="34" width="25.83203125" customWidth="1"/>
    <col min="35" max="35" width="11.83203125" customWidth="1"/>
    <col min="36" max="36" width="12.1640625" bestFit="1" customWidth="1"/>
    <col min="37" max="41" width="3.1640625" customWidth="1"/>
    <col min="42" max="42" width="22.33203125" bestFit="1" customWidth="1"/>
    <col min="43" max="43" width="29" bestFit="1" customWidth="1"/>
    <col min="44" max="44" width="1.83203125" customWidth="1"/>
    <col min="45" max="45" width="24.1640625" bestFit="1" customWidth="1"/>
    <col min="46" max="46" width="25.83203125" customWidth="1"/>
    <col min="47" max="47" width="11.83203125" customWidth="1"/>
    <col min="48" max="48" width="25.83203125" customWidth="1"/>
    <col min="49" max="49" width="11.83203125" customWidth="1"/>
    <col min="50" max="50" width="12.1640625" bestFit="1" customWidth="1"/>
    <col min="51" max="51" width="25.83203125" customWidth="1"/>
    <col min="52" max="52" width="11.83203125" customWidth="1"/>
    <col min="53" max="53" width="25.83203125" customWidth="1"/>
    <col min="54" max="54" width="11.83203125" customWidth="1"/>
    <col min="55" max="55" width="12.1640625" bestFit="1" customWidth="1"/>
    <col min="56" max="57" width="3.1640625" customWidth="1"/>
  </cols>
  <sheetData>
    <row r="2" spans="2:57" ht="19" x14ac:dyDescent="0.25">
      <c r="B2" s="16"/>
      <c r="C2" s="16"/>
      <c r="D2" s="38" t="s">
        <v>127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16"/>
      <c r="S2" s="16"/>
      <c r="U2" s="16"/>
      <c r="V2" s="16"/>
      <c r="W2" s="38" t="s">
        <v>128</v>
      </c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16"/>
      <c r="AL2" s="16"/>
      <c r="AN2" s="16"/>
      <c r="AO2" s="16"/>
      <c r="AP2" s="38" t="s">
        <v>129</v>
      </c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16"/>
      <c r="BE2" s="16"/>
    </row>
    <row r="3" spans="2:57" ht="17" thickBot="1" x14ac:dyDescent="0.25">
      <c r="B3" s="16"/>
      <c r="S3" s="16"/>
      <c r="U3" s="16"/>
      <c r="AL3" s="16"/>
      <c r="AN3" s="16"/>
      <c r="BE3" s="16"/>
    </row>
    <row r="4" spans="2:57" ht="20" thickBot="1" x14ac:dyDescent="0.3">
      <c r="B4" s="16"/>
      <c r="D4" s="13" t="s">
        <v>126</v>
      </c>
      <c r="E4" s="14"/>
      <c r="F4" s="9"/>
      <c r="G4" s="10" t="s">
        <v>125</v>
      </c>
      <c r="H4" s="36" t="s">
        <v>124</v>
      </c>
      <c r="I4" s="36"/>
      <c r="J4" s="36"/>
      <c r="K4" s="36"/>
      <c r="L4" s="36"/>
      <c r="M4" s="37" t="s">
        <v>123</v>
      </c>
      <c r="N4" s="37"/>
      <c r="O4" s="37"/>
      <c r="P4" s="37"/>
      <c r="Q4" s="37"/>
      <c r="R4" s="2"/>
      <c r="S4" s="16"/>
      <c r="U4" s="16"/>
      <c r="W4" s="13" t="s">
        <v>126</v>
      </c>
      <c r="X4" s="14"/>
      <c r="Y4" s="9"/>
      <c r="Z4" s="10" t="str">
        <f>"TEST_"&amp;TEXT(RIGHT(G59,2)+1, "00")</f>
        <v>TEST_07</v>
      </c>
      <c r="AA4" s="36" t="s">
        <v>124</v>
      </c>
      <c r="AB4" s="36"/>
      <c r="AC4" s="36"/>
      <c r="AD4" s="36"/>
      <c r="AE4" s="36"/>
      <c r="AF4" s="37" t="s">
        <v>123</v>
      </c>
      <c r="AG4" s="37"/>
      <c r="AH4" s="37"/>
      <c r="AI4" s="37"/>
      <c r="AJ4" s="37"/>
      <c r="AK4" s="2"/>
      <c r="AL4" s="16"/>
      <c r="AN4" s="16"/>
      <c r="AP4" s="13" t="s">
        <v>126</v>
      </c>
      <c r="AQ4" s="14"/>
      <c r="AR4" s="9"/>
      <c r="AS4" s="10" t="str">
        <f>"TEST_"&amp;TEXT(RIGHT(Z59,2)+1, "00")</f>
        <v>TEST_13</v>
      </c>
      <c r="AT4" s="36" t="s">
        <v>124</v>
      </c>
      <c r="AU4" s="36"/>
      <c r="AV4" s="36"/>
      <c r="AW4" s="36"/>
      <c r="AX4" s="36"/>
      <c r="AY4" s="37" t="s">
        <v>123</v>
      </c>
      <c r="AZ4" s="37"/>
      <c r="BA4" s="37"/>
      <c r="BB4" s="37"/>
      <c r="BC4" s="37"/>
      <c r="BD4" s="2"/>
      <c r="BE4" s="16"/>
    </row>
    <row r="5" spans="2:57" x14ac:dyDescent="0.2">
      <c r="B5" s="16"/>
      <c r="D5" s="11" t="s">
        <v>1</v>
      </c>
      <c r="E5" s="12" t="str">
        <f>VLOOKUP(LOWER(G4),experiments_specs!$A:$J,2,FALSE)</f>
        <v>NN</v>
      </c>
      <c r="F5" s="15" t="str">
        <f>"{"&amp;LOWER(G4)&amp;".csv}"</f>
        <v>{test_01.csv}</v>
      </c>
      <c r="G5" s="8" t="s">
        <v>118</v>
      </c>
      <c r="H5" s="3" t="s">
        <v>119</v>
      </c>
      <c r="I5" s="3" t="s">
        <v>182</v>
      </c>
      <c r="J5" s="3" t="s">
        <v>120</v>
      </c>
      <c r="K5" s="3" t="s">
        <v>182</v>
      </c>
      <c r="L5" s="29" t="s">
        <v>121</v>
      </c>
      <c r="M5" s="4" t="s">
        <v>122</v>
      </c>
      <c r="N5" s="4" t="s">
        <v>182</v>
      </c>
      <c r="O5" s="4" t="s">
        <v>120</v>
      </c>
      <c r="P5" s="4" t="s">
        <v>182</v>
      </c>
      <c r="Q5" s="4" t="s">
        <v>121</v>
      </c>
      <c r="S5" s="16"/>
      <c r="U5" s="16"/>
      <c r="W5" s="11" t="s">
        <v>1</v>
      </c>
      <c r="X5" s="12" t="str">
        <f>VLOOKUP(LOWER(Z4),experiments_specs!$A:$J,2,FALSE)</f>
        <v>NN</v>
      </c>
      <c r="Y5" s="15" t="str">
        <f>"{"&amp;LOWER(Z4)&amp;".csv}"</f>
        <v>{test_07.csv}</v>
      </c>
      <c r="Z5" s="8" t="s">
        <v>118</v>
      </c>
      <c r="AA5" s="3" t="s">
        <v>119</v>
      </c>
      <c r="AB5" s="3" t="s">
        <v>182</v>
      </c>
      <c r="AC5" s="3" t="s">
        <v>120</v>
      </c>
      <c r="AD5" s="3" t="s">
        <v>182</v>
      </c>
      <c r="AE5" s="3" t="s">
        <v>121</v>
      </c>
      <c r="AF5" s="4" t="s">
        <v>122</v>
      </c>
      <c r="AG5" s="4" t="s">
        <v>182</v>
      </c>
      <c r="AH5" s="4" t="s">
        <v>120</v>
      </c>
      <c r="AI5" s="4" t="s">
        <v>182</v>
      </c>
      <c r="AJ5" s="4" t="s">
        <v>121</v>
      </c>
      <c r="AL5" s="16"/>
      <c r="AN5" s="16"/>
      <c r="AP5" s="11" t="s">
        <v>1</v>
      </c>
      <c r="AQ5" s="12" t="str">
        <f>VLOOKUP(LOWER(AS4),experiments_specs!$A:$J,2,FALSE)</f>
        <v>NN</v>
      </c>
      <c r="AR5" s="15" t="str">
        <f>"{"&amp;LOWER(AS4)&amp;".csv}"</f>
        <v>{test_13.csv}</v>
      </c>
      <c r="AS5" s="8" t="s">
        <v>118</v>
      </c>
      <c r="AT5" s="3" t="s">
        <v>119</v>
      </c>
      <c r="AU5" s="3" t="s">
        <v>182</v>
      </c>
      <c r="AV5" s="3" t="s">
        <v>120</v>
      </c>
      <c r="AW5" s="3" t="s">
        <v>182</v>
      </c>
      <c r="AX5" s="3" t="s">
        <v>121</v>
      </c>
      <c r="AY5" s="4" t="s">
        <v>122</v>
      </c>
      <c r="AZ5" s="4" t="s">
        <v>182</v>
      </c>
      <c r="BA5" s="4" t="s">
        <v>120</v>
      </c>
      <c r="BB5" s="4" t="s">
        <v>182</v>
      </c>
      <c r="BC5" s="4" t="s">
        <v>121</v>
      </c>
      <c r="BE5" s="16"/>
    </row>
    <row r="6" spans="2:57" x14ac:dyDescent="0.2">
      <c r="B6" s="16"/>
      <c r="D6" s="11" t="s">
        <v>2</v>
      </c>
      <c r="E6" s="12">
        <f>VLOOKUP(LOWER(G4),experiments_specs!$A:$J,3,FALSE)</f>
        <v>1</v>
      </c>
      <c r="F6" s="15" t="s">
        <v>10</v>
      </c>
      <c r="G6" s="5"/>
      <c r="H6" s="17"/>
      <c r="I6" s="17"/>
      <c r="J6" s="17"/>
      <c r="K6" s="17"/>
      <c r="L6" s="30"/>
      <c r="M6" s="21"/>
      <c r="N6" s="21"/>
      <c r="O6" s="21"/>
      <c r="P6" s="21"/>
      <c r="Q6" s="33"/>
      <c r="S6" s="16"/>
      <c r="U6" s="16"/>
      <c r="W6" s="11" t="s">
        <v>2</v>
      </c>
      <c r="X6" s="12">
        <f>VLOOKUP(LOWER(Z4),experiments_specs!$A:$J,3,FALSE)</f>
        <v>1</v>
      </c>
      <c r="Y6" s="15" t="s">
        <v>70</v>
      </c>
      <c r="Z6" s="5" t="s">
        <v>19</v>
      </c>
      <c r="AA6" s="17"/>
      <c r="AB6" s="17"/>
      <c r="AC6" s="17"/>
      <c r="AD6" s="17"/>
      <c r="AE6" s="30"/>
      <c r="AF6" s="21"/>
      <c r="AG6" s="21"/>
      <c r="AH6" s="21"/>
      <c r="AI6" s="21"/>
      <c r="AJ6" s="33"/>
      <c r="AL6" s="16"/>
      <c r="AN6" s="16"/>
      <c r="AP6" s="11" t="s">
        <v>2</v>
      </c>
      <c r="AQ6" s="12">
        <f>VLOOKUP(LOWER(AS4),experiments_specs!$A:$J,3,FALSE)</f>
        <v>1</v>
      </c>
      <c r="AR6" s="15" t="s">
        <v>76</v>
      </c>
      <c r="AS6" s="5"/>
      <c r="AT6" s="17"/>
      <c r="AU6" s="17"/>
      <c r="AV6" s="17"/>
      <c r="AW6" s="17"/>
      <c r="AX6" s="30"/>
      <c r="AY6" s="21"/>
      <c r="AZ6" s="21"/>
      <c r="BA6" s="21"/>
      <c r="BB6" s="21"/>
      <c r="BC6" s="33"/>
      <c r="BE6" s="16"/>
    </row>
    <row r="7" spans="2:57" x14ac:dyDescent="0.2">
      <c r="B7" s="16"/>
      <c r="D7" s="11" t="s">
        <v>3</v>
      </c>
      <c r="E7" s="12">
        <f>VLOOKUP(LOWER(G4),experiments_specs!$A:$J,4,FALSE)</f>
        <v>2</v>
      </c>
      <c r="F7" s="15" t="s">
        <v>10</v>
      </c>
      <c r="G7" s="6"/>
      <c r="H7" s="19"/>
      <c r="I7" s="19"/>
      <c r="J7" s="19"/>
      <c r="K7" s="19"/>
      <c r="L7" s="31"/>
      <c r="M7" s="22"/>
      <c r="N7" s="22"/>
      <c r="O7" s="22"/>
      <c r="P7" s="22"/>
      <c r="Q7" s="34"/>
      <c r="S7" s="16"/>
      <c r="U7" s="16"/>
      <c r="W7" s="11" t="s">
        <v>3</v>
      </c>
      <c r="X7" s="12">
        <f>VLOOKUP(LOWER(Z4),experiments_specs!$A:$J,4,FALSE)</f>
        <v>2</v>
      </c>
      <c r="Y7" s="15" t="s">
        <v>70</v>
      </c>
      <c r="Z7" s="6" t="s">
        <v>12</v>
      </c>
      <c r="AA7" s="19"/>
      <c r="AB7" s="19"/>
      <c r="AC7" s="19"/>
      <c r="AD7" s="19"/>
      <c r="AE7" s="31"/>
      <c r="AF7" s="22"/>
      <c r="AG7" s="22"/>
      <c r="AH7" s="22"/>
      <c r="AI7" s="22"/>
      <c r="AJ7" s="34"/>
      <c r="AL7" s="16"/>
      <c r="AN7" s="16"/>
      <c r="AP7" s="11" t="s">
        <v>3</v>
      </c>
      <c r="AQ7" s="12">
        <f>VLOOKUP(LOWER(AS4),experiments_specs!$A:$J,4,FALSE)</f>
        <v>2</v>
      </c>
      <c r="AR7" s="15" t="s">
        <v>76</v>
      </c>
      <c r="AS7" s="6"/>
      <c r="AT7" s="19"/>
      <c r="AU7" s="19"/>
      <c r="AV7" s="19"/>
      <c r="AW7" s="19"/>
      <c r="AX7" s="31"/>
      <c r="AY7" s="22"/>
      <c r="AZ7" s="22"/>
      <c r="BA7" s="22"/>
      <c r="BB7" s="22"/>
      <c r="BC7" s="34"/>
      <c r="BE7" s="16"/>
    </row>
    <row r="8" spans="2:57" x14ac:dyDescent="0.2">
      <c r="B8" s="16"/>
      <c r="D8" s="11" t="s">
        <v>4</v>
      </c>
      <c r="E8" s="12" t="str">
        <f>VLOOKUP(LOWER(G4),experiments_specs!$A:$J,5,FALSE)</f>
        <v>False</v>
      </c>
      <c r="F8" s="15" t="s">
        <v>10</v>
      </c>
      <c r="G8" s="6"/>
      <c r="H8" s="19"/>
      <c r="I8" s="19"/>
      <c r="J8" s="19"/>
      <c r="K8" s="19"/>
      <c r="L8" s="31"/>
      <c r="M8" s="22"/>
      <c r="N8" s="22"/>
      <c r="O8" s="22"/>
      <c r="P8" s="22"/>
      <c r="Q8" s="34"/>
      <c r="S8" s="16"/>
      <c r="U8" s="16"/>
      <c r="W8" s="11" t="s">
        <v>4</v>
      </c>
      <c r="X8" s="12" t="str">
        <f>VLOOKUP(LOWER(Z4),experiments_specs!$A:$J,5,FALSE)</f>
        <v>True</v>
      </c>
      <c r="Y8" s="15" t="s">
        <v>70</v>
      </c>
      <c r="Z8" s="6" t="s">
        <v>13</v>
      </c>
      <c r="AA8" s="19"/>
      <c r="AB8" s="19"/>
      <c r="AC8" s="19"/>
      <c r="AD8" s="19"/>
      <c r="AE8" s="31"/>
      <c r="AF8" s="22"/>
      <c r="AG8" s="22"/>
      <c r="AH8" s="22"/>
      <c r="AI8" s="22"/>
      <c r="AJ8" s="34"/>
      <c r="AL8" s="16"/>
      <c r="AN8" s="16"/>
      <c r="AP8" s="11" t="s">
        <v>4</v>
      </c>
      <c r="AQ8" s="12" t="str">
        <f>VLOOKUP(LOWER(AS4),experiments_specs!$A:$J,5,FALSE)</f>
        <v>False</v>
      </c>
      <c r="AR8" s="15" t="s">
        <v>76</v>
      </c>
      <c r="AS8" s="6"/>
      <c r="AT8" s="19"/>
      <c r="AU8" s="19"/>
      <c r="AV8" s="19"/>
      <c r="AW8" s="19"/>
      <c r="AX8" s="31"/>
      <c r="AY8" s="22"/>
      <c r="AZ8" s="22"/>
      <c r="BA8" s="22"/>
      <c r="BB8" s="22"/>
      <c r="BC8" s="34"/>
      <c r="BE8" s="16"/>
    </row>
    <row r="9" spans="2:57" x14ac:dyDescent="0.2">
      <c r="B9" s="16"/>
      <c r="D9" s="11" t="s">
        <v>5</v>
      </c>
      <c r="E9" s="12" t="str">
        <f>VLOOKUP(LOWER(G4),experiments_specs!$A:$J,6,FALSE)</f>
        <v>True</v>
      </c>
      <c r="F9" s="15" t="s">
        <v>10</v>
      </c>
      <c r="G9" s="6"/>
      <c r="H9" s="19"/>
      <c r="I9" s="19"/>
      <c r="J9" s="19"/>
      <c r="K9" s="19"/>
      <c r="L9" s="31"/>
      <c r="M9" s="22"/>
      <c r="N9" s="22"/>
      <c r="O9" s="22"/>
      <c r="P9" s="22"/>
      <c r="Q9" s="34"/>
      <c r="S9" s="16"/>
      <c r="U9" s="16"/>
      <c r="W9" s="11" t="s">
        <v>5</v>
      </c>
      <c r="X9" s="12" t="str">
        <f>VLOOKUP(LOWER(Z4),experiments_specs!$A:$J,6,FALSE)</f>
        <v>True</v>
      </c>
      <c r="Y9" s="15" t="s">
        <v>70</v>
      </c>
      <c r="Z9" s="6" t="s">
        <v>14</v>
      </c>
      <c r="AA9" s="19"/>
      <c r="AB9" s="19"/>
      <c r="AC9" s="19"/>
      <c r="AD9" s="19"/>
      <c r="AE9" s="31"/>
      <c r="AF9" s="22"/>
      <c r="AG9" s="22"/>
      <c r="AH9" s="22"/>
      <c r="AI9" s="22"/>
      <c r="AJ9" s="34"/>
      <c r="AL9" s="16"/>
      <c r="AN9" s="16"/>
      <c r="AP9" s="11" t="s">
        <v>5</v>
      </c>
      <c r="AQ9" s="12" t="str">
        <f>VLOOKUP(LOWER(AS4),experiments_specs!$A:$J,6,FALSE)</f>
        <v>True</v>
      </c>
      <c r="AR9" s="15" t="s">
        <v>76</v>
      </c>
      <c r="AS9" s="6"/>
      <c r="AT9" s="19"/>
      <c r="AU9" s="19"/>
      <c r="AV9" s="19"/>
      <c r="AW9" s="19"/>
      <c r="AX9" s="31"/>
      <c r="AY9" s="22"/>
      <c r="AZ9" s="22"/>
      <c r="BA9" s="22"/>
      <c r="BB9" s="22"/>
      <c r="BC9" s="34"/>
      <c r="BE9" s="16"/>
    </row>
    <row r="10" spans="2:57" x14ac:dyDescent="0.2">
      <c r="B10" s="16"/>
      <c r="D10" s="11" t="s">
        <v>6</v>
      </c>
      <c r="E10" s="12" t="str">
        <f>VLOOKUP(LOWER(G4),experiments_specs!$A:$J,7,FALSE)</f>
        <v>False</v>
      </c>
      <c r="F10" s="15" t="s">
        <v>10</v>
      </c>
      <c r="G10" s="6"/>
      <c r="H10" s="19"/>
      <c r="I10" s="19"/>
      <c r="J10" s="19"/>
      <c r="K10" s="19"/>
      <c r="L10" s="31"/>
      <c r="M10" s="23"/>
      <c r="N10" s="23"/>
      <c r="O10" s="23"/>
      <c r="P10" s="23"/>
      <c r="Q10" s="34"/>
      <c r="S10" s="16"/>
      <c r="U10" s="16"/>
      <c r="W10" s="11" t="s">
        <v>6</v>
      </c>
      <c r="X10" s="12" t="str">
        <f>VLOOKUP(LOWER(Z4),experiments_specs!$A:$J,7,FALSE)</f>
        <v>False</v>
      </c>
      <c r="Y10" s="15" t="s">
        <v>70</v>
      </c>
      <c r="Z10" s="6" t="s">
        <v>15</v>
      </c>
      <c r="AA10" s="19"/>
      <c r="AB10" s="19"/>
      <c r="AC10" s="19"/>
      <c r="AD10" s="19"/>
      <c r="AE10" s="31"/>
      <c r="AF10" s="23"/>
      <c r="AG10" s="23"/>
      <c r="AH10" s="23"/>
      <c r="AI10" s="23"/>
      <c r="AJ10" s="34"/>
      <c r="AL10" s="16"/>
      <c r="AN10" s="16"/>
      <c r="AP10" s="11" t="s">
        <v>6</v>
      </c>
      <c r="AQ10" s="12" t="str">
        <f>VLOOKUP(LOWER(AS4),experiments_specs!$A:$J,7,FALSE)</f>
        <v>False</v>
      </c>
      <c r="AR10" s="15" t="s">
        <v>76</v>
      </c>
      <c r="AS10" s="6"/>
      <c r="AT10" s="19"/>
      <c r="AU10" s="19"/>
      <c r="AV10" s="19"/>
      <c r="AW10" s="19"/>
      <c r="AX10" s="31"/>
      <c r="AY10" s="23"/>
      <c r="AZ10" s="23"/>
      <c r="BA10" s="23"/>
      <c r="BB10" s="23"/>
      <c r="BC10" s="34"/>
      <c r="BE10" s="16"/>
    </row>
    <row r="11" spans="2:57" x14ac:dyDescent="0.2">
      <c r="B11" s="16"/>
      <c r="D11" s="11" t="s">
        <v>7</v>
      </c>
      <c r="E11" s="12" t="str">
        <f>VLOOKUP(LOWER(G4),experiments_specs!$A:$J,8,FALSE)</f>
        <v>False</v>
      </c>
      <c r="F11" s="15" t="s">
        <v>10</v>
      </c>
      <c r="G11" s="6"/>
      <c r="H11" s="19"/>
      <c r="I11" s="19"/>
      <c r="J11" s="19"/>
      <c r="K11" s="19"/>
      <c r="L11" s="31"/>
      <c r="M11" s="23"/>
      <c r="N11" s="23"/>
      <c r="O11" s="23"/>
      <c r="P11" s="23"/>
      <c r="Q11" s="34"/>
      <c r="S11" s="16"/>
      <c r="U11" s="16"/>
      <c r="W11" s="11" t="s">
        <v>7</v>
      </c>
      <c r="X11" s="12" t="str">
        <f>VLOOKUP(LOWER(Z4),experiments_specs!$A:$J,8,FALSE)</f>
        <v>False</v>
      </c>
      <c r="Y11" s="15" t="s">
        <v>70</v>
      </c>
      <c r="Z11" s="6" t="s">
        <v>16</v>
      </c>
      <c r="AA11" s="19"/>
      <c r="AB11" s="19"/>
      <c r="AC11" s="19"/>
      <c r="AD11" s="19"/>
      <c r="AE11" s="31"/>
      <c r="AF11" s="23"/>
      <c r="AG11" s="23"/>
      <c r="AH11" s="23"/>
      <c r="AI11" s="23"/>
      <c r="AJ11" s="34"/>
      <c r="AL11" s="16"/>
      <c r="AN11" s="16"/>
      <c r="AP11" s="11" t="s">
        <v>7</v>
      </c>
      <c r="AQ11" s="12" t="str">
        <f>VLOOKUP(LOWER(AS4),experiments_specs!$A:$J,8,FALSE)</f>
        <v>False</v>
      </c>
      <c r="AR11" s="15" t="s">
        <v>76</v>
      </c>
      <c r="AS11" s="6"/>
      <c r="AT11" s="19"/>
      <c r="AU11" s="19"/>
      <c r="AV11" s="19"/>
      <c r="AW11" s="19"/>
      <c r="AX11" s="31"/>
      <c r="AY11" s="23"/>
      <c r="AZ11" s="23"/>
      <c r="BA11" s="23"/>
      <c r="BB11" s="23"/>
      <c r="BC11" s="34"/>
      <c r="BE11" s="16"/>
    </row>
    <row r="12" spans="2:57" x14ac:dyDescent="0.2">
      <c r="B12" s="16"/>
      <c r="D12" s="11" t="s">
        <v>8</v>
      </c>
      <c r="E12" s="12" t="str">
        <f>VLOOKUP(LOWER(G4),experiments_specs!$A:$J,9,FALSE)</f>
        <v>wup_similarity</v>
      </c>
      <c r="F12" s="15" t="s">
        <v>10</v>
      </c>
      <c r="G12" s="6"/>
      <c r="H12" s="19"/>
      <c r="I12" s="19"/>
      <c r="J12" s="19"/>
      <c r="K12" s="19"/>
      <c r="L12" s="31"/>
      <c r="M12" s="22"/>
      <c r="N12" s="22"/>
      <c r="O12" s="22"/>
      <c r="P12" s="22"/>
      <c r="Q12" s="34"/>
      <c r="S12" s="16"/>
      <c r="U12" s="16"/>
      <c r="W12" s="11" t="s">
        <v>8</v>
      </c>
      <c r="X12" s="12" t="str">
        <f>VLOOKUP(LOWER(Z4),experiments_specs!$A:$J,9,FALSE)</f>
        <v>wup_similarity</v>
      </c>
      <c r="Y12" s="15" t="s">
        <v>70</v>
      </c>
      <c r="Z12" s="6" t="s">
        <v>17</v>
      </c>
      <c r="AA12" s="19"/>
      <c r="AB12" s="19"/>
      <c r="AC12" s="19"/>
      <c r="AD12" s="19"/>
      <c r="AE12" s="31"/>
      <c r="AF12" s="22"/>
      <c r="AG12" s="22"/>
      <c r="AH12" s="22"/>
      <c r="AI12" s="22"/>
      <c r="AJ12" s="34"/>
      <c r="AL12" s="16"/>
      <c r="AN12" s="16"/>
      <c r="AP12" s="11" t="s">
        <v>8</v>
      </c>
      <c r="AQ12" s="12" t="str">
        <f>VLOOKUP(LOWER(AS4),experiments_specs!$A:$J,9,FALSE)</f>
        <v>wup_similarity</v>
      </c>
      <c r="AR12" s="15" t="s">
        <v>76</v>
      </c>
      <c r="AS12" s="6"/>
      <c r="AT12" s="19"/>
      <c r="AU12" s="19"/>
      <c r="AV12" s="19"/>
      <c r="AW12" s="19"/>
      <c r="AX12" s="31"/>
      <c r="AY12" s="22"/>
      <c r="AZ12" s="22"/>
      <c r="BA12" s="22"/>
      <c r="BB12" s="22"/>
      <c r="BC12" s="34"/>
      <c r="BE12" s="16"/>
    </row>
    <row r="13" spans="2:57" x14ac:dyDescent="0.2">
      <c r="B13" s="16"/>
      <c r="D13" s="11" t="s">
        <v>9</v>
      </c>
      <c r="E13" s="12" t="str">
        <f>VLOOKUP(LOWER(G4),experiments_specs!$A:$J,10,FALSE)</f>
        <v>False</v>
      </c>
      <c r="F13" s="15" t="s">
        <v>10</v>
      </c>
      <c r="G13" s="7"/>
      <c r="H13" s="20"/>
      <c r="I13" s="20"/>
      <c r="J13" s="20"/>
      <c r="K13" s="20"/>
      <c r="L13" s="32"/>
      <c r="M13" s="24"/>
      <c r="N13" s="24"/>
      <c r="O13" s="24"/>
      <c r="P13" s="24"/>
      <c r="Q13" s="35"/>
      <c r="S13" s="16"/>
      <c r="U13" s="16"/>
      <c r="W13" s="11" t="s">
        <v>9</v>
      </c>
      <c r="X13" s="12" t="str">
        <f>VLOOKUP(LOWER(Z4),experiments_specs!$A:$J,10,FALSE)</f>
        <v>False</v>
      </c>
      <c r="Y13" s="15" t="s">
        <v>70</v>
      </c>
      <c r="Z13" s="7" t="s">
        <v>18</v>
      </c>
      <c r="AA13" s="20"/>
      <c r="AB13" s="20"/>
      <c r="AC13" s="20"/>
      <c r="AD13" s="20"/>
      <c r="AE13" s="32"/>
      <c r="AF13" s="24"/>
      <c r="AG13" s="24"/>
      <c r="AH13" s="24"/>
      <c r="AI13" s="24"/>
      <c r="AJ13" s="35"/>
      <c r="AL13" s="16"/>
      <c r="AN13" s="16"/>
      <c r="AP13" s="11" t="s">
        <v>9</v>
      </c>
      <c r="AQ13" s="12" t="str">
        <f>VLOOKUP(LOWER(AS4),experiments_specs!$A:$J,10,FALSE)</f>
        <v>True</v>
      </c>
      <c r="AR13" s="15" t="s">
        <v>76</v>
      </c>
      <c r="AS13" s="7"/>
      <c r="AT13" s="20"/>
      <c r="AU13" s="20"/>
      <c r="AV13" s="20"/>
      <c r="AW13" s="20"/>
      <c r="AX13" s="32"/>
      <c r="AY13" s="24"/>
      <c r="AZ13" s="24"/>
      <c r="BA13" s="24"/>
      <c r="BB13" s="24"/>
      <c r="BC13" s="35"/>
      <c r="BE13" s="16"/>
    </row>
    <row r="14" spans="2:57" ht="17" thickBot="1" x14ac:dyDescent="0.25">
      <c r="B14" s="16"/>
      <c r="S14" s="16"/>
      <c r="U14" s="16"/>
      <c r="AL14" s="16"/>
      <c r="AN14" s="16"/>
      <c r="BE14" s="16"/>
    </row>
    <row r="15" spans="2:57" ht="20" thickBot="1" x14ac:dyDescent="0.3">
      <c r="B15" s="16"/>
      <c r="D15" s="13" t="s">
        <v>126</v>
      </c>
      <c r="E15" s="14"/>
      <c r="F15" s="9"/>
      <c r="G15" s="10" t="str">
        <f>"TEST_"&amp;TEXT(RIGHT(G4,2)+1, "00")</f>
        <v>TEST_02</v>
      </c>
      <c r="H15" s="36" t="s">
        <v>124</v>
      </c>
      <c r="I15" s="36"/>
      <c r="J15" s="36"/>
      <c r="K15" s="36"/>
      <c r="L15" s="36"/>
      <c r="M15" s="37" t="s">
        <v>123</v>
      </c>
      <c r="N15" s="37"/>
      <c r="O15" s="37"/>
      <c r="P15" s="37"/>
      <c r="Q15" s="37"/>
      <c r="R15" s="2"/>
      <c r="S15" s="16"/>
      <c r="U15" s="16"/>
      <c r="W15" s="13" t="s">
        <v>126</v>
      </c>
      <c r="X15" s="14"/>
      <c r="Y15" s="9"/>
      <c r="Z15" s="10" t="str">
        <f>"TEST_"&amp;TEXT(RIGHT(Z4,2)+1, "00")</f>
        <v>TEST_08</v>
      </c>
      <c r="AA15" s="36" t="s">
        <v>124</v>
      </c>
      <c r="AB15" s="36"/>
      <c r="AC15" s="36"/>
      <c r="AD15" s="36"/>
      <c r="AE15" s="36"/>
      <c r="AF15" s="37" t="s">
        <v>123</v>
      </c>
      <c r="AG15" s="37"/>
      <c r="AH15" s="37"/>
      <c r="AI15" s="37"/>
      <c r="AJ15" s="37"/>
      <c r="AK15" s="2"/>
      <c r="AL15" s="16"/>
      <c r="AN15" s="16"/>
      <c r="AP15" s="13" t="s">
        <v>126</v>
      </c>
      <c r="AQ15" s="14"/>
      <c r="AR15" s="9"/>
      <c r="AS15" s="10" t="str">
        <f>"TEST_"&amp;TEXT(RIGHT(AS4,2)+1, "00")</f>
        <v>TEST_14</v>
      </c>
      <c r="AT15" s="36" t="s">
        <v>124</v>
      </c>
      <c r="AU15" s="36"/>
      <c r="AV15" s="36"/>
      <c r="AW15" s="36"/>
      <c r="AX15" s="36"/>
      <c r="AY15" s="37" t="s">
        <v>123</v>
      </c>
      <c r="AZ15" s="37"/>
      <c r="BA15" s="37"/>
      <c r="BB15" s="37"/>
      <c r="BC15" s="37"/>
      <c r="BD15" s="2"/>
      <c r="BE15" s="16"/>
    </row>
    <row r="16" spans="2:57" x14ac:dyDescent="0.2">
      <c r="B16" s="16"/>
      <c r="D16" s="11" t="s">
        <v>1</v>
      </c>
      <c r="E16" s="12" t="str">
        <f>VLOOKUP(LOWER(G15),experiments_specs!$A:$J,2,FALSE)</f>
        <v>NN,JJ</v>
      </c>
      <c r="F16" s="15" t="str">
        <f>"{"&amp;LOWER(G15)&amp;".csv}"</f>
        <v>{test_02.csv}</v>
      </c>
      <c r="G16" s="8" t="s">
        <v>118</v>
      </c>
      <c r="H16" s="3" t="s">
        <v>119</v>
      </c>
      <c r="I16" s="3" t="s">
        <v>182</v>
      </c>
      <c r="J16" s="3" t="s">
        <v>120</v>
      </c>
      <c r="K16" s="3" t="s">
        <v>182</v>
      </c>
      <c r="L16" s="29" t="s">
        <v>121</v>
      </c>
      <c r="M16" s="4" t="s">
        <v>122</v>
      </c>
      <c r="N16" s="4" t="s">
        <v>182</v>
      </c>
      <c r="O16" s="4" t="s">
        <v>120</v>
      </c>
      <c r="P16" s="4" t="s">
        <v>182</v>
      </c>
      <c r="Q16" s="4" t="s">
        <v>121</v>
      </c>
      <c r="S16" s="16"/>
      <c r="U16" s="16"/>
      <c r="W16" s="11" t="s">
        <v>1</v>
      </c>
      <c r="X16" s="12" t="str">
        <f>VLOOKUP(LOWER(Z15),experiments_specs!$A:$J,2,FALSE)</f>
        <v>NN,JJ</v>
      </c>
      <c r="Y16" s="15" t="str">
        <f>"{"&amp;LOWER(Z15)&amp;".csv}"</f>
        <v>{test_08.csv}</v>
      </c>
      <c r="Z16" s="8" t="s">
        <v>118</v>
      </c>
      <c r="AA16" s="3" t="s">
        <v>119</v>
      </c>
      <c r="AB16" s="3" t="s">
        <v>182</v>
      </c>
      <c r="AC16" s="3" t="s">
        <v>120</v>
      </c>
      <c r="AD16" s="3" t="s">
        <v>182</v>
      </c>
      <c r="AE16" s="3" t="s">
        <v>121</v>
      </c>
      <c r="AF16" s="4" t="s">
        <v>122</v>
      </c>
      <c r="AG16" s="4" t="s">
        <v>182</v>
      </c>
      <c r="AH16" s="4" t="s">
        <v>120</v>
      </c>
      <c r="AI16" s="4" t="s">
        <v>182</v>
      </c>
      <c r="AJ16" s="4" t="s">
        <v>121</v>
      </c>
      <c r="AL16" s="16"/>
      <c r="AN16" s="16"/>
      <c r="AP16" s="11" t="s">
        <v>1</v>
      </c>
      <c r="AQ16" s="12" t="str">
        <f>VLOOKUP(LOWER(AS15),experiments_specs!$A:$J,2,FALSE)</f>
        <v>NN,JJ</v>
      </c>
      <c r="AR16" s="15" t="str">
        <f>"{"&amp;LOWER(AS15)&amp;".csv}"</f>
        <v>{test_14.csv}</v>
      </c>
      <c r="AS16" s="8" t="s">
        <v>118</v>
      </c>
      <c r="AT16" s="3" t="s">
        <v>119</v>
      </c>
      <c r="AU16" s="3" t="s">
        <v>182</v>
      </c>
      <c r="AV16" s="3" t="s">
        <v>120</v>
      </c>
      <c r="AW16" s="3" t="s">
        <v>182</v>
      </c>
      <c r="AX16" s="3" t="s">
        <v>121</v>
      </c>
      <c r="AY16" s="4" t="s">
        <v>122</v>
      </c>
      <c r="AZ16" s="4" t="s">
        <v>182</v>
      </c>
      <c r="BA16" s="4" t="s">
        <v>120</v>
      </c>
      <c r="BB16" s="4" t="s">
        <v>182</v>
      </c>
      <c r="BC16" s="4" t="s">
        <v>121</v>
      </c>
      <c r="BE16" s="16"/>
    </row>
    <row r="17" spans="2:57" x14ac:dyDescent="0.2">
      <c r="B17" s="16"/>
      <c r="D17" s="11" t="s">
        <v>2</v>
      </c>
      <c r="E17" s="12">
        <f>VLOOKUP(LOWER(G15),experiments_specs!$A:$J,3,FALSE)</f>
        <v>1</v>
      </c>
      <c r="F17" s="15" t="s">
        <v>60</v>
      </c>
      <c r="G17" s="5"/>
      <c r="H17" s="17"/>
      <c r="I17" s="17"/>
      <c r="J17" s="17"/>
      <c r="K17" s="17"/>
      <c r="L17" s="30"/>
      <c r="M17" s="21"/>
      <c r="N17" s="21"/>
      <c r="O17" s="21"/>
      <c r="P17" s="21"/>
      <c r="Q17" s="33"/>
      <c r="S17" s="16"/>
      <c r="U17" s="16"/>
      <c r="W17" s="11" t="s">
        <v>2</v>
      </c>
      <c r="X17" s="12">
        <f>VLOOKUP(LOWER(Z15),experiments_specs!$A:$J,3,FALSE)</f>
        <v>1</v>
      </c>
      <c r="Y17" s="15" t="s">
        <v>71</v>
      </c>
      <c r="Z17" s="5" t="s">
        <v>19</v>
      </c>
      <c r="AA17" s="17"/>
      <c r="AB17" s="17"/>
      <c r="AC17" s="17"/>
      <c r="AD17" s="17"/>
      <c r="AE17" s="30"/>
      <c r="AF17" s="21"/>
      <c r="AG17" s="21"/>
      <c r="AH17" s="21"/>
      <c r="AI17" s="21"/>
      <c r="AJ17" s="33"/>
      <c r="AL17" s="16"/>
      <c r="AN17" s="16"/>
      <c r="AP17" s="11" t="s">
        <v>2</v>
      </c>
      <c r="AQ17" s="12">
        <f>VLOOKUP(LOWER(AS15),experiments_specs!$A:$J,3,FALSE)</f>
        <v>1</v>
      </c>
      <c r="AR17" s="15" t="s">
        <v>77</v>
      </c>
      <c r="AS17" s="5"/>
      <c r="AT17" s="17"/>
      <c r="AU17" s="17"/>
      <c r="AV17" s="17"/>
      <c r="AW17" s="17"/>
      <c r="AX17" s="30"/>
      <c r="AY17" s="21"/>
      <c r="AZ17" s="21"/>
      <c r="BA17" s="21"/>
      <c r="BB17" s="21"/>
      <c r="BC17" s="33"/>
      <c r="BE17" s="16"/>
    </row>
    <row r="18" spans="2:57" x14ac:dyDescent="0.2">
      <c r="B18" s="16"/>
      <c r="D18" s="11" t="s">
        <v>3</v>
      </c>
      <c r="E18" s="12">
        <f>VLOOKUP(LOWER(G15),experiments_specs!$A:$J,4,FALSE)</f>
        <v>2</v>
      </c>
      <c r="F18" s="15" t="s">
        <v>60</v>
      </c>
      <c r="G18" s="6"/>
      <c r="H18" s="19"/>
      <c r="I18" s="19"/>
      <c r="J18" s="19"/>
      <c r="K18" s="19"/>
      <c r="L18" s="31"/>
      <c r="M18" s="22"/>
      <c r="N18" s="22"/>
      <c r="O18" s="22"/>
      <c r="P18" s="22"/>
      <c r="Q18" s="34"/>
      <c r="S18" s="16"/>
      <c r="U18" s="16"/>
      <c r="W18" s="11" t="s">
        <v>3</v>
      </c>
      <c r="X18" s="12">
        <f>VLOOKUP(LOWER(Z15),experiments_specs!$A:$J,4,FALSE)</f>
        <v>2</v>
      </c>
      <c r="Y18" s="15" t="s">
        <v>71</v>
      </c>
      <c r="Z18" s="6" t="s">
        <v>12</v>
      </c>
      <c r="AA18" s="19"/>
      <c r="AB18" s="19"/>
      <c r="AC18" s="19"/>
      <c r="AD18" s="19"/>
      <c r="AE18" s="31"/>
      <c r="AF18" s="22"/>
      <c r="AG18" s="22"/>
      <c r="AH18" s="22"/>
      <c r="AI18" s="22"/>
      <c r="AJ18" s="34"/>
      <c r="AL18" s="16"/>
      <c r="AN18" s="16"/>
      <c r="AP18" s="11" t="s">
        <v>3</v>
      </c>
      <c r="AQ18" s="12">
        <f>VLOOKUP(LOWER(AS15),experiments_specs!$A:$J,4,FALSE)</f>
        <v>2</v>
      </c>
      <c r="AR18" s="15" t="s">
        <v>77</v>
      </c>
      <c r="AS18" s="6"/>
      <c r="AT18" s="19"/>
      <c r="AU18" s="19"/>
      <c r="AV18" s="19"/>
      <c r="AW18" s="19"/>
      <c r="AX18" s="31"/>
      <c r="AY18" s="22"/>
      <c r="AZ18" s="22"/>
      <c r="BA18" s="22"/>
      <c r="BB18" s="22"/>
      <c r="BC18" s="34"/>
      <c r="BE18" s="16"/>
    </row>
    <row r="19" spans="2:57" x14ac:dyDescent="0.2">
      <c r="B19" s="16"/>
      <c r="D19" s="11" t="s">
        <v>4</v>
      </c>
      <c r="E19" s="12" t="str">
        <f>VLOOKUP(LOWER(G15),experiments_specs!$A:$J,5,FALSE)</f>
        <v>False</v>
      </c>
      <c r="F19" s="15" t="s">
        <v>60</v>
      </c>
      <c r="G19" s="6"/>
      <c r="H19" s="19"/>
      <c r="I19" s="19"/>
      <c r="J19" s="19"/>
      <c r="K19" s="19"/>
      <c r="L19" s="31"/>
      <c r="M19" s="22"/>
      <c r="N19" s="22"/>
      <c r="O19" s="22"/>
      <c r="P19" s="22"/>
      <c r="Q19" s="34"/>
      <c r="S19" s="16"/>
      <c r="U19" s="16"/>
      <c r="W19" s="11" t="s">
        <v>4</v>
      </c>
      <c r="X19" s="12" t="str">
        <f>VLOOKUP(LOWER(Z15),experiments_specs!$A:$J,5,FALSE)</f>
        <v>True</v>
      </c>
      <c r="Y19" s="15" t="s">
        <v>71</v>
      </c>
      <c r="Z19" s="6" t="s">
        <v>13</v>
      </c>
      <c r="AA19" s="19"/>
      <c r="AB19" s="19"/>
      <c r="AC19" s="19"/>
      <c r="AD19" s="19"/>
      <c r="AE19" s="31"/>
      <c r="AF19" s="22"/>
      <c r="AG19" s="22"/>
      <c r="AH19" s="22"/>
      <c r="AI19" s="22"/>
      <c r="AJ19" s="34"/>
      <c r="AL19" s="16"/>
      <c r="AN19" s="16"/>
      <c r="AP19" s="11" t="s">
        <v>4</v>
      </c>
      <c r="AQ19" s="12" t="str">
        <f>VLOOKUP(LOWER(AS15),experiments_specs!$A:$J,5,FALSE)</f>
        <v>True</v>
      </c>
      <c r="AR19" s="15" t="s">
        <v>77</v>
      </c>
      <c r="AS19" s="6"/>
      <c r="AT19" s="19"/>
      <c r="AU19" s="19"/>
      <c r="AV19" s="19"/>
      <c r="AW19" s="19"/>
      <c r="AX19" s="31"/>
      <c r="AY19" s="22"/>
      <c r="AZ19" s="22"/>
      <c r="BA19" s="22"/>
      <c r="BB19" s="22"/>
      <c r="BC19" s="34"/>
      <c r="BE19" s="16"/>
    </row>
    <row r="20" spans="2:57" x14ac:dyDescent="0.2">
      <c r="B20" s="16"/>
      <c r="D20" s="11" t="s">
        <v>5</v>
      </c>
      <c r="E20" s="12" t="str">
        <f>VLOOKUP(LOWER(G15),experiments_specs!$A:$J,6,FALSE)</f>
        <v>True</v>
      </c>
      <c r="F20" s="15" t="s">
        <v>60</v>
      </c>
      <c r="G20" s="6"/>
      <c r="H20" s="19"/>
      <c r="I20" s="19"/>
      <c r="J20" s="19"/>
      <c r="K20" s="19"/>
      <c r="L20" s="31"/>
      <c r="M20" s="22"/>
      <c r="N20" s="22"/>
      <c r="O20" s="22"/>
      <c r="P20" s="22"/>
      <c r="Q20" s="34"/>
      <c r="S20" s="16"/>
      <c r="U20" s="16"/>
      <c r="W20" s="11" t="s">
        <v>5</v>
      </c>
      <c r="X20" s="12" t="str">
        <f>VLOOKUP(LOWER(Z15),experiments_specs!$A:$J,6,FALSE)</f>
        <v>True</v>
      </c>
      <c r="Y20" s="15" t="s">
        <v>71</v>
      </c>
      <c r="Z20" s="6" t="s">
        <v>14</v>
      </c>
      <c r="AA20" s="18"/>
      <c r="AB20" s="18"/>
      <c r="AC20" s="18"/>
      <c r="AD20" s="18"/>
      <c r="AE20" s="31"/>
      <c r="AF20" s="23"/>
      <c r="AG20" s="23"/>
      <c r="AH20" s="23"/>
      <c r="AI20" s="23"/>
      <c r="AJ20" s="34"/>
      <c r="AL20" s="16"/>
      <c r="AN20" s="16"/>
      <c r="AP20" s="11" t="s">
        <v>5</v>
      </c>
      <c r="AQ20" s="12" t="str">
        <f>VLOOKUP(LOWER(AS15),experiments_specs!$A:$J,6,FALSE)</f>
        <v>True</v>
      </c>
      <c r="AR20" s="15" t="s">
        <v>77</v>
      </c>
      <c r="AS20" s="6"/>
      <c r="AT20" s="18"/>
      <c r="AU20" s="18"/>
      <c r="AV20" s="18"/>
      <c r="AW20" s="18"/>
      <c r="AX20" s="31"/>
      <c r="AY20" s="23"/>
      <c r="AZ20" s="23"/>
      <c r="BA20" s="23"/>
      <c r="BB20" s="23"/>
      <c r="BC20" s="34"/>
      <c r="BE20" s="16"/>
    </row>
    <row r="21" spans="2:57" x14ac:dyDescent="0.2">
      <c r="B21" s="16"/>
      <c r="D21" s="11" t="s">
        <v>6</v>
      </c>
      <c r="E21" s="12" t="str">
        <f>VLOOKUP(LOWER(G15),experiments_specs!$A:$J,7,FALSE)</f>
        <v>False</v>
      </c>
      <c r="F21" s="15" t="s">
        <v>60</v>
      </c>
      <c r="G21" s="6"/>
      <c r="H21" s="19"/>
      <c r="I21" s="19"/>
      <c r="J21" s="19"/>
      <c r="K21" s="19"/>
      <c r="L21" s="31"/>
      <c r="M21" s="23"/>
      <c r="N21" s="23"/>
      <c r="O21" s="23"/>
      <c r="P21" s="23"/>
      <c r="Q21" s="34"/>
      <c r="S21" s="16"/>
      <c r="U21" s="16"/>
      <c r="W21" s="11" t="s">
        <v>6</v>
      </c>
      <c r="X21" s="12" t="str">
        <f>VLOOKUP(LOWER(Z15),experiments_specs!$A:$J,7,FALSE)</f>
        <v>False</v>
      </c>
      <c r="Y21" s="15" t="s">
        <v>71</v>
      </c>
      <c r="Z21" s="6" t="s">
        <v>15</v>
      </c>
      <c r="AA21" s="19"/>
      <c r="AB21" s="19"/>
      <c r="AC21" s="19"/>
      <c r="AD21" s="19"/>
      <c r="AE21" s="31"/>
      <c r="AF21" s="23"/>
      <c r="AG21" s="23"/>
      <c r="AH21" s="23"/>
      <c r="AI21" s="23"/>
      <c r="AJ21" s="34"/>
      <c r="AL21" s="16"/>
      <c r="AN21" s="16"/>
      <c r="AP21" s="11" t="s">
        <v>6</v>
      </c>
      <c r="AQ21" s="12" t="str">
        <f>VLOOKUP(LOWER(AS15),experiments_specs!$A:$J,7,FALSE)</f>
        <v>False</v>
      </c>
      <c r="AR21" s="15" t="s">
        <v>77</v>
      </c>
      <c r="AS21" s="6"/>
      <c r="AT21" s="19"/>
      <c r="AU21" s="19"/>
      <c r="AV21" s="19"/>
      <c r="AW21" s="19"/>
      <c r="AX21" s="31"/>
      <c r="AY21" s="23"/>
      <c r="AZ21" s="23"/>
      <c r="BA21" s="23"/>
      <c r="BB21" s="23"/>
      <c r="BC21" s="34"/>
      <c r="BE21" s="16"/>
    </row>
    <row r="22" spans="2:57" x14ac:dyDescent="0.2">
      <c r="B22" s="16"/>
      <c r="D22" s="11" t="s">
        <v>7</v>
      </c>
      <c r="E22" s="12" t="str">
        <f>VLOOKUP(LOWER(G15),experiments_specs!$A:$J,8,FALSE)</f>
        <v>False</v>
      </c>
      <c r="F22" s="15" t="s">
        <v>60</v>
      </c>
      <c r="G22" s="6"/>
      <c r="H22" s="19"/>
      <c r="I22" s="19"/>
      <c r="J22" s="19"/>
      <c r="K22" s="19"/>
      <c r="L22" s="31"/>
      <c r="M22" s="23"/>
      <c r="N22" s="23"/>
      <c r="O22" s="23"/>
      <c r="P22" s="23"/>
      <c r="Q22" s="34"/>
      <c r="S22" s="16"/>
      <c r="U22" s="16"/>
      <c r="W22" s="11" t="s">
        <v>7</v>
      </c>
      <c r="X22" s="12" t="str">
        <f>VLOOKUP(LOWER(Z15),experiments_specs!$A:$J,8,FALSE)</f>
        <v>False</v>
      </c>
      <c r="Y22" s="15" t="s">
        <v>71</v>
      </c>
      <c r="Z22" s="6" t="s">
        <v>16</v>
      </c>
      <c r="AA22" s="19"/>
      <c r="AB22" s="19"/>
      <c r="AC22" s="19"/>
      <c r="AD22" s="19"/>
      <c r="AE22" s="31"/>
      <c r="AF22" s="23"/>
      <c r="AG22" s="23"/>
      <c r="AH22" s="23"/>
      <c r="AI22" s="23"/>
      <c r="AJ22" s="34"/>
      <c r="AL22" s="16"/>
      <c r="AN22" s="16"/>
      <c r="AP22" s="11" t="s">
        <v>7</v>
      </c>
      <c r="AQ22" s="12" t="str">
        <f>VLOOKUP(LOWER(AS15),experiments_specs!$A:$J,8,FALSE)</f>
        <v>False</v>
      </c>
      <c r="AR22" s="15" t="s">
        <v>77</v>
      </c>
      <c r="AS22" s="6"/>
      <c r="AT22" s="19"/>
      <c r="AU22" s="19"/>
      <c r="AV22" s="19"/>
      <c r="AW22" s="19"/>
      <c r="AX22" s="31"/>
      <c r="AY22" s="23"/>
      <c r="AZ22" s="23"/>
      <c r="BA22" s="23"/>
      <c r="BB22" s="23"/>
      <c r="BC22" s="34"/>
      <c r="BE22" s="16"/>
    </row>
    <row r="23" spans="2:57" x14ac:dyDescent="0.2">
      <c r="B23" s="16"/>
      <c r="D23" s="11" t="s">
        <v>8</v>
      </c>
      <c r="E23" s="12" t="str">
        <f>VLOOKUP(LOWER(G15),experiments_specs!$A:$J,9,FALSE)</f>
        <v>wup_similarity</v>
      </c>
      <c r="F23" s="15" t="s">
        <v>60</v>
      </c>
      <c r="G23" s="6"/>
      <c r="H23" s="19"/>
      <c r="I23" s="19"/>
      <c r="J23" s="19"/>
      <c r="K23" s="19"/>
      <c r="L23" s="31"/>
      <c r="M23" s="22"/>
      <c r="N23" s="22"/>
      <c r="O23" s="22"/>
      <c r="P23" s="22"/>
      <c r="Q23" s="34"/>
      <c r="S23" s="16"/>
      <c r="U23" s="16"/>
      <c r="W23" s="11" t="s">
        <v>8</v>
      </c>
      <c r="X23" s="12" t="str">
        <f>VLOOKUP(LOWER(Z15),experiments_specs!$A:$J,9,FALSE)</f>
        <v>wup_similarity</v>
      </c>
      <c r="Y23" s="15" t="s">
        <v>71</v>
      </c>
      <c r="Z23" s="6" t="s">
        <v>17</v>
      </c>
      <c r="AA23" s="18"/>
      <c r="AB23" s="18"/>
      <c r="AC23" s="18"/>
      <c r="AD23" s="18"/>
      <c r="AE23" s="31"/>
      <c r="AF23" s="23"/>
      <c r="AG23" s="23"/>
      <c r="AH23" s="23"/>
      <c r="AI23" s="23"/>
      <c r="AJ23" s="34"/>
      <c r="AL23" s="16"/>
      <c r="AN23" s="16"/>
      <c r="AP23" s="11" t="s">
        <v>8</v>
      </c>
      <c r="AQ23" s="12" t="str">
        <f>VLOOKUP(LOWER(AS15),experiments_specs!$A:$J,9,FALSE)</f>
        <v>wup_similarity</v>
      </c>
      <c r="AR23" s="15" t="s">
        <v>77</v>
      </c>
      <c r="AS23" s="6"/>
      <c r="AT23" s="18"/>
      <c r="AU23" s="18"/>
      <c r="AV23" s="18"/>
      <c r="AW23" s="18"/>
      <c r="AX23" s="31"/>
      <c r="AY23" s="23"/>
      <c r="AZ23" s="23"/>
      <c r="BA23" s="23"/>
      <c r="BB23" s="23"/>
      <c r="BC23" s="34"/>
      <c r="BE23" s="16"/>
    </row>
    <row r="24" spans="2:57" x14ac:dyDescent="0.2">
      <c r="B24" s="16"/>
      <c r="D24" s="11" t="s">
        <v>9</v>
      </c>
      <c r="E24" s="12" t="str">
        <f>VLOOKUP(LOWER(G15),experiments_specs!$A:$J,10,FALSE)</f>
        <v>False</v>
      </c>
      <c r="F24" s="15" t="s">
        <v>60</v>
      </c>
      <c r="G24" s="7"/>
      <c r="H24" s="20"/>
      <c r="I24" s="20"/>
      <c r="J24" s="20"/>
      <c r="K24" s="20"/>
      <c r="L24" s="32"/>
      <c r="M24" s="24"/>
      <c r="N24" s="24"/>
      <c r="O24" s="24"/>
      <c r="P24" s="24"/>
      <c r="Q24" s="35"/>
      <c r="S24" s="16"/>
      <c r="U24" s="16"/>
      <c r="W24" s="11" t="s">
        <v>9</v>
      </c>
      <c r="X24" s="12" t="str">
        <f>VLOOKUP(LOWER(Z15),experiments_specs!$A:$J,10,FALSE)</f>
        <v>False</v>
      </c>
      <c r="Y24" s="15" t="s">
        <v>71</v>
      </c>
      <c r="Z24" s="7" t="s">
        <v>18</v>
      </c>
      <c r="AA24" s="20"/>
      <c r="AB24" s="20"/>
      <c r="AC24" s="20"/>
      <c r="AD24" s="20"/>
      <c r="AE24" s="32"/>
      <c r="AF24" s="24"/>
      <c r="AG24" s="24"/>
      <c r="AH24" s="24"/>
      <c r="AI24" s="24"/>
      <c r="AJ24" s="35"/>
      <c r="AL24" s="16"/>
      <c r="AN24" s="16"/>
      <c r="AP24" s="11" t="s">
        <v>9</v>
      </c>
      <c r="AQ24" s="12" t="str">
        <f>VLOOKUP(LOWER(AS15),experiments_specs!$A:$J,10,FALSE)</f>
        <v>True</v>
      </c>
      <c r="AR24" s="15" t="s">
        <v>77</v>
      </c>
      <c r="AS24" s="7"/>
      <c r="AT24" s="20"/>
      <c r="AU24" s="20"/>
      <c r="AV24" s="20"/>
      <c r="AW24" s="20"/>
      <c r="AX24" s="32"/>
      <c r="AY24" s="24"/>
      <c r="AZ24" s="24"/>
      <c r="BA24" s="24"/>
      <c r="BB24" s="24"/>
      <c r="BC24" s="35"/>
      <c r="BE24" s="16"/>
    </row>
    <row r="25" spans="2:57" ht="17" thickBot="1" x14ac:dyDescent="0.25">
      <c r="B25" s="16"/>
      <c r="S25" s="16"/>
      <c r="U25" s="16"/>
      <c r="AL25" s="16"/>
      <c r="AN25" s="16"/>
      <c r="BE25" s="16"/>
    </row>
    <row r="26" spans="2:57" ht="20" thickBot="1" x14ac:dyDescent="0.3">
      <c r="B26" s="16"/>
      <c r="D26" s="13" t="s">
        <v>126</v>
      </c>
      <c r="E26" s="14"/>
      <c r="F26" s="9"/>
      <c r="G26" s="10" t="str">
        <f>"TEST_"&amp;TEXT(RIGHT(G15,2)+1, "00")</f>
        <v>TEST_03</v>
      </c>
      <c r="H26" s="36" t="s">
        <v>124</v>
      </c>
      <c r="I26" s="36"/>
      <c r="J26" s="36"/>
      <c r="K26" s="36"/>
      <c r="L26" s="36"/>
      <c r="M26" s="37" t="s">
        <v>123</v>
      </c>
      <c r="N26" s="37"/>
      <c r="O26" s="37"/>
      <c r="P26" s="37"/>
      <c r="Q26" s="37"/>
      <c r="R26" s="2"/>
      <c r="S26" s="16"/>
      <c r="U26" s="16"/>
      <c r="W26" s="13" t="s">
        <v>126</v>
      </c>
      <c r="X26" s="14"/>
      <c r="Y26" s="9"/>
      <c r="Z26" s="10" t="str">
        <f>"TEST_"&amp;TEXT(RIGHT(Z15,2)+1, "00")</f>
        <v>TEST_09</v>
      </c>
      <c r="AA26" s="36" t="s">
        <v>124</v>
      </c>
      <c r="AB26" s="36"/>
      <c r="AC26" s="36"/>
      <c r="AD26" s="36"/>
      <c r="AE26" s="36"/>
      <c r="AF26" s="37" t="s">
        <v>123</v>
      </c>
      <c r="AG26" s="37"/>
      <c r="AH26" s="37"/>
      <c r="AI26" s="37"/>
      <c r="AJ26" s="37"/>
      <c r="AK26" s="2"/>
      <c r="AL26" s="16"/>
      <c r="AN26" s="16"/>
      <c r="AP26" s="13" t="s">
        <v>126</v>
      </c>
      <c r="AQ26" s="14"/>
      <c r="AR26" s="9"/>
      <c r="AS26" s="10" t="str">
        <f>"TEST_"&amp;TEXT(RIGHT(AS15,2)+1, "00")</f>
        <v>TEST_15</v>
      </c>
      <c r="AT26" s="36" t="s">
        <v>124</v>
      </c>
      <c r="AU26" s="36"/>
      <c r="AV26" s="36"/>
      <c r="AW26" s="36"/>
      <c r="AX26" s="36"/>
      <c r="AY26" s="37" t="s">
        <v>123</v>
      </c>
      <c r="AZ26" s="37"/>
      <c r="BA26" s="37"/>
      <c r="BB26" s="37"/>
      <c r="BC26" s="37"/>
      <c r="BD26" s="2"/>
      <c r="BE26" s="16"/>
    </row>
    <row r="27" spans="2:57" x14ac:dyDescent="0.2">
      <c r="B27" s="16"/>
      <c r="D27" s="11" t="s">
        <v>1</v>
      </c>
      <c r="E27" s="12" t="str">
        <f>VLOOKUP(LOWER(G26),experiments_specs!$A:$J,2,FALSE)</f>
        <v>NN,VB</v>
      </c>
      <c r="F27" s="15" t="str">
        <f>"{"&amp;LOWER(G26)&amp;".csv}"</f>
        <v>{test_03.csv}</v>
      </c>
      <c r="G27" s="8" t="s">
        <v>118</v>
      </c>
      <c r="H27" s="3" t="s">
        <v>119</v>
      </c>
      <c r="I27" s="3" t="s">
        <v>182</v>
      </c>
      <c r="J27" s="3" t="s">
        <v>120</v>
      </c>
      <c r="K27" s="3" t="s">
        <v>182</v>
      </c>
      <c r="L27" s="3" t="s">
        <v>121</v>
      </c>
      <c r="M27" s="4" t="s">
        <v>122</v>
      </c>
      <c r="N27" s="4" t="s">
        <v>182</v>
      </c>
      <c r="O27" s="4" t="s">
        <v>120</v>
      </c>
      <c r="P27" s="4" t="s">
        <v>182</v>
      </c>
      <c r="Q27" s="4" t="s">
        <v>121</v>
      </c>
      <c r="S27" s="16"/>
      <c r="U27" s="16"/>
      <c r="W27" s="11" t="s">
        <v>1</v>
      </c>
      <c r="X27" s="12" t="str">
        <f>VLOOKUP(LOWER(Z26),experiments_specs!$A:$J,2,FALSE)</f>
        <v>NN,VB</v>
      </c>
      <c r="Y27" s="15" t="str">
        <f>"{"&amp;LOWER(Z26)&amp;".csv}"</f>
        <v>{test_09.csv}</v>
      </c>
      <c r="Z27" s="8" t="s">
        <v>118</v>
      </c>
      <c r="AA27" s="3" t="s">
        <v>119</v>
      </c>
      <c r="AB27" s="3" t="s">
        <v>182</v>
      </c>
      <c r="AC27" s="3" t="s">
        <v>120</v>
      </c>
      <c r="AD27" s="3" t="s">
        <v>182</v>
      </c>
      <c r="AE27" s="3" t="s">
        <v>121</v>
      </c>
      <c r="AF27" s="4" t="s">
        <v>122</v>
      </c>
      <c r="AG27" s="4" t="s">
        <v>182</v>
      </c>
      <c r="AH27" s="4" t="s">
        <v>120</v>
      </c>
      <c r="AI27" s="4" t="s">
        <v>182</v>
      </c>
      <c r="AJ27" s="4" t="s">
        <v>121</v>
      </c>
      <c r="AL27" s="16"/>
      <c r="AN27" s="16"/>
      <c r="AP27" s="11" t="s">
        <v>1</v>
      </c>
      <c r="AQ27" s="12" t="str">
        <f>VLOOKUP(LOWER(AS26),experiments_specs!$A:$J,2,FALSE)</f>
        <v>NN,VB</v>
      </c>
      <c r="AR27" s="15" t="str">
        <f>"{"&amp;LOWER(AS26)&amp;".csv}"</f>
        <v>{test_15.csv}</v>
      </c>
      <c r="AS27" s="8" t="s">
        <v>118</v>
      </c>
      <c r="AT27" s="3" t="s">
        <v>119</v>
      </c>
      <c r="AU27" s="3" t="s">
        <v>182</v>
      </c>
      <c r="AV27" s="3" t="s">
        <v>120</v>
      </c>
      <c r="AW27" s="3" t="s">
        <v>182</v>
      </c>
      <c r="AX27" s="3" t="s">
        <v>121</v>
      </c>
      <c r="AY27" s="4" t="s">
        <v>122</v>
      </c>
      <c r="AZ27" s="4" t="s">
        <v>182</v>
      </c>
      <c r="BA27" s="4" t="s">
        <v>120</v>
      </c>
      <c r="BB27" s="4" t="s">
        <v>182</v>
      </c>
      <c r="BC27" s="4" t="s">
        <v>121</v>
      </c>
      <c r="BE27" s="16"/>
    </row>
    <row r="28" spans="2:57" ht="34" x14ac:dyDescent="0.2">
      <c r="B28" s="16"/>
      <c r="D28" s="11" t="s">
        <v>2</v>
      </c>
      <c r="E28" s="12">
        <f>VLOOKUP(LOWER(G26),experiments_specs!$A:$J,3,FALSE)</f>
        <v>1</v>
      </c>
      <c r="F28" s="15" t="s">
        <v>62</v>
      </c>
      <c r="G28" s="5"/>
      <c r="H28" s="17"/>
      <c r="I28" s="17"/>
      <c r="J28" s="17"/>
      <c r="K28" s="17"/>
      <c r="L28" s="30"/>
      <c r="M28" s="21"/>
      <c r="N28" s="21"/>
      <c r="O28" s="21"/>
      <c r="P28" s="21"/>
      <c r="Q28" s="33"/>
      <c r="S28" s="16"/>
      <c r="U28" s="16"/>
      <c r="W28" s="11" t="s">
        <v>2</v>
      </c>
      <c r="X28" s="12">
        <f>VLOOKUP(LOWER(Z26),experiments_specs!$A:$J,3,FALSE)</f>
        <v>1</v>
      </c>
      <c r="Y28" s="15" t="s">
        <v>72</v>
      </c>
      <c r="Z28" s="5" t="s">
        <v>19</v>
      </c>
      <c r="AA28" s="17" t="s">
        <v>183</v>
      </c>
      <c r="AB28" s="17" t="s">
        <v>184</v>
      </c>
      <c r="AC28" s="17" t="s">
        <v>186</v>
      </c>
      <c r="AD28" s="17" t="s">
        <v>187</v>
      </c>
      <c r="AE28" s="30">
        <v>0.19047619047619047</v>
      </c>
      <c r="AF28" s="21" t="s">
        <v>47</v>
      </c>
      <c r="AG28" s="21">
        <v>0</v>
      </c>
      <c r="AH28" s="21" t="s">
        <v>48</v>
      </c>
      <c r="AI28" s="21">
        <v>2.3426064E-2</v>
      </c>
      <c r="AJ28" s="33">
        <v>0.2</v>
      </c>
      <c r="AL28" s="16"/>
      <c r="AN28" s="16"/>
      <c r="AP28" s="11" t="s">
        <v>2</v>
      </c>
      <c r="AQ28" s="12">
        <f>VLOOKUP(LOWER(AS26),experiments_specs!$A:$J,3,FALSE)</f>
        <v>1</v>
      </c>
      <c r="AR28" s="15" t="s">
        <v>78</v>
      </c>
      <c r="AS28" s="5"/>
      <c r="AT28" s="17"/>
      <c r="AU28" s="17"/>
      <c r="AV28" s="17"/>
      <c r="AW28" s="17"/>
      <c r="AX28" s="30"/>
      <c r="AY28" s="21"/>
      <c r="AZ28" s="21"/>
      <c r="BA28" s="21"/>
      <c r="BB28" s="21"/>
      <c r="BC28" s="33"/>
      <c r="BE28" s="16"/>
    </row>
    <row r="29" spans="2:57" x14ac:dyDescent="0.2">
      <c r="B29" s="16"/>
      <c r="D29" s="11" t="s">
        <v>3</v>
      </c>
      <c r="E29" s="12">
        <f>VLOOKUP(LOWER(G26),experiments_specs!$A:$J,4,FALSE)</f>
        <v>2</v>
      </c>
      <c r="F29" s="15" t="s">
        <v>62</v>
      </c>
      <c r="G29" s="6"/>
      <c r="H29" s="19"/>
      <c r="I29" s="19"/>
      <c r="J29" s="19"/>
      <c r="K29" s="19"/>
      <c r="L29" s="31"/>
      <c r="M29" s="22"/>
      <c r="N29" s="22"/>
      <c r="O29" s="22"/>
      <c r="P29" s="22"/>
      <c r="Q29" s="34"/>
      <c r="S29" s="16"/>
      <c r="U29" s="16"/>
      <c r="W29" s="11" t="s">
        <v>3</v>
      </c>
      <c r="X29" s="12">
        <f>VLOOKUP(LOWER(Z26),experiments_specs!$A:$J,4,FALSE)</f>
        <v>2</v>
      </c>
      <c r="Y29" s="15" t="s">
        <v>72</v>
      </c>
      <c r="Z29" s="6" t="s">
        <v>12</v>
      </c>
      <c r="AA29" s="19" t="s">
        <v>22</v>
      </c>
      <c r="AB29" s="19">
        <v>0.11026356900000001</v>
      </c>
      <c r="AC29" s="19" t="s">
        <v>23</v>
      </c>
      <c r="AD29" s="19">
        <v>3.6466247E-2</v>
      </c>
      <c r="AE29" s="31">
        <v>0.42857142857142855</v>
      </c>
      <c r="AF29" s="22" t="s">
        <v>24</v>
      </c>
      <c r="AG29" s="22">
        <v>5.5131784000000003E-2</v>
      </c>
      <c r="AH29" s="22" t="s">
        <v>23</v>
      </c>
      <c r="AI29" s="22">
        <v>4.0518052999999998E-2</v>
      </c>
      <c r="AJ29" s="34">
        <v>0.42857142857142855</v>
      </c>
      <c r="AL29" s="16"/>
      <c r="AN29" s="16"/>
      <c r="AP29" s="11" t="s">
        <v>3</v>
      </c>
      <c r="AQ29" s="12">
        <f>VLOOKUP(LOWER(AS26),experiments_specs!$A:$J,4,FALSE)</f>
        <v>2</v>
      </c>
      <c r="AR29" s="15" t="s">
        <v>78</v>
      </c>
      <c r="AS29" s="6"/>
      <c r="AT29" s="19"/>
      <c r="AU29" s="19"/>
      <c r="AV29" s="19"/>
      <c r="AW29" s="19"/>
      <c r="AX29" s="31"/>
      <c r="AY29" s="22"/>
      <c r="AZ29" s="22"/>
      <c r="BA29" s="22"/>
      <c r="BB29" s="22"/>
      <c r="BC29" s="34"/>
      <c r="BE29" s="16"/>
    </row>
    <row r="30" spans="2:57" x14ac:dyDescent="0.2">
      <c r="B30" s="16"/>
      <c r="D30" s="11" t="s">
        <v>4</v>
      </c>
      <c r="E30" s="12" t="str">
        <f>VLOOKUP(LOWER(G26),experiments_specs!$A:$J,5,FALSE)</f>
        <v>False</v>
      </c>
      <c r="F30" s="15" t="s">
        <v>62</v>
      </c>
      <c r="G30" s="6"/>
      <c r="H30" s="19"/>
      <c r="I30" s="19"/>
      <c r="J30" s="19"/>
      <c r="K30" s="19"/>
      <c r="L30" s="31"/>
      <c r="M30" s="22"/>
      <c r="N30" s="22"/>
      <c r="O30" s="22"/>
      <c r="P30" s="22"/>
      <c r="Q30" s="34"/>
      <c r="S30" s="16"/>
      <c r="U30" s="16"/>
      <c r="W30" s="11" t="s">
        <v>4</v>
      </c>
      <c r="X30" s="12" t="str">
        <f>VLOOKUP(LOWER(Z26),experiments_specs!$A:$J,5,FALSE)</f>
        <v>True</v>
      </c>
      <c r="Y30" s="15" t="s">
        <v>72</v>
      </c>
      <c r="Z30" s="6" t="s">
        <v>13</v>
      </c>
      <c r="AA30" s="19" t="s">
        <v>32</v>
      </c>
      <c r="AB30" s="19">
        <v>0.14744195600000001</v>
      </c>
      <c r="AC30" s="19" t="s">
        <v>33</v>
      </c>
      <c r="AD30" s="19">
        <v>3.3509535E-2</v>
      </c>
      <c r="AE30" s="31">
        <v>0.4</v>
      </c>
      <c r="AF30" s="22" t="s">
        <v>34</v>
      </c>
      <c r="AG30" s="22">
        <v>0</v>
      </c>
      <c r="AH30" s="22" t="s">
        <v>35</v>
      </c>
      <c r="AI30" s="22">
        <v>2.8354221999999998E-2</v>
      </c>
      <c r="AJ30" s="34" t="s">
        <v>25</v>
      </c>
      <c r="AL30" s="16"/>
      <c r="AN30" s="16"/>
      <c r="AP30" s="11" t="s">
        <v>4</v>
      </c>
      <c r="AQ30" s="12" t="str">
        <f>VLOOKUP(LOWER(AS26),experiments_specs!$A:$J,5,FALSE)</f>
        <v>True</v>
      </c>
      <c r="AR30" s="15" t="s">
        <v>78</v>
      </c>
      <c r="AS30" s="6"/>
      <c r="AT30" s="19"/>
      <c r="AU30" s="19"/>
      <c r="AV30" s="19"/>
      <c r="AW30" s="19"/>
      <c r="AX30" s="31"/>
      <c r="AY30" s="23"/>
      <c r="AZ30" s="23"/>
      <c r="BA30" s="23"/>
      <c r="BB30" s="23"/>
      <c r="BC30" s="34"/>
      <c r="BE30" s="16"/>
    </row>
    <row r="31" spans="2:57" ht="34" x14ac:dyDescent="0.2">
      <c r="B31" s="16"/>
      <c r="D31" s="11" t="s">
        <v>5</v>
      </c>
      <c r="E31" s="12" t="str">
        <f>VLOOKUP(LOWER(G26),experiments_specs!$A:$J,6,FALSE)</f>
        <v>True</v>
      </c>
      <c r="F31" s="15" t="s">
        <v>62</v>
      </c>
      <c r="G31" s="6"/>
      <c r="H31" s="19"/>
      <c r="I31" s="19"/>
      <c r="J31" s="19"/>
      <c r="K31" s="19"/>
      <c r="L31" s="31"/>
      <c r="M31" s="22"/>
      <c r="N31" s="22"/>
      <c r="O31" s="22"/>
      <c r="P31" s="22"/>
      <c r="Q31" s="34"/>
      <c r="S31" s="16"/>
      <c r="U31" s="16"/>
      <c r="W31" s="11" t="s">
        <v>5</v>
      </c>
      <c r="X31" s="12" t="str">
        <f>VLOOKUP(LOWER(Z26),experiments_specs!$A:$J,6,FALSE)</f>
        <v>True</v>
      </c>
      <c r="Y31" s="15" t="s">
        <v>72</v>
      </c>
      <c r="Z31" s="6" t="s">
        <v>14</v>
      </c>
      <c r="AA31" s="18" t="s">
        <v>189</v>
      </c>
      <c r="AB31" s="18" t="s">
        <v>190</v>
      </c>
      <c r="AC31" s="18" t="s">
        <v>192</v>
      </c>
      <c r="AD31" s="18" t="s">
        <v>193</v>
      </c>
      <c r="AE31" s="31">
        <v>0.33333333333333331</v>
      </c>
      <c r="AF31" s="23" t="s">
        <v>195</v>
      </c>
      <c r="AG31" s="23" t="s">
        <v>196</v>
      </c>
      <c r="AH31" s="23" t="s">
        <v>192</v>
      </c>
      <c r="AI31" s="23" t="s">
        <v>198</v>
      </c>
      <c r="AJ31" s="34">
        <v>0.33333333333333331</v>
      </c>
      <c r="AL31" s="16"/>
      <c r="AN31" s="16"/>
      <c r="AP31" s="11" t="s">
        <v>5</v>
      </c>
      <c r="AQ31" s="12" t="str">
        <f>VLOOKUP(LOWER(AS26),experiments_specs!$A:$J,6,FALSE)</f>
        <v>True</v>
      </c>
      <c r="AR31" s="15" t="s">
        <v>78</v>
      </c>
      <c r="AS31" s="6"/>
      <c r="AT31" s="18"/>
      <c r="AU31" s="18"/>
      <c r="AV31" s="18"/>
      <c r="AW31" s="18"/>
      <c r="AX31" s="31"/>
      <c r="AY31" s="23"/>
      <c r="AZ31" s="23"/>
      <c r="BA31" s="23"/>
      <c r="BB31" s="23"/>
      <c r="BC31" s="34"/>
      <c r="BE31" s="16"/>
    </row>
    <row r="32" spans="2:57" ht="34" x14ac:dyDescent="0.2">
      <c r="B32" s="16"/>
      <c r="D32" s="11" t="s">
        <v>6</v>
      </c>
      <c r="E32" s="12" t="str">
        <f>VLOOKUP(LOWER(G26),experiments_specs!$A:$J,7,FALSE)</f>
        <v>False</v>
      </c>
      <c r="F32" s="15" t="s">
        <v>62</v>
      </c>
      <c r="G32" s="6"/>
      <c r="H32" s="19"/>
      <c r="I32" s="19"/>
      <c r="J32" s="19"/>
      <c r="K32" s="19"/>
      <c r="L32" s="31"/>
      <c r="M32" s="23"/>
      <c r="N32" s="23"/>
      <c r="O32" s="23"/>
      <c r="P32" s="23"/>
      <c r="Q32" s="34"/>
      <c r="S32" s="16"/>
      <c r="U32" s="16"/>
      <c r="W32" s="11" t="s">
        <v>6</v>
      </c>
      <c r="X32" s="12" t="str">
        <f>VLOOKUP(LOWER(Z26),experiments_specs!$A:$J,7,FALSE)</f>
        <v>False</v>
      </c>
      <c r="Y32" s="15" t="s">
        <v>72</v>
      </c>
      <c r="Z32" s="6" t="s">
        <v>15</v>
      </c>
      <c r="AA32" s="19" t="s">
        <v>26</v>
      </c>
      <c r="AB32" s="19">
        <v>0.15617376099999999</v>
      </c>
      <c r="AC32" s="19" t="s">
        <v>27</v>
      </c>
      <c r="AD32" s="19">
        <v>1.5617376000000001E-2</v>
      </c>
      <c r="AE32" s="31">
        <v>0.16666666666666666</v>
      </c>
      <c r="AF32" s="23" t="s">
        <v>200</v>
      </c>
      <c r="AG32" s="23" t="s">
        <v>201</v>
      </c>
      <c r="AH32" s="23" t="s">
        <v>203</v>
      </c>
      <c r="AI32" s="23" t="s">
        <v>204</v>
      </c>
      <c r="AJ32" s="34">
        <v>0.18181818181818182</v>
      </c>
      <c r="AL32" s="16"/>
      <c r="AN32" s="16"/>
      <c r="AP32" s="11" t="s">
        <v>6</v>
      </c>
      <c r="AQ32" s="12" t="str">
        <f>VLOOKUP(LOWER(AS26),experiments_specs!$A:$J,7,FALSE)</f>
        <v>False</v>
      </c>
      <c r="AR32" s="15" t="s">
        <v>78</v>
      </c>
      <c r="AS32" s="6"/>
      <c r="AT32" s="19"/>
      <c r="AU32" s="19"/>
      <c r="AV32" s="19"/>
      <c r="AW32" s="19"/>
      <c r="AX32" s="31"/>
      <c r="AY32" s="23"/>
      <c r="AZ32" s="23"/>
      <c r="BA32" s="23"/>
      <c r="BB32" s="23"/>
      <c r="BC32" s="34"/>
      <c r="BE32" s="16"/>
    </row>
    <row r="33" spans="2:57" ht="17" x14ac:dyDescent="0.2">
      <c r="B33" s="16"/>
      <c r="D33" s="11" t="s">
        <v>7</v>
      </c>
      <c r="E33" s="12" t="str">
        <f>VLOOKUP(LOWER(G26),experiments_specs!$A:$J,8,FALSE)</f>
        <v>False</v>
      </c>
      <c r="F33" s="15" t="s">
        <v>62</v>
      </c>
      <c r="G33" s="6"/>
      <c r="H33" s="19"/>
      <c r="I33" s="19"/>
      <c r="J33" s="19"/>
      <c r="K33" s="19"/>
      <c r="L33" s="31"/>
      <c r="M33" s="23"/>
      <c r="N33" s="23"/>
      <c r="O33" s="23"/>
      <c r="P33" s="23"/>
      <c r="Q33" s="34"/>
      <c r="S33" s="16"/>
      <c r="U33" s="16"/>
      <c r="W33" s="11" t="s">
        <v>7</v>
      </c>
      <c r="X33" s="12" t="str">
        <f>VLOOKUP(LOWER(Z26),experiments_specs!$A:$J,8,FALSE)</f>
        <v>False</v>
      </c>
      <c r="Y33" s="15" t="s">
        <v>72</v>
      </c>
      <c r="Z33" s="6" t="s">
        <v>16</v>
      </c>
      <c r="AA33" s="19" t="s">
        <v>39</v>
      </c>
      <c r="AB33" s="19">
        <v>6.4549722000000004E-2</v>
      </c>
      <c r="AC33" s="19" t="s">
        <v>40</v>
      </c>
      <c r="AD33" s="19">
        <v>2.0143830000000001E-2</v>
      </c>
      <c r="AE33" s="31">
        <v>0.22222222222222221</v>
      </c>
      <c r="AF33" s="23" t="s">
        <v>41</v>
      </c>
      <c r="AG33" s="23">
        <v>4.1666665999999998E-2</v>
      </c>
      <c r="AH33" s="23" t="s">
        <v>40</v>
      </c>
      <c r="AI33" s="23">
        <v>2.0143830000000001E-2</v>
      </c>
      <c r="AJ33" s="34">
        <v>0.22222222222222221</v>
      </c>
      <c r="AL33" s="16"/>
      <c r="AN33" s="16"/>
      <c r="AP33" s="11" t="s">
        <v>7</v>
      </c>
      <c r="AQ33" s="12" t="str">
        <f>VLOOKUP(LOWER(AS26),experiments_specs!$A:$J,8,FALSE)</f>
        <v>False</v>
      </c>
      <c r="AR33" s="15" t="s">
        <v>78</v>
      </c>
      <c r="AS33" s="6"/>
      <c r="AT33" s="19"/>
      <c r="AU33" s="19"/>
      <c r="AV33" s="19"/>
      <c r="AW33" s="19"/>
      <c r="AX33" s="31"/>
      <c r="AY33" s="23"/>
      <c r="AZ33" s="23"/>
      <c r="BA33" s="23"/>
      <c r="BB33" s="23"/>
      <c r="BC33" s="34"/>
      <c r="BE33" s="16"/>
    </row>
    <row r="34" spans="2:57" ht="51" x14ac:dyDescent="0.2">
      <c r="B34" s="16"/>
      <c r="D34" s="11" t="s">
        <v>8</v>
      </c>
      <c r="E34" s="12" t="str">
        <f>VLOOKUP(LOWER(G26),experiments_specs!$A:$J,9,FALSE)</f>
        <v>wup_similarity</v>
      </c>
      <c r="F34" s="15" t="s">
        <v>62</v>
      </c>
      <c r="G34" s="6"/>
      <c r="H34" s="19"/>
      <c r="I34" s="19"/>
      <c r="J34" s="19"/>
      <c r="K34" s="19"/>
      <c r="L34" s="31"/>
      <c r="M34" s="22"/>
      <c r="N34" s="22"/>
      <c r="O34" s="22"/>
      <c r="P34" s="22"/>
      <c r="Q34" s="34"/>
      <c r="S34" s="16"/>
      <c r="U34" s="16"/>
      <c r="W34" s="11" t="s">
        <v>8</v>
      </c>
      <c r="X34" s="12" t="str">
        <f>VLOOKUP(LOWER(Z26),experiments_specs!$A:$J,9,FALSE)</f>
        <v>wup_similarity</v>
      </c>
      <c r="Y34" s="15" t="s">
        <v>72</v>
      </c>
      <c r="Z34" s="6" t="s">
        <v>17</v>
      </c>
      <c r="AA34" s="19" t="s">
        <v>30</v>
      </c>
      <c r="AB34" s="19">
        <v>0.102868899</v>
      </c>
      <c r="AC34" s="19" t="s">
        <v>31</v>
      </c>
      <c r="AD34" s="19">
        <v>3.0860669E-2</v>
      </c>
      <c r="AE34" s="31">
        <v>0.22222222222222221</v>
      </c>
      <c r="AF34" s="23" t="s">
        <v>206</v>
      </c>
      <c r="AG34" s="23" t="s">
        <v>207</v>
      </c>
      <c r="AH34" s="23" t="s">
        <v>209</v>
      </c>
      <c r="AI34" s="23" t="s">
        <v>210</v>
      </c>
      <c r="AJ34" s="34">
        <v>0.30769230769230771</v>
      </c>
      <c r="AL34" s="16"/>
      <c r="AN34" s="16"/>
      <c r="AP34" s="11" t="s">
        <v>8</v>
      </c>
      <c r="AQ34" s="12" t="str">
        <f>VLOOKUP(LOWER(AS26),experiments_specs!$A:$J,9,FALSE)</f>
        <v>wup_similarity</v>
      </c>
      <c r="AR34" s="15" t="s">
        <v>78</v>
      </c>
      <c r="AS34" s="6"/>
      <c r="AT34" s="18"/>
      <c r="AU34" s="18"/>
      <c r="AV34" s="18"/>
      <c r="AW34" s="18"/>
      <c r="AX34" s="31"/>
      <c r="AY34" s="23"/>
      <c r="AZ34" s="23"/>
      <c r="BA34" s="23"/>
      <c r="BB34" s="23"/>
      <c r="BC34" s="34"/>
      <c r="BE34" s="16"/>
    </row>
    <row r="35" spans="2:57" x14ac:dyDescent="0.2">
      <c r="B35" s="16"/>
      <c r="D35" s="11" t="s">
        <v>9</v>
      </c>
      <c r="E35" s="12" t="str">
        <f>VLOOKUP(LOWER(G26),experiments_specs!$A:$J,10,FALSE)</f>
        <v>False</v>
      </c>
      <c r="F35" s="15" t="s">
        <v>62</v>
      </c>
      <c r="G35" s="7"/>
      <c r="H35" s="20"/>
      <c r="I35" s="20"/>
      <c r="J35" s="20"/>
      <c r="K35" s="20"/>
      <c r="L35" s="32"/>
      <c r="M35" s="24"/>
      <c r="N35" s="24"/>
      <c r="O35" s="24"/>
      <c r="P35" s="24"/>
      <c r="Q35" s="35"/>
      <c r="S35" s="16"/>
      <c r="U35" s="16"/>
      <c r="W35" s="11" t="s">
        <v>9</v>
      </c>
      <c r="X35" s="12" t="str">
        <f>VLOOKUP(LOWER(Z26),experiments_specs!$A:$J,10,FALSE)</f>
        <v>False</v>
      </c>
      <c r="Y35" s="15" t="s">
        <v>72</v>
      </c>
      <c r="Z35" s="7" t="s">
        <v>18</v>
      </c>
      <c r="AA35" s="20" t="s">
        <v>44</v>
      </c>
      <c r="AB35" s="20">
        <v>3.5267279999999998E-2</v>
      </c>
      <c r="AC35" s="20" t="s">
        <v>45</v>
      </c>
      <c r="AD35" s="20">
        <v>1.4253101000000001E-2</v>
      </c>
      <c r="AE35" s="32">
        <v>0.21052631578947367</v>
      </c>
      <c r="AF35" s="24" t="s">
        <v>46</v>
      </c>
      <c r="AG35" s="24">
        <v>0</v>
      </c>
      <c r="AH35" s="24" t="s">
        <v>45</v>
      </c>
      <c r="AI35" s="24">
        <v>1.4253101000000001E-2</v>
      </c>
      <c r="AJ35" s="35">
        <v>0.21052631578947367</v>
      </c>
      <c r="AL35" s="16"/>
      <c r="AN35" s="16"/>
      <c r="AP35" s="11" t="s">
        <v>9</v>
      </c>
      <c r="AQ35" s="12" t="str">
        <f>VLOOKUP(LOWER(AS26),experiments_specs!$A:$J,10,FALSE)</f>
        <v>True</v>
      </c>
      <c r="AR35" s="15" t="s">
        <v>78</v>
      </c>
      <c r="AS35" s="7"/>
      <c r="AT35" s="20"/>
      <c r="AU35" s="20"/>
      <c r="AV35" s="20"/>
      <c r="AW35" s="20"/>
      <c r="AX35" s="32"/>
      <c r="AY35" s="24"/>
      <c r="AZ35" s="24"/>
      <c r="BA35" s="24"/>
      <c r="BB35" s="24"/>
      <c r="BC35" s="35"/>
      <c r="BE35" s="16"/>
    </row>
    <row r="36" spans="2:57" ht="17" thickBot="1" x14ac:dyDescent="0.25">
      <c r="B36" s="16"/>
      <c r="S36" s="16"/>
      <c r="U36" s="16"/>
      <c r="AL36" s="16"/>
      <c r="AN36" s="16"/>
      <c r="BE36" s="16"/>
    </row>
    <row r="37" spans="2:57" ht="20" thickBot="1" x14ac:dyDescent="0.3">
      <c r="B37" s="16"/>
      <c r="D37" s="13" t="s">
        <v>126</v>
      </c>
      <c r="E37" s="14"/>
      <c r="F37" s="9"/>
      <c r="G37" s="10" t="str">
        <f>"TEST_"&amp;TEXT(RIGHT(G26,2)+1, "00")</f>
        <v>TEST_04</v>
      </c>
      <c r="H37" s="36" t="s">
        <v>124</v>
      </c>
      <c r="I37" s="36"/>
      <c r="J37" s="36"/>
      <c r="K37" s="36"/>
      <c r="L37" s="36"/>
      <c r="M37" s="37" t="s">
        <v>123</v>
      </c>
      <c r="N37" s="37"/>
      <c r="O37" s="37"/>
      <c r="P37" s="37"/>
      <c r="Q37" s="37"/>
      <c r="R37" s="2"/>
      <c r="S37" s="16"/>
      <c r="U37" s="16"/>
      <c r="W37" s="13" t="s">
        <v>126</v>
      </c>
      <c r="X37" s="14"/>
      <c r="Y37" s="9"/>
      <c r="Z37" s="10" t="str">
        <f>"TEST_"&amp;TEXT(RIGHT(Z26,2)+1, "00")</f>
        <v>TEST_10</v>
      </c>
      <c r="AA37" s="36" t="s">
        <v>124</v>
      </c>
      <c r="AB37" s="36"/>
      <c r="AC37" s="36"/>
      <c r="AD37" s="36"/>
      <c r="AE37" s="36"/>
      <c r="AF37" s="37" t="s">
        <v>123</v>
      </c>
      <c r="AG37" s="37"/>
      <c r="AH37" s="37"/>
      <c r="AI37" s="37"/>
      <c r="AJ37" s="37"/>
      <c r="AK37" s="2"/>
      <c r="AL37" s="16"/>
      <c r="AN37" s="16"/>
      <c r="AP37" s="13" t="s">
        <v>126</v>
      </c>
      <c r="AQ37" s="14"/>
      <c r="AR37" s="9"/>
      <c r="AS37" s="10" t="str">
        <f>"TEST_"&amp;TEXT(RIGHT(AS26,2)+1, "00")</f>
        <v>TEST_16</v>
      </c>
      <c r="AT37" s="36" t="s">
        <v>124</v>
      </c>
      <c r="AU37" s="36"/>
      <c r="AV37" s="36"/>
      <c r="AW37" s="36"/>
      <c r="AX37" s="36"/>
      <c r="AY37" s="37" t="s">
        <v>123</v>
      </c>
      <c r="AZ37" s="37"/>
      <c r="BA37" s="37"/>
      <c r="BB37" s="37"/>
      <c r="BC37" s="37"/>
      <c r="BD37" s="2"/>
      <c r="BE37" s="16"/>
    </row>
    <row r="38" spans="2:57" x14ac:dyDescent="0.2">
      <c r="B38" s="16"/>
      <c r="D38" s="11" t="s">
        <v>1</v>
      </c>
      <c r="E38" s="12" t="str">
        <f>VLOOKUP(LOWER(G37),experiments_specs!$A:$J,2,FALSE)</f>
        <v>NN,VB,VBD,VBG,VBN,VBP,VBZ</v>
      </c>
      <c r="F38" s="15" t="str">
        <f>"{"&amp;LOWER(G37)&amp;".csv}"</f>
        <v>{test_04.csv}</v>
      </c>
      <c r="G38" s="8" t="s">
        <v>118</v>
      </c>
      <c r="H38" s="3" t="s">
        <v>119</v>
      </c>
      <c r="I38" s="3" t="s">
        <v>182</v>
      </c>
      <c r="J38" s="3" t="s">
        <v>120</v>
      </c>
      <c r="K38" s="3" t="s">
        <v>182</v>
      </c>
      <c r="L38" s="3" t="s">
        <v>121</v>
      </c>
      <c r="M38" s="4" t="s">
        <v>122</v>
      </c>
      <c r="N38" s="4" t="s">
        <v>182</v>
      </c>
      <c r="O38" s="4" t="s">
        <v>120</v>
      </c>
      <c r="P38" s="4" t="s">
        <v>182</v>
      </c>
      <c r="Q38" s="4" t="s">
        <v>121</v>
      </c>
      <c r="S38" s="16"/>
      <c r="U38" s="16"/>
      <c r="W38" s="11" t="s">
        <v>1</v>
      </c>
      <c r="X38" s="12" t="str">
        <f>VLOOKUP(LOWER(Z37),experiments_specs!$A:$J,2,FALSE)</f>
        <v>NN,VB,VBD,VBG,VBN,VBP,VBZ</v>
      </c>
      <c r="Y38" s="15" t="str">
        <f>"{"&amp;LOWER(Z37)&amp;".csv}"</f>
        <v>{test_10.csv}</v>
      </c>
      <c r="Z38" s="8" t="s">
        <v>118</v>
      </c>
      <c r="AA38" s="3" t="s">
        <v>119</v>
      </c>
      <c r="AB38" s="3" t="s">
        <v>182</v>
      </c>
      <c r="AC38" s="3" t="s">
        <v>120</v>
      </c>
      <c r="AD38" s="3" t="s">
        <v>182</v>
      </c>
      <c r="AE38" s="3" t="s">
        <v>121</v>
      </c>
      <c r="AF38" s="4" t="s">
        <v>122</v>
      </c>
      <c r="AG38" s="4" t="s">
        <v>182</v>
      </c>
      <c r="AH38" s="4" t="s">
        <v>120</v>
      </c>
      <c r="AI38" s="4" t="s">
        <v>182</v>
      </c>
      <c r="AJ38" s="4" t="s">
        <v>121</v>
      </c>
      <c r="AL38" s="16"/>
      <c r="AN38" s="16"/>
      <c r="AP38" s="11" t="s">
        <v>1</v>
      </c>
      <c r="AQ38" s="12" t="str">
        <f>VLOOKUP(LOWER(AS37),experiments_specs!$A:$J,2,FALSE)</f>
        <v>NN,VB,VBD,VBG,VBN,VBP,VBZ</v>
      </c>
      <c r="AR38" s="15" t="str">
        <f>"{"&amp;LOWER(AS37)&amp;".csv}"</f>
        <v>{test_16.csv}</v>
      </c>
      <c r="AS38" s="8" t="s">
        <v>118</v>
      </c>
      <c r="AT38" s="3" t="s">
        <v>119</v>
      </c>
      <c r="AU38" s="3" t="s">
        <v>182</v>
      </c>
      <c r="AV38" s="3" t="s">
        <v>120</v>
      </c>
      <c r="AW38" s="3" t="s">
        <v>182</v>
      </c>
      <c r="AX38" s="3" t="s">
        <v>121</v>
      </c>
      <c r="AY38" s="4" t="s">
        <v>122</v>
      </c>
      <c r="AZ38" s="4" t="s">
        <v>182</v>
      </c>
      <c r="BA38" s="4" t="s">
        <v>120</v>
      </c>
      <c r="BB38" s="4" t="s">
        <v>182</v>
      </c>
      <c r="BC38" s="4" t="s">
        <v>121</v>
      </c>
      <c r="BE38" s="16"/>
    </row>
    <row r="39" spans="2:57" x14ac:dyDescent="0.2">
      <c r="B39" s="16"/>
      <c r="D39" s="11" t="s">
        <v>2</v>
      </c>
      <c r="E39" s="12">
        <f>VLOOKUP(LOWER(G37),experiments_specs!$A:$J,3,FALSE)</f>
        <v>1</v>
      </c>
      <c r="F39" s="15" t="s">
        <v>64</v>
      </c>
      <c r="G39" s="5"/>
      <c r="H39" s="17"/>
      <c r="I39" s="17"/>
      <c r="J39" s="17"/>
      <c r="K39" s="17"/>
      <c r="L39" s="30"/>
      <c r="M39" s="21"/>
      <c r="N39" s="21"/>
      <c r="O39" s="21"/>
      <c r="P39" s="21"/>
      <c r="Q39" s="33"/>
      <c r="S39" s="16"/>
      <c r="U39" s="16"/>
      <c r="W39" s="11" t="s">
        <v>2</v>
      </c>
      <c r="X39" s="12">
        <f>VLOOKUP(LOWER(Z37),experiments_specs!$A:$J,3,FALSE)</f>
        <v>1</v>
      </c>
      <c r="Y39" s="15" t="s">
        <v>73</v>
      </c>
      <c r="Z39" s="5" t="s">
        <v>19</v>
      </c>
      <c r="AA39" s="17"/>
      <c r="AB39" s="17"/>
      <c r="AC39" s="17"/>
      <c r="AD39" s="17"/>
      <c r="AE39" s="30"/>
      <c r="AF39" s="21"/>
      <c r="AG39" s="21"/>
      <c r="AH39" s="21"/>
      <c r="AI39" s="21"/>
      <c r="AJ39" s="33"/>
      <c r="AL39" s="16"/>
      <c r="AN39" s="16"/>
      <c r="AP39" s="11" t="s">
        <v>2</v>
      </c>
      <c r="AQ39" s="12">
        <f>VLOOKUP(LOWER(AS37),experiments_specs!$A:$J,3,FALSE)</f>
        <v>1</v>
      </c>
      <c r="AR39" s="15" t="s">
        <v>79</v>
      </c>
      <c r="AS39" s="5"/>
      <c r="AT39" s="17"/>
      <c r="AU39" s="17"/>
      <c r="AV39" s="17"/>
      <c r="AW39" s="17"/>
      <c r="AX39" s="30"/>
      <c r="AY39" s="21"/>
      <c r="AZ39" s="21"/>
      <c r="BA39" s="21"/>
      <c r="BB39" s="21"/>
      <c r="BC39" s="33"/>
      <c r="BE39" s="16"/>
    </row>
    <row r="40" spans="2:57" x14ac:dyDescent="0.2">
      <c r="B40" s="16"/>
      <c r="D40" s="11" t="s">
        <v>3</v>
      </c>
      <c r="E40" s="12">
        <f>VLOOKUP(LOWER(G37),experiments_specs!$A:$J,4,FALSE)</f>
        <v>2</v>
      </c>
      <c r="F40" s="15" t="s">
        <v>64</v>
      </c>
      <c r="G40" s="6"/>
      <c r="H40" s="19"/>
      <c r="I40" s="19"/>
      <c r="J40" s="19"/>
      <c r="K40" s="19"/>
      <c r="L40" s="31"/>
      <c r="M40" s="22"/>
      <c r="N40" s="22"/>
      <c r="O40" s="22"/>
      <c r="P40" s="22"/>
      <c r="Q40" s="34"/>
      <c r="S40" s="16"/>
      <c r="U40" s="16"/>
      <c r="W40" s="11" t="s">
        <v>3</v>
      </c>
      <c r="X40" s="12">
        <f>VLOOKUP(LOWER(Z37),experiments_specs!$A:$J,4,FALSE)</f>
        <v>2</v>
      </c>
      <c r="Y40" s="15" t="s">
        <v>73</v>
      </c>
      <c r="Z40" s="6" t="s">
        <v>12</v>
      </c>
      <c r="AA40" s="19"/>
      <c r="AB40" s="19"/>
      <c r="AC40" s="19"/>
      <c r="AD40" s="19"/>
      <c r="AE40" s="31"/>
      <c r="AF40" s="22"/>
      <c r="AG40" s="22"/>
      <c r="AH40" s="22"/>
      <c r="AI40" s="22"/>
      <c r="AJ40" s="34"/>
      <c r="AL40" s="16"/>
      <c r="AN40" s="16"/>
      <c r="AP40" s="11" t="s">
        <v>3</v>
      </c>
      <c r="AQ40" s="12">
        <f>VLOOKUP(LOWER(AS37),experiments_specs!$A:$J,4,FALSE)</f>
        <v>2</v>
      </c>
      <c r="AR40" s="15" t="s">
        <v>79</v>
      </c>
      <c r="AS40" s="6"/>
      <c r="AT40" s="19"/>
      <c r="AU40" s="19"/>
      <c r="AV40" s="19"/>
      <c r="AW40" s="19"/>
      <c r="AX40" s="31"/>
      <c r="AY40" s="22"/>
      <c r="AZ40" s="22"/>
      <c r="BA40" s="22"/>
      <c r="BB40" s="22"/>
      <c r="BC40" s="34"/>
      <c r="BE40" s="16"/>
    </row>
    <row r="41" spans="2:57" x14ac:dyDescent="0.2">
      <c r="B41" s="16"/>
      <c r="D41" s="11" t="s">
        <v>4</v>
      </c>
      <c r="E41" s="12" t="str">
        <f>VLOOKUP(LOWER(G37),experiments_specs!$A:$J,5,FALSE)</f>
        <v>False</v>
      </c>
      <c r="F41" s="15" t="s">
        <v>64</v>
      </c>
      <c r="G41" s="6"/>
      <c r="H41" s="19"/>
      <c r="I41" s="19"/>
      <c r="J41" s="19"/>
      <c r="K41" s="19"/>
      <c r="L41" s="31"/>
      <c r="M41" s="22"/>
      <c r="N41" s="22"/>
      <c r="O41" s="22"/>
      <c r="P41" s="22"/>
      <c r="Q41" s="34"/>
      <c r="S41" s="16"/>
      <c r="U41" s="16"/>
      <c r="W41" s="11" t="s">
        <v>4</v>
      </c>
      <c r="X41" s="12" t="str">
        <f>VLOOKUP(LOWER(Z37),experiments_specs!$A:$J,5,FALSE)</f>
        <v>True</v>
      </c>
      <c r="Y41" s="15" t="s">
        <v>73</v>
      </c>
      <c r="Z41" s="6" t="s">
        <v>13</v>
      </c>
      <c r="AA41" s="19"/>
      <c r="AB41" s="19"/>
      <c r="AC41" s="19"/>
      <c r="AD41" s="19"/>
      <c r="AE41" s="31"/>
      <c r="AF41" s="22"/>
      <c r="AG41" s="22"/>
      <c r="AH41" s="22"/>
      <c r="AI41" s="22"/>
      <c r="AJ41" s="34"/>
      <c r="AL41" s="16"/>
      <c r="AN41" s="16"/>
      <c r="AP41" s="11" t="s">
        <v>4</v>
      </c>
      <c r="AQ41" s="12" t="str">
        <f>VLOOKUP(LOWER(AS37),experiments_specs!$A:$J,5,FALSE)</f>
        <v>True</v>
      </c>
      <c r="AR41" s="15" t="s">
        <v>79</v>
      </c>
      <c r="AS41" s="6"/>
      <c r="AT41" s="19"/>
      <c r="AU41" s="19"/>
      <c r="AV41" s="19"/>
      <c r="AW41" s="19"/>
      <c r="AX41" s="31"/>
      <c r="AY41" s="23"/>
      <c r="AZ41" s="23"/>
      <c r="BA41" s="23"/>
      <c r="BB41" s="23"/>
      <c r="BC41" s="34"/>
      <c r="BE41" s="16"/>
    </row>
    <row r="42" spans="2:57" x14ac:dyDescent="0.2">
      <c r="B42" s="16"/>
      <c r="D42" s="11" t="s">
        <v>5</v>
      </c>
      <c r="E42" s="12" t="str">
        <f>VLOOKUP(LOWER(G37),experiments_specs!$A:$J,6,FALSE)</f>
        <v>True</v>
      </c>
      <c r="F42" s="15" t="s">
        <v>64</v>
      </c>
      <c r="G42" s="6"/>
      <c r="H42" s="19"/>
      <c r="I42" s="19"/>
      <c r="J42" s="19"/>
      <c r="K42" s="19"/>
      <c r="L42" s="31"/>
      <c r="M42" s="22"/>
      <c r="N42" s="22"/>
      <c r="O42" s="22"/>
      <c r="P42" s="22"/>
      <c r="Q42" s="34"/>
      <c r="S42" s="16"/>
      <c r="U42" s="16"/>
      <c r="W42" s="11" t="s">
        <v>5</v>
      </c>
      <c r="X42" s="12" t="str">
        <f>VLOOKUP(LOWER(Z37),experiments_specs!$A:$J,6,FALSE)</f>
        <v>True</v>
      </c>
      <c r="Y42" s="15" t="s">
        <v>73</v>
      </c>
      <c r="Z42" s="6" t="s">
        <v>14</v>
      </c>
      <c r="AA42" s="18"/>
      <c r="AB42" s="18"/>
      <c r="AC42" s="18"/>
      <c r="AD42" s="18"/>
      <c r="AE42" s="31"/>
      <c r="AF42" s="23"/>
      <c r="AG42" s="23"/>
      <c r="AH42" s="23"/>
      <c r="AI42" s="23"/>
      <c r="AJ42" s="34"/>
      <c r="AL42" s="16"/>
      <c r="AN42" s="16"/>
      <c r="AP42" s="11" t="s">
        <v>5</v>
      </c>
      <c r="AQ42" s="12" t="str">
        <f>VLOOKUP(LOWER(AS37),experiments_specs!$A:$J,6,FALSE)</f>
        <v>True</v>
      </c>
      <c r="AR42" s="15" t="s">
        <v>79</v>
      </c>
      <c r="AS42" s="6"/>
      <c r="AT42" s="18"/>
      <c r="AU42" s="18"/>
      <c r="AV42" s="18"/>
      <c r="AW42" s="18"/>
      <c r="AX42" s="31"/>
      <c r="AY42" s="23"/>
      <c r="AZ42" s="23"/>
      <c r="BA42" s="23"/>
      <c r="BB42" s="23"/>
      <c r="BC42" s="34"/>
      <c r="BE42" s="16"/>
    </row>
    <row r="43" spans="2:57" x14ac:dyDescent="0.2">
      <c r="B43" s="16"/>
      <c r="D43" s="11" t="s">
        <v>6</v>
      </c>
      <c r="E43" s="12" t="str">
        <f>VLOOKUP(LOWER(G37),experiments_specs!$A:$J,7,FALSE)</f>
        <v>False</v>
      </c>
      <c r="F43" s="15" t="s">
        <v>64</v>
      </c>
      <c r="G43" s="6"/>
      <c r="H43" s="19"/>
      <c r="I43" s="19"/>
      <c r="J43" s="19"/>
      <c r="K43" s="19"/>
      <c r="L43" s="31"/>
      <c r="M43" s="23"/>
      <c r="N43" s="23"/>
      <c r="O43" s="23"/>
      <c r="P43" s="23"/>
      <c r="Q43" s="34"/>
      <c r="S43" s="16"/>
      <c r="U43" s="16"/>
      <c r="W43" s="11" t="s">
        <v>6</v>
      </c>
      <c r="X43" s="12" t="str">
        <f>VLOOKUP(LOWER(Z37),experiments_specs!$A:$J,7,FALSE)</f>
        <v>False</v>
      </c>
      <c r="Y43" s="15" t="s">
        <v>73</v>
      </c>
      <c r="Z43" s="6" t="s">
        <v>15</v>
      </c>
      <c r="AA43" s="19"/>
      <c r="AB43" s="19"/>
      <c r="AC43" s="19"/>
      <c r="AD43" s="19"/>
      <c r="AE43" s="31"/>
      <c r="AF43" s="23"/>
      <c r="AG43" s="23"/>
      <c r="AH43" s="23"/>
      <c r="AI43" s="23"/>
      <c r="AJ43" s="34"/>
      <c r="AL43" s="16"/>
      <c r="AN43" s="16"/>
      <c r="AP43" s="11" t="s">
        <v>6</v>
      </c>
      <c r="AQ43" s="12" t="str">
        <f>VLOOKUP(LOWER(AS37),experiments_specs!$A:$J,7,FALSE)</f>
        <v>False</v>
      </c>
      <c r="AR43" s="15" t="s">
        <v>79</v>
      </c>
      <c r="AS43" s="6"/>
      <c r="AT43" s="19"/>
      <c r="AU43" s="19"/>
      <c r="AV43" s="19"/>
      <c r="AW43" s="19"/>
      <c r="AX43" s="31"/>
      <c r="AY43" s="23"/>
      <c r="AZ43" s="23"/>
      <c r="BA43" s="23"/>
      <c r="BB43" s="23"/>
      <c r="BC43" s="34"/>
      <c r="BE43" s="16"/>
    </row>
    <row r="44" spans="2:57" x14ac:dyDescent="0.2">
      <c r="B44" s="16"/>
      <c r="D44" s="11" t="s">
        <v>7</v>
      </c>
      <c r="E44" s="12" t="str">
        <f>VLOOKUP(LOWER(G37),experiments_specs!$A:$J,8,FALSE)</f>
        <v>False</v>
      </c>
      <c r="F44" s="15" t="s">
        <v>64</v>
      </c>
      <c r="G44" s="6"/>
      <c r="H44" s="19"/>
      <c r="I44" s="19"/>
      <c r="J44" s="19"/>
      <c r="K44" s="19"/>
      <c r="L44" s="31"/>
      <c r="M44" s="23"/>
      <c r="N44" s="23"/>
      <c r="O44" s="23"/>
      <c r="P44" s="23"/>
      <c r="Q44" s="34"/>
      <c r="S44" s="16"/>
      <c r="U44" s="16"/>
      <c r="W44" s="11" t="s">
        <v>7</v>
      </c>
      <c r="X44" s="12" t="str">
        <f>VLOOKUP(LOWER(Z37),experiments_specs!$A:$J,8,FALSE)</f>
        <v>False</v>
      </c>
      <c r="Y44" s="15" t="s">
        <v>73</v>
      </c>
      <c r="Z44" s="6" t="s">
        <v>16</v>
      </c>
      <c r="AA44" s="19"/>
      <c r="AB44" s="19"/>
      <c r="AC44" s="19"/>
      <c r="AD44" s="19"/>
      <c r="AE44" s="31"/>
      <c r="AF44" s="23"/>
      <c r="AG44" s="23"/>
      <c r="AH44" s="23"/>
      <c r="AI44" s="23"/>
      <c r="AJ44" s="34"/>
      <c r="AL44" s="16"/>
      <c r="AN44" s="16"/>
      <c r="AP44" s="11" t="s">
        <v>7</v>
      </c>
      <c r="AQ44" s="12" t="str">
        <f>VLOOKUP(LOWER(AS37),experiments_specs!$A:$J,8,FALSE)</f>
        <v>False</v>
      </c>
      <c r="AR44" s="15" t="s">
        <v>79</v>
      </c>
      <c r="AS44" s="6"/>
      <c r="AT44" s="19"/>
      <c r="AU44" s="19"/>
      <c r="AV44" s="19"/>
      <c r="AW44" s="19"/>
      <c r="AX44" s="31"/>
      <c r="AY44" s="23"/>
      <c r="AZ44" s="23"/>
      <c r="BA44" s="23"/>
      <c r="BB44" s="23"/>
      <c r="BC44" s="34"/>
      <c r="BE44" s="16"/>
    </row>
    <row r="45" spans="2:57" x14ac:dyDescent="0.2">
      <c r="B45" s="16"/>
      <c r="D45" s="11" t="s">
        <v>8</v>
      </c>
      <c r="E45" s="12" t="str">
        <f>VLOOKUP(LOWER(G37),experiments_specs!$A:$J,9,FALSE)</f>
        <v>wup_similarity</v>
      </c>
      <c r="F45" s="15" t="s">
        <v>64</v>
      </c>
      <c r="G45" s="6"/>
      <c r="H45" s="19"/>
      <c r="I45" s="19"/>
      <c r="J45" s="19"/>
      <c r="K45" s="19"/>
      <c r="L45" s="31"/>
      <c r="M45" s="22"/>
      <c r="N45" s="22"/>
      <c r="O45" s="22"/>
      <c r="P45" s="22"/>
      <c r="Q45" s="34"/>
      <c r="S45" s="16"/>
      <c r="U45" s="16"/>
      <c r="W45" s="11" t="s">
        <v>8</v>
      </c>
      <c r="X45" s="12" t="str">
        <f>VLOOKUP(LOWER(Z37),experiments_specs!$A:$J,9,FALSE)</f>
        <v>wup_similarity</v>
      </c>
      <c r="Y45" s="15" t="s">
        <v>73</v>
      </c>
      <c r="Z45" s="6" t="s">
        <v>17</v>
      </c>
      <c r="AA45" s="19"/>
      <c r="AB45" s="19"/>
      <c r="AC45" s="19"/>
      <c r="AD45" s="19"/>
      <c r="AE45" s="31"/>
      <c r="AF45" s="22"/>
      <c r="AG45" s="22"/>
      <c r="AH45" s="22"/>
      <c r="AI45" s="22"/>
      <c r="AJ45" s="34"/>
      <c r="AL45" s="16"/>
      <c r="AN45" s="16"/>
      <c r="AP45" s="11" t="s">
        <v>8</v>
      </c>
      <c r="AQ45" s="12" t="str">
        <f>VLOOKUP(LOWER(AS37),experiments_specs!$A:$J,9,FALSE)</f>
        <v>wup_similarity</v>
      </c>
      <c r="AR45" s="15" t="s">
        <v>79</v>
      </c>
      <c r="AS45" s="6"/>
      <c r="AT45" s="18"/>
      <c r="AU45" s="18"/>
      <c r="AV45" s="18"/>
      <c r="AW45" s="18"/>
      <c r="AX45" s="31"/>
      <c r="AY45" s="23"/>
      <c r="AZ45" s="23"/>
      <c r="BA45" s="23"/>
      <c r="BB45" s="23"/>
      <c r="BC45" s="34"/>
      <c r="BE45" s="16"/>
    </row>
    <row r="46" spans="2:57" x14ac:dyDescent="0.2">
      <c r="B46" s="16"/>
      <c r="D46" s="11" t="s">
        <v>9</v>
      </c>
      <c r="E46" s="12" t="str">
        <f>VLOOKUP(LOWER(G37),experiments_specs!$A:$J,10,FALSE)</f>
        <v>False</v>
      </c>
      <c r="F46" s="15" t="s">
        <v>64</v>
      </c>
      <c r="G46" s="7"/>
      <c r="H46" s="20"/>
      <c r="I46" s="20"/>
      <c r="J46" s="20"/>
      <c r="K46" s="20"/>
      <c r="L46" s="32"/>
      <c r="M46" s="24"/>
      <c r="N46" s="24"/>
      <c r="O46" s="24"/>
      <c r="P46" s="24"/>
      <c r="Q46" s="35"/>
      <c r="S46" s="16"/>
      <c r="U46" s="16"/>
      <c r="W46" s="11" t="s">
        <v>9</v>
      </c>
      <c r="X46" s="12" t="str">
        <f>VLOOKUP(LOWER(Z37),experiments_specs!$A:$J,10,FALSE)</f>
        <v>False</v>
      </c>
      <c r="Y46" s="15" t="s">
        <v>73</v>
      </c>
      <c r="Z46" s="7" t="s">
        <v>18</v>
      </c>
      <c r="AA46" s="20"/>
      <c r="AB46" s="20"/>
      <c r="AC46" s="20"/>
      <c r="AD46" s="20"/>
      <c r="AE46" s="32"/>
      <c r="AF46" s="24"/>
      <c r="AG46" s="24"/>
      <c r="AH46" s="24"/>
      <c r="AI46" s="24"/>
      <c r="AJ46" s="35"/>
      <c r="AL46" s="16"/>
      <c r="AN46" s="16"/>
      <c r="AP46" s="11" t="s">
        <v>9</v>
      </c>
      <c r="AQ46" s="12" t="str">
        <f>VLOOKUP(LOWER(AS37),experiments_specs!$A:$J,10,FALSE)</f>
        <v>True</v>
      </c>
      <c r="AR46" s="15" t="s">
        <v>79</v>
      </c>
      <c r="AS46" s="7"/>
      <c r="AT46" s="20"/>
      <c r="AU46" s="20"/>
      <c r="AV46" s="20"/>
      <c r="AW46" s="20"/>
      <c r="AX46" s="32"/>
      <c r="AY46" s="24"/>
      <c r="AZ46" s="24"/>
      <c r="BA46" s="24"/>
      <c r="BB46" s="24"/>
      <c r="BC46" s="35"/>
      <c r="BE46" s="16"/>
    </row>
    <row r="47" spans="2:57" ht="17" thickBot="1" x14ac:dyDescent="0.25">
      <c r="B47" s="16"/>
      <c r="S47" s="16"/>
      <c r="U47" s="16"/>
      <c r="AL47" s="16"/>
      <c r="AN47" s="16"/>
      <c r="BE47" s="16"/>
    </row>
    <row r="48" spans="2:57" ht="20" thickBot="1" x14ac:dyDescent="0.3">
      <c r="B48" s="16"/>
      <c r="D48" s="13" t="s">
        <v>126</v>
      </c>
      <c r="E48" s="14"/>
      <c r="F48" s="9"/>
      <c r="G48" s="10" t="str">
        <f>"TEST_"&amp;TEXT(RIGHT(G37,2)+1, "00")</f>
        <v>TEST_05</v>
      </c>
      <c r="H48" s="36" t="s">
        <v>124</v>
      </c>
      <c r="I48" s="36"/>
      <c r="J48" s="36"/>
      <c r="K48" s="36"/>
      <c r="L48" s="36"/>
      <c r="M48" s="37" t="s">
        <v>123</v>
      </c>
      <c r="N48" s="37"/>
      <c r="O48" s="37"/>
      <c r="P48" s="37"/>
      <c r="Q48" s="37"/>
      <c r="R48" s="2"/>
      <c r="S48" s="16"/>
      <c r="U48" s="16"/>
      <c r="W48" s="13" t="s">
        <v>126</v>
      </c>
      <c r="X48" s="14"/>
      <c r="Y48" s="9"/>
      <c r="Z48" s="10" t="str">
        <f>"TEST_"&amp;TEXT(RIGHT(Z37,2)+1, "00")</f>
        <v>TEST_11</v>
      </c>
      <c r="AA48" s="36" t="s">
        <v>124</v>
      </c>
      <c r="AB48" s="36"/>
      <c r="AC48" s="36"/>
      <c r="AD48" s="36"/>
      <c r="AE48" s="36"/>
      <c r="AF48" s="37" t="s">
        <v>123</v>
      </c>
      <c r="AG48" s="37"/>
      <c r="AH48" s="37"/>
      <c r="AI48" s="37"/>
      <c r="AJ48" s="37"/>
      <c r="AK48" s="2"/>
      <c r="AL48" s="16"/>
      <c r="AN48" s="16"/>
      <c r="AP48" s="13" t="s">
        <v>126</v>
      </c>
      <c r="AQ48" s="14"/>
      <c r="AR48" s="9"/>
      <c r="AS48" s="10" t="str">
        <f>"TEST_"&amp;TEXT(RIGHT(AS37,2)+1, "00")</f>
        <v>TEST_17</v>
      </c>
      <c r="AT48" s="36" t="s">
        <v>124</v>
      </c>
      <c r="AU48" s="36"/>
      <c r="AV48" s="36"/>
      <c r="AW48" s="36"/>
      <c r="AX48" s="36"/>
      <c r="AY48" s="37" t="s">
        <v>123</v>
      </c>
      <c r="AZ48" s="37"/>
      <c r="BA48" s="37"/>
      <c r="BB48" s="37"/>
      <c r="BC48" s="37"/>
      <c r="BD48" s="2"/>
      <c r="BE48" s="16"/>
    </row>
    <row r="49" spans="2:57" x14ac:dyDescent="0.2">
      <c r="B49" s="16"/>
      <c r="D49" s="11" t="s">
        <v>1</v>
      </c>
      <c r="E49" s="12" t="str">
        <f>VLOOKUP(LOWER(G48),experiments_specs!$A:$J,2,FALSE)</f>
        <v>NN,RB</v>
      </c>
      <c r="F49" s="15" t="str">
        <f>"{"&amp;LOWER(G48)&amp;".csv}"</f>
        <v>{test_05.csv}</v>
      </c>
      <c r="G49" s="8" t="s">
        <v>118</v>
      </c>
      <c r="H49" s="3" t="s">
        <v>119</v>
      </c>
      <c r="I49" s="3" t="s">
        <v>182</v>
      </c>
      <c r="J49" s="3" t="s">
        <v>120</v>
      </c>
      <c r="K49" s="3" t="s">
        <v>182</v>
      </c>
      <c r="L49" s="3" t="s">
        <v>121</v>
      </c>
      <c r="M49" s="4" t="s">
        <v>122</v>
      </c>
      <c r="N49" s="4" t="s">
        <v>182</v>
      </c>
      <c r="O49" s="4" t="s">
        <v>120</v>
      </c>
      <c r="P49" s="4" t="s">
        <v>182</v>
      </c>
      <c r="Q49" s="4" t="s">
        <v>121</v>
      </c>
      <c r="S49" s="16"/>
      <c r="U49" s="16"/>
      <c r="W49" s="11" t="s">
        <v>1</v>
      </c>
      <c r="X49" s="12" t="str">
        <f>VLOOKUP(LOWER(Z48),experiments_specs!$A:$J,2,FALSE)</f>
        <v>NN,RB</v>
      </c>
      <c r="Y49" s="15" t="str">
        <f>"{"&amp;LOWER(Z48)&amp;".csv}"</f>
        <v>{test_11.csv}</v>
      </c>
      <c r="Z49" s="8" t="s">
        <v>118</v>
      </c>
      <c r="AA49" s="3" t="s">
        <v>119</v>
      </c>
      <c r="AB49" s="3" t="s">
        <v>182</v>
      </c>
      <c r="AC49" s="3" t="s">
        <v>120</v>
      </c>
      <c r="AD49" s="3" t="s">
        <v>182</v>
      </c>
      <c r="AE49" s="3" t="s">
        <v>121</v>
      </c>
      <c r="AF49" s="4" t="s">
        <v>122</v>
      </c>
      <c r="AG49" s="4" t="s">
        <v>182</v>
      </c>
      <c r="AH49" s="4" t="s">
        <v>120</v>
      </c>
      <c r="AI49" s="4" t="s">
        <v>182</v>
      </c>
      <c r="AJ49" s="4" t="s">
        <v>121</v>
      </c>
      <c r="AL49" s="16"/>
      <c r="AN49" s="16"/>
      <c r="AP49" s="11" t="s">
        <v>1</v>
      </c>
      <c r="AQ49" s="12" t="str">
        <f>VLOOKUP(LOWER(AS48),experiments_specs!$A:$J,2,FALSE)</f>
        <v>NN,RB</v>
      </c>
      <c r="AR49" s="15" t="str">
        <f>"{"&amp;LOWER(AS48)&amp;".csv}"</f>
        <v>{test_17.csv}</v>
      </c>
      <c r="AS49" s="8" t="s">
        <v>118</v>
      </c>
      <c r="AT49" s="3" t="s">
        <v>119</v>
      </c>
      <c r="AU49" s="3" t="s">
        <v>182</v>
      </c>
      <c r="AV49" s="3" t="s">
        <v>120</v>
      </c>
      <c r="AW49" s="3" t="s">
        <v>182</v>
      </c>
      <c r="AX49" s="3" t="s">
        <v>121</v>
      </c>
      <c r="AY49" s="4" t="s">
        <v>122</v>
      </c>
      <c r="AZ49" s="4" t="s">
        <v>182</v>
      </c>
      <c r="BA49" s="4" t="s">
        <v>120</v>
      </c>
      <c r="BB49" s="4" t="s">
        <v>182</v>
      </c>
      <c r="BC49" s="4" t="s">
        <v>121</v>
      </c>
      <c r="BE49" s="16"/>
    </row>
    <row r="50" spans="2:57" x14ac:dyDescent="0.2">
      <c r="B50" s="16"/>
      <c r="D50" s="11" t="s">
        <v>2</v>
      </c>
      <c r="E50" s="12">
        <f>VLOOKUP(LOWER(G48),experiments_specs!$A:$J,3,FALSE)</f>
        <v>1</v>
      </c>
      <c r="F50" s="15" t="s">
        <v>66</v>
      </c>
      <c r="G50" s="5"/>
      <c r="H50" s="17"/>
      <c r="I50" s="17"/>
      <c r="J50" s="17"/>
      <c r="K50" s="17"/>
      <c r="L50" s="30"/>
      <c r="M50" s="21"/>
      <c r="N50" s="21"/>
      <c r="O50" s="21"/>
      <c r="P50" s="21"/>
      <c r="Q50" s="33"/>
      <c r="S50" s="16"/>
      <c r="U50" s="16"/>
      <c r="W50" s="11" t="s">
        <v>2</v>
      </c>
      <c r="X50" s="12">
        <f>VLOOKUP(LOWER(Z48),experiments_specs!$A:$J,3,FALSE)</f>
        <v>1</v>
      </c>
      <c r="Y50" s="15" t="s">
        <v>74</v>
      </c>
      <c r="Z50" s="5" t="s">
        <v>19</v>
      </c>
      <c r="AA50" s="17"/>
      <c r="AB50" s="17"/>
      <c r="AC50" s="17"/>
      <c r="AD50" s="17"/>
      <c r="AE50" s="30"/>
      <c r="AF50" s="21"/>
      <c r="AG50" s="21"/>
      <c r="AH50" s="21"/>
      <c r="AI50" s="21"/>
      <c r="AJ50" s="33"/>
      <c r="AL50" s="16"/>
      <c r="AN50" s="16"/>
      <c r="AP50" s="11" t="s">
        <v>2</v>
      </c>
      <c r="AQ50" s="12">
        <f>VLOOKUP(LOWER(AS48),experiments_specs!$A:$J,3,FALSE)</f>
        <v>1</v>
      </c>
      <c r="AR50" s="15" t="s">
        <v>80</v>
      </c>
      <c r="AS50" s="5"/>
      <c r="AT50" s="17"/>
      <c r="AU50" s="17"/>
      <c r="AV50" s="17"/>
      <c r="AW50" s="17"/>
      <c r="AX50" s="30"/>
      <c r="AY50" s="21"/>
      <c r="AZ50" s="21"/>
      <c r="BA50" s="21"/>
      <c r="BB50" s="21"/>
      <c r="BC50" s="33"/>
      <c r="BE50" s="16"/>
    </row>
    <row r="51" spans="2:57" x14ac:dyDescent="0.2">
      <c r="B51" s="16"/>
      <c r="D51" s="11" t="s">
        <v>3</v>
      </c>
      <c r="E51" s="12">
        <f>VLOOKUP(LOWER(G48),experiments_specs!$A:$J,4,FALSE)</f>
        <v>2</v>
      </c>
      <c r="F51" s="15" t="s">
        <v>66</v>
      </c>
      <c r="G51" s="6"/>
      <c r="H51" s="19"/>
      <c r="I51" s="19"/>
      <c r="J51" s="19"/>
      <c r="K51" s="19"/>
      <c r="L51" s="31"/>
      <c r="M51" s="22"/>
      <c r="N51" s="22"/>
      <c r="O51" s="22"/>
      <c r="P51" s="22"/>
      <c r="Q51" s="34"/>
      <c r="S51" s="16"/>
      <c r="U51" s="16"/>
      <c r="W51" s="11" t="s">
        <v>3</v>
      </c>
      <c r="X51" s="12">
        <f>VLOOKUP(LOWER(Z48),experiments_specs!$A:$J,4,FALSE)</f>
        <v>2</v>
      </c>
      <c r="Y51" s="15" t="s">
        <v>74</v>
      </c>
      <c r="Z51" s="6" t="s">
        <v>12</v>
      </c>
      <c r="AA51" s="19"/>
      <c r="AB51" s="19"/>
      <c r="AC51" s="19"/>
      <c r="AD51" s="19"/>
      <c r="AE51" s="31"/>
      <c r="AF51" s="22"/>
      <c r="AG51" s="22"/>
      <c r="AH51" s="22"/>
      <c r="AI51" s="22"/>
      <c r="AJ51" s="34"/>
      <c r="AL51" s="16"/>
      <c r="AN51" s="16"/>
      <c r="AP51" s="11" t="s">
        <v>3</v>
      </c>
      <c r="AQ51" s="12">
        <f>VLOOKUP(LOWER(AS48),experiments_specs!$A:$J,4,FALSE)</f>
        <v>2</v>
      </c>
      <c r="AR51" s="15" t="s">
        <v>80</v>
      </c>
      <c r="AS51" s="6"/>
      <c r="AT51" s="19"/>
      <c r="AU51" s="19"/>
      <c r="AV51" s="19"/>
      <c r="AW51" s="19"/>
      <c r="AX51" s="31"/>
      <c r="AY51" s="22"/>
      <c r="AZ51" s="22"/>
      <c r="BA51" s="22"/>
      <c r="BB51" s="22"/>
      <c r="BC51" s="34"/>
      <c r="BE51" s="16"/>
    </row>
    <row r="52" spans="2:57" x14ac:dyDescent="0.2">
      <c r="B52" s="16"/>
      <c r="D52" s="11" t="s">
        <v>4</v>
      </c>
      <c r="E52" s="12" t="str">
        <f>VLOOKUP(LOWER(G48),experiments_specs!$A:$J,5,FALSE)</f>
        <v>False</v>
      </c>
      <c r="F52" s="15" t="s">
        <v>66</v>
      </c>
      <c r="G52" s="6"/>
      <c r="H52" s="19"/>
      <c r="I52" s="19"/>
      <c r="J52" s="19"/>
      <c r="K52" s="19"/>
      <c r="L52" s="31"/>
      <c r="M52" s="22"/>
      <c r="N52" s="22"/>
      <c r="O52" s="22"/>
      <c r="P52" s="22"/>
      <c r="Q52" s="34"/>
      <c r="S52" s="16"/>
      <c r="U52" s="16"/>
      <c r="W52" s="11" t="s">
        <v>4</v>
      </c>
      <c r="X52" s="12" t="str">
        <f>VLOOKUP(LOWER(Z48),experiments_specs!$A:$J,5,FALSE)</f>
        <v>True</v>
      </c>
      <c r="Y52" s="15" t="s">
        <v>74</v>
      </c>
      <c r="Z52" s="6" t="s">
        <v>13</v>
      </c>
      <c r="AA52" s="19"/>
      <c r="AB52" s="19"/>
      <c r="AC52" s="19"/>
      <c r="AD52" s="19"/>
      <c r="AE52" s="31"/>
      <c r="AF52" s="22"/>
      <c r="AG52" s="22"/>
      <c r="AH52" s="22"/>
      <c r="AI52" s="22"/>
      <c r="AJ52" s="34"/>
      <c r="AL52" s="16"/>
      <c r="AN52" s="16"/>
      <c r="AP52" s="11" t="s">
        <v>4</v>
      </c>
      <c r="AQ52" s="12" t="str">
        <f>VLOOKUP(LOWER(AS48),experiments_specs!$A:$J,5,FALSE)</f>
        <v>True</v>
      </c>
      <c r="AR52" s="15" t="s">
        <v>80</v>
      </c>
      <c r="AS52" s="6"/>
      <c r="AT52" s="19"/>
      <c r="AU52" s="19"/>
      <c r="AV52" s="19"/>
      <c r="AW52" s="19"/>
      <c r="AX52" s="31"/>
      <c r="AY52" s="22"/>
      <c r="AZ52" s="22"/>
      <c r="BA52" s="22"/>
      <c r="BB52" s="22"/>
      <c r="BC52" s="34"/>
      <c r="BE52" s="16"/>
    </row>
    <row r="53" spans="2:57" x14ac:dyDescent="0.2">
      <c r="B53" s="16"/>
      <c r="D53" s="11" t="s">
        <v>5</v>
      </c>
      <c r="E53" s="12" t="str">
        <f>VLOOKUP(LOWER(G48),experiments_specs!$A:$J,6,FALSE)</f>
        <v>True</v>
      </c>
      <c r="F53" s="15" t="s">
        <v>66</v>
      </c>
      <c r="G53" s="6"/>
      <c r="H53" s="19"/>
      <c r="I53" s="19"/>
      <c r="J53" s="19"/>
      <c r="K53" s="19"/>
      <c r="L53" s="31"/>
      <c r="M53" s="22"/>
      <c r="N53" s="22"/>
      <c r="O53" s="22"/>
      <c r="P53" s="22"/>
      <c r="Q53" s="34"/>
      <c r="S53" s="16"/>
      <c r="U53" s="16"/>
      <c r="W53" s="11" t="s">
        <v>5</v>
      </c>
      <c r="X53" s="12" t="str">
        <f>VLOOKUP(LOWER(Z48),experiments_specs!$A:$J,6,FALSE)</f>
        <v>True</v>
      </c>
      <c r="Y53" s="15" t="s">
        <v>74</v>
      </c>
      <c r="Z53" s="6" t="s">
        <v>14</v>
      </c>
      <c r="AA53" s="18"/>
      <c r="AB53" s="18"/>
      <c r="AC53" s="18"/>
      <c r="AD53" s="18"/>
      <c r="AE53" s="31"/>
      <c r="AF53" s="23"/>
      <c r="AG53" s="23"/>
      <c r="AH53" s="23"/>
      <c r="AI53" s="23"/>
      <c r="AJ53" s="34"/>
      <c r="AL53" s="16"/>
      <c r="AN53" s="16"/>
      <c r="AP53" s="11" t="s">
        <v>5</v>
      </c>
      <c r="AQ53" s="12" t="str">
        <f>VLOOKUP(LOWER(AS48),experiments_specs!$A:$J,6,FALSE)</f>
        <v>True</v>
      </c>
      <c r="AR53" s="15" t="s">
        <v>80</v>
      </c>
      <c r="AS53" s="6"/>
      <c r="AT53" s="18"/>
      <c r="AU53" s="18"/>
      <c r="AV53" s="18"/>
      <c r="AW53" s="18"/>
      <c r="AX53" s="31"/>
      <c r="AY53" s="23"/>
      <c r="AZ53" s="23"/>
      <c r="BA53" s="23"/>
      <c r="BB53" s="23"/>
      <c r="BC53" s="34"/>
      <c r="BE53" s="16"/>
    </row>
    <row r="54" spans="2:57" x14ac:dyDescent="0.2">
      <c r="B54" s="16"/>
      <c r="D54" s="11" t="s">
        <v>6</v>
      </c>
      <c r="E54" s="12" t="str">
        <f>VLOOKUP(LOWER(G48),experiments_specs!$A:$J,7,FALSE)</f>
        <v>False</v>
      </c>
      <c r="F54" s="15" t="s">
        <v>66</v>
      </c>
      <c r="G54" s="6"/>
      <c r="H54" s="19"/>
      <c r="I54" s="19"/>
      <c r="J54" s="19"/>
      <c r="K54" s="19"/>
      <c r="L54" s="31"/>
      <c r="M54" s="23"/>
      <c r="N54" s="23"/>
      <c r="O54" s="23"/>
      <c r="P54" s="23"/>
      <c r="Q54" s="34"/>
      <c r="S54" s="16"/>
      <c r="U54" s="16"/>
      <c r="W54" s="11" t="s">
        <v>6</v>
      </c>
      <c r="X54" s="12" t="str">
        <f>VLOOKUP(LOWER(Z48),experiments_specs!$A:$J,7,FALSE)</f>
        <v>False</v>
      </c>
      <c r="Y54" s="15" t="s">
        <v>74</v>
      </c>
      <c r="Z54" s="6" t="s">
        <v>15</v>
      </c>
      <c r="AA54" s="19"/>
      <c r="AB54" s="19"/>
      <c r="AC54" s="19"/>
      <c r="AD54" s="19"/>
      <c r="AE54" s="31"/>
      <c r="AF54" s="23"/>
      <c r="AG54" s="23"/>
      <c r="AH54" s="23"/>
      <c r="AI54" s="23"/>
      <c r="AJ54" s="34"/>
      <c r="AL54" s="16"/>
      <c r="AN54" s="16"/>
      <c r="AP54" s="11" t="s">
        <v>6</v>
      </c>
      <c r="AQ54" s="12" t="str">
        <f>VLOOKUP(LOWER(AS48),experiments_specs!$A:$J,7,FALSE)</f>
        <v>False</v>
      </c>
      <c r="AR54" s="15" t="s">
        <v>80</v>
      </c>
      <c r="AS54" s="6"/>
      <c r="AT54" s="19"/>
      <c r="AU54" s="19"/>
      <c r="AV54" s="19"/>
      <c r="AW54" s="19"/>
      <c r="AX54" s="31"/>
      <c r="AY54" s="23"/>
      <c r="AZ54" s="23"/>
      <c r="BA54" s="23"/>
      <c r="BB54" s="23"/>
      <c r="BC54" s="34"/>
      <c r="BE54" s="16"/>
    </row>
    <row r="55" spans="2:57" x14ac:dyDescent="0.2">
      <c r="B55" s="16"/>
      <c r="D55" s="11" t="s">
        <v>7</v>
      </c>
      <c r="E55" s="12" t="str">
        <f>VLOOKUP(LOWER(G48),experiments_specs!$A:$J,8,FALSE)</f>
        <v>False</v>
      </c>
      <c r="F55" s="15" t="s">
        <v>66</v>
      </c>
      <c r="G55" s="6"/>
      <c r="H55" s="19"/>
      <c r="I55" s="19"/>
      <c r="J55" s="19"/>
      <c r="K55" s="19"/>
      <c r="L55" s="31"/>
      <c r="M55" s="23"/>
      <c r="N55" s="23"/>
      <c r="O55" s="23"/>
      <c r="P55" s="23"/>
      <c r="Q55" s="34"/>
      <c r="S55" s="16"/>
      <c r="U55" s="16"/>
      <c r="W55" s="11" t="s">
        <v>7</v>
      </c>
      <c r="X55" s="12" t="str">
        <f>VLOOKUP(LOWER(Z48),experiments_specs!$A:$J,8,FALSE)</f>
        <v>False</v>
      </c>
      <c r="Y55" s="15" t="s">
        <v>74</v>
      </c>
      <c r="Z55" s="6" t="s">
        <v>16</v>
      </c>
      <c r="AA55" s="19"/>
      <c r="AB55" s="19"/>
      <c r="AC55" s="19"/>
      <c r="AD55" s="19"/>
      <c r="AE55" s="31"/>
      <c r="AF55" s="23"/>
      <c r="AG55" s="23"/>
      <c r="AH55" s="23"/>
      <c r="AI55" s="23"/>
      <c r="AJ55" s="34"/>
      <c r="AL55" s="16"/>
      <c r="AN55" s="16"/>
      <c r="AP55" s="11" t="s">
        <v>7</v>
      </c>
      <c r="AQ55" s="12" t="str">
        <f>VLOOKUP(LOWER(AS48),experiments_specs!$A:$J,8,FALSE)</f>
        <v>False</v>
      </c>
      <c r="AR55" s="15" t="s">
        <v>80</v>
      </c>
      <c r="AS55" s="6"/>
      <c r="AT55" s="19"/>
      <c r="AU55" s="19"/>
      <c r="AV55" s="19"/>
      <c r="AW55" s="19"/>
      <c r="AX55" s="31"/>
      <c r="AY55" s="23"/>
      <c r="AZ55" s="23"/>
      <c r="BA55" s="23"/>
      <c r="BB55" s="23"/>
      <c r="BC55" s="34"/>
      <c r="BE55" s="16"/>
    </row>
    <row r="56" spans="2:57" x14ac:dyDescent="0.2">
      <c r="B56" s="16"/>
      <c r="D56" s="11" t="s">
        <v>8</v>
      </c>
      <c r="E56" s="12" t="str">
        <f>VLOOKUP(LOWER(G48),experiments_specs!$A:$J,9,FALSE)</f>
        <v>wup_similarity</v>
      </c>
      <c r="F56" s="15" t="s">
        <v>66</v>
      </c>
      <c r="G56" s="6"/>
      <c r="H56" s="19"/>
      <c r="I56" s="19"/>
      <c r="J56" s="19"/>
      <c r="K56" s="19"/>
      <c r="L56" s="31"/>
      <c r="M56" s="22"/>
      <c r="N56" s="22"/>
      <c r="O56" s="22"/>
      <c r="P56" s="22"/>
      <c r="Q56" s="34"/>
      <c r="S56" s="16"/>
      <c r="U56" s="16"/>
      <c r="W56" s="11" t="s">
        <v>8</v>
      </c>
      <c r="X56" s="12" t="str">
        <f>VLOOKUP(LOWER(Z48),experiments_specs!$A:$J,9,FALSE)</f>
        <v>wup_similarity</v>
      </c>
      <c r="Y56" s="15" t="s">
        <v>74</v>
      </c>
      <c r="Z56" s="6" t="s">
        <v>17</v>
      </c>
      <c r="AA56" s="18"/>
      <c r="AB56" s="18"/>
      <c r="AC56" s="18"/>
      <c r="AD56" s="18"/>
      <c r="AE56" s="31"/>
      <c r="AF56" s="23"/>
      <c r="AG56" s="23"/>
      <c r="AH56" s="23"/>
      <c r="AI56" s="23"/>
      <c r="AJ56" s="34"/>
      <c r="AL56" s="16"/>
      <c r="AN56" s="16"/>
      <c r="AP56" s="11" t="s">
        <v>8</v>
      </c>
      <c r="AQ56" s="12" t="str">
        <f>VLOOKUP(LOWER(AS48),experiments_specs!$A:$J,9,FALSE)</f>
        <v>wup_similarity</v>
      </c>
      <c r="AR56" s="15" t="s">
        <v>80</v>
      </c>
      <c r="AS56" s="6"/>
      <c r="AT56" s="18"/>
      <c r="AU56" s="18"/>
      <c r="AV56" s="18"/>
      <c r="AW56" s="18"/>
      <c r="AX56" s="31"/>
      <c r="AY56" s="23"/>
      <c r="AZ56" s="23"/>
      <c r="BA56" s="23"/>
      <c r="BB56" s="23"/>
      <c r="BC56" s="34"/>
      <c r="BE56" s="16"/>
    </row>
    <row r="57" spans="2:57" x14ac:dyDescent="0.2">
      <c r="B57" s="16"/>
      <c r="D57" s="11" t="s">
        <v>9</v>
      </c>
      <c r="E57" s="12" t="str">
        <f>VLOOKUP(LOWER(G48),experiments_specs!$A:$J,10,FALSE)</f>
        <v>False</v>
      </c>
      <c r="F57" s="15" t="s">
        <v>66</v>
      </c>
      <c r="G57" s="7"/>
      <c r="H57" s="20"/>
      <c r="I57" s="20"/>
      <c r="J57" s="20"/>
      <c r="K57" s="20"/>
      <c r="L57" s="32"/>
      <c r="M57" s="24"/>
      <c r="N57" s="24"/>
      <c r="O57" s="24"/>
      <c r="P57" s="24"/>
      <c r="Q57" s="35"/>
      <c r="S57" s="16"/>
      <c r="U57" s="16"/>
      <c r="W57" s="11" t="s">
        <v>9</v>
      </c>
      <c r="X57" s="12" t="str">
        <f>VLOOKUP(LOWER(Z48),experiments_specs!$A:$J,10,FALSE)</f>
        <v>False</v>
      </c>
      <c r="Y57" s="15" t="s">
        <v>74</v>
      </c>
      <c r="Z57" s="7" t="s">
        <v>18</v>
      </c>
      <c r="AA57" s="20"/>
      <c r="AB57" s="20"/>
      <c r="AC57" s="20"/>
      <c r="AD57" s="20"/>
      <c r="AE57" s="32"/>
      <c r="AF57" s="24"/>
      <c r="AG57" s="24"/>
      <c r="AH57" s="24"/>
      <c r="AI57" s="24"/>
      <c r="AJ57" s="35"/>
      <c r="AL57" s="16"/>
      <c r="AN57" s="16"/>
      <c r="AP57" s="11" t="s">
        <v>9</v>
      </c>
      <c r="AQ57" s="12" t="str">
        <f>VLOOKUP(LOWER(AS48),experiments_specs!$A:$J,10,FALSE)</f>
        <v>True</v>
      </c>
      <c r="AR57" s="15" t="s">
        <v>80</v>
      </c>
      <c r="AS57" s="7"/>
      <c r="AT57" s="20"/>
      <c r="AU57" s="20"/>
      <c r="AV57" s="20"/>
      <c r="AW57" s="20"/>
      <c r="AX57" s="32"/>
      <c r="AY57" s="24"/>
      <c r="AZ57" s="24"/>
      <c r="BA57" s="24"/>
      <c r="BB57" s="24"/>
      <c r="BC57" s="35"/>
      <c r="BE57" s="16"/>
    </row>
    <row r="58" spans="2:57" ht="17" thickBot="1" x14ac:dyDescent="0.25">
      <c r="B58" s="16"/>
      <c r="S58" s="16"/>
      <c r="U58" s="16"/>
      <c r="AL58" s="16"/>
      <c r="AN58" s="16"/>
      <c r="BE58" s="16"/>
    </row>
    <row r="59" spans="2:57" ht="20" thickBot="1" x14ac:dyDescent="0.3">
      <c r="B59" s="16"/>
      <c r="D59" s="13" t="s">
        <v>126</v>
      </c>
      <c r="E59" s="14"/>
      <c r="F59" s="9"/>
      <c r="G59" s="10" t="str">
        <f>"TEST_"&amp;TEXT(RIGHT(G48,2)+1, "00")</f>
        <v>TEST_06</v>
      </c>
      <c r="H59" s="36" t="s">
        <v>124</v>
      </c>
      <c r="I59" s="36"/>
      <c r="J59" s="36"/>
      <c r="K59" s="36"/>
      <c r="L59" s="36"/>
      <c r="M59" s="37" t="s">
        <v>123</v>
      </c>
      <c r="N59" s="37"/>
      <c r="O59" s="37"/>
      <c r="P59" s="37"/>
      <c r="Q59" s="37"/>
      <c r="R59" s="2"/>
      <c r="S59" s="16"/>
      <c r="U59" s="16"/>
      <c r="W59" s="13" t="s">
        <v>126</v>
      </c>
      <c r="X59" s="14"/>
      <c r="Y59" s="9"/>
      <c r="Z59" s="10" t="str">
        <f>"TEST_"&amp;TEXT(RIGHT(Z48,2)+1, "00")</f>
        <v>TEST_12</v>
      </c>
      <c r="AA59" s="36" t="s">
        <v>124</v>
      </c>
      <c r="AB59" s="36"/>
      <c r="AC59" s="36"/>
      <c r="AD59" s="36"/>
      <c r="AE59" s="36"/>
      <c r="AF59" s="37" t="s">
        <v>123</v>
      </c>
      <c r="AG59" s="37"/>
      <c r="AH59" s="37"/>
      <c r="AI59" s="37"/>
      <c r="AJ59" s="37"/>
      <c r="AK59" s="2"/>
      <c r="AL59" s="16"/>
      <c r="AN59" s="16"/>
      <c r="AP59" s="13" t="s">
        <v>126</v>
      </c>
      <c r="AQ59" s="14"/>
      <c r="AR59" s="9"/>
      <c r="AS59" s="10" t="str">
        <f>"TEST_"&amp;TEXT(RIGHT(AS48,2)+1, "00")</f>
        <v>TEST_18</v>
      </c>
      <c r="AT59" s="36" t="s">
        <v>124</v>
      </c>
      <c r="AU59" s="36"/>
      <c r="AV59" s="36"/>
      <c r="AW59" s="36"/>
      <c r="AX59" s="36"/>
      <c r="AY59" s="37" t="s">
        <v>123</v>
      </c>
      <c r="AZ59" s="37"/>
      <c r="BA59" s="37"/>
      <c r="BB59" s="37"/>
      <c r="BC59" s="37"/>
      <c r="BD59" s="2"/>
      <c r="BE59" s="16"/>
    </row>
    <row r="60" spans="2:57" x14ac:dyDescent="0.2">
      <c r="B60" s="16"/>
      <c r="D60" s="11" t="s">
        <v>1</v>
      </c>
      <c r="E60" s="12" t="str">
        <f>VLOOKUP(LOWER(G59),experiments_specs!$A:$J,2,FALSE)</f>
        <v>NN,JJ,VB,VBD,VBG,VBN,VBP,VBZ</v>
      </c>
      <c r="F60" s="15" t="str">
        <f>"{"&amp;LOWER(G59)&amp;".csv}"</f>
        <v>{test_06.csv}</v>
      </c>
      <c r="G60" s="8" t="s">
        <v>118</v>
      </c>
      <c r="H60" s="3" t="s">
        <v>119</v>
      </c>
      <c r="I60" s="3" t="s">
        <v>182</v>
      </c>
      <c r="J60" s="3" t="s">
        <v>120</v>
      </c>
      <c r="K60" s="3" t="s">
        <v>182</v>
      </c>
      <c r="L60" s="3" t="s">
        <v>121</v>
      </c>
      <c r="M60" s="4" t="s">
        <v>122</v>
      </c>
      <c r="N60" s="4" t="s">
        <v>182</v>
      </c>
      <c r="O60" s="4" t="s">
        <v>120</v>
      </c>
      <c r="P60" s="4" t="s">
        <v>182</v>
      </c>
      <c r="Q60" s="4" t="s">
        <v>121</v>
      </c>
      <c r="S60" s="16"/>
      <c r="U60" s="16"/>
      <c r="W60" s="11" t="s">
        <v>1</v>
      </c>
      <c r="X60" s="12" t="str">
        <f>VLOOKUP(LOWER(Z59),experiments_specs!$A:$J,2,FALSE)</f>
        <v>NN,JJ,VB,VBD,VBG,VBN,VBP,VBZ</v>
      </c>
      <c r="Y60" s="15" t="str">
        <f>"{"&amp;LOWER(Z59)&amp;".csv}"</f>
        <v>{test_12.csv}</v>
      </c>
      <c r="Z60" s="8" t="s">
        <v>118</v>
      </c>
      <c r="AA60" s="3" t="s">
        <v>119</v>
      </c>
      <c r="AB60" s="3" t="s">
        <v>182</v>
      </c>
      <c r="AC60" s="3" t="s">
        <v>120</v>
      </c>
      <c r="AD60" s="3" t="s">
        <v>182</v>
      </c>
      <c r="AE60" s="3" t="s">
        <v>121</v>
      </c>
      <c r="AF60" s="4" t="s">
        <v>122</v>
      </c>
      <c r="AG60" s="4" t="s">
        <v>182</v>
      </c>
      <c r="AH60" s="4" t="s">
        <v>120</v>
      </c>
      <c r="AI60" s="4" t="s">
        <v>182</v>
      </c>
      <c r="AJ60" s="4" t="s">
        <v>121</v>
      </c>
      <c r="AL60" s="16"/>
      <c r="AN60" s="16"/>
      <c r="AP60" s="11" t="s">
        <v>1</v>
      </c>
      <c r="AQ60" s="12" t="str">
        <f>VLOOKUP(LOWER(AS59),experiments_specs!$A:$J,2,FALSE)</f>
        <v>NN,JJ,VB,VBD,VBG,VBN,VBP,VBZ</v>
      </c>
      <c r="AR60" s="15" t="str">
        <f>"{"&amp;LOWER(AS59)&amp;".csv}"</f>
        <v>{test_18.csv}</v>
      </c>
      <c r="AS60" s="8" t="s">
        <v>118</v>
      </c>
      <c r="AT60" s="3" t="s">
        <v>119</v>
      </c>
      <c r="AU60" s="3" t="s">
        <v>182</v>
      </c>
      <c r="AV60" s="3" t="s">
        <v>120</v>
      </c>
      <c r="AW60" s="3" t="s">
        <v>182</v>
      </c>
      <c r="AX60" s="3" t="s">
        <v>121</v>
      </c>
      <c r="AY60" s="4" t="s">
        <v>122</v>
      </c>
      <c r="AZ60" s="4" t="s">
        <v>182</v>
      </c>
      <c r="BA60" s="4" t="s">
        <v>120</v>
      </c>
      <c r="BB60" s="4" t="s">
        <v>182</v>
      </c>
      <c r="BC60" s="4" t="s">
        <v>121</v>
      </c>
      <c r="BE60" s="16"/>
    </row>
    <row r="61" spans="2:57" x14ac:dyDescent="0.2">
      <c r="B61" s="16"/>
      <c r="D61" s="11" t="s">
        <v>2</v>
      </c>
      <c r="E61" s="12">
        <f>VLOOKUP(LOWER(G59),experiments_specs!$A:$J,3,FALSE)</f>
        <v>1</v>
      </c>
      <c r="F61" s="15" t="s">
        <v>68</v>
      </c>
      <c r="G61" s="5"/>
      <c r="H61" s="17"/>
      <c r="I61" s="17"/>
      <c r="J61" s="17"/>
      <c r="K61" s="17"/>
      <c r="L61" s="30"/>
      <c r="M61" s="21"/>
      <c r="N61" s="21"/>
      <c r="O61" s="21"/>
      <c r="P61" s="21"/>
      <c r="Q61" s="33"/>
      <c r="S61" s="16"/>
      <c r="U61" s="16"/>
      <c r="W61" s="11" t="s">
        <v>2</v>
      </c>
      <c r="X61" s="12">
        <f>VLOOKUP(LOWER(Z59),experiments_specs!$A:$J,3,FALSE)</f>
        <v>1</v>
      </c>
      <c r="Y61" s="15" t="s">
        <v>75</v>
      </c>
      <c r="Z61" s="5" t="s">
        <v>19</v>
      </c>
      <c r="AA61" s="17"/>
      <c r="AB61" s="17"/>
      <c r="AC61" s="17"/>
      <c r="AD61" s="17"/>
      <c r="AE61" s="30"/>
      <c r="AF61" s="21"/>
      <c r="AG61" s="21"/>
      <c r="AH61" s="21"/>
      <c r="AI61" s="21"/>
      <c r="AJ61" s="33"/>
      <c r="AL61" s="16"/>
      <c r="AN61" s="16"/>
      <c r="AP61" s="11" t="s">
        <v>2</v>
      </c>
      <c r="AQ61" s="12">
        <f>VLOOKUP(LOWER(AS59),experiments_specs!$A:$J,3,FALSE)</f>
        <v>1</v>
      </c>
      <c r="AR61" s="15" t="s">
        <v>81</v>
      </c>
      <c r="AS61" s="5"/>
      <c r="AT61" s="17"/>
      <c r="AU61" s="17"/>
      <c r="AV61" s="17"/>
      <c r="AW61" s="17"/>
      <c r="AX61" s="30"/>
      <c r="AY61" s="21"/>
      <c r="AZ61" s="21"/>
      <c r="BA61" s="21"/>
      <c r="BB61" s="21"/>
      <c r="BC61" s="33"/>
      <c r="BE61" s="16"/>
    </row>
    <row r="62" spans="2:57" x14ac:dyDescent="0.2">
      <c r="B62" s="16"/>
      <c r="D62" s="11" t="s">
        <v>3</v>
      </c>
      <c r="E62" s="12">
        <f>VLOOKUP(LOWER(G59),experiments_specs!$A:$J,4,FALSE)</f>
        <v>2</v>
      </c>
      <c r="F62" s="15" t="s">
        <v>68</v>
      </c>
      <c r="G62" s="6"/>
      <c r="H62" s="19"/>
      <c r="I62" s="19"/>
      <c r="J62" s="19"/>
      <c r="K62" s="19"/>
      <c r="L62" s="31"/>
      <c r="M62" s="22"/>
      <c r="N62" s="22"/>
      <c r="O62" s="22"/>
      <c r="P62" s="22"/>
      <c r="Q62" s="34"/>
      <c r="S62" s="16"/>
      <c r="U62" s="16"/>
      <c r="W62" s="11" t="s">
        <v>3</v>
      </c>
      <c r="X62" s="12">
        <f>VLOOKUP(LOWER(Z59),experiments_specs!$A:$J,4,FALSE)</f>
        <v>2</v>
      </c>
      <c r="Y62" s="15" t="s">
        <v>75</v>
      </c>
      <c r="Z62" s="6" t="s">
        <v>12</v>
      </c>
      <c r="AA62" s="19"/>
      <c r="AB62" s="19"/>
      <c r="AC62" s="19"/>
      <c r="AD62" s="19"/>
      <c r="AE62" s="31"/>
      <c r="AF62" s="22"/>
      <c r="AG62" s="22"/>
      <c r="AH62" s="22"/>
      <c r="AI62" s="22"/>
      <c r="AJ62" s="34"/>
      <c r="AL62" s="16"/>
      <c r="AN62" s="16"/>
      <c r="AP62" s="11" t="s">
        <v>3</v>
      </c>
      <c r="AQ62" s="12">
        <f>VLOOKUP(LOWER(AS59),experiments_specs!$A:$J,4,FALSE)</f>
        <v>2</v>
      </c>
      <c r="AR62" s="15" t="s">
        <v>81</v>
      </c>
      <c r="AS62" s="6"/>
      <c r="AT62" s="19"/>
      <c r="AU62" s="19"/>
      <c r="AV62" s="19"/>
      <c r="AW62" s="19"/>
      <c r="AX62" s="31"/>
      <c r="AY62" s="22"/>
      <c r="AZ62" s="22"/>
      <c r="BA62" s="22"/>
      <c r="BB62" s="22"/>
      <c r="BC62" s="34"/>
      <c r="BE62" s="16"/>
    </row>
    <row r="63" spans="2:57" x14ac:dyDescent="0.2">
      <c r="B63" s="16"/>
      <c r="D63" s="11" t="s">
        <v>4</v>
      </c>
      <c r="E63" s="12" t="str">
        <f>VLOOKUP(LOWER(G59),experiments_specs!$A:$J,5,FALSE)</f>
        <v>False</v>
      </c>
      <c r="F63" s="15" t="s">
        <v>68</v>
      </c>
      <c r="G63" s="6"/>
      <c r="H63" s="19"/>
      <c r="I63" s="19"/>
      <c r="J63" s="19"/>
      <c r="K63" s="19"/>
      <c r="L63" s="31"/>
      <c r="M63" s="22"/>
      <c r="N63" s="22"/>
      <c r="O63" s="22"/>
      <c r="P63" s="22"/>
      <c r="Q63" s="34"/>
      <c r="S63" s="16"/>
      <c r="U63" s="16"/>
      <c r="W63" s="11" t="s">
        <v>4</v>
      </c>
      <c r="X63" s="12" t="str">
        <f>VLOOKUP(LOWER(Z59),experiments_specs!$A:$J,5,FALSE)</f>
        <v>True</v>
      </c>
      <c r="Y63" s="15" t="s">
        <v>75</v>
      </c>
      <c r="Z63" s="6" t="s">
        <v>13</v>
      </c>
      <c r="AA63" s="19"/>
      <c r="AB63" s="19"/>
      <c r="AC63" s="19"/>
      <c r="AD63" s="19"/>
      <c r="AE63" s="31"/>
      <c r="AF63" s="22"/>
      <c r="AG63" s="22"/>
      <c r="AH63" s="22"/>
      <c r="AI63" s="22"/>
      <c r="AJ63" s="34"/>
      <c r="AL63" s="16"/>
      <c r="AN63" s="16"/>
      <c r="AP63" s="11" t="s">
        <v>4</v>
      </c>
      <c r="AQ63" s="12" t="str">
        <f>VLOOKUP(LOWER(AS59),experiments_specs!$A:$J,5,FALSE)</f>
        <v>True</v>
      </c>
      <c r="AR63" s="15" t="s">
        <v>81</v>
      </c>
      <c r="AS63" s="6"/>
      <c r="AT63" s="19"/>
      <c r="AU63" s="19"/>
      <c r="AV63" s="19"/>
      <c r="AW63" s="19"/>
      <c r="AX63" s="31"/>
      <c r="AY63" s="23"/>
      <c r="AZ63" s="23"/>
      <c r="BA63" s="23"/>
      <c r="BB63" s="23"/>
      <c r="BC63" s="34"/>
      <c r="BE63" s="16"/>
    </row>
    <row r="64" spans="2:57" x14ac:dyDescent="0.2">
      <c r="B64" s="16"/>
      <c r="D64" s="11" t="s">
        <v>5</v>
      </c>
      <c r="E64" s="12" t="str">
        <f>VLOOKUP(LOWER(G59),experiments_specs!$A:$J,6,FALSE)</f>
        <v>True</v>
      </c>
      <c r="F64" s="15" t="s">
        <v>68</v>
      </c>
      <c r="G64" s="6"/>
      <c r="H64" s="19"/>
      <c r="I64" s="19"/>
      <c r="J64" s="19"/>
      <c r="K64" s="19"/>
      <c r="L64" s="31"/>
      <c r="M64" s="22"/>
      <c r="N64" s="22"/>
      <c r="O64" s="22"/>
      <c r="P64" s="22"/>
      <c r="Q64" s="34"/>
      <c r="S64" s="16"/>
      <c r="U64" s="16"/>
      <c r="W64" s="11" t="s">
        <v>5</v>
      </c>
      <c r="X64" s="12" t="str">
        <f>VLOOKUP(LOWER(Z59),experiments_specs!$A:$J,6,FALSE)</f>
        <v>True</v>
      </c>
      <c r="Y64" s="15" t="s">
        <v>75</v>
      </c>
      <c r="Z64" s="6" t="s">
        <v>14</v>
      </c>
      <c r="AA64" s="18"/>
      <c r="AB64" s="18"/>
      <c r="AC64" s="18"/>
      <c r="AD64" s="18"/>
      <c r="AE64" s="31"/>
      <c r="AF64" s="23"/>
      <c r="AG64" s="23"/>
      <c r="AH64" s="23"/>
      <c r="AI64" s="23"/>
      <c r="AJ64" s="34"/>
      <c r="AL64" s="16"/>
      <c r="AN64" s="16"/>
      <c r="AP64" s="11" t="s">
        <v>5</v>
      </c>
      <c r="AQ64" s="12" t="str">
        <f>VLOOKUP(LOWER(AS59),experiments_specs!$A:$J,6,FALSE)</f>
        <v>True</v>
      </c>
      <c r="AR64" s="15" t="s">
        <v>81</v>
      </c>
      <c r="AS64" s="6"/>
      <c r="AT64" s="18"/>
      <c r="AU64" s="18"/>
      <c r="AV64" s="18"/>
      <c r="AW64" s="18"/>
      <c r="AX64" s="31"/>
      <c r="AY64" s="23"/>
      <c r="AZ64" s="23"/>
      <c r="BA64" s="23"/>
      <c r="BB64" s="23"/>
      <c r="BC64" s="34"/>
      <c r="BE64" s="16"/>
    </row>
    <row r="65" spans="2:57" x14ac:dyDescent="0.2">
      <c r="B65" s="16"/>
      <c r="D65" s="11" t="s">
        <v>6</v>
      </c>
      <c r="E65" s="12" t="str">
        <f>VLOOKUP(LOWER(G59),experiments_specs!$A:$J,7,FALSE)</f>
        <v>False</v>
      </c>
      <c r="F65" s="15" t="s">
        <v>68</v>
      </c>
      <c r="G65" s="6"/>
      <c r="H65" s="19"/>
      <c r="I65" s="19"/>
      <c r="J65" s="19"/>
      <c r="K65" s="19"/>
      <c r="L65" s="31"/>
      <c r="M65" s="23"/>
      <c r="N65" s="23"/>
      <c r="O65" s="23"/>
      <c r="P65" s="23"/>
      <c r="Q65" s="34"/>
      <c r="S65" s="16"/>
      <c r="U65" s="16"/>
      <c r="W65" s="11" t="s">
        <v>6</v>
      </c>
      <c r="X65" s="12" t="str">
        <f>VLOOKUP(LOWER(Z59),experiments_specs!$A:$J,7,FALSE)</f>
        <v>False</v>
      </c>
      <c r="Y65" s="15" t="s">
        <v>75</v>
      </c>
      <c r="Z65" s="6" t="s">
        <v>15</v>
      </c>
      <c r="AA65" s="19"/>
      <c r="AB65" s="19"/>
      <c r="AC65" s="19"/>
      <c r="AD65" s="19"/>
      <c r="AE65" s="31"/>
      <c r="AF65" s="23"/>
      <c r="AG65" s="23"/>
      <c r="AH65" s="23"/>
      <c r="AI65" s="23"/>
      <c r="AJ65" s="34"/>
      <c r="AL65" s="16"/>
      <c r="AN65" s="16"/>
      <c r="AP65" s="11" t="s">
        <v>6</v>
      </c>
      <c r="AQ65" s="12" t="str">
        <f>VLOOKUP(LOWER(AS59),experiments_specs!$A:$J,7,FALSE)</f>
        <v>False</v>
      </c>
      <c r="AR65" s="15" t="s">
        <v>81</v>
      </c>
      <c r="AS65" s="6"/>
      <c r="AT65" s="19"/>
      <c r="AU65" s="19"/>
      <c r="AV65" s="19"/>
      <c r="AW65" s="19"/>
      <c r="AX65" s="31"/>
      <c r="AY65" s="23"/>
      <c r="AZ65" s="23"/>
      <c r="BA65" s="23"/>
      <c r="BB65" s="23"/>
      <c r="BC65" s="34"/>
      <c r="BE65" s="16"/>
    </row>
    <row r="66" spans="2:57" x14ac:dyDescent="0.2">
      <c r="B66" s="16"/>
      <c r="D66" s="11" t="s">
        <v>7</v>
      </c>
      <c r="E66" s="12" t="str">
        <f>VLOOKUP(LOWER(G59),experiments_specs!$A:$J,8,FALSE)</f>
        <v>False</v>
      </c>
      <c r="F66" s="15" t="s">
        <v>68</v>
      </c>
      <c r="G66" s="6"/>
      <c r="H66" s="19"/>
      <c r="I66" s="19"/>
      <c r="J66" s="19"/>
      <c r="K66" s="19"/>
      <c r="L66" s="31"/>
      <c r="M66" s="23"/>
      <c r="N66" s="23"/>
      <c r="O66" s="23"/>
      <c r="P66" s="23"/>
      <c r="Q66" s="34"/>
      <c r="S66" s="16"/>
      <c r="U66" s="16"/>
      <c r="W66" s="11" t="s">
        <v>7</v>
      </c>
      <c r="X66" s="12" t="str">
        <f>VLOOKUP(LOWER(Z59),experiments_specs!$A:$J,8,FALSE)</f>
        <v>False</v>
      </c>
      <c r="Y66" s="15" t="s">
        <v>75</v>
      </c>
      <c r="Z66" s="6" t="s">
        <v>16</v>
      </c>
      <c r="AA66" s="19"/>
      <c r="AB66" s="19"/>
      <c r="AC66" s="19"/>
      <c r="AD66" s="19"/>
      <c r="AE66" s="31"/>
      <c r="AF66" s="23"/>
      <c r="AG66" s="23"/>
      <c r="AH66" s="23"/>
      <c r="AI66" s="23"/>
      <c r="AJ66" s="34"/>
      <c r="AL66" s="16"/>
      <c r="AN66" s="16"/>
      <c r="AP66" s="11" t="s">
        <v>7</v>
      </c>
      <c r="AQ66" s="12" t="str">
        <f>VLOOKUP(LOWER(AS59),experiments_specs!$A:$J,8,FALSE)</f>
        <v>False</v>
      </c>
      <c r="AR66" s="15" t="s">
        <v>81</v>
      </c>
      <c r="AS66" s="6"/>
      <c r="AT66" s="19"/>
      <c r="AU66" s="19"/>
      <c r="AV66" s="19"/>
      <c r="AW66" s="19"/>
      <c r="AX66" s="31"/>
      <c r="AY66" s="23"/>
      <c r="AZ66" s="23"/>
      <c r="BA66" s="23"/>
      <c r="BB66" s="23"/>
      <c r="BC66" s="34"/>
      <c r="BE66" s="16"/>
    </row>
    <row r="67" spans="2:57" x14ac:dyDescent="0.2">
      <c r="B67" s="16"/>
      <c r="D67" s="11" t="s">
        <v>8</v>
      </c>
      <c r="E67" s="12" t="str">
        <f>VLOOKUP(LOWER(G59),experiments_specs!$A:$J,9,FALSE)</f>
        <v>wup_similarity</v>
      </c>
      <c r="F67" s="15" t="s">
        <v>68</v>
      </c>
      <c r="G67" s="6"/>
      <c r="H67" s="19"/>
      <c r="I67" s="19"/>
      <c r="J67" s="19"/>
      <c r="K67" s="19"/>
      <c r="L67" s="31"/>
      <c r="M67" s="22"/>
      <c r="N67" s="22"/>
      <c r="O67" s="22"/>
      <c r="P67" s="22"/>
      <c r="Q67" s="34"/>
      <c r="S67" s="16"/>
      <c r="U67" s="16"/>
      <c r="W67" s="11" t="s">
        <v>8</v>
      </c>
      <c r="X67" s="12" t="str">
        <f>VLOOKUP(LOWER(Z59),experiments_specs!$A:$J,9,FALSE)</f>
        <v>wup_similarity</v>
      </c>
      <c r="Y67" s="15" t="s">
        <v>75</v>
      </c>
      <c r="Z67" s="6" t="s">
        <v>17</v>
      </c>
      <c r="AA67" s="19"/>
      <c r="AB67" s="19"/>
      <c r="AC67" s="19"/>
      <c r="AD67" s="19"/>
      <c r="AE67" s="31"/>
      <c r="AF67" s="22"/>
      <c r="AG67" s="22"/>
      <c r="AH67" s="22"/>
      <c r="AI67" s="22"/>
      <c r="AJ67" s="34"/>
      <c r="AL67" s="16"/>
      <c r="AN67" s="16"/>
      <c r="AP67" s="11" t="s">
        <v>8</v>
      </c>
      <c r="AQ67" s="12" t="str">
        <f>VLOOKUP(LOWER(AS59),experiments_specs!$A:$J,9,FALSE)</f>
        <v>wup_similarity</v>
      </c>
      <c r="AR67" s="15" t="s">
        <v>81</v>
      </c>
      <c r="AS67" s="6"/>
      <c r="AT67" s="18"/>
      <c r="AU67" s="18"/>
      <c r="AV67" s="18"/>
      <c r="AW67" s="18"/>
      <c r="AX67" s="31"/>
      <c r="AY67" s="23"/>
      <c r="AZ67" s="23"/>
      <c r="BA67" s="23"/>
      <c r="BB67" s="23"/>
      <c r="BC67" s="34"/>
      <c r="BE67" s="16"/>
    </row>
    <row r="68" spans="2:57" x14ac:dyDescent="0.2">
      <c r="B68" s="16"/>
      <c r="D68" s="11" t="s">
        <v>9</v>
      </c>
      <c r="E68" s="12" t="str">
        <f>VLOOKUP(LOWER(G59),experiments_specs!$A:$J,10,FALSE)</f>
        <v>False</v>
      </c>
      <c r="F68" s="15" t="s">
        <v>68</v>
      </c>
      <c r="G68" s="7"/>
      <c r="H68" s="20"/>
      <c r="I68" s="20"/>
      <c r="J68" s="20"/>
      <c r="K68" s="20"/>
      <c r="L68" s="32"/>
      <c r="M68" s="24"/>
      <c r="N68" s="24"/>
      <c r="O68" s="24"/>
      <c r="P68" s="24"/>
      <c r="Q68" s="35"/>
      <c r="S68" s="16"/>
      <c r="U68" s="16"/>
      <c r="W68" s="11" t="s">
        <v>9</v>
      </c>
      <c r="X68" s="12" t="str">
        <f>VLOOKUP(LOWER(Z59),experiments_specs!$A:$J,10,FALSE)</f>
        <v>False</v>
      </c>
      <c r="Y68" s="15" t="s">
        <v>75</v>
      </c>
      <c r="Z68" s="7" t="s">
        <v>18</v>
      </c>
      <c r="AA68" s="20"/>
      <c r="AB68" s="20"/>
      <c r="AC68" s="20"/>
      <c r="AD68" s="20"/>
      <c r="AE68" s="32"/>
      <c r="AF68" s="24"/>
      <c r="AG68" s="24"/>
      <c r="AH68" s="24"/>
      <c r="AI68" s="24"/>
      <c r="AJ68" s="35"/>
      <c r="AL68" s="16"/>
      <c r="AN68" s="16"/>
      <c r="AP68" s="11" t="s">
        <v>9</v>
      </c>
      <c r="AQ68" s="12" t="str">
        <f>VLOOKUP(LOWER(AS59),experiments_specs!$A:$J,10,FALSE)</f>
        <v>True</v>
      </c>
      <c r="AR68" s="15" t="s">
        <v>81</v>
      </c>
      <c r="AS68" s="7"/>
      <c r="AT68" s="20"/>
      <c r="AU68" s="20"/>
      <c r="AV68" s="20"/>
      <c r="AW68" s="20"/>
      <c r="AX68" s="32"/>
      <c r="AY68" s="24"/>
      <c r="AZ68" s="24"/>
      <c r="BA68" s="24"/>
      <c r="BB68" s="24"/>
      <c r="BC68" s="35"/>
      <c r="BE68" s="16"/>
    </row>
    <row r="69" spans="2:57" x14ac:dyDescent="0.2">
      <c r="B69" s="16"/>
      <c r="S69" s="16"/>
      <c r="U69" s="16"/>
      <c r="AL69" s="16"/>
      <c r="AN69" s="16"/>
      <c r="BE69" s="16"/>
    </row>
    <row r="70" spans="2:57" x14ac:dyDescent="0.2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</row>
  </sheetData>
  <mergeCells count="39">
    <mergeCell ref="AT59:AX59"/>
    <mergeCell ref="AY59:BC59"/>
    <mergeCell ref="AT26:AX26"/>
    <mergeCell ref="AY26:BC26"/>
    <mergeCell ref="AT37:AX37"/>
    <mergeCell ref="AY37:BC37"/>
    <mergeCell ref="AT48:AX48"/>
    <mergeCell ref="AY48:BC48"/>
    <mergeCell ref="AF37:AJ37"/>
    <mergeCell ref="AA48:AE48"/>
    <mergeCell ref="AF48:AJ48"/>
    <mergeCell ref="AA59:AE59"/>
    <mergeCell ref="AF59:AJ59"/>
    <mergeCell ref="AP2:BC2"/>
    <mergeCell ref="AT4:AX4"/>
    <mergeCell ref="AY4:BC4"/>
    <mergeCell ref="AT15:AX15"/>
    <mergeCell ref="AY15:BC15"/>
    <mergeCell ref="H59:L59"/>
    <mergeCell ref="M59:Q59"/>
    <mergeCell ref="W2:AJ2"/>
    <mergeCell ref="AA4:AE4"/>
    <mergeCell ref="AF4:AJ4"/>
    <mergeCell ref="AA15:AE15"/>
    <mergeCell ref="AF15:AJ15"/>
    <mergeCell ref="AA26:AE26"/>
    <mergeCell ref="AF26:AJ26"/>
    <mergeCell ref="AA37:AE37"/>
    <mergeCell ref="H26:L26"/>
    <mergeCell ref="M26:Q26"/>
    <mergeCell ref="H37:L37"/>
    <mergeCell ref="M37:Q37"/>
    <mergeCell ref="H48:L48"/>
    <mergeCell ref="M48:Q48"/>
    <mergeCell ref="H4:L4"/>
    <mergeCell ref="M4:Q4"/>
    <mergeCell ref="D2:Q2"/>
    <mergeCell ref="H15:L15"/>
    <mergeCell ref="M15:Q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010B0-6814-9E4C-AC5E-B60E23007B5A}">
  <sheetPr codeName="Foglio4"/>
  <dimension ref="B2:BE70"/>
  <sheetViews>
    <sheetView topLeftCell="N1" workbookViewId="0">
      <selection activeCell="AJ60" sqref="AJ60:AJ69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8" width="25.83203125" customWidth="1"/>
    <col min="9" max="9" width="11.83203125" customWidth="1"/>
    <col min="10" max="10" width="25.83203125" customWidth="1"/>
    <col min="11" max="11" width="11.83203125" customWidth="1"/>
    <col min="12" max="12" width="12.1640625" bestFit="1" customWidth="1"/>
    <col min="13" max="13" width="25.83203125" customWidth="1"/>
    <col min="14" max="14" width="11.83203125" customWidth="1"/>
    <col min="15" max="15" width="25.83203125" customWidth="1"/>
    <col min="16" max="16" width="11.83203125" customWidth="1"/>
    <col min="17" max="17" width="12.1640625" bestFit="1" customWidth="1"/>
    <col min="18" max="22" width="3.1640625" customWidth="1"/>
    <col min="23" max="23" width="22.33203125" bestFit="1" customWidth="1"/>
    <col min="24" max="24" width="29" bestFit="1" customWidth="1"/>
    <col min="25" max="25" width="1.83203125" customWidth="1"/>
    <col min="26" max="26" width="24.1640625" bestFit="1" customWidth="1"/>
    <col min="27" max="27" width="25.83203125" customWidth="1"/>
    <col min="28" max="28" width="11.83203125" customWidth="1"/>
    <col min="29" max="29" width="25.83203125" customWidth="1"/>
    <col min="30" max="30" width="11.83203125" customWidth="1"/>
    <col min="31" max="31" width="12.1640625" bestFit="1" customWidth="1"/>
    <col min="32" max="32" width="25.83203125" customWidth="1"/>
    <col min="33" max="33" width="11.83203125" customWidth="1"/>
    <col min="34" max="34" width="25.83203125" customWidth="1"/>
    <col min="35" max="35" width="11.83203125" customWidth="1"/>
    <col min="36" max="36" width="12.1640625" bestFit="1" customWidth="1"/>
    <col min="37" max="41" width="3.1640625" customWidth="1"/>
    <col min="42" max="42" width="22.33203125" bestFit="1" customWidth="1"/>
    <col min="43" max="43" width="29" bestFit="1" customWidth="1"/>
    <col min="44" max="44" width="1.83203125" customWidth="1"/>
    <col min="45" max="45" width="24.1640625" bestFit="1" customWidth="1"/>
    <col min="46" max="46" width="25.83203125" customWidth="1"/>
    <col min="47" max="47" width="11.83203125" customWidth="1"/>
    <col min="48" max="48" width="25.83203125" customWidth="1"/>
    <col min="49" max="49" width="11.83203125" customWidth="1"/>
    <col min="50" max="50" width="12.1640625" bestFit="1" customWidth="1"/>
    <col min="51" max="51" width="25.83203125" customWidth="1"/>
    <col min="52" max="52" width="11.83203125" customWidth="1"/>
    <col min="53" max="53" width="25.83203125" customWidth="1"/>
    <col min="54" max="54" width="11.83203125" customWidth="1"/>
    <col min="55" max="55" width="12.1640625" bestFit="1" customWidth="1"/>
    <col min="56" max="57" width="3.1640625" customWidth="1"/>
  </cols>
  <sheetData>
    <row r="2" spans="2:57" ht="19" x14ac:dyDescent="0.25">
      <c r="B2" s="16"/>
      <c r="C2" s="16"/>
      <c r="D2" s="38" t="s">
        <v>127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16"/>
      <c r="S2" s="16"/>
      <c r="U2" s="16"/>
      <c r="V2" s="16"/>
      <c r="W2" s="38" t="s">
        <v>128</v>
      </c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16"/>
      <c r="AL2" s="16"/>
      <c r="AN2" s="16"/>
      <c r="AO2" s="16"/>
      <c r="AP2" s="38" t="s">
        <v>129</v>
      </c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16"/>
      <c r="BE2" s="16"/>
    </row>
    <row r="3" spans="2:57" ht="17" thickBot="1" x14ac:dyDescent="0.25">
      <c r="B3" s="16"/>
      <c r="S3" s="16"/>
      <c r="U3" s="16"/>
      <c r="AL3" s="16"/>
      <c r="AN3" s="16"/>
      <c r="BE3" s="16"/>
    </row>
    <row r="4" spans="2:57" ht="20" thickBot="1" x14ac:dyDescent="0.3">
      <c r="B4" s="16"/>
      <c r="D4" s="13" t="s">
        <v>126</v>
      </c>
      <c r="E4" s="14"/>
      <c r="F4" s="9"/>
      <c r="G4" s="10" t="s">
        <v>130</v>
      </c>
      <c r="H4" s="36" t="s">
        <v>124</v>
      </c>
      <c r="I4" s="36"/>
      <c r="J4" s="36"/>
      <c r="K4" s="36"/>
      <c r="L4" s="36"/>
      <c r="M4" s="37" t="s">
        <v>123</v>
      </c>
      <c r="N4" s="37"/>
      <c r="O4" s="37"/>
      <c r="P4" s="37"/>
      <c r="Q4" s="37"/>
      <c r="R4" s="2"/>
      <c r="S4" s="16"/>
      <c r="U4" s="16"/>
      <c r="W4" s="13" t="s">
        <v>126</v>
      </c>
      <c r="X4" s="14"/>
      <c r="Y4" s="9"/>
      <c r="Z4" s="10" t="str">
        <f>"TEST_"&amp;TEXT(RIGHT(G59,2)+1, "00")</f>
        <v>TEST_25</v>
      </c>
      <c r="AA4" s="36" t="s">
        <v>124</v>
      </c>
      <c r="AB4" s="36"/>
      <c r="AC4" s="36"/>
      <c r="AD4" s="36"/>
      <c r="AE4" s="36"/>
      <c r="AF4" s="37" t="s">
        <v>123</v>
      </c>
      <c r="AG4" s="37"/>
      <c r="AH4" s="37"/>
      <c r="AI4" s="37"/>
      <c r="AJ4" s="37"/>
      <c r="AK4" s="2"/>
      <c r="AL4" s="16"/>
      <c r="AN4" s="16"/>
      <c r="AP4" s="13" t="s">
        <v>126</v>
      </c>
      <c r="AQ4" s="14"/>
      <c r="AR4" s="9"/>
      <c r="AS4" s="10" t="str">
        <f>"TEST_"&amp;TEXT(RIGHT(Z59,2)+1, "00")</f>
        <v>TEST_31</v>
      </c>
      <c r="AT4" s="36" t="s">
        <v>124</v>
      </c>
      <c r="AU4" s="36"/>
      <c r="AV4" s="36"/>
      <c r="AW4" s="36"/>
      <c r="AX4" s="36"/>
      <c r="AY4" s="37" t="s">
        <v>123</v>
      </c>
      <c r="AZ4" s="37"/>
      <c r="BA4" s="37"/>
      <c r="BB4" s="37"/>
      <c r="BC4" s="37"/>
      <c r="BD4" s="2"/>
      <c r="BE4" s="16"/>
    </row>
    <row r="5" spans="2:57" x14ac:dyDescent="0.2">
      <c r="B5" s="16"/>
      <c r="D5" s="11" t="s">
        <v>1</v>
      </c>
      <c r="E5" s="12" t="str">
        <f>VLOOKUP(LOWER(G4),experiments_specs!$A:$J,2,FALSE)</f>
        <v>NN</v>
      </c>
      <c r="F5" s="15" t="str">
        <f>"{"&amp;LOWER(G4)&amp;".csv}"</f>
        <v>{test_19.csv}</v>
      </c>
      <c r="G5" s="8" t="s">
        <v>118</v>
      </c>
      <c r="H5" s="3" t="s">
        <v>119</v>
      </c>
      <c r="I5" s="3" t="s">
        <v>182</v>
      </c>
      <c r="J5" s="3" t="s">
        <v>120</v>
      </c>
      <c r="K5" s="3" t="s">
        <v>182</v>
      </c>
      <c r="L5" s="29" t="s">
        <v>121</v>
      </c>
      <c r="M5" s="4" t="s">
        <v>122</v>
      </c>
      <c r="N5" s="4" t="s">
        <v>182</v>
      </c>
      <c r="O5" s="4" t="s">
        <v>120</v>
      </c>
      <c r="P5" s="4" t="s">
        <v>182</v>
      </c>
      <c r="Q5" s="4" t="s">
        <v>121</v>
      </c>
      <c r="S5" s="16"/>
      <c r="U5" s="16"/>
      <c r="W5" s="11" t="s">
        <v>1</v>
      </c>
      <c r="X5" s="12" t="str">
        <f>VLOOKUP(LOWER(Z4),experiments_specs!$A:$J,2,FALSE)</f>
        <v>NN</v>
      </c>
      <c r="Y5" s="15" t="str">
        <f>"{"&amp;LOWER(Z4)&amp;".csv}"</f>
        <v>{test_25.csv}</v>
      </c>
      <c r="Z5" s="8" t="s">
        <v>118</v>
      </c>
      <c r="AA5" s="3" t="s">
        <v>119</v>
      </c>
      <c r="AB5" s="3" t="s">
        <v>182</v>
      </c>
      <c r="AC5" s="3" t="s">
        <v>120</v>
      </c>
      <c r="AD5" s="3" t="s">
        <v>182</v>
      </c>
      <c r="AE5" s="3" t="s">
        <v>121</v>
      </c>
      <c r="AF5" s="4" t="s">
        <v>122</v>
      </c>
      <c r="AG5" s="4" t="s">
        <v>182</v>
      </c>
      <c r="AH5" s="4" t="s">
        <v>120</v>
      </c>
      <c r="AI5" s="4" t="s">
        <v>182</v>
      </c>
      <c r="AJ5" s="4" t="s">
        <v>121</v>
      </c>
      <c r="AL5" s="16"/>
      <c r="AN5" s="16"/>
      <c r="AP5" s="11" t="s">
        <v>1</v>
      </c>
      <c r="AQ5" s="12" t="str">
        <f>VLOOKUP(LOWER(AS4),experiments_specs!$A:$J,2,FALSE)</f>
        <v>NN</v>
      </c>
      <c r="AR5" s="15" t="str">
        <f>"{"&amp;LOWER(AS4)&amp;".csv}"</f>
        <v>{test_31.csv}</v>
      </c>
      <c r="AS5" s="8" t="s">
        <v>118</v>
      </c>
      <c r="AT5" s="3" t="s">
        <v>119</v>
      </c>
      <c r="AU5" s="3" t="s">
        <v>182</v>
      </c>
      <c r="AV5" s="3" t="s">
        <v>120</v>
      </c>
      <c r="AW5" s="3" t="s">
        <v>182</v>
      </c>
      <c r="AX5" s="3" t="s">
        <v>121</v>
      </c>
      <c r="AY5" s="4" t="s">
        <v>122</v>
      </c>
      <c r="AZ5" s="4" t="s">
        <v>182</v>
      </c>
      <c r="BA5" s="4" t="s">
        <v>120</v>
      </c>
      <c r="BB5" s="4" t="s">
        <v>182</v>
      </c>
      <c r="BC5" s="4" t="s">
        <v>121</v>
      </c>
      <c r="BE5" s="16"/>
    </row>
    <row r="6" spans="2:57" x14ac:dyDescent="0.2">
      <c r="B6" s="16"/>
      <c r="D6" s="11" t="s">
        <v>2</v>
      </c>
      <c r="E6" s="12">
        <f>VLOOKUP(LOWER(G4),experiments_specs!$A:$J,3,FALSE)</f>
        <v>1</v>
      </c>
      <c r="F6" s="15" t="s">
        <v>82</v>
      </c>
      <c r="G6" s="5"/>
      <c r="H6" s="17"/>
      <c r="I6" s="17"/>
      <c r="J6" s="17"/>
      <c r="K6" s="17"/>
      <c r="L6" s="30"/>
      <c r="M6" s="21"/>
      <c r="N6" s="21"/>
      <c r="O6" s="21"/>
      <c r="P6" s="21"/>
      <c r="Q6" s="33"/>
      <c r="S6" s="16"/>
      <c r="U6" s="16"/>
      <c r="W6" s="11" t="s">
        <v>2</v>
      </c>
      <c r="X6" s="12">
        <f>VLOOKUP(LOWER(Z4),experiments_specs!$A:$J,3,FALSE)</f>
        <v>1</v>
      </c>
      <c r="Y6" s="15" t="s">
        <v>88</v>
      </c>
      <c r="Z6" s="5" t="s">
        <v>19</v>
      </c>
      <c r="AA6" s="17"/>
      <c r="AB6" s="17"/>
      <c r="AC6" s="17"/>
      <c r="AD6" s="17"/>
      <c r="AE6" s="30"/>
      <c r="AF6" s="21"/>
      <c r="AG6" s="21"/>
      <c r="AH6" s="21"/>
      <c r="AI6" s="21"/>
      <c r="AJ6" s="33"/>
      <c r="AL6" s="16"/>
      <c r="AN6" s="16"/>
      <c r="AP6" s="11" t="s">
        <v>2</v>
      </c>
      <c r="AQ6" s="12">
        <f>VLOOKUP(LOWER(AS4),experiments_specs!$A:$J,3,FALSE)</f>
        <v>1</v>
      </c>
      <c r="AR6" s="15" t="s">
        <v>94</v>
      </c>
      <c r="AS6" s="5"/>
      <c r="AT6" s="17"/>
      <c r="AU6" s="17"/>
      <c r="AV6" s="17"/>
      <c r="AW6" s="17"/>
      <c r="AX6" s="30"/>
      <c r="AY6" s="21"/>
      <c r="AZ6" s="21"/>
      <c r="BA6" s="21"/>
      <c r="BB6" s="21"/>
      <c r="BC6" s="33"/>
      <c r="BE6" s="16"/>
    </row>
    <row r="7" spans="2:57" x14ac:dyDescent="0.2">
      <c r="B7" s="16"/>
      <c r="D7" s="11" t="s">
        <v>3</v>
      </c>
      <c r="E7" s="12">
        <f>VLOOKUP(LOWER(G4),experiments_specs!$A:$J,4,FALSE)</f>
        <v>2</v>
      </c>
      <c r="F7" s="15" t="s">
        <v>82</v>
      </c>
      <c r="G7" s="6"/>
      <c r="H7" s="18"/>
      <c r="I7" s="18"/>
      <c r="J7" s="18"/>
      <c r="K7" s="18"/>
      <c r="L7" s="31"/>
      <c r="M7" s="22"/>
      <c r="N7" s="22"/>
      <c r="O7" s="22"/>
      <c r="P7" s="22"/>
      <c r="Q7" s="34"/>
      <c r="S7" s="16"/>
      <c r="U7" s="16"/>
      <c r="W7" s="11" t="s">
        <v>3</v>
      </c>
      <c r="X7" s="12">
        <f>VLOOKUP(LOWER(Z4),experiments_specs!$A:$J,4,FALSE)</f>
        <v>2</v>
      </c>
      <c r="Y7" s="15" t="s">
        <v>88</v>
      </c>
      <c r="Z7" s="6" t="s">
        <v>12</v>
      </c>
      <c r="AA7" s="18"/>
      <c r="AB7" s="18"/>
      <c r="AC7" s="18"/>
      <c r="AD7" s="18"/>
      <c r="AE7" s="31"/>
      <c r="AF7" s="22"/>
      <c r="AG7" s="22"/>
      <c r="AH7" s="22"/>
      <c r="AI7" s="22"/>
      <c r="AJ7" s="34"/>
      <c r="AL7" s="16"/>
      <c r="AN7" s="16"/>
      <c r="AP7" s="11" t="s">
        <v>3</v>
      </c>
      <c r="AQ7" s="12">
        <f>VLOOKUP(LOWER(AS4),experiments_specs!$A:$J,4,FALSE)</f>
        <v>2</v>
      </c>
      <c r="AR7" s="15" t="s">
        <v>94</v>
      </c>
      <c r="AS7" s="6"/>
      <c r="AT7" s="18"/>
      <c r="AU7" s="18"/>
      <c r="AV7" s="18"/>
      <c r="AW7" s="18"/>
      <c r="AX7" s="31"/>
      <c r="AY7" s="22"/>
      <c r="AZ7" s="22"/>
      <c r="BA7" s="22"/>
      <c r="BB7" s="22"/>
      <c r="BC7" s="34"/>
      <c r="BE7" s="16"/>
    </row>
    <row r="8" spans="2:57" x14ac:dyDescent="0.2">
      <c r="B8" s="16"/>
      <c r="D8" s="11" t="s">
        <v>4</v>
      </c>
      <c r="E8" s="12" t="str">
        <f>VLOOKUP(LOWER(G4),experiments_specs!$A:$J,5,FALSE)</f>
        <v>False</v>
      </c>
      <c r="F8" s="15" t="s">
        <v>82</v>
      </c>
      <c r="G8" s="6"/>
      <c r="H8" s="19"/>
      <c r="I8" s="19"/>
      <c r="J8" s="19"/>
      <c r="K8" s="19"/>
      <c r="L8" s="31"/>
      <c r="M8" s="22"/>
      <c r="N8" s="22"/>
      <c r="O8" s="22"/>
      <c r="P8" s="22"/>
      <c r="Q8" s="34"/>
      <c r="S8" s="16"/>
      <c r="U8" s="16"/>
      <c r="W8" s="11" t="s">
        <v>4</v>
      </c>
      <c r="X8" s="12" t="str">
        <f>VLOOKUP(LOWER(Z4),experiments_specs!$A:$J,5,FALSE)</f>
        <v>True</v>
      </c>
      <c r="Y8" s="15" t="s">
        <v>88</v>
      </c>
      <c r="Z8" s="6" t="s">
        <v>13</v>
      </c>
      <c r="AA8" s="19"/>
      <c r="AB8" s="19"/>
      <c r="AC8" s="19"/>
      <c r="AD8" s="19"/>
      <c r="AE8" s="31"/>
      <c r="AF8" s="22"/>
      <c r="AG8" s="22"/>
      <c r="AH8" s="22"/>
      <c r="AI8" s="22"/>
      <c r="AJ8" s="34"/>
      <c r="AL8" s="16"/>
      <c r="AN8" s="16"/>
      <c r="AP8" s="11" t="s">
        <v>4</v>
      </c>
      <c r="AQ8" s="12" t="str">
        <f>VLOOKUP(LOWER(AS4),experiments_specs!$A:$J,5,FALSE)</f>
        <v>False</v>
      </c>
      <c r="AR8" s="15" t="s">
        <v>94</v>
      </c>
      <c r="AS8" s="6"/>
      <c r="AT8" s="19"/>
      <c r="AU8" s="19"/>
      <c r="AV8" s="19"/>
      <c r="AW8" s="19"/>
      <c r="AX8" s="31"/>
      <c r="AY8" s="22"/>
      <c r="AZ8" s="22"/>
      <c r="BA8" s="22"/>
      <c r="BB8" s="22"/>
      <c r="BC8" s="34"/>
      <c r="BE8" s="16"/>
    </row>
    <row r="9" spans="2:57" x14ac:dyDescent="0.2">
      <c r="B9" s="16"/>
      <c r="D9" s="11" t="s">
        <v>5</v>
      </c>
      <c r="E9" s="12" t="str">
        <f>VLOOKUP(LOWER(G4),experiments_specs!$A:$J,6,FALSE)</f>
        <v>True</v>
      </c>
      <c r="F9" s="15" t="s">
        <v>82</v>
      </c>
      <c r="G9" s="6"/>
      <c r="H9" s="19"/>
      <c r="I9" s="19"/>
      <c r="J9" s="19"/>
      <c r="K9" s="19"/>
      <c r="L9" s="31"/>
      <c r="M9" s="22"/>
      <c r="N9" s="22"/>
      <c r="O9" s="22"/>
      <c r="P9" s="22"/>
      <c r="Q9" s="34"/>
      <c r="S9" s="16"/>
      <c r="U9" s="16"/>
      <c r="W9" s="11" t="s">
        <v>5</v>
      </c>
      <c r="X9" s="12" t="str">
        <f>VLOOKUP(LOWER(Z4),experiments_specs!$A:$J,6,FALSE)</f>
        <v>True</v>
      </c>
      <c r="Y9" s="15" t="s">
        <v>88</v>
      </c>
      <c r="Z9" s="6" t="s">
        <v>14</v>
      </c>
      <c r="AA9" s="19"/>
      <c r="AB9" s="19"/>
      <c r="AC9" s="19"/>
      <c r="AD9" s="19"/>
      <c r="AE9" s="31"/>
      <c r="AF9" s="22"/>
      <c r="AG9" s="22"/>
      <c r="AH9" s="22"/>
      <c r="AI9" s="22"/>
      <c r="AJ9" s="34"/>
      <c r="AL9" s="16"/>
      <c r="AN9" s="16"/>
      <c r="AP9" s="11" t="s">
        <v>5</v>
      </c>
      <c r="AQ9" s="12" t="str">
        <f>VLOOKUP(LOWER(AS4),experiments_specs!$A:$J,6,FALSE)</f>
        <v>True</v>
      </c>
      <c r="AR9" s="15" t="s">
        <v>94</v>
      </c>
      <c r="AS9" s="6"/>
      <c r="AT9" s="19"/>
      <c r="AU9" s="19"/>
      <c r="AV9" s="19"/>
      <c r="AW9" s="19"/>
      <c r="AX9" s="31"/>
      <c r="AY9" s="22"/>
      <c r="AZ9" s="22"/>
      <c r="BA9" s="22"/>
      <c r="BB9" s="22"/>
      <c r="BC9" s="34"/>
      <c r="BE9" s="16"/>
    </row>
    <row r="10" spans="2:57" x14ac:dyDescent="0.2">
      <c r="B10" s="16"/>
      <c r="D10" s="11" t="s">
        <v>6</v>
      </c>
      <c r="E10" s="12" t="str">
        <f>VLOOKUP(LOWER(G4),experiments_specs!$A:$J,7,FALSE)</f>
        <v>True</v>
      </c>
      <c r="F10" s="15" t="s">
        <v>82</v>
      </c>
      <c r="G10" s="6"/>
      <c r="H10" s="19"/>
      <c r="I10" s="19"/>
      <c r="J10" s="19"/>
      <c r="K10" s="19"/>
      <c r="L10" s="31"/>
      <c r="M10" s="23"/>
      <c r="N10" s="23"/>
      <c r="O10" s="23"/>
      <c r="P10" s="23"/>
      <c r="Q10" s="34"/>
      <c r="S10" s="16"/>
      <c r="U10" s="16"/>
      <c r="W10" s="11" t="s">
        <v>6</v>
      </c>
      <c r="X10" s="12" t="str">
        <f>VLOOKUP(LOWER(Z4),experiments_specs!$A:$J,7,FALSE)</f>
        <v>True</v>
      </c>
      <c r="Y10" s="15" t="s">
        <v>88</v>
      </c>
      <c r="Z10" s="6" t="s">
        <v>15</v>
      </c>
      <c r="AA10" s="19"/>
      <c r="AB10" s="19"/>
      <c r="AC10" s="19"/>
      <c r="AD10" s="19"/>
      <c r="AE10" s="31"/>
      <c r="AF10" s="23"/>
      <c r="AG10" s="23"/>
      <c r="AH10" s="23"/>
      <c r="AI10" s="23"/>
      <c r="AJ10" s="34"/>
      <c r="AL10" s="16"/>
      <c r="AN10" s="16"/>
      <c r="AP10" s="11" t="s">
        <v>6</v>
      </c>
      <c r="AQ10" s="12" t="str">
        <f>VLOOKUP(LOWER(AS4),experiments_specs!$A:$J,7,FALSE)</f>
        <v>True</v>
      </c>
      <c r="AR10" s="15" t="s">
        <v>94</v>
      </c>
      <c r="AS10" s="6"/>
      <c r="AT10" s="19"/>
      <c r="AU10" s="19"/>
      <c r="AV10" s="19"/>
      <c r="AW10" s="19"/>
      <c r="AX10" s="31"/>
      <c r="AY10" s="23"/>
      <c r="AZ10" s="23"/>
      <c r="BA10" s="23"/>
      <c r="BB10" s="23"/>
      <c r="BC10" s="34"/>
      <c r="BE10" s="16"/>
    </row>
    <row r="11" spans="2:57" x14ac:dyDescent="0.2">
      <c r="B11" s="16"/>
      <c r="D11" s="11" t="s">
        <v>7</v>
      </c>
      <c r="E11" s="12" t="str">
        <f>VLOOKUP(LOWER(G4),experiments_specs!$A:$J,8,FALSE)</f>
        <v>False</v>
      </c>
      <c r="F11" s="15" t="s">
        <v>82</v>
      </c>
      <c r="G11" s="6"/>
      <c r="H11" s="19"/>
      <c r="I11" s="19"/>
      <c r="J11" s="19"/>
      <c r="K11" s="19"/>
      <c r="L11" s="31"/>
      <c r="M11" s="23"/>
      <c r="N11" s="23"/>
      <c r="O11" s="23"/>
      <c r="P11" s="23"/>
      <c r="Q11" s="34"/>
      <c r="S11" s="16"/>
      <c r="U11" s="16"/>
      <c r="W11" s="11" t="s">
        <v>7</v>
      </c>
      <c r="X11" s="12" t="str">
        <f>VLOOKUP(LOWER(Z4),experiments_specs!$A:$J,8,FALSE)</f>
        <v>False</v>
      </c>
      <c r="Y11" s="15" t="s">
        <v>88</v>
      </c>
      <c r="Z11" s="6" t="s">
        <v>16</v>
      </c>
      <c r="AA11" s="19"/>
      <c r="AB11" s="19"/>
      <c r="AC11" s="19"/>
      <c r="AD11" s="19"/>
      <c r="AE11" s="31"/>
      <c r="AF11" s="23"/>
      <c r="AG11" s="23"/>
      <c r="AH11" s="23"/>
      <c r="AI11" s="23"/>
      <c r="AJ11" s="34"/>
      <c r="AL11" s="16"/>
      <c r="AN11" s="16"/>
      <c r="AP11" s="11" t="s">
        <v>7</v>
      </c>
      <c r="AQ11" s="12" t="str">
        <f>VLOOKUP(LOWER(AS4),experiments_specs!$A:$J,8,FALSE)</f>
        <v>False</v>
      </c>
      <c r="AR11" s="15" t="s">
        <v>94</v>
      </c>
      <c r="AS11" s="6"/>
      <c r="AT11" s="19"/>
      <c r="AU11" s="19"/>
      <c r="AV11" s="19"/>
      <c r="AW11" s="19"/>
      <c r="AX11" s="31"/>
      <c r="AY11" s="23"/>
      <c r="AZ11" s="23"/>
      <c r="BA11" s="23"/>
      <c r="BB11" s="23"/>
      <c r="BC11" s="34"/>
      <c r="BE11" s="16"/>
    </row>
    <row r="12" spans="2:57" x14ac:dyDescent="0.2">
      <c r="B12" s="16"/>
      <c r="D12" s="11" t="s">
        <v>8</v>
      </c>
      <c r="E12" s="12" t="str">
        <f>VLOOKUP(LOWER(G4),experiments_specs!$A:$J,9,FALSE)</f>
        <v>wup_similarity</v>
      </c>
      <c r="F12" s="15" t="s">
        <v>82</v>
      </c>
      <c r="G12" s="6"/>
      <c r="H12" s="19"/>
      <c r="I12" s="19"/>
      <c r="J12" s="19"/>
      <c r="K12" s="19"/>
      <c r="L12" s="31"/>
      <c r="M12" s="22"/>
      <c r="N12" s="22"/>
      <c r="O12" s="22"/>
      <c r="P12" s="22"/>
      <c r="Q12" s="34"/>
      <c r="S12" s="16"/>
      <c r="U12" s="16"/>
      <c r="W12" s="11" t="s">
        <v>8</v>
      </c>
      <c r="X12" s="12" t="str">
        <f>VLOOKUP(LOWER(Z4),experiments_specs!$A:$J,9,FALSE)</f>
        <v>wup_similarity</v>
      </c>
      <c r="Y12" s="15" t="s">
        <v>88</v>
      </c>
      <c r="Z12" s="6" t="s">
        <v>17</v>
      </c>
      <c r="AA12" s="19"/>
      <c r="AB12" s="19"/>
      <c r="AC12" s="19"/>
      <c r="AD12" s="19"/>
      <c r="AE12" s="31"/>
      <c r="AF12" s="22"/>
      <c r="AG12" s="22"/>
      <c r="AH12" s="22"/>
      <c r="AI12" s="22"/>
      <c r="AJ12" s="34"/>
      <c r="AL12" s="16"/>
      <c r="AN12" s="16"/>
      <c r="AP12" s="11" t="s">
        <v>8</v>
      </c>
      <c r="AQ12" s="12" t="str">
        <f>VLOOKUP(LOWER(AS4),experiments_specs!$A:$J,9,FALSE)</f>
        <v>wup_similarity</v>
      </c>
      <c r="AR12" s="15" t="s">
        <v>94</v>
      </c>
      <c r="AS12" s="6"/>
      <c r="AT12" s="19"/>
      <c r="AU12" s="19"/>
      <c r="AV12" s="19"/>
      <c r="AW12" s="19"/>
      <c r="AX12" s="31"/>
      <c r="AY12" s="22"/>
      <c r="AZ12" s="22"/>
      <c r="BA12" s="22"/>
      <c r="BB12" s="22"/>
      <c r="BC12" s="34"/>
      <c r="BE12" s="16"/>
    </row>
    <row r="13" spans="2:57" x14ac:dyDescent="0.2">
      <c r="B13" s="16"/>
      <c r="D13" s="11" t="s">
        <v>9</v>
      </c>
      <c r="E13" s="12" t="str">
        <f>VLOOKUP(LOWER(G4),experiments_specs!$A:$J,10,FALSE)</f>
        <v>False</v>
      </c>
      <c r="F13" s="15" t="s">
        <v>82</v>
      </c>
      <c r="G13" s="7"/>
      <c r="H13" s="20"/>
      <c r="I13" s="20"/>
      <c r="J13" s="20"/>
      <c r="K13" s="20"/>
      <c r="L13" s="32"/>
      <c r="M13" s="24"/>
      <c r="N13" s="24"/>
      <c r="O13" s="24"/>
      <c r="P13" s="24"/>
      <c r="Q13" s="35"/>
      <c r="S13" s="16"/>
      <c r="U13" s="16"/>
      <c r="W13" s="11" t="s">
        <v>9</v>
      </c>
      <c r="X13" s="12" t="str">
        <f>VLOOKUP(LOWER(Z4),experiments_specs!$A:$J,10,FALSE)</f>
        <v>False</v>
      </c>
      <c r="Y13" s="15" t="s">
        <v>88</v>
      </c>
      <c r="Z13" s="7" t="s">
        <v>18</v>
      </c>
      <c r="AA13" s="20"/>
      <c r="AB13" s="20"/>
      <c r="AC13" s="20"/>
      <c r="AD13" s="20"/>
      <c r="AE13" s="32"/>
      <c r="AF13" s="24"/>
      <c r="AG13" s="24"/>
      <c r="AH13" s="24"/>
      <c r="AI13" s="24"/>
      <c r="AJ13" s="35"/>
      <c r="AL13" s="16"/>
      <c r="AN13" s="16"/>
      <c r="AP13" s="11" t="s">
        <v>9</v>
      </c>
      <c r="AQ13" s="12" t="str">
        <f>VLOOKUP(LOWER(AS4),experiments_specs!$A:$J,10,FALSE)</f>
        <v>True</v>
      </c>
      <c r="AR13" s="15" t="s">
        <v>94</v>
      </c>
      <c r="AS13" s="7"/>
      <c r="AT13" s="20"/>
      <c r="AU13" s="20"/>
      <c r="AV13" s="20"/>
      <c r="AW13" s="20"/>
      <c r="AX13" s="32"/>
      <c r="AY13" s="24"/>
      <c r="AZ13" s="24"/>
      <c r="BA13" s="24"/>
      <c r="BB13" s="24"/>
      <c r="BC13" s="35"/>
      <c r="BE13" s="16"/>
    </row>
    <row r="14" spans="2:57" ht="17" thickBot="1" x14ac:dyDescent="0.25">
      <c r="B14" s="16"/>
      <c r="S14" s="16"/>
      <c r="U14" s="16"/>
      <c r="AL14" s="16"/>
      <c r="AN14" s="16"/>
      <c r="BE14" s="16"/>
    </row>
    <row r="15" spans="2:57" ht="20" thickBot="1" x14ac:dyDescent="0.3">
      <c r="B15" s="16"/>
      <c r="D15" s="13" t="s">
        <v>126</v>
      </c>
      <c r="E15" s="14"/>
      <c r="F15" s="9"/>
      <c r="G15" s="10" t="str">
        <f>"TEST_"&amp;TEXT(RIGHT(G4,2)+1, "00")</f>
        <v>TEST_20</v>
      </c>
      <c r="H15" s="36" t="s">
        <v>124</v>
      </c>
      <c r="I15" s="36"/>
      <c r="J15" s="36"/>
      <c r="K15" s="36"/>
      <c r="L15" s="36"/>
      <c r="M15" s="37" t="s">
        <v>123</v>
      </c>
      <c r="N15" s="37"/>
      <c r="O15" s="37"/>
      <c r="P15" s="37"/>
      <c r="Q15" s="37"/>
      <c r="R15" s="2"/>
      <c r="S15" s="16"/>
      <c r="U15" s="16"/>
      <c r="W15" s="13" t="s">
        <v>126</v>
      </c>
      <c r="X15" s="14"/>
      <c r="Y15" s="9"/>
      <c r="Z15" s="10" t="str">
        <f>"TEST_"&amp;TEXT(RIGHT(Z4,2)+1, "00")</f>
        <v>TEST_26</v>
      </c>
      <c r="AA15" s="36" t="s">
        <v>124</v>
      </c>
      <c r="AB15" s="36"/>
      <c r="AC15" s="36"/>
      <c r="AD15" s="36"/>
      <c r="AE15" s="36"/>
      <c r="AF15" s="37" t="s">
        <v>123</v>
      </c>
      <c r="AG15" s="37"/>
      <c r="AH15" s="37"/>
      <c r="AI15" s="37"/>
      <c r="AJ15" s="37"/>
      <c r="AK15" s="2"/>
      <c r="AL15" s="16"/>
      <c r="AN15" s="16"/>
      <c r="AP15" s="13" t="s">
        <v>126</v>
      </c>
      <c r="AQ15" s="14"/>
      <c r="AR15" s="9"/>
      <c r="AS15" s="10" t="str">
        <f>"TEST_"&amp;TEXT(RIGHT(AS4,2)+1, "00")</f>
        <v>TEST_32</v>
      </c>
      <c r="AT15" s="36" t="s">
        <v>124</v>
      </c>
      <c r="AU15" s="36"/>
      <c r="AV15" s="36"/>
      <c r="AW15" s="36"/>
      <c r="AX15" s="36"/>
      <c r="AY15" s="37" t="s">
        <v>123</v>
      </c>
      <c r="AZ15" s="37"/>
      <c r="BA15" s="37"/>
      <c r="BB15" s="37"/>
      <c r="BC15" s="37"/>
      <c r="BD15" s="2"/>
      <c r="BE15" s="16"/>
    </row>
    <row r="16" spans="2:57" x14ac:dyDescent="0.2">
      <c r="B16" s="16"/>
      <c r="D16" s="11" t="s">
        <v>1</v>
      </c>
      <c r="E16" s="12" t="str">
        <f>VLOOKUP(LOWER(G15),experiments_specs!$A:$J,2,FALSE)</f>
        <v>NN,JJ</v>
      </c>
      <c r="F16" s="15" t="str">
        <f>"{"&amp;LOWER(G15)&amp;".csv}"</f>
        <v>{test_20.csv}</v>
      </c>
      <c r="G16" s="8" t="s">
        <v>118</v>
      </c>
      <c r="H16" s="3" t="s">
        <v>119</v>
      </c>
      <c r="I16" s="3" t="s">
        <v>182</v>
      </c>
      <c r="J16" s="3" t="s">
        <v>120</v>
      </c>
      <c r="K16" s="3" t="s">
        <v>182</v>
      </c>
      <c r="L16" s="29" t="s">
        <v>121</v>
      </c>
      <c r="M16" s="4" t="s">
        <v>122</v>
      </c>
      <c r="N16" s="4" t="s">
        <v>182</v>
      </c>
      <c r="O16" s="4" t="s">
        <v>120</v>
      </c>
      <c r="P16" s="4" t="s">
        <v>182</v>
      </c>
      <c r="Q16" s="4" t="s">
        <v>121</v>
      </c>
      <c r="S16" s="16"/>
      <c r="U16" s="16"/>
      <c r="W16" s="11" t="s">
        <v>1</v>
      </c>
      <c r="X16" s="12" t="str">
        <f>VLOOKUP(LOWER(Z15),experiments_specs!$A:$J,2,FALSE)</f>
        <v>NN,JJ</v>
      </c>
      <c r="Y16" s="15" t="str">
        <f>"{"&amp;LOWER(Z15)&amp;".csv}"</f>
        <v>{test_26.csv}</v>
      </c>
      <c r="Z16" s="8" t="s">
        <v>118</v>
      </c>
      <c r="AA16" s="3" t="s">
        <v>119</v>
      </c>
      <c r="AB16" s="3" t="s">
        <v>182</v>
      </c>
      <c r="AC16" s="3" t="s">
        <v>120</v>
      </c>
      <c r="AD16" s="3" t="s">
        <v>182</v>
      </c>
      <c r="AE16" s="3" t="s">
        <v>121</v>
      </c>
      <c r="AF16" s="4" t="s">
        <v>122</v>
      </c>
      <c r="AG16" s="4" t="s">
        <v>182</v>
      </c>
      <c r="AH16" s="4" t="s">
        <v>120</v>
      </c>
      <c r="AI16" s="4" t="s">
        <v>182</v>
      </c>
      <c r="AJ16" s="4" t="s">
        <v>121</v>
      </c>
      <c r="AL16" s="16"/>
      <c r="AN16" s="16"/>
      <c r="AP16" s="11" t="s">
        <v>1</v>
      </c>
      <c r="AQ16" s="12" t="str">
        <f>VLOOKUP(LOWER(AS15),experiments_specs!$A:$J,2,FALSE)</f>
        <v>NN,JJ</v>
      </c>
      <c r="AR16" s="15" t="str">
        <f>"{"&amp;LOWER(AS15)&amp;".csv}"</f>
        <v>{test_32.csv}</v>
      </c>
      <c r="AS16" s="8" t="s">
        <v>118</v>
      </c>
      <c r="AT16" s="3" t="s">
        <v>119</v>
      </c>
      <c r="AU16" s="3" t="s">
        <v>182</v>
      </c>
      <c r="AV16" s="3" t="s">
        <v>120</v>
      </c>
      <c r="AW16" s="3" t="s">
        <v>182</v>
      </c>
      <c r="AX16" s="3" t="s">
        <v>121</v>
      </c>
      <c r="AY16" s="4" t="s">
        <v>122</v>
      </c>
      <c r="AZ16" s="4" t="s">
        <v>182</v>
      </c>
      <c r="BA16" s="4" t="s">
        <v>120</v>
      </c>
      <c r="BB16" s="4" t="s">
        <v>182</v>
      </c>
      <c r="BC16" s="4" t="s">
        <v>121</v>
      </c>
      <c r="BE16" s="16"/>
    </row>
    <row r="17" spans="2:57" x14ac:dyDescent="0.2">
      <c r="B17" s="16"/>
      <c r="D17" s="11" t="s">
        <v>2</v>
      </c>
      <c r="E17" s="12">
        <f>VLOOKUP(LOWER(G15),experiments_specs!$A:$J,3,FALSE)</f>
        <v>1</v>
      </c>
      <c r="F17" s="15" t="s">
        <v>83</v>
      </c>
      <c r="G17" s="5"/>
      <c r="H17" s="17"/>
      <c r="I17" s="17"/>
      <c r="J17" s="17"/>
      <c r="K17" s="17"/>
      <c r="L17" s="30"/>
      <c r="M17" s="21"/>
      <c r="N17" s="21"/>
      <c r="O17" s="21"/>
      <c r="P17" s="21"/>
      <c r="Q17" s="33"/>
      <c r="S17" s="16"/>
      <c r="U17" s="16"/>
      <c r="W17" s="11" t="s">
        <v>2</v>
      </c>
      <c r="X17" s="12">
        <f>VLOOKUP(LOWER(Z15),experiments_specs!$A:$J,3,FALSE)</f>
        <v>1</v>
      </c>
      <c r="Y17" s="15" t="s">
        <v>89</v>
      </c>
      <c r="Z17" s="5" t="s">
        <v>19</v>
      </c>
      <c r="AA17" s="17"/>
      <c r="AB17" s="17"/>
      <c r="AC17" s="17"/>
      <c r="AD17" s="17"/>
      <c r="AE17" s="30"/>
      <c r="AF17" s="21"/>
      <c r="AG17" s="21"/>
      <c r="AH17" s="21"/>
      <c r="AI17" s="21"/>
      <c r="AJ17" s="33"/>
      <c r="AL17" s="16"/>
      <c r="AN17" s="16"/>
      <c r="AP17" s="11" t="s">
        <v>2</v>
      </c>
      <c r="AQ17" s="12">
        <f>VLOOKUP(LOWER(AS15),experiments_specs!$A:$J,3,FALSE)</f>
        <v>1</v>
      </c>
      <c r="AR17" s="15" t="s">
        <v>95</v>
      </c>
      <c r="AS17" s="5"/>
      <c r="AT17" s="17"/>
      <c r="AU17" s="17"/>
      <c r="AV17" s="17"/>
      <c r="AW17" s="17"/>
      <c r="AX17" s="30"/>
      <c r="AY17" s="21"/>
      <c r="AZ17" s="21"/>
      <c r="BA17" s="21"/>
      <c r="BB17" s="21"/>
      <c r="BC17" s="33"/>
      <c r="BE17" s="16"/>
    </row>
    <row r="18" spans="2:57" x14ac:dyDescent="0.2">
      <c r="B18" s="16"/>
      <c r="D18" s="11" t="s">
        <v>3</v>
      </c>
      <c r="E18" s="12">
        <f>VLOOKUP(LOWER(G15),experiments_specs!$A:$J,4,FALSE)</f>
        <v>2</v>
      </c>
      <c r="F18" s="15" t="s">
        <v>83</v>
      </c>
      <c r="G18" s="6"/>
      <c r="H18" s="18"/>
      <c r="I18" s="18"/>
      <c r="J18" s="18"/>
      <c r="K18" s="18"/>
      <c r="L18" s="31"/>
      <c r="M18" s="22"/>
      <c r="N18" s="22"/>
      <c r="O18" s="22"/>
      <c r="P18" s="22"/>
      <c r="Q18" s="34"/>
      <c r="S18" s="16"/>
      <c r="U18" s="16"/>
      <c r="W18" s="11" t="s">
        <v>3</v>
      </c>
      <c r="X18" s="12">
        <f>VLOOKUP(LOWER(Z15),experiments_specs!$A:$J,4,FALSE)</f>
        <v>2</v>
      </c>
      <c r="Y18" s="15" t="s">
        <v>89</v>
      </c>
      <c r="Z18" s="6" t="s">
        <v>12</v>
      </c>
      <c r="AA18" s="18"/>
      <c r="AB18" s="18"/>
      <c r="AC18" s="18"/>
      <c r="AD18" s="18"/>
      <c r="AE18" s="31"/>
      <c r="AF18" s="23"/>
      <c r="AG18" s="23"/>
      <c r="AH18" s="23"/>
      <c r="AI18" s="23"/>
      <c r="AJ18" s="34"/>
      <c r="AL18" s="16"/>
      <c r="AN18" s="16"/>
      <c r="AP18" s="11" t="s">
        <v>3</v>
      </c>
      <c r="AQ18" s="12">
        <f>VLOOKUP(LOWER(AS15),experiments_specs!$A:$J,4,FALSE)</f>
        <v>2</v>
      </c>
      <c r="AR18" s="15" t="s">
        <v>95</v>
      </c>
      <c r="AS18" s="6"/>
      <c r="AT18" s="18"/>
      <c r="AU18" s="18"/>
      <c r="AV18" s="18"/>
      <c r="AW18" s="18"/>
      <c r="AX18" s="31"/>
      <c r="AY18" s="23"/>
      <c r="AZ18" s="23"/>
      <c r="BA18" s="23"/>
      <c r="BB18" s="23"/>
      <c r="BC18" s="34"/>
      <c r="BE18" s="16"/>
    </row>
    <row r="19" spans="2:57" x14ac:dyDescent="0.2">
      <c r="B19" s="16"/>
      <c r="D19" s="11" t="s">
        <v>4</v>
      </c>
      <c r="E19" s="12" t="str">
        <f>VLOOKUP(LOWER(G15),experiments_specs!$A:$J,5,FALSE)</f>
        <v>False</v>
      </c>
      <c r="F19" s="15" t="s">
        <v>83</v>
      </c>
      <c r="G19" s="6"/>
      <c r="H19" s="19"/>
      <c r="I19" s="19"/>
      <c r="J19" s="19"/>
      <c r="K19" s="19"/>
      <c r="L19" s="31"/>
      <c r="M19" s="22"/>
      <c r="N19" s="22"/>
      <c r="O19" s="22"/>
      <c r="P19" s="22"/>
      <c r="Q19" s="34"/>
      <c r="S19" s="16"/>
      <c r="U19" s="16"/>
      <c r="W19" s="11" t="s">
        <v>4</v>
      </c>
      <c r="X19" s="12" t="str">
        <f>VLOOKUP(LOWER(Z15),experiments_specs!$A:$J,5,FALSE)</f>
        <v>True</v>
      </c>
      <c r="Y19" s="15" t="s">
        <v>89</v>
      </c>
      <c r="Z19" s="6" t="s">
        <v>13</v>
      </c>
      <c r="AA19" s="19"/>
      <c r="AB19" s="19"/>
      <c r="AC19" s="19"/>
      <c r="AD19" s="19"/>
      <c r="AE19" s="31"/>
      <c r="AF19" s="22"/>
      <c r="AG19" s="22"/>
      <c r="AH19" s="22"/>
      <c r="AI19" s="22"/>
      <c r="AJ19" s="34"/>
      <c r="AL19" s="16"/>
      <c r="AN19" s="16"/>
      <c r="AP19" s="11" t="s">
        <v>4</v>
      </c>
      <c r="AQ19" s="12" t="str">
        <f>VLOOKUP(LOWER(AS15),experiments_specs!$A:$J,5,FALSE)</f>
        <v>True</v>
      </c>
      <c r="AR19" s="15" t="s">
        <v>95</v>
      </c>
      <c r="AS19" s="6"/>
      <c r="AT19" s="19"/>
      <c r="AU19" s="19"/>
      <c r="AV19" s="19"/>
      <c r="AW19" s="19"/>
      <c r="AX19" s="31"/>
      <c r="AY19" s="22"/>
      <c r="AZ19" s="22"/>
      <c r="BA19" s="22"/>
      <c r="BB19" s="22"/>
      <c r="BC19" s="34"/>
      <c r="BE19" s="16"/>
    </row>
    <row r="20" spans="2:57" x14ac:dyDescent="0.2">
      <c r="B20" s="16"/>
      <c r="D20" s="11" t="s">
        <v>5</v>
      </c>
      <c r="E20" s="12" t="str">
        <f>VLOOKUP(LOWER(G15),experiments_specs!$A:$J,6,FALSE)</f>
        <v>True</v>
      </c>
      <c r="F20" s="15" t="s">
        <v>83</v>
      </c>
      <c r="G20" s="6"/>
      <c r="H20" s="19"/>
      <c r="I20" s="19"/>
      <c r="J20" s="19"/>
      <c r="K20" s="19"/>
      <c r="L20" s="31"/>
      <c r="M20" s="22"/>
      <c r="N20" s="22"/>
      <c r="O20" s="22"/>
      <c r="P20" s="22"/>
      <c r="Q20" s="34"/>
      <c r="S20" s="16"/>
      <c r="U20" s="16"/>
      <c r="W20" s="11" t="s">
        <v>5</v>
      </c>
      <c r="X20" s="12" t="str">
        <f>VLOOKUP(LOWER(Z15),experiments_specs!$A:$J,6,FALSE)</f>
        <v>True</v>
      </c>
      <c r="Y20" s="15" t="s">
        <v>89</v>
      </c>
      <c r="Z20" s="6" t="s">
        <v>14</v>
      </c>
      <c r="AA20" s="18"/>
      <c r="AB20" s="18"/>
      <c r="AC20" s="18"/>
      <c r="AD20" s="18"/>
      <c r="AE20" s="31"/>
      <c r="AF20" s="23"/>
      <c r="AG20" s="23"/>
      <c r="AH20" s="23"/>
      <c r="AI20" s="23"/>
      <c r="AJ20" s="34"/>
      <c r="AL20" s="16"/>
      <c r="AN20" s="16"/>
      <c r="AP20" s="11" t="s">
        <v>5</v>
      </c>
      <c r="AQ20" s="12" t="str">
        <f>VLOOKUP(LOWER(AS15),experiments_specs!$A:$J,6,FALSE)</f>
        <v>True</v>
      </c>
      <c r="AR20" s="15" t="s">
        <v>95</v>
      </c>
      <c r="AS20" s="6"/>
      <c r="AT20" s="18"/>
      <c r="AU20" s="18"/>
      <c r="AV20" s="18"/>
      <c r="AW20" s="18"/>
      <c r="AX20" s="31"/>
      <c r="AY20" s="23"/>
      <c r="AZ20" s="23"/>
      <c r="BA20" s="23"/>
      <c r="BB20" s="23"/>
      <c r="BC20" s="34"/>
      <c r="BE20" s="16"/>
    </row>
    <row r="21" spans="2:57" x14ac:dyDescent="0.2">
      <c r="B21" s="16"/>
      <c r="D21" s="11" t="s">
        <v>6</v>
      </c>
      <c r="E21" s="12" t="str">
        <f>VLOOKUP(LOWER(G15),experiments_specs!$A:$J,7,FALSE)</f>
        <v>True</v>
      </c>
      <c r="F21" s="15" t="s">
        <v>83</v>
      </c>
      <c r="G21" s="6"/>
      <c r="H21" s="19"/>
      <c r="I21" s="19"/>
      <c r="J21" s="19"/>
      <c r="K21" s="19"/>
      <c r="L21" s="31"/>
      <c r="M21" s="23"/>
      <c r="N21" s="23"/>
      <c r="O21" s="23"/>
      <c r="P21" s="23"/>
      <c r="Q21" s="34"/>
      <c r="S21" s="16"/>
      <c r="U21" s="16"/>
      <c r="W21" s="11" t="s">
        <v>6</v>
      </c>
      <c r="X21" s="12" t="str">
        <f>VLOOKUP(LOWER(Z15),experiments_specs!$A:$J,7,FALSE)</f>
        <v>True</v>
      </c>
      <c r="Y21" s="15" t="s">
        <v>89</v>
      </c>
      <c r="Z21" s="6" t="s">
        <v>15</v>
      </c>
      <c r="AA21" s="19"/>
      <c r="AB21" s="19"/>
      <c r="AC21" s="19"/>
      <c r="AD21" s="19"/>
      <c r="AE21" s="31"/>
      <c r="AF21" s="23"/>
      <c r="AG21" s="23"/>
      <c r="AH21" s="23"/>
      <c r="AI21" s="23"/>
      <c r="AJ21" s="34"/>
      <c r="AL21" s="16"/>
      <c r="AN21" s="16"/>
      <c r="AP21" s="11" t="s">
        <v>6</v>
      </c>
      <c r="AQ21" s="12" t="str">
        <f>VLOOKUP(LOWER(AS15),experiments_specs!$A:$J,7,FALSE)</f>
        <v>True</v>
      </c>
      <c r="AR21" s="15" t="s">
        <v>95</v>
      </c>
      <c r="AS21" s="6"/>
      <c r="AT21" s="19"/>
      <c r="AU21" s="19"/>
      <c r="AV21" s="19"/>
      <c r="AW21" s="19"/>
      <c r="AX21" s="31"/>
      <c r="AY21" s="23"/>
      <c r="AZ21" s="23"/>
      <c r="BA21" s="23"/>
      <c r="BB21" s="23"/>
      <c r="BC21" s="34"/>
      <c r="BE21" s="16"/>
    </row>
    <row r="22" spans="2:57" x14ac:dyDescent="0.2">
      <c r="B22" s="16"/>
      <c r="D22" s="11" t="s">
        <v>7</v>
      </c>
      <c r="E22" s="12" t="str">
        <f>VLOOKUP(LOWER(G15),experiments_specs!$A:$J,8,FALSE)</f>
        <v>False</v>
      </c>
      <c r="F22" s="15" t="s">
        <v>83</v>
      </c>
      <c r="G22" s="6"/>
      <c r="H22" s="19"/>
      <c r="I22" s="19"/>
      <c r="J22" s="19"/>
      <c r="K22" s="19"/>
      <c r="L22" s="31"/>
      <c r="M22" s="23"/>
      <c r="N22" s="23"/>
      <c r="O22" s="23"/>
      <c r="P22" s="23"/>
      <c r="Q22" s="34"/>
      <c r="S22" s="16"/>
      <c r="U22" s="16"/>
      <c r="W22" s="11" t="s">
        <v>7</v>
      </c>
      <c r="X22" s="12" t="str">
        <f>VLOOKUP(LOWER(Z15),experiments_specs!$A:$J,8,FALSE)</f>
        <v>False</v>
      </c>
      <c r="Y22" s="15" t="s">
        <v>89</v>
      </c>
      <c r="Z22" s="6" t="s">
        <v>16</v>
      </c>
      <c r="AA22" s="19"/>
      <c r="AB22" s="19"/>
      <c r="AC22" s="19"/>
      <c r="AD22" s="19"/>
      <c r="AE22" s="31"/>
      <c r="AF22" s="23"/>
      <c r="AG22" s="23"/>
      <c r="AH22" s="23"/>
      <c r="AI22" s="23"/>
      <c r="AJ22" s="34"/>
      <c r="AL22" s="16"/>
      <c r="AN22" s="16"/>
      <c r="AP22" s="11" t="s">
        <v>7</v>
      </c>
      <c r="AQ22" s="12" t="str">
        <f>VLOOKUP(LOWER(AS15),experiments_specs!$A:$J,8,FALSE)</f>
        <v>False</v>
      </c>
      <c r="AR22" s="15" t="s">
        <v>95</v>
      </c>
      <c r="AS22" s="6"/>
      <c r="AT22" s="19"/>
      <c r="AU22" s="19"/>
      <c r="AV22" s="19"/>
      <c r="AW22" s="19"/>
      <c r="AX22" s="31"/>
      <c r="AY22" s="23"/>
      <c r="AZ22" s="23"/>
      <c r="BA22" s="23"/>
      <c r="BB22" s="23"/>
      <c r="BC22" s="34"/>
      <c r="BE22" s="16"/>
    </row>
    <row r="23" spans="2:57" x14ac:dyDescent="0.2">
      <c r="B23" s="16"/>
      <c r="D23" s="11" t="s">
        <v>8</v>
      </c>
      <c r="E23" s="12" t="str">
        <f>VLOOKUP(LOWER(G15),experiments_specs!$A:$J,9,FALSE)</f>
        <v>wup_similarity</v>
      </c>
      <c r="F23" s="15" t="s">
        <v>83</v>
      </c>
      <c r="G23" s="6"/>
      <c r="H23" s="19"/>
      <c r="I23" s="19"/>
      <c r="J23" s="19"/>
      <c r="K23" s="19"/>
      <c r="L23" s="31"/>
      <c r="M23" s="22"/>
      <c r="N23" s="22"/>
      <c r="O23" s="22"/>
      <c r="P23" s="22"/>
      <c r="Q23" s="34"/>
      <c r="S23" s="16"/>
      <c r="U23" s="16"/>
      <c r="W23" s="11" t="s">
        <v>8</v>
      </c>
      <c r="X23" s="12" t="str">
        <f>VLOOKUP(LOWER(Z15),experiments_specs!$A:$J,9,FALSE)</f>
        <v>wup_similarity</v>
      </c>
      <c r="Y23" s="15" t="s">
        <v>89</v>
      </c>
      <c r="Z23" s="6" t="s">
        <v>17</v>
      </c>
      <c r="AA23" s="18"/>
      <c r="AB23" s="18"/>
      <c r="AC23" s="18"/>
      <c r="AD23" s="18"/>
      <c r="AE23" s="31"/>
      <c r="AF23" s="23"/>
      <c r="AG23" s="23"/>
      <c r="AH23" s="23"/>
      <c r="AI23" s="23"/>
      <c r="AJ23" s="34"/>
      <c r="AL23" s="16"/>
      <c r="AN23" s="16"/>
      <c r="AP23" s="11" t="s">
        <v>8</v>
      </c>
      <c r="AQ23" s="12" t="str">
        <f>VLOOKUP(LOWER(AS15),experiments_specs!$A:$J,9,FALSE)</f>
        <v>wup_similarity</v>
      </c>
      <c r="AR23" s="15" t="s">
        <v>95</v>
      </c>
      <c r="AS23" s="6"/>
      <c r="AT23" s="18"/>
      <c r="AU23" s="18"/>
      <c r="AV23" s="18"/>
      <c r="AW23" s="18"/>
      <c r="AX23" s="31"/>
      <c r="AY23" s="23"/>
      <c r="AZ23" s="23"/>
      <c r="BA23" s="23"/>
      <c r="BB23" s="23"/>
      <c r="BC23" s="34"/>
      <c r="BE23" s="16"/>
    </row>
    <row r="24" spans="2:57" x14ac:dyDescent="0.2">
      <c r="B24" s="16"/>
      <c r="D24" s="11" t="s">
        <v>9</v>
      </c>
      <c r="E24" s="12" t="str">
        <f>VLOOKUP(LOWER(G15),experiments_specs!$A:$J,10,FALSE)</f>
        <v>False</v>
      </c>
      <c r="F24" s="15" t="s">
        <v>83</v>
      </c>
      <c r="G24" s="7"/>
      <c r="H24" s="20"/>
      <c r="I24" s="20"/>
      <c r="J24" s="20"/>
      <c r="K24" s="20"/>
      <c r="L24" s="32"/>
      <c r="M24" s="24"/>
      <c r="N24" s="24"/>
      <c r="O24" s="24"/>
      <c r="P24" s="24"/>
      <c r="Q24" s="35"/>
      <c r="S24" s="16"/>
      <c r="U24" s="16"/>
      <c r="W24" s="11" t="s">
        <v>9</v>
      </c>
      <c r="X24" s="12" t="str">
        <f>VLOOKUP(LOWER(Z15),experiments_specs!$A:$J,10,FALSE)</f>
        <v>False</v>
      </c>
      <c r="Y24" s="15" t="s">
        <v>89</v>
      </c>
      <c r="Z24" s="7" t="s">
        <v>18</v>
      </c>
      <c r="AA24" s="20"/>
      <c r="AB24" s="20"/>
      <c r="AC24" s="20"/>
      <c r="AD24" s="20"/>
      <c r="AE24" s="32"/>
      <c r="AF24" s="24"/>
      <c r="AG24" s="24"/>
      <c r="AH24" s="24"/>
      <c r="AI24" s="24"/>
      <c r="AJ24" s="35"/>
      <c r="AL24" s="16"/>
      <c r="AN24" s="16"/>
      <c r="AP24" s="11" t="s">
        <v>9</v>
      </c>
      <c r="AQ24" s="12" t="str">
        <f>VLOOKUP(LOWER(AS15),experiments_specs!$A:$J,10,FALSE)</f>
        <v>True</v>
      </c>
      <c r="AR24" s="15" t="s">
        <v>95</v>
      </c>
      <c r="AS24" s="7"/>
      <c r="AT24" s="20"/>
      <c r="AU24" s="20"/>
      <c r="AV24" s="20"/>
      <c r="AW24" s="20"/>
      <c r="AX24" s="32"/>
      <c r="AY24" s="24"/>
      <c r="AZ24" s="24"/>
      <c r="BA24" s="24"/>
      <c r="BB24" s="24"/>
      <c r="BC24" s="35"/>
      <c r="BE24" s="16"/>
    </row>
    <row r="25" spans="2:57" ht="17" thickBot="1" x14ac:dyDescent="0.25">
      <c r="B25" s="16"/>
      <c r="S25" s="16"/>
      <c r="U25" s="16"/>
      <c r="AL25" s="16"/>
      <c r="AN25" s="16"/>
      <c r="BE25" s="16"/>
    </row>
    <row r="26" spans="2:57" ht="20" thickBot="1" x14ac:dyDescent="0.3">
      <c r="B26" s="16"/>
      <c r="D26" s="13" t="s">
        <v>126</v>
      </c>
      <c r="E26" s="14"/>
      <c r="F26" s="9"/>
      <c r="G26" s="10" t="str">
        <f>"TEST_"&amp;TEXT(RIGHT(G15,2)+1, "00")</f>
        <v>TEST_21</v>
      </c>
      <c r="H26" s="36" t="s">
        <v>124</v>
      </c>
      <c r="I26" s="36"/>
      <c r="J26" s="36"/>
      <c r="K26" s="36"/>
      <c r="L26" s="36"/>
      <c r="M26" s="37" t="s">
        <v>123</v>
      </c>
      <c r="N26" s="37"/>
      <c r="O26" s="37"/>
      <c r="P26" s="37"/>
      <c r="Q26" s="37"/>
      <c r="R26" s="2"/>
      <c r="S26" s="16"/>
      <c r="U26" s="16"/>
      <c r="W26" s="13" t="s">
        <v>126</v>
      </c>
      <c r="X26" s="14"/>
      <c r="Y26" s="9"/>
      <c r="Z26" s="10" t="str">
        <f>"TEST_"&amp;TEXT(RIGHT(Z15,2)+1, "00")</f>
        <v>TEST_27</v>
      </c>
      <c r="AA26" s="36" t="s">
        <v>124</v>
      </c>
      <c r="AB26" s="36"/>
      <c r="AC26" s="36"/>
      <c r="AD26" s="36"/>
      <c r="AE26" s="36"/>
      <c r="AF26" s="37" t="s">
        <v>123</v>
      </c>
      <c r="AG26" s="37"/>
      <c r="AH26" s="37"/>
      <c r="AI26" s="37"/>
      <c r="AJ26" s="37"/>
      <c r="AK26" s="2"/>
      <c r="AL26" s="16"/>
      <c r="AN26" s="16"/>
      <c r="AP26" s="13" t="s">
        <v>126</v>
      </c>
      <c r="AQ26" s="14"/>
      <c r="AR26" s="9"/>
      <c r="AS26" s="10" t="str">
        <f>"TEST_"&amp;TEXT(RIGHT(AS15,2)+1, "00")</f>
        <v>TEST_33</v>
      </c>
      <c r="AT26" s="36" t="s">
        <v>124</v>
      </c>
      <c r="AU26" s="36"/>
      <c r="AV26" s="36"/>
      <c r="AW26" s="36"/>
      <c r="AX26" s="36"/>
      <c r="AY26" s="37" t="s">
        <v>123</v>
      </c>
      <c r="AZ26" s="37"/>
      <c r="BA26" s="37"/>
      <c r="BB26" s="37"/>
      <c r="BC26" s="37"/>
      <c r="BD26" s="2"/>
      <c r="BE26" s="16"/>
    </row>
    <row r="27" spans="2:57" x14ac:dyDescent="0.2">
      <c r="B27" s="16"/>
      <c r="D27" s="11" t="s">
        <v>1</v>
      </c>
      <c r="E27" s="12" t="str">
        <f>VLOOKUP(LOWER(G26),experiments_specs!$A:$J,2,FALSE)</f>
        <v>NN,VB</v>
      </c>
      <c r="F27" s="15" t="str">
        <f>"{"&amp;LOWER(G26)&amp;".csv}"</f>
        <v>{test_21.csv}</v>
      </c>
      <c r="G27" s="8" t="s">
        <v>118</v>
      </c>
      <c r="H27" s="3" t="s">
        <v>119</v>
      </c>
      <c r="I27" s="3" t="s">
        <v>182</v>
      </c>
      <c r="J27" s="3" t="s">
        <v>120</v>
      </c>
      <c r="K27" s="3" t="s">
        <v>182</v>
      </c>
      <c r="L27" s="3" t="s">
        <v>121</v>
      </c>
      <c r="M27" s="4" t="s">
        <v>122</v>
      </c>
      <c r="N27" s="4" t="s">
        <v>182</v>
      </c>
      <c r="O27" s="4" t="s">
        <v>120</v>
      </c>
      <c r="P27" s="4" t="s">
        <v>182</v>
      </c>
      <c r="Q27" s="4" t="s">
        <v>121</v>
      </c>
      <c r="S27" s="16"/>
      <c r="U27" s="16"/>
      <c r="W27" s="11" t="s">
        <v>1</v>
      </c>
      <c r="X27" s="12" t="str">
        <f>VLOOKUP(LOWER(Z26),experiments_specs!$A:$J,2,FALSE)</f>
        <v>NN,VB</v>
      </c>
      <c r="Y27" s="15" t="str">
        <f>"{"&amp;LOWER(Z26)&amp;".csv}"</f>
        <v>{test_27.csv}</v>
      </c>
      <c r="Z27" s="8" t="s">
        <v>118</v>
      </c>
      <c r="AA27" s="3" t="s">
        <v>119</v>
      </c>
      <c r="AB27" s="3" t="s">
        <v>182</v>
      </c>
      <c r="AC27" s="3" t="s">
        <v>120</v>
      </c>
      <c r="AD27" s="3" t="s">
        <v>182</v>
      </c>
      <c r="AE27" s="3" t="s">
        <v>121</v>
      </c>
      <c r="AF27" s="4" t="s">
        <v>122</v>
      </c>
      <c r="AG27" s="4" t="s">
        <v>182</v>
      </c>
      <c r="AH27" s="4" t="s">
        <v>120</v>
      </c>
      <c r="AI27" s="4" t="s">
        <v>182</v>
      </c>
      <c r="AJ27" s="4" t="s">
        <v>121</v>
      </c>
      <c r="AL27" s="16"/>
      <c r="AN27" s="16"/>
      <c r="AP27" s="11" t="s">
        <v>1</v>
      </c>
      <c r="AQ27" s="12" t="str">
        <f>VLOOKUP(LOWER(AS26),experiments_specs!$A:$J,2,FALSE)</f>
        <v>NN,VB</v>
      </c>
      <c r="AR27" s="15" t="str">
        <f>"{"&amp;LOWER(AS26)&amp;".csv}"</f>
        <v>{test_33.csv}</v>
      </c>
      <c r="AS27" s="8" t="s">
        <v>118</v>
      </c>
      <c r="AT27" s="3" t="s">
        <v>119</v>
      </c>
      <c r="AU27" s="3" t="s">
        <v>182</v>
      </c>
      <c r="AV27" s="3" t="s">
        <v>120</v>
      </c>
      <c r="AW27" s="3" t="s">
        <v>182</v>
      </c>
      <c r="AX27" s="3" t="s">
        <v>121</v>
      </c>
      <c r="AY27" s="4" t="s">
        <v>122</v>
      </c>
      <c r="AZ27" s="4" t="s">
        <v>182</v>
      </c>
      <c r="BA27" s="4" t="s">
        <v>120</v>
      </c>
      <c r="BB27" s="4" t="s">
        <v>182</v>
      </c>
      <c r="BC27" s="4" t="s">
        <v>121</v>
      </c>
      <c r="BE27" s="16"/>
    </row>
    <row r="28" spans="2:57" x14ac:dyDescent="0.2">
      <c r="B28" s="16"/>
      <c r="D28" s="11" t="s">
        <v>2</v>
      </c>
      <c r="E28" s="12">
        <f>VLOOKUP(LOWER(G26),experiments_specs!$A:$J,3,FALSE)</f>
        <v>1</v>
      </c>
      <c r="F28" s="15" t="s">
        <v>84</v>
      </c>
      <c r="G28" s="5"/>
      <c r="H28" s="17"/>
      <c r="I28" s="17"/>
      <c r="J28" s="17"/>
      <c r="K28" s="17"/>
      <c r="L28" s="30"/>
      <c r="M28" s="21"/>
      <c r="N28" s="21"/>
      <c r="O28" s="21"/>
      <c r="P28" s="21"/>
      <c r="Q28" s="33"/>
      <c r="S28" s="16"/>
      <c r="U28" s="16"/>
      <c r="W28" s="11" t="s">
        <v>2</v>
      </c>
      <c r="X28" s="12">
        <f>VLOOKUP(LOWER(Z26),experiments_specs!$A:$J,3,FALSE)</f>
        <v>1</v>
      </c>
      <c r="Y28" s="15" t="s">
        <v>90</v>
      </c>
      <c r="Z28" s="5" t="s">
        <v>19</v>
      </c>
      <c r="AA28" s="17"/>
      <c r="AB28" s="17"/>
      <c r="AC28" s="17"/>
      <c r="AD28" s="17"/>
      <c r="AE28" s="30"/>
      <c r="AF28" s="21"/>
      <c r="AG28" s="21"/>
      <c r="AH28" s="21"/>
      <c r="AI28" s="21"/>
      <c r="AJ28" s="33"/>
      <c r="AL28" s="16"/>
      <c r="AN28" s="16"/>
      <c r="AP28" s="11" t="s">
        <v>2</v>
      </c>
      <c r="AQ28" s="12">
        <f>VLOOKUP(LOWER(AS26),experiments_specs!$A:$J,3,FALSE)</f>
        <v>1</v>
      </c>
      <c r="AR28" s="15" t="s">
        <v>96</v>
      </c>
      <c r="AS28" s="5"/>
      <c r="AT28" s="17"/>
      <c r="AU28" s="17"/>
      <c r="AV28" s="17"/>
      <c r="AW28" s="17"/>
      <c r="AX28" s="30"/>
      <c r="AY28" s="21"/>
      <c r="AZ28" s="21"/>
      <c r="BA28" s="21"/>
      <c r="BB28" s="21"/>
      <c r="BC28" s="33"/>
      <c r="BE28" s="16"/>
    </row>
    <row r="29" spans="2:57" x14ac:dyDescent="0.2">
      <c r="B29" s="16"/>
      <c r="D29" s="11" t="s">
        <v>3</v>
      </c>
      <c r="E29" s="12">
        <f>VLOOKUP(LOWER(G26),experiments_specs!$A:$J,4,FALSE)</f>
        <v>2</v>
      </c>
      <c r="F29" s="15" t="s">
        <v>84</v>
      </c>
      <c r="G29" s="6"/>
      <c r="H29" s="18"/>
      <c r="I29" s="18"/>
      <c r="J29" s="18"/>
      <c r="K29" s="18"/>
      <c r="L29" s="31"/>
      <c r="M29" s="22"/>
      <c r="N29" s="22"/>
      <c r="O29" s="22"/>
      <c r="P29" s="22"/>
      <c r="Q29" s="34"/>
      <c r="S29" s="16"/>
      <c r="U29" s="16"/>
      <c r="W29" s="11" t="s">
        <v>3</v>
      </c>
      <c r="X29" s="12">
        <f>VLOOKUP(LOWER(Z26),experiments_specs!$A:$J,4,FALSE)</f>
        <v>2</v>
      </c>
      <c r="Y29" s="15" t="s">
        <v>90</v>
      </c>
      <c r="Z29" s="6" t="s">
        <v>12</v>
      </c>
      <c r="AA29" s="18"/>
      <c r="AB29" s="18"/>
      <c r="AC29" s="18"/>
      <c r="AD29" s="18"/>
      <c r="AE29" s="31"/>
      <c r="AF29" s="23"/>
      <c r="AG29" s="23"/>
      <c r="AH29" s="23"/>
      <c r="AI29" s="23"/>
      <c r="AJ29" s="34"/>
      <c r="AL29" s="16"/>
      <c r="AN29" s="16"/>
      <c r="AP29" s="11" t="s">
        <v>3</v>
      </c>
      <c r="AQ29" s="12">
        <f>VLOOKUP(LOWER(AS26),experiments_specs!$A:$J,4,FALSE)</f>
        <v>2</v>
      </c>
      <c r="AR29" s="15" t="s">
        <v>96</v>
      </c>
      <c r="AS29" s="6"/>
      <c r="AT29" s="18"/>
      <c r="AU29" s="18"/>
      <c r="AV29" s="18"/>
      <c r="AW29" s="18"/>
      <c r="AX29" s="31"/>
      <c r="AY29" s="23"/>
      <c r="AZ29" s="23"/>
      <c r="BA29" s="23"/>
      <c r="BB29" s="23"/>
      <c r="BC29" s="34"/>
      <c r="BE29" s="16"/>
    </row>
    <row r="30" spans="2:57" x14ac:dyDescent="0.2">
      <c r="B30" s="16"/>
      <c r="D30" s="11" t="s">
        <v>4</v>
      </c>
      <c r="E30" s="12" t="str">
        <f>VLOOKUP(LOWER(G26),experiments_specs!$A:$J,5,FALSE)</f>
        <v>False</v>
      </c>
      <c r="F30" s="15" t="s">
        <v>84</v>
      </c>
      <c r="G30" s="6"/>
      <c r="H30" s="19"/>
      <c r="I30" s="19"/>
      <c r="J30" s="19"/>
      <c r="K30" s="19"/>
      <c r="L30" s="31"/>
      <c r="M30" s="22"/>
      <c r="N30" s="22"/>
      <c r="O30" s="22"/>
      <c r="P30" s="22"/>
      <c r="Q30" s="34"/>
      <c r="S30" s="16"/>
      <c r="U30" s="16"/>
      <c r="W30" s="11" t="s">
        <v>4</v>
      </c>
      <c r="X30" s="12" t="str">
        <f>VLOOKUP(LOWER(Z26),experiments_specs!$A:$J,5,FALSE)</f>
        <v>True</v>
      </c>
      <c r="Y30" s="15" t="s">
        <v>90</v>
      </c>
      <c r="Z30" s="6" t="s">
        <v>13</v>
      </c>
      <c r="AA30" s="19"/>
      <c r="AB30" s="19"/>
      <c r="AC30" s="19"/>
      <c r="AD30" s="19"/>
      <c r="AE30" s="31"/>
      <c r="AF30" s="22"/>
      <c r="AG30" s="22"/>
      <c r="AH30" s="22"/>
      <c r="AI30" s="22"/>
      <c r="AJ30" s="34"/>
      <c r="AL30" s="16"/>
      <c r="AN30" s="16"/>
      <c r="AP30" s="11" t="s">
        <v>4</v>
      </c>
      <c r="AQ30" s="12" t="str">
        <f>VLOOKUP(LOWER(AS26),experiments_specs!$A:$J,5,FALSE)</f>
        <v>True</v>
      </c>
      <c r="AR30" s="15" t="s">
        <v>96</v>
      </c>
      <c r="AS30" s="6"/>
      <c r="AT30" s="19"/>
      <c r="AU30" s="19"/>
      <c r="AV30" s="19"/>
      <c r="AW30" s="19"/>
      <c r="AX30" s="31"/>
      <c r="AY30" s="22"/>
      <c r="AZ30" s="22"/>
      <c r="BA30" s="22"/>
      <c r="BB30" s="22"/>
      <c r="BC30" s="34"/>
      <c r="BE30" s="16"/>
    </row>
    <row r="31" spans="2:57" x14ac:dyDescent="0.2">
      <c r="B31" s="16"/>
      <c r="D31" s="11" t="s">
        <v>5</v>
      </c>
      <c r="E31" s="12" t="str">
        <f>VLOOKUP(LOWER(G26),experiments_specs!$A:$J,6,FALSE)</f>
        <v>True</v>
      </c>
      <c r="F31" s="15" t="s">
        <v>84</v>
      </c>
      <c r="G31" s="6"/>
      <c r="H31" s="19"/>
      <c r="I31" s="19"/>
      <c r="J31" s="19"/>
      <c r="K31" s="19"/>
      <c r="L31" s="31"/>
      <c r="M31" s="22"/>
      <c r="N31" s="22"/>
      <c r="O31" s="22"/>
      <c r="P31" s="22"/>
      <c r="Q31" s="34"/>
      <c r="S31" s="16"/>
      <c r="U31" s="16"/>
      <c r="W31" s="11" t="s">
        <v>5</v>
      </c>
      <c r="X31" s="12" t="str">
        <f>VLOOKUP(LOWER(Z26),experiments_specs!$A:$J,6,FALSE)</f>
        <v>True</v>
      </c>
      <c r="Y31" s="15" t="s">
        <v>90</v>
      </c>
      <c r="Z31" s="6" t="s">
        <v>14</v>
      </c>
      <c r="AA31" s="18"/>
      <c r="AB31" s="18"/>
      <c r="AC31" s="18"/>
      <c r="AD31" s="18"/>
      <c r="AE31" s="31"/>
      <c r="AF31" s="23"/>
      <c r="AG31" s="23"/>
      <c r="AH31" s="23"/>
      <c r="AI31" s="23"/>
      <c r="AJ31" s="34"/>
      <c r="AL31" s="16"/>
      <c r="AN31" s="16"/>
      <c r="AP31" s="11" t="s">
        <v>5</v>
      </c>
      <c r="AQ31" s="12" t="str">
        <f>VLOOKUP(LOWER(AS26),experiments_specs!$A:$J,6,FALSE)</f>
        <v>True</v>
      </c>
      <c r="AR31" s="15" t="s">
        <v>96</v>
      </c>
      <c r="AS31" s="6"/>
      <c r="AT31" s="18"/>
      <c r="AU31" s="18"/>
      <c r="AV31" s="18"/>
      <c r="AW31" s="18"/>
      <c r="AX31" s="31"/>
      <c r="AY31" s="23"/>
      <c r="AZ31" s="23"/>
      <c r="BA31" s="23"/>
      <c r="BB31" s="23"/>
      <c r="BC31" s="34"/>
      <c r="BE31" s="16"/>
    </row>
    <row r="32" spans="2:57" x14ac:dyDescent="0.2">
      <c r="B32" s="16"/>
      <c r="D32" s="11" t="s">
        <v>6</v>
      </c>
      <c r="E32" s="12" t="str">
        <f>VLOOKUP(LOWER(G26),experiments_specs!$A:$J,7,FALSE)</f>
        <v>True</v>
      </c>
      <c r="F32" s="15" t="s">
        <v>84</v>
      </c>
      <c r="G32" s="6"/>
      <c r="H32" s="19"/>
      <c r="I32" s="19"/>
      <c r="J32" s="19"/>
      <c r="K32" s="19"/>
      <c r="L32" s="31"/>
      <c r="M32" s="23"/>
      <c r="N32" s="23"/>
      <c r="O32" s="23"/>
      <c r="P32" s="23"/>
      <c r="Q32" s="34"/>
      <c r="S32" s="16"/>
      <c r="U32" s="16"/>
      <c r="W32" s="11" t="s">
        <v>6</v>
      </c>
      <c r="X32" s="12" t="str">
        <f>VLOOKUP(LOWER(Z26),experiments_specs!$A:$J,7,FALSE)</f>
        <v>True</v>
      </c>
      <c r="Y32" s="15" t="s">
        <v>90</v>
      </c>
      <c r="Z32" s="6" t="s">
        <v>15</v>
      </c>
      <c r="AA32" s="19"/>
      <c r="AB32" s="19"/>
      <c r="AC32" s="19"/>
      <c r="AD32" s="19"/>
      <c r="AE32" s="31"/>
      <c r="AF32" s="23"/>
      <c r="AG32" s="23"/>
      <c r="AH32" s="23"/>
      <c r="AI32" s="23"/>
      <c r="AJ32" s="34"/>
      <c r="AL32" s="16"/>
      <c r="AN32" s="16"/>
      <c r="AP32" s="11" t="s">
        <v>6</v>
      </c>
      <c r="AQ32" s="12" t="str">
        <f>VLOOKUP(LOWER(AS26),experiments_specs!$A:$J,7,FALSE)</f>
        <v>True</v>
      </c>
      <c r="AR32" s="15" t="s">
        <v>96</v>
      </c>
      <c r="AS32" s="6"/>
      <c r="AT32" s="19"/>
      <c r="AU32" s="19"/>
      <c r="AV32" s="19"/>
      <c r="AW32" s="19"/>
      <c r="AX32" s="31"/>
      <c r="AY32" s="23"/>
      <c r="AZ32" s="23"/>
      <c r="BA32" s="23"/>
      <c r="BB32" s="23"/>
      <c r="BC32" s="34"/>
      <c r="BE32" s="16"/>
    </row>
    <row r="33" spans="2:57" x14ac:dyDescent="0.2">
      <c r="B33" s="16"/>
      <c r="D33" s="11" t="s">
        <v>7</v>
      </c>
      <c r="E33" s="12" t="str">
        <f>VLOOKUP(LOWER(G26),experiments_specs!$A:$J,8,FALSE)</f>
        <v>False</v>
      </c>
      <c r="F33" s="15" t="s">
        <v>84</v>
      </c>
      <c r="G33" s="6"/>
      <c r="H33" s="19"/>
      <c r="I33" s="19"/>
      <c r="J33" s="19"/>
      <c r="K33" s="19"/>
      <c r="L33" s="31"/>
      <c r="M33" s="23"/>
      <c r="N33" s="23"/>
      <c r="O33" s="23"/>
      <c r="P33" s="23"/>
      <c r="Q33" s="34"/>
      <c r="S33" s="16"/>
      <c r="U33" s="16"/>
      <c r="W33" s="11" t="s">
        <v>7</v>
      </c>
      <c r="X33" s="12" t="str">
        <f>VLOOKUP(LOWER(Z26),experiments_specs!$A:$J,8,FALSE)</f>
        <v>False</v>
      </c>
      <c r="Y33" s="15" t="s">
        <v>90</v>
      </c>
      <c r="Z33" s="6" t="s">
        <v>16</v>
      </c>
      <c r="AA33" s="19"/>
      <c r="AB33" s="19"/>
      <c r="AC33" s="19"/>
      <c r="AD33" s="19"/>
      <c r="AE33" s="31"/>
      <c r="AF33" s="23"/>
      <c r="AG33" s="23"/>
      <c r="AH33" s="23"/>
      <c r="AI33" s="23"/>
      <c r="AJ33" s="34"/>
      <c r="AL33" s="16"/>
      <c r="AN33" s="16"/>
      <c r="AP33" s="11" t="s">
        <v>7</v>
      </c>
      <c r="AQ33" s="12" t="str">
        <f>VLOOKUP(LOWER(AS26),experiments_specs!$A:$J,8,FALSE)</f>
        <v>False</v>
      </c>
      <c r="AR33" s="15" t="s">
        <v>96</v>
      </c>
      <c r="AS33" s="6"/>
      <c r="AT33" s="19"/>
      <c r="AU33" s="19"/>
      <c r="AV33" s="19"/>
      <c r="AW33" s="19"/>
      <c r="AX33" s="31"/>
      <c r="AY33" s="23"/>
      <c r="AZ33" s="23"/>
      <c r="BA33" s="23"/>
      <c r="BB33" s="23"/>
      <c r="BC33" s="34"/>
      <c r="BE33" s="16"/>
    </row>
    <row r="34" spans="2:57" x14ac:dyDescent="0.2">
      <c r="B34" s="16"/>
      <c r="D34" s="11" t="s">
        <v>8</v>
      </c>
      <c r="E34" s="12" t="str">
        <f>VLOOKUP(LOWER(G26),experiments_specs!$A:$J,9,FALSE)</f>
        <v>wup_similarity</v>
      </c>
      <c r="F34" s="15" t="s">
        <v>84</v>
      </c>
      <c r="G34" s="6"/>
      <c r="H34" s="19"/>
      <c r="I34" s="19"/>
      <c r="J34" s="19"/>
      <c r="K34" s="19"/>
      <c r="L34" s="31"/>
      <c r="M34" s="22"/>
      <c r="N34" s="22"/>
      <c r="O34" s="22"/>
      <c r="P34" s="22"/>
      <c r="Q34" s="34"/>
      <c r="S34" s="16"/>
      <c r="U34" s="16"/>
      <c r="W34" s="11" t="s">
        <v>8</v>
      </c>
      <c r="X34" s="12" t="str">
        <f>VLOOKUP(LOWER(Z26),experiments_specs!$A:$J,9,FALSE)</f>
        <v>wup_similarity</v>
      </c>
      <c r="Y34" s="15" t="s">
        <v>90</v>
      </c>
      <c r="Z34" s="6" t="s">
        <v>17</v>
      </c>
      <c r="AA34" s="19"/>
      <c r="AB34" s="19"/>
      <c r="AC34" s="19"/>
      <c r="AD34" s="19"/>
      <c r="AE34" s="31"/>
      <c r="AF34" s="23"/>
      <c r="AG34" s="23"/>
      <c r="AH34" s="23"/>
      <c r="AI34" s="23"/>
      <c r="AJ34" s="34"/>
      <c r="AL34" s="16"/>
      <c r="AN34" s="16"/>
      <c r="AP34" s="11" t="s">
        <v>8</v>
      </c>
      <c r="AQ34" s="12" t="str">
        <f>VLOOKUP(LOWER(AS26),experiments_specs!$A:$J,9,FALSE)</f>
        <v>wup_similarity</v>
      </c>
      <c r="AR34" s="15" t="s">
        <v>96</v>
      </c>
      <c r="AS34" s="6"/>
      <c r="AT34" s="18"/>
      <c r="AU34" s="18"/>
      <c r="AV34" s="18"/>
      <c r="AW34" s="18"/>
      <c r="AX34" s="31"/>
      <c r="AY34" s="23"/>
      <c r="AZ34" s="23"/>
      <c r="BA34" s="23"/>
      <c r="BB34" s="23"/>
      <c r="BC34" s="34"/>
      <c r="BE34" s="16"/>
    </row>
    <row r="35" spans="2:57" x14ac:dyDescent="0.2">
      <c r="B35" s="16"/>
      <c r="D35" s="11" t="s">
        <v>9</v>
      </c>
      <c r="E35" s="12" t="str">
        <f>VLOOKUP(LOWER(G26),experiments_specs!$A:$J,10,FALSE)</f>
        <v>False</v>
      </c>
      <c r="F35" s="15" t="s">
        <v>84</v>
      </c>
      <c r="G35" s="7"/>
      <c r="H35" s="20"/>
      <c r="I35" s="20"/>
      <c r="J35" s="20"/>
      <c r="K35" s="20"/>
      <c r="L35" s="32"/>
      <c r="M35" s="24"/>
      <c r="N35" s="24"/>
      <c r="O35" s="24"/>
      <c r="P35" s="24"/>
      <c r="Q35" s="35"/>
      <c r="S35" s="16"/>
      <c r="U35" s="16"/>
      <c r="W35" s="11" t="s">
        <v>9</v>
      </c>
      <c r="X35" s="12" t="str">
        <f>VLOOKUP(LOWER(Z26),experiments_specs!$A:$J,10,FALSE)</f>
        <v>False</v>
      </c>
      <c r="Y35" s="15" t="s">
        <v>90</v>
      </c>
      <c r="Z35" s="7" t="s">
        <v>18</v>
      </c>
      <c r="AA35" s="20"/>
      <c r="AB35" s="20"/>
      <c r="AC35" s="20"/>
      <c r="AD35" s="20"/>
      <c r="AE35" s="32"/>
      <c r="AF35" s="24"/>
      <c r="AG35" s="24"/>
      <c r="AH35" s="24"/>
      <c r="AI35" s="24"/>
      <c r="AJ35" s="35"/>
      <c r="AL35" s="16"/>
      <c r="AN35" s="16"/>
      <c r="AP35" s="11" t="s">
        <v>9</v>
      </c>
      <c r="AQ35" s="12" t="str">
        <f>VLOOKUP(LOWER(AS26),experiments_specs!$A:$J,10,FALSE)</f>
        <v>True</v>
      </c>
      <c r="AR35" s="15" t="s">
        <v>96</v>
      </c>
      <c r="AS35" s="7"/>
      <c r="AT35" s="20"/>
      <c r="AU35" s="20"/>
      <c r="AV35" s="20"/>
      <c r="AW35" s="20"/>
      <c r="AX35" s="32"/>
      <c r="AY35" s="24"/>
      <c r="AZ35" s="24"/>
      <c r="BA35" s="24"/>
      <c r="BB35" s="24"/>
      <c r="BC35" s="35"/>
      <c r="BE35" s="16"/>
    </row>
    <row r="36" spans="2:57" ht="17" thickBot="1" x14ac:dyDescent="0.25">
      <c r="B36" s="16"/>
      <c r="S36" s="16"/>
      <c r="U36" s="16"/>
      <c r="AL36" s="16"/>
      <c r="AN36" s="16"/>
      <c r="BE36" s="16"/>
    </row>
    <row r="37" spans="2:57" ht="20" thickBot="1" x14ac:dyDescent="0.3">
      <c r="B37" s="16"/>
      <c r="D37" s="13" t="s">
        <v>126</v>
      </c>
      <c r="E37" s="14"/>
      <c r="F37" s="9"/>
      <c r="G37" s="10" t="str">
        <f>"TEST_"&amp;TEXT(RIGHT(G26,2)+1, "00")</f>
        <v>TEST_22</v>
      </c>
      <c r="H37" s="36" t="s">
        <v>124</v>
      </c>
      <c r="I37" s="36"/>
      <c r="J37" s="36"/>
      <c r="K37" s="36"/>
      <c r="L37" s="36"/>
      <c r="M37" s="37" t="s">
        <v>123</v>
      </c>
      <c r="N37" s="37"/>
      <c r="O37" s="37"/>
      <c r="P37" s="37"/>
      <c r="Q37" s="37"/>
      <c r="R37" s="2"/>
      <c r="S37" s="16"/>
      <c r="U37" s="16"/>
      <c r="W37" s="13" t="s">
        <v>126</v>
      </c>
      <c r="X37" s="14"/>
      <c r="Y37" s="9"/>
      <c r="Z37" s="10" t="str">
        <f>"TEST_"&amp;TEXT(RIGHT(Z26,2)+1, "00")</f>
        <v>TEST_28</v>
      </c>
      <c r="AA37" s="36" t="s">
        <v>124</v>
      </c>
      <c r="AB37" s="36"/>
      <c r="AC37" s="36"/>
      <c r="AD37" s="36"/>
      <c r="AE37" s="36"/>
      <c r="AF37" s="37" t="s">
        <v>123</v>
      </c>
      <c r="AG37" s="37"/>
      <c r="AH37" s="37"/>
      <c r="AI37" s="37"/>
      <c r="AJ37" s="37"/>
      <c r="AK37" s="2"/>
      <c r="AL37" s="16"/>
      <c r="AN37" s="16"/>
      <c r="AP37" s="13" t="s">
        <v>126</v>
      </c>
      <c r="AQ37" s="14"/>
      <c r="AR37" s="9"/>
      <c r="AS37" s="10" t="str">
        <f>"TEST_"&amp;TEXT(RIGHT(AS26,2)+1, "00")</f>
        <v>TEST_34</v>
      </c>
      <c r="AT37" s="36" t="s">
        <v>124</v>
      </c>
      <c r="AU37" s="36"/>
      <c r="AV37" s="36"/>
      <c r="AW37" s="36"/>
      <c r="AX37" s="36"/>
      <c r="AY37" s="37" t="s">
        <v>123</v>
      </c>
      <c r="AZ37" s="37"/>
      <c r="BA37" s="37"/>
      <c r="BB37" s="37"/>
      <c r="BC37" s="37"/>
      <c r="BD37" s="2"/>
      <c r="BE37" s="16"/>
    </row>
    <row r="38" spans="2:57" x14ac:dyDescent="0.2">
      <c r="B38" s="16"/>
      <c r="D38" s="11" t="s">
        <v>1</v>
      </c>
      <c r="E38" s="12" t="str">
        <f>VLOOKUP(LOWER(G37),experiments_specs!$A:$J,2,FALSE)</f>
        <v>NN,VB,VBD,VBG,VBN,VBP,VBZ</v>
      </c>
      <c r="F38" s="15" t="str">
        <f>"{"&amp;LOWER(G37)&amp;".csv}"</f>
        <v>{test_22.csv}</v>
      </c>
      <c r="G38" s="8" t="s">
        <v>118</v>
      </c>
      <c r="H38" s="3" t="s">
        <v>119</v>
      </c>
      <c r="I38" s="3" t="s">
        <v>182</v>
      </c>
      <c r="J38" s="3" t="s">
        <v>120</v>
      </c>
      <c r="K38" s="3" t="s">
        <v>182</v>
      </c>
      <c r="L38" s="3" t="s">
        <v>121</v>
      </c>
      <c r="M38" s="4" t="s">
        <v>122</v>
      </c>
      <c r="N38" s="4" t="s">
        <v>182</v>
      </c>
      <c r="O38" s="4" t="s">
        <v>120</v>
      </c>
      <c r="P38" s="4" t="s">
        <v>182</v>
      </c>
      <c r="Q38" s="4" t="s">
        <v>121</v>
      </c>
      <c r="S38" s="16"/>
      <c r="U38" s="16"/>
      <c r="W38" s="11" t="s">
        <v>1</v>
      </c>
      <c r="X38" s="12" t="str">
        <f>VLOOKUP(LOWER(Z37),experiments_specs!$A:$J,2,FALSE)</f>
        <v>NN,VB,VBD,VBG,VBN,VBP,VBZ</v>
      </c>
      <c r="Y38" s="15" t="str">
        <f>"{"&amp;LOWER(Z37)&amp;".csv}"</f>
        <v>{test_28.csv}</v>
      </c>
      <c r="Z38" s="8" t="s">
        <v>118</v>
      </c>
      <c r="AA38" s="3" t="s">
        <v>119</v>
      </c>
      <c r="AB38" s="3" t="s">
        <v>182</v>
      </c>
      <c r="AC38" s="3" t="s">
        <v>120</v>
      </c>
      <c r="AD38" s="3" t="s">
        <v>182</v>
      </c>
      <c r="AE38" s="3" t="s">
        <v>121</v>
      </c>
      <c r="AF38" s="4" t="s">
        <v>122</v>
      </c>
      <c r="AG38" s="4" t="s">
        <v>182</v>
      </c>
      <c r="AH38" s="4" t="s">
        <v>120</v>
      </c>
      <c r="AI38" s="4" t="s">
        <v>182</v>
      </c>
      <c r="AJ38" s="4" t="s">
        <v>121</v>
      </c>
      <c r="AL38" s="16"/>
      <c r="AN38" s="16"/>
      <c r="AP38" s="11" t="s">
        <v>1</v>
      </c>
      <c r="AQ38" s="12" t="str">
        <f>VLOOKUP(LOWER(AS37),experiments_specs!$A:$J,2,FALSE)</f>
        <v>NN,VB,VBD,VBG,VBN,VBP,VBZ</v>
      </c>
      <c r="AR38" s="15" t="str">
        <f>"{"&amp;LOWER(AS37)&amp;".csv}"</f>
        <v>{test_34.csv}</v>
      </c>
      <c r="AS38" s="8" t="s">
        <v>118</v>
      </c>
      <c r="AT38" s="3" t="s">
        <v>119</v>
      </c>
      <c r="AU38" s="3" t="s">
        <v>182</v>
      </c>
      <c r="AV38" s="3" t="s">
        <v>120</v>
      </c>
      <c r="AW38" s="3" t="s">
        <v>182</v>
      </c>
      <c r="AX38" s="3" t="s">
        <v>121</v>
      </c>
      <c r="AY38" s="4" t="s">
        <v>122</v>
      </c>
      <c r="AZ38" s="4" t="s">
        <v>182</v>
      </c>
      <c r="BA38" s="4" t="s">
        <v>120</v>
      </c>
      <c r="BB38" s="4" t="s">
        <v>182</v>
      </c>
      <c r="BC38" s="4" t="s">
        <v>121</v>
      </c>
      <c r="BE38" s="16"/>
    </row>
    <row r="39" spans="2:57" x14ac:dyDescent="0.2">
      <c r="B39" s="16"/>
      <c r="D39" s="11" t="s">
        <v>2</v>
      </c>
      <c r="E39" s="12">
        <f>VLOOKUP(LOWER(G37),experiments_specs!$A:$J,3,FALSE)</f>
        <v>1</v>
      </c>
      <c r="F39" s="15" t="s">
        <v>85</v>
      </c>
      <c r="G39" s="5"/>
      <c r="H39" s="17"/>
      <c r="I39" s="17"/>
      <c r="J39" s="17"/>
      <c r="K39" s="17"/>
      <c r="L39" s="30"/>
      <c r="M39" s="21"/>
      <c r="N39" s="21"/>
      <c r="O39" s="21"/>
      <c r="P39" s="21"/>
      <c r="Q39" s="33"/>
      <c r="S39" s="16"/>
      <c r="U39" s="16"/>
      <c r="W39" s="11" t="s">
        <v>2</v>
      </c>
      <c r="X39" s="12">
        <f>VLOOKUP(LOWER(Z37),experiments_specs!$A:$J,3,FALSE)</f>
        <v>1</v>
      </c>
      <c r="Y39" s="15" t="s">
        <v>91</v>
      </c>
      <c r="Z39" s="5" t="s">
        <v>19</v>
      </c>
      <c r="AA39" s="17"/>
      <c r="AB39" s="17"/>
      <c r="AC39" s="17"/>
      <c r="AD39" s="17"/>
      <c r="AE39" s="30"/>
      <c r="AF39" s="21"/>
      <c r="AG39" s="21"/>
      <c r="AH39" s="21"/>
      <c r="AI39" s="21"/>
      <c r="AJ39" s="33"/>
      <c r="AL39" s="16"/>
      <c r="AN39" s="16"/>
      <c r="AP39" s="11" t="s">
        <v>2</v>
      </c>
      <c r="AQ39" s="12">
        <f>VLOOKUP(LOWER(AS37),experiments_specs!$A:$J,3,FALSE)</f>
        <v>1</v>
      </c>
      <c r="AR39" s="15" t="s">
        <v>97</v>
      </c>
      <c r="AS39" s="5"/>
      <c r="AT39" s="17"/>
      <c r="AU39" s="17"/>
      <c r="AV39" s="17"/>
      <c r="AW39" s="17"/>
      <c r="AX39" s="30"/>
      <c r="AY39" s="21"/>
      <c r="AZ39" s="21"/>
      <c r="BA39" s="21"/>
      <c r="BB39" s="21"/>
      <c r="BC39" s="33"/>
      <c r="BE39" s="16"/>
    </row>
    <row r="40" spans="2:57" x14ac:dyDescent="0.2">
      <c r="B40" s="16"/>
      <c r="D40" s="11" t="s">
        <v>3</v>
      </c>
      <c r="E40" s="12">
        <f>VLOOKUP(LOWER(G37),experiments_specs!$A:$J,4,FALSE)</f>
        <v>2</v>
      </c>
      <c r="F40" s="15" t="s">
        <v>85</v>
      </c>
      <c r="G40" s="6"/>
      <c r="H40" s="18"/>
      <c r="I40" s="18"/>
      <c r="J40" s="18"/>
      <c r="K40" s="18"/>
      <c r="L40" s="31"/>
      <c r="M40" s="22"/>
      <c r="N40" s="22"/>
      <c r="O40" s="22"/>
      <c r="P40" s="22"/>
      <c r="Q40" s="34"/>
      <c r="S40" s="16"/>
      <c r="U40" s="16"/>
      <c r="W40" s="11" t="s">
        <v>3</v>
      </c>
      <c r="X40" s="12">
        <f>VLOOKUP(LOWER(Z37),experiments_specs!$A:$J,4,FALSE)</f>
        <v>2</v>
      </c>
      <c r="Y40" s="15" t="s">
        <v>91</v>
      </c>
      <c r="Z40" s="6" t="s">
        <v>12</v>
      </c>
      <c r="AA40" s="18"/>
      <c r="AB40" s="18"/>
      <c r="AC40" s="18"/>
      <c r="AD40" s="18"/>
      <c r="AE40" s="31"/>
      <c r="AF40" s="23"/>
      <c r="AG40" s="23"/>
      <c r="AH40" s="23"/>
      <c r="AI40" s="23"/>
      <c r="AJ40" s="34"/>
      <c r="AL40" s="16"/>
      <c r="AN40" s="16"/>
      <c r="AP40" s="11" t="s">
        <v>3</v>
      </c>
      <c r="AQ40" s="12">
        <f>VLOOKUP(LOWER(AS37),experiments_specs!$A:$J,4,FALSE)</f>
        <v>2</v>
      </c>
      <c r="AR40" s="15" t="s">
        <v>97</v>
      </c>
      <c r="AS40" s="6"/>
      <c r="AT40" s="18"/>
      <c r="AU40" s="18"/>
      <c r="AV40" s="18"/>
      <c r="AW40" s="18"/>
      <c r="AX40" s="31"/>
      <c r="AY40" s="23"/>
      <c r="AZ40" s="23"/>
      <c r="BA40" s="23"/>
      <c r="BB40" s="23"/>
      <c r="BC40" s="34"/>
      <c r="BE40" s="16"/>
    </row>
    <row r="41" spans="2:57" x14ac:dyDescent="0.2">
      <c r="B41" s="16"/>
      <c r="D41" s="11" t="s">
        <v>4</v>
      </c>
      <c r="E41" s="12" t="str">
        <f>VLOOKUP(LOWER(G37),experiments_specs!$A:$J,5,FALSE)</f>
        <v>False</v>
      </c>
      <c r="F41" s="15" t="s">
        <v>85</v>
      </c>
      <c r="G41" s="6"/>
      <c r="H41" s="19"/>
      <c r="I41" s="19"/>
      <c r="J41" s="19"/>
      <c r="K41" s="19"/>
      <c r="L41" s="31"/>
      <c r="M41" s="22"/>
      <c r="N41" s="22"/>
      <c r="O41" s="22"/>
      <c r="P41" s="22"/>
      <c r="Q41" s="34"/>
      <c r="S41" s="16"/>
      <c r="U41" s="16"/>
      <c r="W41" s="11" t="s">
        <v>4</v>
      </c>
      <c r="X41" s="12" t="str">
        <f>VLOOKUP(LOWER(Z37),experiments_specs!$A:$J,5,FALSE)</f>
        <v>True</v>
      </c>
      <c r="Y41" s="15" t="s">
        <v>91</v>
      </c>
      <c r="Z41" s="6" t="s">
        <v>13</v>
      </c>
      <c r="AA41" s="19"/>
      <c r="AB41" s="19"/>
      <c r="AC41" s="19"/>
      <c r="AD41" s="19"/>
      <c r="AE41" s="31"/>
      <c r="AF41" s="22"/>
      <c r="AG41" s="22"/>
      <c r="AH41" s="22"/>
      <c r="AI41" s="22"/>
      <c r="AJ41" s="34"/>
      <c r="AL41" s="16"/>
      <c r="AN41" s="16"/>
      <c r="AP41" s="11" t="s">
        <v>4</v>
      </c>
      <c r="AQ41" s="12" t="str">
        <f>VLOOKUP(LOWER(AS37),experiments_specs!$A:$J,5,FALSE)</f>
        <v>True</v>
      </c>
      <c r="AR41" s="15" t="s">
        <v>97</v>
      </c>
      <c r="AS41" s="6"/>
      <c r="AT41" s="19"/>
      <c r="AU41" s="19"/>
      <c r="AV41" s="19"/>
      <c r="AW41" s="19"/>
      <c r="AX41" s="31"/>
      <c r="AY41" s="22"/>
      <c r="AZ41" s="22"/>
      <c r="BA41" s="22"/>
      <c r="BB41" s="22"/>
      <c r="BC41" s="34"/>
      <c r="BE41" s="16"/>
    </row>
    <row r="42" spans="2:57" x14ac:dyDescent="0.2">
      <c r="B42" s="16"/>
      <c r="D42" s="11" t="s">
        <v>5</v>
      </c>
      <c r="E42" s="12" t="str">
        <f>VLOOKUP(LOWER(G37),experiments_specs!$A:$J,6,FALSE)</f>
        <v>True</v>
      </c>
      <c r="F42" s="15" t="s">
        <v>85</v>
      </c>
      <c r="G42" s="6"/>
      <c r="H42" s="19"/>
      <c r="I42" s="19"/>
      <c r="J42" s="19"/>
      <c r="K42" s="19"/>
      <c r="L42" s="31"/>
      <c r="M42" s="22"/>
      <c r="N42" s="22"/>
      <c r="O42" s="22"/>
      <c r="P42" s="22"/>
      <c r="Q42" s="34"/>
      <c r="S42" s="16"/>
      <c r="U42" s="16"/>
      <c r="W42" s="11" t="s">
        <v>5</v>
      </c>
      <c r="X42" s="12" t="str">
        <f>VLOOKUP(LOWER(Z37),experiments_specs!$A:$J,6,FALSE)</f>
        <v>True</v>
      </c>
      <c r="Y42" s="15" t="s">
        <v>91</v>
      </c>
      <c r="Z42" s="6" t="s">
        <v>14</v>
      </c>
      <c r="AA42" s="18"/>
      <c r="AB42" s="18"/>
      <c r="AC42" s="18"/>
      <c r="AD42" s="18"/>
      <c r="AE42" s="31"/>
      <c r="AF42" s="23"/>
      <c r="AG42" s="23"/>
      <c r="AH42" s="23"/>
      <c r="AI42" s="23"/>
      <c r="AJ42" s="34"/>
      <c r="AL42" s="16"/>
      <c r="AN42" s="16"/>
      <c r="AP42" s="11" t="s">
        <v>5</v>
      </c>
      <c r="AQ42" s="12" t="str">
        <f>VLOOKUP(LOWER(AS37),experiments_specs!$A:$J,6,FALSE)</f>
        <v>True</v>
      </c>
      <c r="AR42" s="15" t="s">
        <v>97</v>
      </c>
      <c r="AS42" s="6"/>
      <c r="AT42" s="18"/>
      <c r="AU42" s="18"/>
      <c r="AV42" s="18"/>
      <c r="AW42" s="18"/>
      <c r="AX42" s="31"/>
      <c r="AY42" s="23"/>
      <c r="AZ42" s="23"/>
      <c r="BA42" s="23"/>
      <c r="BB42" s="23"/>
      <c r="BC42" s="34"/>
      <c r="BE42" s="16"/>
    </row>
    <row r="43" spans="2:57" x14ac:dyDescent="0.2">
      <c r="B43" s="16"/>
      <c r="D43" s="11" t="s">
        <v>6</v>
      </c>
      <c r="E43" s="12" t="str">
        <f>VLOOKUP(LOWER(G37),experiments_specs!$A:$J,7,FALSE)</f>
        <v>True</v>
      </c>
      <c r="F43" s="15" t="s">
        <v>85</v>
      </c>
      <c r="G43" s="6"/>
      <c r="H43" s="19"/>
      <c r="I43" s="19"/>
      <c r="J43" s="19"/>
      <c r="K43" s="19"/>
      <c r="L43" s="31"/>
      <c r="M43" s="23"/>
      <c r="N43" s="23"/>
      <c r="O43" s="23"/>
      <c r="P43" s="23"/>
      <c r="Q43" s="34"/>
      <c r="S43" s="16"/>
      <c r="U43" s="16"/>
      <c r="W43" s="11" t="s">
        <v>6</v>
      </c>
      <c r="X43" s="12" t="str">
        <f>VLOOKUP(LOWER(Z37),experiments_specs!$A:$J,7,FALSE)</f>
        <v>True</v>
      </c>
      <c r="Y43" s="15" t="s">
        <v>91</v>
      </c>
      <c r="Z43" s="6" t="s">
        <v>15</v>
      </c>
      <c r="AA43" s="19"/>
      <c r="AB43" s="19"/>
      <c r="AC43" s="19"/>
      <c r="AD43" s="19"/>
      <c r="AE43" s="31"/>
      <c r="AF43" s="23"/>
      <c r="AG43" s="23"/>
      <c r="AH43" s="23"/>
      <c r="AI43" s="23"/>
      <c r="AJ43" s="34"/>
      <c r="AL43" s="16"/>
      <c r="AN43" s="16"/>
      <c r="AP43" s="11" t="s">
        <v>6</v>
      </c>
      <c r="AQ43" s="12" t="str">
        <f>VLOOKUP(LOWER(AS37),experiments_specs!$A:$J,7,FALSE)</f>
        <v>True</v>
      </c>
      <c r="AR43" s="15" t="s">
        <v>97</v>
      </c>
      <c r="AS43" s="6"/>
      <c r="AT43" s="19"/>
      <c r="AU43" s="19"/>
      <c r="AV43" s="19"/>
      <c r="AW43" s="19"/>
      <c r="AX43" s="31"/>
      <c r="AY43" s="23"/>
      <c r="AZ43" s="23"/>
      <c r="BA43" s="23"/>
      <c r="BB43" s="23"/>
      <c r="BC43" s="34"/>
      <c r="BE43" s="16"/>
    </row>
    <row r="44" spans="2:57" x14ac:dyDescent="0.2">
      <c r="B44" s="16"/>
      <c r="D44" s="11" t="s">
        <v>7</v>
      </c>
      <c r="E44" s="12" t="str">
        <f>VLOOKUP(LOWER(G37),experiments_specs!$A:$J,8,FALSE)</f>
        <v>False</v>
      </c>
      <c r="F44" s="15" t="s">
        <v>85</v>
      </c>
      <c r="G44" s="6"/>
      <c r="H44" s="19"/>
      <c r="I44" s="19"/>
      <c r="J44" s="19"/>
      <c r="K44" s="19"/>
      <c r="L44" s="31"/>
      <c r="M44" s="23"/>
      <c r="N44" s="23"/>
      <c r="O44" s="23"/>
      <c r="P44" s="23"/>
      <c r="Q44" s="34"/>
      <c r="S44" s="16"/>
      <c r="U44" s="16"/>
      <c r="W44" s="11" t="s">
        <v>7</v>
      </c>
      <c r="X44" s="12" t="str">
        <f>VLOOKUP(LOWER(Z37),experiments_specs!$A:$J,8,FALSE)</f>
        <v>False</v>
      </c>
      <c r="Y44" s="15" t="s">
        <v>91</v>
      </c>
      <c r="Z44" s="6" t="s">
        <v>16</v>
      </c>
      <c r="AA44" s="19"/>
      <c r="AB44" s="19"/>
      <c r="AC44" s="19"/>
      <c r="AD44" s="19"/>
      <c r="AE44" s="31"/>
      <c r="AF44" s="23"/>
      <c r="AG44" s="23"/>
      <c r="AH44" s="23"/>
      <c r="AI44" s="23"/>
      <c r="AJ44" s="34"/>
      <c r="AL44" s="16"/>
      <c r="AN44" s="16"/>
      <c r="AP44" s="11" t="s">
        <v>7</v>
      </c>
      <c r="AQ44" s="12" t="str">
        <f>VLOOKUP(LOWER(AS37),experiments_specs!$A:$J,8,FALSE)</f>
        <v>False</v>
      </c>
      <c r="AR44" s="15" t="s">
        <v>97</v>
      </c>
      <c r="AS44" s="6"/>
      <c r="AT44" s="19"/>
      <c r="AU44" s="19"/>
      <c r="AV44" s="19"/>
      <c r="AW44" s="19"/>
      <c r="AX44" s="31"/>
      <c r="AY44" s="23"/>
      <c r="AZ44" s="23"/>
      <c r="BA44" s="23"/>
      <c r="BB44" s="23"/>
      <c r="BC44" s="34"/>
      <c r="BE44" s="16"/>
    </row>
    <row r="45" spans="2:57" x14ac:dyDescent="0.2">
      <c r="B45" s="16"/>
      <c r="D45" s="11" t="s">
        <v>8</v>
      </c>
      <c r="E45" s="12" t="str">
        <f>VLOOKUP(LOWER(G37),experiments_specs!$A:$J,9,FALSE)</f>
        <v>wup_similarity</v>
      </c>
      <c r="F45" s="15" t="s">
        <v>85</v>
      </c>
      <c r="G45" s="6"/>
      <c r="H45" s="19"/>
      <c r="I45" s="19"/>
      <c r="J45" s="19"/>
      <c r="K45" s="19"/>
      <c r="L45" s="31"/>
      <c r="M45" s="22"/>
      <c r="N45" s="22"/>
      <c r="O45" s="22"/>
      <c r="P45" s="22"/>
      <c r="Q45" s="34"/>
      <c r="S45" s="16"/>
      <c r="U45" s="16"/>
      <c r="W45" s="11" t="s">
        <v>8</v>
      </c>
      <c r="X45" s="12" t="str">
        <f>VLOOKUP(LOWER(Z37),experiments_specs!$A:$J,9,FALSE)</f>
        <v>wup_similarity</v>
      </c>
      <c r="Y45" s="15" t="s">
        <v>91</v>
      </c>
      <c r="Z45" s="6" t="s">
        <v>17</v>
      </c>
      <c r="AA45" s="19"/>
      <c r="AB45" s="19"/>
      <c r="AC45" s="19"/>
      <c r="AD45" s="19"/>
      <c r="AE45" s="31"/>
      <c r="AF45" s="22"/>
      <c r="AG45" s="22"/>
      <c r="AH45" s="22"/>
      <c r="AI45" s="22"/>
      <c r="AJ45" s="34"/>
      <c r="AL45" s="16"/>
      <c r="AN45" s="16"/>
      <c r="AP45" s="11" t="s">
        <v>8</v>
      </c>
      <c r="AQ45" s="12" t="str">
        <f>VLOOKUP(LOWER(AS37),experiments_specs!$A:$J,9,FALSE)</f>
        <v>wup_similarity</v>
      </c>
      <c r="AR45" s="15" t="s">
        <v>97</v>
      </c>
      <c r="AS45" s="6"/>
      <c r="AT45" s="18"/>
      <c r="AU45" s="18"/>
      <c r="AV45" s="18"/>
      <c r="AW45" s="18"/>
      <c r="AX45" s="31"/>
      <c r="AY45" s="23"/>
      <c r="AZ45" s="23"/>
      <c r="BA45" s="23"/>
      <c r="BB45" s="23"/>
      <c r="BC45" s="34"/>
      <c r="BE45" s="16"/>
    </row>
    <row r="46" spans="2:57" x14ac:dyDescent="0.2">
      <c r="B46" s="16"/>
      <c r="D46" s="11" t="s">
        <v>9</v>
      </c>
      <c r="E46" s="12" t="str">
        <f>VLOOKUP(LOWER(G37),experiments_specs!$A:$J,10,FALSE)</f>
        <v>False</v>
      </c>
      <c r="F46" s="15" t="s">
        <v>85</v>
      </c>
      <c r="G46" s="7"/>
      <c r="H46" s="20"/>
      <c r="I46" s="20"/>
      <c r="J46" s="20"/>
      <c r="K46" s="20"/>
      <c r="L46" s="32"/>
      <c r="M46" s="24"/>
      <c r="N46" s="24"/>
      <c r="O46" s="24"/>
      <c r="P46" s="24"/>
      <c r="Q46" s="35"/>
      <c r="S46" s="16"/>
      <c r="U46" s="16"/>
      <c r="W46" s="11" t="s">
        <v>9</v>
      </c>
      <c r="X46" s="12" t="str">
        <f>VLOOKUP(LOWER(Z37),experiments_specs!$A:$J,10,FALSE)</f>
        <v>False</v>
      </c>
      <c r="Y46" s="15" t="s">
        <v>91</v>
      </c>
      <c r="Z46" s="7" t="s">
        <v>18</v>
      </c>
      <c r="AA46" s="20"/>
      <c r="AB46" s="20"/>
      <c r="AC46" s="20"/>
      <c r="AD46" s="20"/>
      <c r="AE46" s="32"/>
      <c r="AF46" s="24"/>
      <c r="AG46" s="24"/>
      <c r="AH46" s="24"/>
      <c r="AI46" s="24"/>
      <c r="AJ46" s="35"/>
      <c r="AL46" s="16"/>
      <c r="AN46" s="16"/>
      <c r="AP46" s="11" t="s">
        <v>9</v>
      </c>
      <c r="AQ46" s="12" t="str">
        <f>VLOOKUP(LOWER(AS37),experiments_specs!$A:$J,10,FALSE)</f>
        <v>True</v>
      </c>
      <c r="AR46" s="15" t="s">
        <v>97</v>
      </c>
      <c r="AS46" s="7"/>
      <c r="AT46" s="20"/>
      <c r="AU46" s="20"/>
      <c r="AV46" s="20"/>
      <c r="AW46" s="20"/>
      <c r="AX46" s="32"/>
      <c r="AY46" s="24"/>
      <c r="AZ46" s="24"/>
      <c r="BA46" s="24"/>
      <c r="BB46" s="24"/>
      <c r="BC46" s="35"/>
      <c r="BE46" s="16"/>
    </row>
    <row r="47" spans="2:57" ht="17" thickBot="1" x14ac:dyDescent="0.25">
      <c r="B47" s="16"/>
      <c r="S47" s="16"/>
      <c r="U47" s="16"/>
      <c r="AL47" s="16"/>
      <c r="AN47" s="16"/>
      <c r="BE47" s="16"/>
    </row>
    <row r="48" spans="2:57" ht="20" thickBot="1" x14ac:dyDescent="0.3">
      <c r="B48" s="16"/>
      <c r="D48" s="13" t="s">
        <v>126</v>
      </c>
      <c r="E48" s="14"/>
      <c r="F48" s="9"/>
      <c r="G48" s="10" t="str">
        <f>"TEST_"&amp;TEXT(RIGHT(G37,2)+1, "00")</f>
        <v>TEST_23</v>
      </c>
      <c r="H48" s="36" t="s">
        <v>124</v>
      </c>
      <c r="I48" s="36"/>
      <c r="J48" s="36"/>
      <c r="K48" s="36"/>
      <c r="L48" s="36"/>
      <c r="M48" s="37" t="s">
        <v>123</v>
      </c>
      <c r="N48" s="37"/>
      <c r="O48" s="37"/>
      <c r="P48" s="37"/>
      <c r="Q48" s="37"/>
      <c r="R48" s="2"/>
      <c r="S48" s="16"/>
      <c r="U48" s="16"/>
      <c r="W48" s="13" t="s">
        <v>126</v>
      </c>
      <c r="X48" s="14"/>
      <c r="Y48" s="9"/>
      <c r="Z48" s="10" t="str">
        <f>"TEST_"&amp;TEXT(RIGHT(Z37,2)+1, "00")</f>
        <v>TEST_29</v>
      </c>
      <c r="AA48" s="36" t="s">
        <v>124</v>
      </c>
      <c r="AB48" s="36"/>
      <c r="AC48" s="36"/>
      <c r="AD48" s="36"/>
      <c r="AE48" s="36"/>
      <c r="AF48" s="37" t="s">
        <v>123</v>
      </c>
      <c r="AG48" s="37"/>
      <c r="AH48" s="37"/>
      <c r="AI48" s="37"/>
      <c r="AJ48" s="37"/>
      <c r="AK48" s="2"/>
      <c r="AL48" s="16"/>
      <c r="AN48" s="16"/>
      <c r="AP48" s="13" t="s">
        <v>126</v>
      </c>
      <c r="AQ48" s="14"/>
      <c r="AR48" s="9"/>
      <c r="AS48" s="10" t="str">
        <f>"TEST_"&amp;TEXT(RIGHT(AS37,2)+1, "00")</f>
        <v>TEST_35</v>
      </c>
      <c r="AT48" s="36" t="s">
        <v>124</v>
      </c>
      <c r="AU48" s="36"/>
      <c r="AV48" s="36"/>
      <c r="AW48" s="36"/>
      <c r="AX48" s="36"/>
      <c r="AY48" s="37" t="s">
        <v>123</v>
      </c>
      <c r="AZ48" s="37"/>
      <c r="BA48" s="37"/>
      <c r="BB48" s="37"/>
      <c r="BC48" s="37"/>
      <c r="BD48" s="2"/>
      <c r="BE48" s="16"/>
    </row>
    <row r="49" spans="2:57" x14ac:dyDescent="0.2">
      <c r="B49" s="16"/>
      <c r="D49" s="11" t="s">
        <v>1</v>
      </c>
      <c r="E49" s="12" t="str">
        <f>VLOOKUP(LOWER(G48),experiments_specs!$A:$J,2,FALSE)</f>
        <v>NN,RB</v>
      </c>
      <c r="F49" s="15" t="str">
        <f>"{"&amp;LOWER(G48)&amp;".csv}"</f>
        <v>{test_23.csv}</v>
      </c>
      <c r="G49" s="8" t="s">
        <v>118</v>
      </c>
      <c r="H49" s="3" t="s">
        <v>119</v>
      </c>
      <c r="I49" s="3" t="s">
        <v>182</v>
      </c>
      <c r="J49" s="3" t="s">
        <v>120</v>
      </c>
      <c r="K49" s="3" t="s">
        <v>182</v>
      </c>
      <c r="L49" s="3" t="s">
        <v>121</v>
      </c>
      <c r="M49" s="4" t="s">
        <v>122</v>
      </c>
      <c r="N49" s="4" t="s">
        <v>182</v>
      </c>
      <c r="O49" s="4" t="s">
        <v>120</v>
      </c>
      <c r="P49" s="4" t="s">
        <v>182</v>
      </c>
      <c r="Q49" s="4" t="s">
        <v>121</v>
      </c>
      <c r="S49" s="16"/>
      <c r="U49" s="16"/>
      <c r="W49" s="11" t="s">
        <v>1</v>
      </c>
      <c r="X49" s="12" t="str">
        <f>VLOOKUP(LOWER(Z48),experiments_specs!$A:$J,2,FALSE)</f>
        <v>NN,RB</v>
      </c>
      <c r="Y49" s="15" t="str">
        <f>"{"&amp;LOWER(Z48)&amp;".csv}"</f>
        <v>{test_29.csv}</v>
      </c>
      <c r="Z49" s="8" t="s">
        <v>118</v>
      </c>
      <c r="AA49" s="3" t="s">
        <v>119</v>
      </c>
      <c r="AB49" s="3" t="s">
        <v>182</v>
      </c>
      <c r="AC49" s="3" t="s">
        <v>120</v>
      </c>
      <c r="AD49" s="3" t="s">
        <v>182</v>
      </c>
      <c r="AE49" s="3" t="s">
        <v>121</v>
      </c>
      <c r="AF49" s="4" t="s">
        <v>122</v>
      </c>
      <c r="AG49" s="4" t="s">
        <v>182</v>
      </c>
      <c r="AH49" s="4" t="s">
        <v>120</v>
      </c>
      <c r="AI49" s="4" t="s">
        <v>182</v>
      </c>
      <c r="AJ49" s="4" t="s">
        <v>121</v>
      </c>
      <c r="AL49" s="16"/>
      <c r="AN49" s="16"/>
      <c r="AP49" s="11" t="s">
        <v>1</v>
      </c>
      <c r="AQ49" s="12" t="str">
        <f>VLOOKUP(LOWER(AS48),experiments_specs!$A:$J,2,FALSE)</f>
        <v>NN,RB</v>
      </c>
      <c r="AR49" s="15" t="str">
        <f>"{"&amp;LOWER(AS48)&amp;".csv}"</f>
        <v>{test_35.csv}</v>
      </c>
      <c r="AS49" s="8" t="s">
        <v>118</v>
      </c>
      <c r="AT49" s="3" t="s">
        <v>119</v>
      </c>
      <c r="AU49" s="3" t="s">
        <v>182</v>
      </c>
      <c r="AV49" s="3" t="s">
        <v>120</v>
      </c>
      <c r="AW49" s="3" t="s">
        <v>182</v>
      </c>
      <c r="AX49" s="3" t="s">
        <v>121</v>
      </c>
      <c r="AY49" s="4" t="s">
        <v>122</v>
      </c>
      <c r="AZ49" s="4" t="s">
        <v>182</v>
      </c>
      <c r="BA49" s="4" t="s">
        <v>120</v>
      </c>
      <c r="BB49" s="4" t="s">
        <v>182</v>
      </c>
      <c r="BC49" s="4" t="s">
        <v>121</v>
      </c>
      <c r="BE49" s="16"/>
    </row>
    <row r="50" spans="2:57" x14ac:dyDescent="0.2">
      <c r="B50" s="16"/>
      <c r="D50" s="11" t="s">
        <v>2</v>
      </c>
      <c r="E50" s="12">
        <f>VLOOKUP(LOWER(G48),experiments_specs!$A:$J,3,FALSE)</f>
        <v>1</v>
      </c>
      <c r="F50" s="15" t="s">
        <v>86</v>
      </c>
      <c r="G50" s="5"/>
      <c r="H50" s="17"/>
      <c r="I50" s="17"/>
      <c r="J50" s="17"/>
      <c r="K50" s="17"/>
      <c r="L50" s="30"/>
      <c r="M50" s="21"/>
      <c r="N50" s="21"/>
      <c r="O50" s="21"/>
      <c r="P50" s="21"/>
      <c r="Q50" s="33"/>
      <c r="S50" s="16"/>
      <c r="U50" s="16"/>
      <c r="W50" s="11" t="s">
        <v>2</v>
      </c>
      <c r="X50" s="12">
        <f>VLOOKUP(LOWER(Z48),experiments_specs!$A:$J,3,FALSE)</f>
        <v>1</v>
      </c>
      <c r="Y50" s="15" t="s">
        <v>92</v>
      </c>
      <c r="Z50" s="5" t="s">
        <v>19</v>
      </c>
      <c r="AA50" s="17"/>
      <c r="AB50" s="17"/>
      <c r="AC50" s="17"/>
      <c r="AD50" s="17"/>
      <c r="AE50" s="30"/>
      <c r="AF50" s="21"/>
      <c r="AG50" s="21"/>
      <c r="AH50" s="21"/>
      <c r="AI50" s="21"/>
      <c r="AJ50" s="33"/>
      <c r="AL50" s="16"/>
      <c r="AN50" s="16"/>
      <c r="AP50" s="11" t="s">
        <v>2</v>
      </c>
      <c r="AQ50" s="12">
        <f>VLOOKUP(LOWER(AS48),experiments_specs!$A:$J,3,FALSE)</f>
        <v>1</v>
      </c>
      <c r="AR50" s="15" t="s">
        <v>98</v>
      </c>
      <c r="AS50" s="5"/>
      <c r="AT50" s="17"/>
      <c r="AU50" s="17"/>
      <c r="AV50" s="17"/>
      <c r="AW50" s="17"/>
      <c r="AX50" s="30"/>
      <c r="AY50" s="21"/>
      <c r="AZ50" s="21"/>
      <c r="BA50" s="21"/>
      <c r="BB50" s="21"/>
      <c r="BC50" s="33"/>
      <c r="BE50" s="16"/>
    </row>
    <row r="51" spans="2:57" x14ac:dyDescent="0.2">
      <c r="B51" s="16"/>
      <c r="D51" s="11" t="s">
        <v>3</v>
      </c>
      <c r="E51" s="12">
        <f>VLOOKUP(LOWER(G48),experiments_specs!$A:$J,4,FALSE)</f>
        <v>2</v>
      </c>
      <c r="F51" s="15" t="s">
        <v>86</v>
      </c>
      <c r="G51" s="6"/>
      <c r="H51" s="18"/>
      <c r="I51" s="18"/>
      <c r="J51" s="18"/>
      <c r="K51" s="18"/>
      <c r="L51" s="31"/>
      <c r="M51" s="22"/>
      <c r="N51" s="22"/>
      <c r="O51" s="22"/>
      <c r="P51" s="22"/>
      <c r="Q51" s="34"/>
      <c r="S51" s="16"/>
      <c r="U51" s="16"/>
      <c r="W51" s="11" t="s">
        <v>3</v>
      </c>
      <c r="X51" s="12">
        <f>VLOOKUP(LOWER(Z48),experiments_specs!$A:$J,4,FALSE)</f>
        <v>2</v>
      </c>
      <c r="Y51" s="15" t="s">
        <v>92</v>
      </c>
      <c r="Z51" s="6" t="s">
        <v>12</v>
      </c>
      <c r="AA51" s="18"/>
      <c r="AB51" s="18"/>
      <c r="AC51" s="18"/>
      <c r="AD51" s="18"/>
      <c r="AE51" s="31"/>
      <c r="AF51" s="23"/>
      <c r="AG51" s="23"/>
      <c r="AH51" s="23"/>
      <c r="AI51" s="23"/>
      <c r="AJ51" s="34"/>
      <c r="AL51" s="16"/>
      <c r="AN51" s="16"/>
      <c r="AP51" s="11" t="s">
        <v>3</v>
      </c>
      <c r="AQ51" s="12">
        <f>VLOOKUP(LOWER(AS48),experiments_specs!$A:$J,4,FALSE)</f>
        <v>2</v>
      </c>
      <c r="AR51" s="15" t="s">
        <v>98</v>
      </c>
      <c r="AS51" s="6"/>
      <c r="AT51" s="18"/>
      <c r="AU51" s="18"/>
      <c r="AV51" s="18"/>
      <c r="AW51" s="18"/>
      <c r="AX51" s="31"/>
      <c r="AY51" s="23"/>
      <c r="AZ51" s="23"/>
      <c r="BA51" s="23"/>
      <c r="BB51" s="23"/>
      <c r="BC51" s="34"/>
      <c r="BE51" s="16"/>
    </row>
    <row r="52" spans="2:57" x14ac:dyDescent="0.2">
      <c r="B52" s="16"/>
      <c r="D52" s="11" t="s">
        <v>4</v>
      </c>
      <c r="E52" s="12" t="str">
        <f>VLOOKUP(LOWER(G48),experiments_specs!$A:$J,5,FALSE)</f>
        <v>False</v>
      </c>
      <c r="F52" s="15" t="s">
        <v>86</v>
      </c>
      <c r="G52" s="6"/>
      <c r="H52" s="19"/>
      <c r="I52" s="19"/>
      <c r="J52" s="19"/>
      <c r="K52" s="19"/>
      <c r="L52" s="31"/>
      <c r="M52" s="22"/>
      <c r="N52" s="22"/>
      <c r="O52" s="22"/>
      <c r="P52" s="22"/>
      <c r="Q52" s="34"/>
      <c r="S52" s="16"/>
      <c r="U52" s="16"/>
      <c r="W52" s="11" t="s">
        <v>4</v>
      </c>
      <c r="X52" s="12" t="str">
        <f>VLOOKUP(LOWER(Z48),experiments_specs!$A:$J,5,FALSE)</f>
        <v>True</v>
      </c>
      <c r="Y52" s="15" t="s">
        <v>92</v>
      </c>
      <c r="Z52" s="6" t="s">
        <v>13</v>
      </c>
      <c r="AA52" s="19"/>
      <c r="AB52" s="19"/>
      <c r="AC52" s="19"/>
      <c r="AD52" s="19"/>
      <c r="AE52" s="31"/>
      <c r="AF52" s="22"/>
      <c r="AG52" s="22"/>
      <c r="AH52" s="22"/>
      <c r="AI52" s="22"/>
      <c r="AJ52" s="34"/>
      <c r="AL52" s="16"/>
      <c r="AN52" s="16"/>
      <c r="AP52" s="11" t="s">
        <v>4</v>
      </c>
      <c r="AQ52" s="12" t="str">
        <f>VLOOKUP(LOWER(AS48),experiments_specs!$A:$J,5,FALSE)</f>
        <v>True</v>
      </c>
      <c r="AR52" s="15" t="s">
        <v>98</v>
      </c>
      <c r="AS52" s="6"/>
      <c r="AT52" s="19"/>
      <c r="AU52" s="19"/>
      <c r="AV52" s="19"/>
      <c r="AW52" s="19"/>
      <c r="AX52" s="31"/>
      <c r="AY52" s="22"/>
      <c r="AZ52" s="22"/>
      <c r="BA52" s="22"/>
      <c r="BB52" s="22"/>
      <c r="BC52" s="34"/>
      <c r="BE52" s="16"/>
    </row>
    <row r="53" spans="2:57" x14ac:dyDescent="0.2">
      <c r="B53" s="16"/>
      <c r="D53" s="11" t="s">
        <v>5</v>
      </c>
      <c r="E53" s="12" t="str">
        <f>VLOOKUP(LOWER(G48),experiments_specs!$A:$J,6,FALSE)</f>
        <v>True</v>
      </c>
      <c r="F53" s="15" t="s">
        <v>86</v>
      </c>
      <c r="G53" s="6"/>
      <c r="H53" s="19"/>
      <c r="I53" s="19"/>
      <c r="J53" s="19"/>
      <c r="K53" s="19"/>
      <c r="L53" s="31"/>
      <c r="M53" s="22"/>
      <c r="N53" s="22"/>
      <c r="O53" s="22"/>
      <c r="P53" s="22"/>
      <c r="Q53" s="34"/>
      <c r="S53" s="16"/>
      <c r="U53" s="16"/>
      <c r="W53" s="11" t="s">
        <v>5</v>
      </c>
      <c r="X53" s="12" t="str">
        <f>VLOOKUP(LOWER(Z48),experiments_specs!$A:$J,6,FALSE)</f>
        <v>True</v>
      </c>
      <c r="Y53" s="15" t="s">
        <v>92</v>
      </c>
      <c r="Z53" s="6" t="s">
        <v>14</v>
      </c>
      <c r="AA53" s="18"/>
      <c r="AB53" s="18"/>
      <c r="AC53" s="18"/>
      <c r="AD53" s="18"/>
      <c r="AE53" s="31"/>
      <c r="AF53" s="23"/>
      <c r="AG53" s="23"/>
      <c r="AH53" s="23"/>
      <c r="AI53" s="23"/>
      <c r="AJ53" s="34"/>
      <c r="AL53" s="16"/>
      <c r="AN53" s="16"/>
      <c r="AP53" s="11" t="s">
        <v>5</v>
      </c>
      <c r="AQ53" s="12" t="str">
        <f>VLOOKUP(LOWER(AS48),experiments_specs!$A:$J,6,FALSE)</f>
        <v>True</v>
      </c>
      <c r="AR53" s="15" t="s">
        <v>98</v>
      </c>
      <c r="AS53" s="6"/>
      <c r="AT53" s="18"/>
      <c r="AU53" s="18"/>
      <c r="AV53" s="18"/>
      <c r="AW53" s="18"/>
      <c r="AX53" s="31"/>
      <c r="AY53" s="23"/>
      <c r="AZ53" s="23"/>
      <c r="BA53" s="23"/>
      <c r="BB53" s="23"/>
      <c r="BC53" s="34"/>
      <c r="BE53" s="16"/>
    </row>
    <row r="54" spans="2:57" x14ac:dyDescent="0.2">
      <c r="B54" s="16"/>
      <c r="D54" s="11" t="s">
        <v>6</v>
      </c>
      <c r="E54" s="12" t="str">
        <f>VLOOKUP(LOWER(G48),experiments_specs!$A:$J,7,FALSE)</f>
        <v>True</v>
      </c>
      <c r="F54" s="15" t="s">
        <v>86</v>
      </c>
      <c r="G54" s="6"/>
      <c r="H54" s="19"/>
      <c r="I54" s="19"/>
      <c r="J54" s="19"/>
      <c r="K54" s="19"/>
      <c r="L54" s="31"/>
      <c r="M54" s="23"/>
      <c r="N54" s="23"/>
      <c r="O54" s="23"/>
      <c r="P54" s="23"/>
      <c r="Q54" s="34"/>
      <c r="S54" s="16"/>
      <c r="U54" s="16"/>
      <c r="W54" s="11" t="s">
        <v>6</v>
      </c>
      <c r="X54" s="12" t="str">
        <f>VLOOKUP(LOWER(Z48),experiments_specs!$A:$J,7,FALSE)</f>
        <v>True</v>
      </c>
      <c r="Y54" s="15" t="s">
        <v>92</v>
      </c>
      <c r="Z54" s="6" t="s">
        <v>15</v>
      </c>
      <c r="AA54" s="19"/>
      <c r="AB54" s="19"/>
      <c r="AC54" s="19"/>
      <c r="AD54" s="19"/>
      <c r="AE54" s="31"/>
      <c r="AF54" s="23"/>
      <c r="AG54" s="23"/>
      <c r="AH54" s="23"/>
      <c r="AI54" s="23"/>
      <c r="AJ54" s="34"/>
      <c r="AL54" s="16"/>
      <c r="AN54" s="16"/>
      <c r="AP54" s="11" t="s">
        <v>6</v>
      </c>
      <c r="AQ54" s="12" t="str">
        <f>VLOOKUP(LOWER(AS48),experiments_specs!$A:$J,7,FALSE)</f>
        <v>True</v>
      </c>
      <c r="AR54" s="15" t="s">
        <v>98</v>
      </c>
      <c r="AS54" s="6"/>
      <c r="AT54" s="19"/>
      <c r="AU54" s="19"/>
      <c r="AV54" s="19"/>
      <c r="AW54" s="19"/>
      <c r="AX54" s="31"/>
      <c r="AY54" s="23"/>
      <c r="AZ54" s="23"/>
      <c r="BA54" s="23"/>
      <c r="BB54" s="23"/>
      <c r="BC54" s="34"/>
      <c r="BE54" s="16"/>
    </row>
    <row r="55" spans="2:57" x14ac:dyDescent="0.2">
      <c r="B55" s="16"/>
      <c r="D55" s="11" t="s">
        <v>7</v>
      </c>
      <c r="E55" s="12" t="str">
        <f>VLOOKUP(LOWER(G48),experiments_specs!$A:$J,8,FALSE)</f>
        <v>False</v>
      </c>
      <c r="F55" s="15" t="s">
        <v>86</v>
      </c>
      <c r="G55" s="6"/>
      <c r="H55" s="19"/>
      <c r="I55" s="19"/>
      <c r="J55" s="19"/>
      <c r="K55" s="19"/>
      <c r="L55" s="31"/>
      <c r="M55" s="23"/>
      <c r="N55" s="23"/>
      <c r="O55" s="23"/>
      <c r="P55" s="23"/>
      <c r="Q55" s="34"/>
      <c r="S55" s="16"/>
      <c r="U55" s="16"/>
      <c r="W55" s="11" t="s">
        <v>7</v>
      </c>
      <c r="X55" s="12" t="str">
        <f>VLOOKUP(LOWER(Z48),experiments_specs!$A:$J,8,FALSE)</f>
        <v>False</v>
      </c>
      <c r="Y55" s="15" t="s">
        <v>92</v>
      </c>
      <c r="Z55" s="6" t="s">
        <v>16</v>
      </c>
      <c r="AA55" s="19"/>
      <c r="AB55" s="19"/>
      <c r="AC55" s="19"/>
      <c r="AD55" s="19"/>
      <c r="AE55" s="31"/>
      <c r="AF55" s="23"/>
      <c r="AG55" s="23"/>
      <c r="AH55" s="23"/>
      <c r="AI55" s="23"/>
      <c r="AJ55" s="34"/>
      <c r="AL55" s="16"/>
      <c r="AN55" s="16"/>
      <c r="AP55" s="11" t="s">
        <v>7</v>
      </c>
      <c r="AQ55" s="12" t="str">
        <f>VLOOKUP(LOWER(AS48),experiments_specs!$A:$J,8,FALSE)</f>
        <v>False</v>
      </c>
      <c r="AR55" s="15" t="s">
        <v>98</v>
      </c>
      <c r="AS55" s="6"/>
      <c r="AT55" s="19"/>
      <c r="AU55" s="19"/>
      <c r="AV55" s="19"/>
      <c r="AW55" s="19"/>
      <c r="AX55" s="31"/>
      <c r="AY55" s="23"/>
      <c r="AZ55" s="23"/>
      <c r="BA55" s="23"/>
      <c r="BB55" s="23"/>
      <c r="BC55" s="34"/>
      <c r="BE55" s="16"/>
    </row>
    <row r="56" spans="2:57" x14ac:dyDescent="0.2">
      <c r="B56" s="16"/>
      <c r="D56" s="11" t="s">
        <v>8</v>
      </c>
      <c r="E56" s="12" t="str">
        <f>VLOOKUP(LOWER(G48),experiments_specs!$A:$J,9,FALSE)</f>
        <v>wup_similarity</v>
      </c>
      <c r="F56" s="15" t="s">
        <v>86</v>
      </c>
      <c r="G56" s="6"/>
      <c r="H56" s="19"/>
      <c r="I56" s="19"/>
      <c r="J56" s="19"/>
      <c r="K56" s="19"/>
      <c r="L56" s="31"/>
      <c r="M56" s="22"/>
      <c r="N56" s="22"/>
      <c r="O56" s="22"/>
      <c r="P56" s="22"/>
      <c r="Q56" s="34"/>
      <c r="S56" s="16"/>
      <c r="U56" s="16"/>
      <c r="W56" s="11" t="s">
        <v>8</v>
      </c>
      <c r="X56" s="12" t="str">
        <f>VLOOKUP(LOWER(Z48),experiments_specs!$A:$J,9,FALSE)</f>
        <v>wup_similarity</v>
      </c>
      <c r="Y56" s="15" t="s">
        <v>92</v>
      </c>
      <c r="Z56" s="6" t="s">
        <v>17</v>
      </c>
      <c r="AA56" s="18"/>
      <c r="AB56" s="18"/>
      <c r="AC56" s="18"/>
      <c r="AD56" s="18"/>
      <c r="AE56" s="31"/>
      <c r="AF56" s="23"/>
      <c r="AG56" s="23"/>
      <c r="AH56" s="23"/>
      <c r="AI56" s="23"/>
      <c r="AJ56" s="34"/>
      <c r="AL56" s="16"/>
      <c r="AN56" s="16"/>
      <c r="AP56" s="11" t="s">
        <v>8</v>
      </c>
      <c r="AQ56" s="12" t="str">
        <f>VLOOKUP(LOWER(AS48),experiments_specs!$A:$J,9,FALSE)</f>
        <v>wup_similarity</v>
      </c>
      <c r="AR56" s="15" t="s">
        <v>98</v>
      </c>
      <c r="AS56" s="6"/>
      <c r="AT56" s="18"/>
      <c r="AU56" s="18"/>
      <c r="AV56" s="18"/>
      <c r="AW56" s="18"/>
      <c r="AX56" s="31"/>
      <c r="AY56" s="23"/>
      <c r="AZ56" s="23"/>
      <c r="BA56" s="23"/>
      <c r="BB56" s="23"/>
      <c r="BC56" s="34"/>
      <c r="BE56" s="16"/>
    </row>
    <row r="57" spans="2:57" x14ac:dyDescent="0.2">
      <c r="B57" s="16"/>
      <c r="D57" s="11" t="s">
        <v>9</v>
      </c>
      <c r="E57" s="12" t="str">
        <f>VLOOKUP(LOWER(G48),experiments_specs!$A:$J,10,FALSE)</f>
        <v>False</v>
      </c>
      <c r="F57" s="15" t="s">
        <v>86</v>
      </c>
      <c r="G57" s="7"/>
      <c r="H57" s="20"/>
      <c r="I57" s="20"/>
      <c r="J57" s="20"/>
      <c r="K57" s="20"/>
      <c r="L57" s="32"/>
      <c r="M57" s="24"/>
      <c r="N57" s="24"/>
      <c r="O57" s="24"/>
      <c r="P57" s="24"/>
      <c r="Q57" s="35"/>
      <c r="S57" s="16"/>
      <c r="U57" s="16"/>
      <c r="W57" s="11" t="s">
        <v>9</v>
      </c>
      <c r="X57" s="12" t="str">
        <f>VLOOKUP(LOWER(Z48),experiments_specs!$A:$J,10,FALSE)</f>
        <v>False</v>
      </c>
      <c r="Y57" s="15" t="s">
        <v>92</v>
      </c>
      <c r="Z57" s="7" t="s">
        <v>18</v>
      </c>
      <c r="AA57" s="20"/>
      <c r="AB57" s="20"/>
      <c r="AC57" s="20"/>
      <c r="AD57" s="20"/>
      <c r="AE57" s="32"/>
      <c r="AF57" s="24"/>
      <c r="AG57" s="24"/>
      <c r="AH57" s="24"/>
      <c r="AI57" s="24"/>
      <c r="AJ57" s="35"/>
      <c r="AL57" s="16"/>
      <c r="AN57" s="16"/>
      <c r="AP57" s="11" t="s">
        <v>9</v>
      </c>
      <c r="AQ57" s="12" t="str">
        <f>VLOOKUP(LOWER(AS48),experiments_specs!$A:$J,10,FALSE)</f>
        <v>True</v>
      </c>
      <c r="AR57" s="15" t="s">
        <v>98</v>
      </c>
      <c r="AS57" s="7"/>
      <c r="AT57" s="20"/>
      <c r="AU57" s="20"/>
      <c r="AV57" s="20"/>
      <c r="AW57" s="20"/>
      <c r="AX57" s="32"/>
      <c r="AY57" s="24"/>
      <c r="AZ57" s="24"/>
      <c r="BA57" s="24"/>
      <c r="BB57" s="24"/>
      <c r="BC57" s="35"/>
      <c r="BE57" s="16"/>
    </row>
    <row r="58" spans="2:57" ht="17" thickBot="1" x14ac:dyDescent="0.25">
      <c r="B58" s="16"/>
      <c r="S58" s="16"/>
      <c r="U58" s="16"/>
      <c r="AL58" s="16"/>
      <c r="AN58" s="16"/>
      <c r="BE58" s="16"/>
    </row>
    <row r="59" spans="2:57" ht="20" thickBot="1" x14ac:dyDescent="0.3">
      <c r="B59" s="16"/>
      <c r="D59" s="13" t="s">
        <v>126</v>
      </c>
      <c r="E59" s="14"/>
      <c r="F59" s="9"/>
      <c r="G59" s="10" t="str">
        <f>"TEST_"&amp;TEXT(RIGHT(G48,2)+1, "00")</f>
        <v>TEST_24</v>
      </c>
      <c r="H59" s="36" t="s">
        <v>124</v>
      </c>
      <c r="I59" s="36"/>
      <c r="J59" s="36"/>
      <c r="K59" s="36"/>
      <c r="L59" s="36"/>
      <c r="M59" s="37" t="s">
        <v>123</v>
      </c>
      <c r="N59" s="37"/>
      <c r="O59" s="37"/>
      <c r="P59" s="37"/>
      <c r="Q59" s="37"/>
      <c r="R59" s="2"/>
      <c r="S59" s="16"/>
      <c r="U59" s="16"/>
      <c r="W59" s="13" t="s">
        <v>126</v>
      </c>
      <c r="X59" s="14"/>
      <c r="Y59" s="9"/>
      <c r="Z59" s="10" t="str">
        <f>"TEST_"&amp;TEXT(RIGHT(Z48,2)+1, "00")</f>
        <v>TEST_30</v>
      </c>
      <c r="AA59" s="36" t="s">
        <v>124</v>
      </c>
      <c r="AB59" s="36"/>
      <c r="AC59" s="36"/>
      <c r="AD59" s="36"/>
      <c r="AE59" s="36"/>
      <c r="AF59" s="37" t="s">
        <v>123</v>
      </c>
      <c r="AG59" s="37"/>
      <c r="AH59" s="37"/>
      <c r="AI59" s="37"/>
      <c r="AJ59" s="37"/>
      <c r="AK59" s="2"/>
      <c r="AL59" s="16"/>
      <c r="AN59" s="16"/>
      <c r="AP59" s="13" t="s">
        <v>126</v>
      </c>
      <c r="AQ59" s="14"/>
      <c r="AR59" s="9"/>
      <c r="AS59" s="10" t="str">
        <f>"TEST_"&amp;TEXT(RIGHT(AS48,2)+1, "00")</f>
        <v>TEST_36</v>
      </c>
      <c r="AT59" s="36" t="s">
        <v>124</v>
      </c>
      <c r="AU59" s="36"/>
      <c r="AV59" s="36"/>
      <c r="AW59" s="36"/>
      <c r="AX59" s="36"/>
      <c r="AY59" s="37" t="s">
        <v>123</v>
      </c>
      <c r="AZ59" s="37"/>
      <c r="BA59" s="37"/>
      <c r="BB59" s="37"/>
      <c r="BC59" s="37"/>
      <c r="BD59" s="2"/>
      <c r="BE59" s="16"/>
    </row>
    <row r="60" spans="2:57" x14ac:dyDescent="0.2">
      <c r="B60" s="16"/>
      <c r="D60" s="11" t="s">
        <v>1</v>
      </c>
      <c r="E60" s="12" t="str">
        <f>VLOOKUP(LOWER(G59),experiments_specs!$A:$J,2,FALSE)</f>
        <v>NN,JJ,VB,VBD,VBG,VBN,VBP,VBZ</v>
      </c>
      <c r="F60" s="15" t="str">
        <f>"{"&amp;LOWER(G59)&amp;".csv}"</f>
        <v>{test_24.csv}</v>
      </c>
      <c r="G60" s="8" t="s">
        <v>118</v>
      </c>
      <c r="H60" s="3" t="s">
        <v>119</v>
      </c>
      <c r="I60" s="3" t="s">
        <v>182</v>
      </c>
      <c r="J60" s="3" t="s">
        <v>120</v>
      </c>
      <c r="K60" s="3" t="s">
        <v>182</v>
      </c>
      <c r="L60" s="3" t="s">
        <v>121</v>
      </c>
      <c r="M60" s="4" t="s">
        <v>122</v>
      </c>
      <c r="N60" s="4" t="s">
        <v>182</v>
      </c>
      <c r="O60" s="4" t="s">
        <v>120</v>
      </c>
      <c r="P60" s="4" t="s">
        <v>182</v>
      </c>
      <c r="Q60" s="4" t="s">
        <v>121</v>
      </c>
      <c r="S60" s="16"/>
      <c r="U60" s="16"/>
      <c r="W60" s="11" t="s">
        <v>1</v>
      </c>
      <c r="X60" s="12" t="str">
        <f>VLOOKUP(LOWER(Z59),experiments_specs!$A:$J,2,FALSE)</f>
        <v>NN,JJ,VB,VBD,VBG,VBN,VBP,VBZ</v>
      </c>
      <c r="Y60" s="15" t="str">
        <f>"{"&amp;LOWER(Z59)&amp;".csv}"</f>
        <v>{test_30.csv}</v>
      </c>
      <c r="Z60" s="8" t="s">
        <v>118</v>
      </c>
      <c r="AA60" s="3" t="s">
        <v>119</v>
      </c>
      <c r="AB60" s="3" t="s">
        <v>182</v>
      </c>
      <c r="AC60" s="3" t="s">
        <v>120</v>
      </c>
      <c r="AD60" s="3" t="s">
        <v>182</v>
      </c>
      <c r="AE60" s="3" t="s">
        <v>121</v>
      </c>
      <c r="AF60" s="4" t="s">
        <v>122</v>
      </c>
      <c r="AG60" s="4" t="s">
        <v>182</v>
      </c>
      <c r="AH60" s="4" t="s">
        <v>120</v>
      </c>
      <c r="AI60" s="4" t="s">
        <v>182</v>
      </c>
      <c r="AJ60" s="4" t="s">
        <v>121</v>
      </c>
      <c r="AL60" s="16"/>
      <c r="AN60" s="16"/>
      <c r="AP60" s="11" t="s">
        <v>1</v>
      </c>
      <c r="AQ60" s="12" t="str">
        <f>VLOOKUP(LOWER(AS59),experiments_specs!$A:$J,2,FALSE)</f>
        <v>NN,JJ,VB,VBD,VBG,VBN,VBP,VBZ</v>
      </c>
      <c r="AR60" s="15" t="str">
        <f>"{"&amp;LOWER(AS59)&amp;".csv}"</f>
        <v>{test_36.csv}</v>
      </c>
      <c r="AS60" s="8" t="s">
        <v>118</v>
      </c>
      <c r="AT60" s="3" t="s">
        <v>119</v>
      </c>
      <c r="AU60" s="3" t="s">
        <v>182</v>
      </c>
      <c r="AV60" s="3" t="s">
        <v>120</v>
      </c>
      <c r="AW60" s="3" t="s">
        <v>182</v>
      </c>
      <c r="AX60" s="3" t="s">
        <v>121</v>
      </c>
      <c r="AY60" s="4" t="s">
        <v>122</v>
      </c>
      <c r="AZ60" s="4" t="s">
        <v>182</v>
      </c>
      <c r="BA60" s="4" t="s">
        <v>120</v>
      </c>
      <c r="BB60" s="4" t="s">
        <v>182</v>
      </c>
      <c r="BC60" s="4" t="s">
        <v>121</v>
      </c>
      <c r="BE60" s="16"/>
    </row>
    <row r="61" spans="2:57" x14ac:dyDescent="0.2">
      <c r="B61" s="16"/>
      <c r="D61" s="11" t="s">
        <v>2</v>
      </c>
      <c r="E61" s="12">
        <f>VLOOKUP(LOWER(G59),experiments_specs!$A:$J,3,FALSE)</f>
        <v>1</v>
      </c>
      <c r="F61" s="15" t="s">
        <v>87</v>
      </c>
      <c r="G61" s="5"/>
      <c r="H61" s="17"/>
      <c r="I61" s="17"/>
      <c r="J61" s="17"/>
      <c r="K61" s="17"/>
      <c r="L61" s="30"/>
      <c r="M61" s="21"/>
      <c r="N61" s="21"/>
      <c r="O61" s="21"/>
      <c r="P61" s="21"/>
      <c r="Q61" s="33"/>
      <c r="S61" s="16"/>
      <c r="U61" s="16"/>
      <c r="W61" s="11" t="s">
        <v>2</v>
      </c>
      <c r="X61" s="12">
        <f>VLOOKUP(LOWER(Z59),experiments_specs!$A:$J,3,FALSE)</f>
        <v>1</v>
      </c>
      <c r="Y61" s="15" t="s">
        <v>93</v>
      </c>
      <c r="Z61" s="5" t="s">
        <v>19</v>
      </c>
      <c r="AA61" s="17"/>
      <c r="AB61" s="17"/>
      <c r="AC61" s="17"/>
      <c r="AD61" s="17"/>
      <c r="AE61" s="30"/>
      <c r="AF61" s="21"/>
      <c r="AG61" s="21"/>
      <c r="AH61" s="21"/>
      <c r="AI61" s="21"/>
      <c r="AJ61" s="33"/>
      <c r="AL61" s="16"/>
      <c r="AN61" s="16"/>
      <c r="AP61" s="11" t="s">
        <v>2</v>
      </c>
      <c r="AQ61" s="12">
        <f>VLOOKUP(LOWER(AS59),experiments_specs!$A:$J,3,FALSE)</f>
        <v>1</v>
      </c>
      <c r="AR61" s="15" t="s">
        <v>99</v>
      </c>
      <c r="AS61" s="5"/>
      <c r="AT61" s="17"/>
      <c r="AU61" s="17"/>
      <c r="AV61" s="17"/>
      <c r="AW61" s="17"/>
      <c r="AX61" s="30"/>
      <c r="AY61" s="21"/>
      <c r="AZ61" s="21"/>
      <c r="BA61" s="21"/>
      <c r="BB61" s="21"/>
      <c r="BC61" s="33"/>
      <c r="BE61" s="16"/>
    </row>
    <row r="62" spans="2:57" x14ac:dyDescent="0.2">
      <c r="B62" s="16"/>
      <c r="D62" s="11" t="s">
        <v>3</v>
      </c>
      <c r="E62" s="12">
        <f>VLOOKUP(LOWER(G59),experiments_specs!$A:$J,4,FALSE)</f>
        <v>2</v>
      </c>
      <c r="F62" s="15" t="s">
        <v>87</v>
      </c>
      <c r="G62" s="6"/>
      <c r="H62" s="18"/>
      <c r="I62" s="18"/>
      <c r="J62" s="18"/>
      <c r="K62" s="18"/>
      <c r="L62" s="31"/>
      <c r="M62" s="22"/>
      <c r="N62" s="22"/>
      <c r="O62" s="22"/>
      <c r="P62" s="22"/>
      <c r="Q62" s="34"/>
      <c r="S62" s="16"/>
      <c r="U62" s="16"/>
      <c r="W62" s="11" t="s">
        <v>3</v>
      </c>
      <c r="X62" s="12">
        <f>VLOOKUP(LOWER(Z59),experiments_specs!$A:$J,4,FALSE)</f>
        <v>2</v>
      </c>
      <c r="Y62" s="15" t="s">
        <v>93</v>
      </c>
      <c r="Z62" s="6" t="s">
        <v>12</v>
      </c>
      <c r="AA62" s="18"/>
      <c r="AB62" s="18"/>
      <c r="AC62" s="18"/>
      <c r="AD62" s="18"/>
      <c r="AE62" s="31"/>
      <c r="AF62" s="23"/>
      <c r="AG62" s="23"/>
      <c r="AH62" s="23"/>
      <c r="AI62" s="23"/>
      <c r="AJ62" s="34"/>
      <c r="AL62" s="16"/>
      <c r="AN62" s="16"/>
      <c r="AP62" s="11" t="s">
        <v>3</v>
      </c>
      <c r="AQ62" s="12">
        <f>VLOOKUP(LOWER(AS59),experiments_specs!$A:$J,4,FALSE)</f>
        <v>2</v>
      </c>
      <c r="AR62" s="15" t="s">
        <v>99</v>
      </c>
      <c r="AS62" s="6"/>
      <c r="AT62" s="18"/>
      <c r="AU62" s="18"/>
      <c r="AV62" s="18"/>
      <c r="AW62" s="18"/>
      <c r="AX62" s="31"/>
      <c r="AY62" s="23"/>
      <c r="AZ62" s="23"/>
      <c r="BA62" s="23"/>
      <c r="BB62" s="23"/>
      <c r="BC62" s="34"/>
      <c r="BE62" s="16"/>
    </row>
    <row r="63" spans="2:57" x14ac:dyDescent="0.2">
      <c r="B63" s="16"/>
      <c r="D63" s="11" t="s">
        <v>4</v>
      </c>
      <c r="E63" s="12" t="str">
        <f>VLOOKUP(LOWER(G59),experiments_specs!$A:$J,5,FALSE)</f>
        <v>False</v>
      </c>
      <c r="F63" s="15" t="s">
        <v>87</v>
      </c>
      <c r="G63" s="6"/>
      <c r="H63" s="19"/>
      <c r="I63" s="19"/>
      <c r="J63" s="19"/>
      <c r="K63" s="19"/>
      <c r="L63" s="31"/>
      <c r="M63" s="22"/>
      <c r="N63" s="22"/>
      <c r="O63" s="22"/>
      <c r="P63" s="22"/>
      <c r="Q63" s="34"/>
      <c r="S63" s="16"/>
      <c r="U63" s="16"/>
      <c r="W63" s="11" t="s">
        <v>4</v>
      </c>
      <c r="X63" s="12" t="str">
        <f>VLOOKUP(LOWER(Z59),experiments_specs!$A:$J,5,FALSE)</f>
        <v>True</v>
      </c>
      <c r="Y63" s="15" t="s">
        <v>93</v>
      </c>
      <c r="Z63" s="6" t="s">
        <v>13</v>
      </c>
      <c r="AA63" s="19"/>
      <c r="AB63" s="19"/>
      <c r="AC63" s="19"/>
      <c r="AD63" s="19"/>
      <c r="AE63" s="31"/>
      <c r="AF63" s="22"/>
      <c r="AG63" s="22"/>
      <c r="AH63" s="22"/>
      <c r="AI63" s="22"/>
      <c r="AJ63" s="34"/>
      <c r="AL63" s="16"/>
      <c r="AN63" s="16"/>
      <c r="AP63" s="11" t="s">
        <v>4</v>
      </c>
      <c r="AQ63" s="12" t="str">
        <f>VLOOKUP(LOWER(AS59),experiments_specs!$A:$J,5,FALSE)</f>
        <v>True</v>
      </c>
      <c r="AR63" s="15" t="s">
        <v>99</v>
      </c>
      <c r="AS63" s="6"/>
      <c r="AT63" s="19"/>
      <c r="AU63" s="19"/>
      <c r="AV63" s="19"/>
      <c r="AW63" s="19"/>
      <c r="AX63" s="31"/>
      <c r="AY63" s="22"/>
      <c r="AZ63" s="22"/>
      <c r="BA63" s="22"/>
      <c r="BB63" s="22"/>
      <c r="BC63" s="34"/>
      <c r="BE63" s="16"/>
    </row>
    <row r="64" spans="2:57" x14ac:dyDescent="0.2">
      <c r="B64" s="16"/>
      <c r="D64" s="11" t="s">
        <v>5</v>
      </c>
      <c r="E64" s="12" t="str">
        <f>VLOOKUP(LOWER(G59),experiments_specs!$A:$J,6,FALSE)</f>
        <v>True</v>
      </c>
      <c r="F64" s="15" t="s">
        <v>87</v>
      </c>
      <c r="G64" s="6"/>
      <c r="H64" s="19"/>
      <c r="I64" s="19"/>
      <c r="J64" s="19"/>
      <c r="K64" s="19"/>
      <c r="L64" s="31"/>
      <c r="M64" s="22"/>
      <c r="N64" s="22"/>
      <c r="O64" s="22"/>
      <c r="P64" s="22"/>
      <c r="Q64" s="34"/>
      <c r="S64" s="16"/>
      <c r="U64" s="16"/>
      <c r="W64" s="11" t="s">
        <v>5</v>
      </c>
      <c r="X64" s="12" t="str">
        <f>VLOOKUP(LOWER(Z59),experiments_specs!$A:$J,6,FALSE)</f>
        <v>True</v>
      </c>
      <c r="Y64" s="15" t="s">
        <v>93</v>
      </c>
      <c r="Z64" s="6" t="s">
        <v>14</v>
      </c>
      <c r="AA64" s="18"/>
      <c r="AB64" s="18"/>
      <c r="AC64" s="18"/>
      <c r="AD64" s="18"/>
      <c r="AE64" s="31"/>
      <c r="AF64" s="23"/>
      <c r="AG64" s="23"/>
      <c r="AH64" s="23"/>
      <c r="AI64" s="23"/>
      <c r="AJ64" s="34"/>
      <c r="AL64" s="16"/>
      <c r="AN64" s="16"/>
      <c r="AP64" s="11" t="s">
        <v>5</v>
      </c>
      <c r="AQ64" s="12" t="str">
        <f>VLOOKUP(LOWER(AS59),experiments_specs!$A:$J,6,FALSE)</f>
        <v>True</v>
      </c>
      <c r="AR64" s="15" t="s">
        <v>99</v>
      </c>
      <c r="AS64" s="6"/>
      <c r="AT64" s="18"/>
      <c r="AU64" s="18"/>
      <c r="AV64" s="18"/>
      <c r="AW64" s="18"/>
      <c r="AX64" s="31"/>
      <c r="AY64" s="23"/>
      <c r="AZ64" s="23"/>
      <c r="BA64" s="23"/>
      <c r="BB64" s="23"/>
      <c r="BC64" s="34"/>
      <c r="BE64" s="16"/>
    </row>
    <row r="65" spans="2:57" x14ac:dyDescent="0.2">
      <c r="B65" s="16"/>
      <c r="D65" s="11" t="s">
        <v>6</v>
      </c>
      <c r="E65" s="12" t="str">
        <f>VLOOKUP(LOWER(G59),experiments_specs!$A:$J,7,FALSE)</f>
        <v>True</v>
      </c>
      <c r="F65" s="15" t="s">
        <v>87</v>
      </c>
      <c r="G65" s="6"/>
      <c r="H65" s="19"/>
      <c r="I65" s="19"/>
      <c r="J65" s="19"/>
      <c r="K65" s="19"/>
      <c r="L65" s="31"/>
      <c r="M65" s="23"/>
      <c r="N65" s="23"/>
      <c r="O65" s="23"/>
      <c r="P65" s="23"/>
      <c r="Q65" s="34"/>
      <c r="S65" s="16"/>
      <c r="U65" s="16"/>
      <c r="W65" s="11" t="s">
        <v>6</v>
      </c>
      <c r="X65" s="12" t="str">
        <f>VLOOKUP(LOWER(Z59),experiments_specs!$A:$J,7,FALSE)</f>
        <v>True</v>
      </c>
      <c r="Y65" s="15" t="s">
        <v>93</v>
      </c>
      <c r="Z65" s="6" t="s">
        <v>15</v>
      </c>
      <c r="AA65" s="19"/>
      <c r="AB65" s="19"/>
      <c r="AC65" s="19"/>
      <c r="AD65" s="19"/>
      <c r="AE65" s="31"/>
      <c r="AF65" s="23"/>
      <c r="AG65" s="23"/>
      <c r="AH65" s="23"/>
      <c r="AI65" s="23"/>
      <c r="AJ65" s="34"/>
      <c r="AL65" s="16"/>
      <c r="AN65" s="16"/>
      <c r="AP65" s="11" t="s">
        <v>6</v>
      </c>
      <c r="AQ65" s="12" t="str">
        <f>VLOOKUP(LOWER(AS59),experiments_specs!$A:$J,7,FALSE)</f>
        <v>True</v>
      </c>
      <c r="AR65" s="15" t="s">
        <v>99</v>
      </c>
      <c r="AS65" s="6"/>
      <c r="AT65" s="19"/>
      <c r="AU65" s="19"/>
      <c r="AV65" s="19"/>
      <c r="AW65" s="19"/>
      <c r="AX65" s="31"/>
      <c r="AY65" s="23"/>
      <c r="AZ65" s="23"/>
      <c r="BA65" s="23"/>
      <c r="BB65" s="23"/>
      <c r="BC65" s="34"/>
      <c r="BE65" s="16"/>
    </row>
    <row r="66" spans="2:57" x14ac:dyDescent="0.2">
      <c r="B66" s="16"/>
      <c r="D66" s="11" t="s">
        <v>7</v>
      </c>
      <c r="E66" s="12" t="str">
        <f>VLOOKUP(LOWER(G59),experiments_specs!$A:$J,8,FALSE)</f>
        <v>False</v>
      </c>
      <c r="F66" s="15" t="s">
        <v>87</v>
      </c>
      <c r="G66" s="6"/>
      <c r="H66" s="19"/>
      <c r="I66" s="19"/>
      <c r="J66" s="19"/>
      <c r="K66" s="19"/>
      <c r="L66" s="31"/>
      <c r="M66" s="23"/>
      <c r="N66" s="23"/>
      <c r="O66" s="23"/>
      <c r="P66" s="23"/>
      <c r="Q66" s="34"/>
      <c r="S66" s="16"/>
      <c r="U66" s="16"/>
      <c r="W66" s="11" t="s">
        <v>7</v>
      </c>
      <c r="X66" s="12" t="str">
        <f>VLOOKUP(LOWER(Z59),experiments_specs!$A:$J,8,FALSE)</f>
        <v>False</v>
      </c>
      <c r="Y66" s="15" t="s">
        <v>93</v>
      </c>
      <c r="Z66" s="6" t="s">
        <v>16</v>
      </c>
      <c r="AA66" s="19"/>
      <c r="AB66" s="19"/>
      <c r="AC66" s="19"/>
      <c r="AD66" s="19"/>
      <c r="AE66" s="31"/>
      <c r="AF66" s="23"/>
      <c r="AG66" s="23"/>
      <c r="AH66" s="23"/>
      <c r="AI66" s="23"/>
      <c r="AJ66" s="34"/>
      <c r="AL66" s="16"/>
      <c r="AN66" s="16"/>
      <c r="AP66" s="11" t="s">
        <v>7</v>
      </c>
      <c r="AQ66" s="12" t="str">
        <f>VLOOKUP(LOWER(AS59),experiments_specs!$A:$J,8,FALSE)</f>
        <v>False</v>
      </c>
      <c r="AR66" s="15" t="s">
        <v>99</v>
      </c>
      <c r="AS66" s="6"/>
      <c r="AT66" s="19"/>
      <c r="AU66" s="19"/>
      <c r="AV66" s="19"/>
      <c r="AW66" s="19"/>
      <c r="AX66" s="31"/>
      <c r="AY66" s="23"/>
      <c r="AZ66" s="23"/>
      <c r="BA66" s="23"/>
      <c r="BB66" s="23"/>
      <c r="BC66" s="34"/>
      <c r="BE66" s="16"/>
    </row>
    <row r="67" spans="2:57" x14ac:dyDescent="0.2">
      <c r="B67" s="16"/>
      <c r="D67" s="11" t="s">
        <v>8</v>
      </c>
      <c r="E67" s="12" t="str">
        <f>VLOOKUP(LOWER(G59),experiments_specs!$A:$J,9,FALSE)</f>
        <v>wup_similarity</v>
      </c>
      <c r="F67" s="15" t="s">
        <v>87</v>
      </c>
      <c r="G67" s="6"/>
      <c r="H67" s="19"/>
      <c r="I67" s="19"/>
      <c r="J67" s="19"/>
      <c r="K67" s="19"/>
      <c r="L67" s="31"/>
      <c r="M67" s="22"/>
      <c r="N67" s="22"/>
      <c r="O67" s="22"/>
      <c r="P67" s="22"/>
      <c r="Q67" s="34"/>
      <c r="S67" s="16"/>
      <c r="U67" s="16"/>
      <c r="W67" s="11" t="s">
        <v>8</v>
      </c>
      <c r="X67" s="12" t="str">
        <f>VLOOKUP(LOWER(Z59),experiments_specs!$A:$J,9,FALSE)</f>
        <v>wup_similarity</v>
      </c>
      <c r="Y67" s="15" t="s">
        <v>93</v>
      </c>
      <c r="Z67" s="6" t="s">
        <v>17</v>
      </c>
      <c r="AA67" s="19"/>
      <c r="AB67" s="19"/>
      <c r="AC67" s="19"/>
      <c r="AD67" s="19"/>
      <c r="AE67" s="31"/>
      <c r="AF67" s="22"/>
      <c r="AG67" s="22"/>
      <c r="AH67" s="22"/>
      <c r="AI67" s="22"/>
      <c r="AJ67" s="34"/>
      <c r="AL67" s="16"/>
      <c r="AN67" s="16"/>
      <c r="AP67" s="11" t="s">
        <v>8</v>
      </c>
      <c r="AQ67" s="12" t="str">
        <f>VLOOKUP(LOWER(AS59),experiments_specs!$A:$J,9,FALSE)</f>
        <v>wup_similarity</v>
      </c>
      <c r="AR67" s="15" t="s">
        <v>99</v>
      </c>
      <c r="AS67" s="6"/>
      <c r="AT67" s="18"/>
      <c r="AU67" s="18"/>
      <c r="AV67" s="18"/>
      <c r="AW67" s="18"/>
      <c r="AX67" s="31"/>
      <c r="AY67" s="23"/>
      <c r="AZ67" s="23"/>
      <c r="BA67" s="23"/>
      <c r="BB67" s="23"/>
      <c r="BC67" s="34"/>
      <c r="BE67" s="16"/>
    </row>
    <row r="68" spans="2:57" x14ac:dyDescent="0.2">
      <c r="B68" s="16"/>
      <c r="D68" s="11" t="s">
        <v>9</v>
      </c>
      <c r="E68" s="12" t="str">
        <f>VLOOKUP(LOWER(G59),experiments_specs!$A:$J,10,FALSE)</f>
        <v>False</v>
      </c>
      <c r="F68" s="15" t="s">
        <v>87</v>
      </c>
      <c r="G68" s="7"/>
      <c r="H68" s="20"/>
      <c r="I68" s="20"/>
      <c r="J68" s="20"/>
      <c r="K68" s="20"/>
      <c r="L68" s="32"/>
      <c r="M68" s="24"/>
      <c r="N68" s="24"/>
      <c r="O68" s="24"/>
      <c r="P68" s="24"/>
      <c r="Q68" s="35"/>
      <c r="S68" s="16"/>
      <c r="U68" s="16"/>
      <c r="W68" s="11" t="s">
        <v>9</v>
      </c>
      <c r="X68" s="12" t="str">
        <f>VLOOKUP(LOWER(Z59),experiments_specs!$A:$J,10,FALSE)</f>
        <v>False</v>
      </c>
      <c r="Y68" s="15" t="s">
        <v>93</v>
      </c>
      <c r="Z68" s="7" t="s">
        <v>18</v>
      </c>
      <c r="AA68" s="20"/>
      <c r="AB68" s="20"/>
      <c r="AC68" s="20"/>
      <c r="AD68" s="20"/>
      <c r="AE68" s="32"/>
      <c r="AF68" s="24"/>
      <c r="AG68" s="24"/>
      <c r="AH68" s="24"/>
      <c r="AI68" s="24"/>
      <c r="AJ68" s="35"/>
      <c r="AL68" s="16"/>
      <c r="AN68" s="16"/>
      <c r="AP68" s="11" t="s">
        <v>9</v>
      </c>
      <c r="AQ68" s="12" t="str">
        <f>VLOOKUP(LOWER(AS59),experiments_specs!$A:$J,10,FALSE)</f>
        <v>True</v>
      </c>
      <c r="AR68" s="15" t="s">
        <v>99</v>
      </c>
      <c r="AS68" s="7"/>
      <c r="AT68" s="20"/>
      <c r="AU68" s="20"/>
      <c r="AV68" s="20"/>
      <c r="AW68" s="20"/>
      <c r="AX68" s="32"/>
      <c r="AY68" s="24"/>
      <c r="AZ68" s="24"/>
      <c r="BA68" s="24"/>
      <c r="BB68" s="24"/>
      <c r="BC68" s="35"/>
      <c r="BE68" s="16"/>
    </row>
    <row r="69" spans="2:57" x14ac:dyDescent="0.2">
      <c r="B69" s="16"/>
      <c r="S69" s="16"/>
      <c r="U69" s="16"/>
      <c r="AL69" s="16"/>
      <c r="AN69" s="16"/>
      <c r="BE69" s="16"/>
    </row>
    <row r="70" spans="2:57" x14ac:dyDescent="0.2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</row>
  </sheetData>
  <mergeCells count="39">
    <mergeCell ref="AY59:BC59"/>
    <mergeCell ref="H48:L48"/>
    <mergeCell ref="M48:Q48"/>
    <mergeCell ref="AA48:AE48"/>
    <mergeCell ref="AF48:AJ48"/>
    <mergeCell ref="AT48:AX48"/>
    <mergeCell ref="AY48:BC48"/>
    <mergeCell ref="H59:L59"/>
    <mergeCell ref="M59:Q59"/>
    <mergeCell ref="AA59:AE59"/>
    <mergeCell ref="AF59:AJ59"/>
    <mergeCell ref="AT59:AX59"/>
    <mergeCell ref="AY37:BC37"/>
    <mergeCell ref="H26:L26"/>
    <mergeCell ref="M26:Q26"/>
    <mergeCell ref="AA26:AE26"/>
    <mergeCell ref="AF26:AJ26"/>
    <mergeCell ref="AT26:AX26"/>
    <mergeCell ref="AY26:BC26"/>
    <mergeCell ref="H37:L37"/>
    <mergeCell ref="M37:Q37"/>
    <mergeCell ref="AA37:AE37"/>
    <mergeCell ref="AF37:AJ37"/>
    <mergeCell ref="AT37:AX37"/>
    <mergeCell ref="AY15:BC15"/>
    <mergeCell ref="D2:Q2"/>
    <mergeCell ref="W2:AJ2"/>
    <mergeCell ref="AP2:BC2"/>
    <mergeCell ref="H4:L4"/>
    <mergeCell ref="M4:Q4"/>
    <mergeCell ref="AA4:AE4"/>
    <mergeCell ref="AF4:AJ4"/>
    <mergeCell ref="AT4:AX4"/>
    <mergeCell ref="AY4:BC4"/>
    <mergeCell ref="H15:L15"/>
    <mergeCell ref="M15:Q15"/>
    <mergeCell ref="AA15:AE15"/>
    <mergeCell ref="AF15:AJ15"/>
    <mergeCell ref="AT15:AX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41A31-62F5-C84D-9E6C-945C40E77586}">
  <sheetPr codeName="Foglio5"/>
  <dimension ref="B2:BE70"/>
  <sheetViews>
    <sheetView topLeftCell="A2" workbookViewId="0">
      <selection activeCell="AJ60" sqref="AJ60:AJ69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8" width="25.83203125" customWidth="1"/>
    <col min="9" max="9" width="11.83203125" customWidth="1"/>
    <col min="10" max="10" width="25.83203125" customWidth="1"/>
    <col min="11" max="11" width="11.83203125" customWidth="1"/>
    <col min="12" max="12" width="12.1640625" bestFit="1" customWidth="1"/>
    <col min="13" max="13" width="25.83203125" customWidth="1"/>
    <col min="14" max="14" width="11.83203125" customWidth="1"/>
    <col min="15" max="15" width="25.83203125" customWidth="1"/>
    <col min="16" max="16" width="11.83203125" customWidth="1"/>
    <col min="17" max="17" width="12.1640625" bestFit="1" customWidth="1"/>
    <col min="18" max="22" width="3.1640625" customWidth="1"/>
    <col min="23" max="23" width="22.33203125" bestFit="1" customWidth="1"/>
    <col min="24" max="24" width="29" bestFit="1" customWidth="1"/>
    <col min="25" max="25" width="1.83203125" customWidth="1"/>
    <col min="26" max="26" width="24.1640625" bestFit="1" customWidth="1"/>
    <col min="27" max="27" width="25.83203125" customWidth="1"/>
    <col min="28" max="28" width="11.83203125" customWidth="1"/>
    <col min="29" max="29" width="25.83203125" customWidth="1"/>
    <col min="30" max="30" width="11.83203125" customWidth="1"/>
    <col min="31" max="31" width="12.1640625" bestFit="1" customWidth="1"/>
    <col min="32" max="32" width="25.83203125" customWidth="1"/>
    <col min="33" max="33" width="11.83203125" customWidth="1"/>
    <col min="34" max="34" width="25.83203125" customWidth="1"/>
    <col min="35" max="35" width="11.83203125" customWidth="1"/>
    <col min="36" max="36" width="12.1640625" bestFit="1" customWidth="1"/>
    <col min="37" max="41" width="3.1640625" customWidth="1"/>
    <col min="42" max="42" width="22.33203125" bestFit="1" customWidth="1"/>
    <col min="43" max="43" width="29" bestFit="1" customWidth="1"/>
    <col min="44" max="44" width="1.83203125" customWidth="1"/>
    <col min="45" max="45" width="24.1640625" bestFit="1" customWidth="1"/>
    <col min="46" max="46" width="25.83203125" customWidth="1"/>
    <col min="47" max="47" width="11.83203125" customWidth="1"/>
    <col min="48" max="48" width="25.83203125" customWidth="1"/>
    <col min="49" max="49" width="11.83203125" customWidth="1"/>
    <col min="50" max="50" width="12.1640625" bestFit="1" customWidth="1"/>
    <col min="51" max="51" width="25.83203125" customWidth="1"/>
    <col min="52" max="52" width="11.83203125" customWidth="1"/>
    <col min="53" max="53" width="25.83203125" customWidth="1"/>
    <col min="54" max="54" width="11.83203125" customWidth="1"/>
    <col min="55" max="55" width="12.1640625" bestFit="1" customWidth="1"/>
    <col min="56" max="57" width="3.1640625" customWidth="1"/>
  </cols>
  <sheetData>
    <row r="2" spans="2:57" ht="19" x14ac:dyDescent="0.25">
      <c r="B2" s="16"/>
      <c r="C2" s="16"/>
      <c r="D2" s="38" t="s">
        <v>127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16"/>
      <c r="S2" s="16"/>
      <c r="U2" s="16"/>
      <c r="V2" s="16"/>
      <c r="W2" s="38" t="s">
        <v>128</v>
      </c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16"/>
      <c r="AL2" s="16"/>
      <c r="AN2" s="16"/>
      <c r="AO2" s="16"/>
      <c r="AP2" s="38" t="s">
        <v>129</v>
      </c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16"/>
      <c r="BE2" s="16"/>
    </row>
    <row r="3" spans="2:57" ht="17" thickBot="1" x14ac:dyDescent="0.25">
      <c r="B3" s="16"/>
      <c r="S3" s="16"/>
      <c r="U3" s="16"/>
      <c r="AL3" s="16"/>
      <c r="AN3" s="16"/>
      <c r="BE3" s="16"/>
    </row>
    <row r="4" spans="2:57" ht="20" thickBot="1" x14ac:dyDescent="0.3">
      <c r="B4" s="16"/>
      <c r="D4" s="13" t="s">
        <v>126</v>
      </c>
      <c r="E4" s="14"/>
      <c r="F4" s="9"/>
      <c r="G4" s="10" t="s">
        <v>131</v>
      </c>
      <c r="H4" s="36" t="s">
        <v>124</v>
      </c>
      <c r="I4" s="36"/>
      <c r="J4" s="36"/>
      <c r="K4" s="36"/>
      <c r="L4" s="36"/>
      <c r="M4" s="37" t="s">
        <v>123</v>
      </c>
      <c r="N4" s="37"/>
      <c r="O4" s="37"/>
      <c r="P4" s="37"/>
      <c r="Q4" s="37"/>
      <c r="R4" s="2"/>
      <c r="S4" s="16"/>
      <c r="U4" s="16"/>
      <c r="W4" s="13" t="s">
        <v>126</v>
      </c>
      <c r="X4" s="14"/>
      <c r="Y4" s="9"/>
      <c r="Z4" s="10" t="str">
        <f>"TEST_"&amp;TEXT(RIGHT(G59,2)+1, "00")</f>
        <v>TEST_43</v>
      </c>
      <c r="AA4" s="36" t="s">
        <v>124</v>
      </c>
      <c r="AB4" s="36"/>
      <c r="AC4" s="36"/>
      <c r="AD4" s="36"/>
      <c r="AE4" s="36"/>
      <c r="AF4" s="37" t="s">
        <v>123</v>
      </c>
      <c r="AG4" s="37"/>
      <c r="AH4" s="37"/>
      <c r="AI4" s="37"/>
      <c r="AJ4" s="37"/>
      <c r="AK4" s="2"/>
      <c r="AL4" s="16"/>
      <c r="AN4" s="16"/>
      <c r="AP4" s="13" t="s">
        <v>126</v>
      </c>
      <c r="AQ4" s="14"/>
      <c r="AR4" s="9"/>
      <c r="AS4" s="10" t="str">
        <f>"TEST_"&amp;TEXT(RIGHT(Z59,2)+1, "00")</f>
        <v>TEST_49</v>
      </c>
      <c r="AT4" s="36" t="s">
        <v>124</v>
      </c>
      <c r="AU4" s="36"/>
      <c r="AV4" s="36"/>
      <c r="AW4" s="36"/>
      <c r="AX4" s="36"/>
      <c r="AY4" s="37" t="s">
        <v>123</v>
      </c>
      <c r="AZ4" s="37"/>
      <c r="BA4" s="37"/>
      <c r="BB4" s="37"/>
      <c r="BC4" s="37"/>
      <c r="BD4" s="2"/>
      <c r="BE4" s="16"/>
    </row>
    <row r="5" spans="2:57" x14ac:dyDescent="0.2">
      <c r="B5" s="16"/>
      <c r="D5" s="11" t="s">
        <v>1</v>
      </c>
      <c r="E5" s="12" t="str">
        <f>VLOOKUP(LOWER(G4),experiments_specs!$A:$J,2,FALSE)</f>
        <v>NN</v>
      </c>
      <c r="F5" s="15" t="str">
        <f>"{"&amp;LOWER(G4)&amp;".csv}"</f>
        <v>{test_37.csv}</v>
      </c>
      <c r="G5" s="8" t="s">
        <v>118</v>
      </c>
      <c r="H5" s="3" t="s">
        <v>119</v>
      </c>
      <c r="I5" s="3" t="s">
        <v>182</v>
      </c>
      <c r="J5" s="3" t="s">
        <v>120</v>
      </c>
      <c r="K5" s="3" t="s">
        <v>182</v>
      </c>
      <c r="L5" s="29" t="s">
        <v>121</v>
      </c>
      <c r="M5" s="4" t="s">
        <v>122</v>
      </c>
      <c r="N5" s="4" t="s">
        <v>182</v>
      </c>
      <c r="O5" s="4" t="s">
        <v>120</v>
      </c>
      <c r="P5" s="4" t="s">
        <v>182</v>
      </c>
      <c r="Q5" s="4" t="s">
        <v>121</v>
      </c>
      <c r="S5" s="16"/>
      <c r="U5" s="16"/>
      <c r="W5" s="11" t="s">
        <v>1</v>
      </c>
      <c r="X5" s="12" t="str">
        <f>VLOOKUP(LOWER(Z4),experiments_specs!$A:$J,2,FALSE)</f>
        <v>NN</v>
      </c>
      <c r="Y5" s="15" t="str">
        <f>"{"&amp;LOWER(Z4)&amp;".csv}"</f>
        <v>{test_43.csv}</v>
      </c>
      <c r="Z5" s="8" t="s">
        <v>118</v>
      </c>
      <c r="AA5" s="3" t="s">
        <v>119</v>
      </c>
      <c r="AB5" s="3" t="s">
        <v>182</v>
      </c>
      <c r="AC5" s="3" t="s">
        <v>120</v>
      </c>
      <c r="AD5" s="3" t="s">
        <v>182</v>
      </c>
      <c r="AE5" s="3" t="s">
        <v>121</v>
      </c>
      <c r="AF5" s="4" t="s">
        <v>122</v>
      </c>
      <c r="AG5" s="4" t="s">
        <v>182</v>
      </c>
      <c r="AH5" s="4" t="s">
        <v>120</v>
      </c>
      <c r="AI5" s="4" t="s">
        <v>182</v>
      </c>
      <c r="AJ5" s="4" t="s">
        <v>121</v>
      </c>
      <c r="AL5" s="16"/>
      <c r="AN5" s="16"/>
      <c r="AP5" s="11" t="s">
        <v>1</v>
      </c>
      <c r="AQ5" s="12" t="str">
        <f>VLOOKUP(LOWER(AS4),experiments_specs!$A:$J,2,FALSE)</f>
        <v>NN</v>
      </c>
      <c r="AR5" s="15" t="str">
        <f>"{"&amp;LOWER(AS4)&amp;".csv}"</f>
        <v>{test_49.csv}</v>
      </c>
      <c r="AS5" s="8" t="s">
        <v>118</v>
      </c>
      <c r="AT5" s="3" t="s">
        <v>119</v>
      </c>
      <c r="AU5" s="3" t="s">
        <v>182</v>
      </c>
      <c r="AV5" s="3" t="s">
        <v>120</v>
      </c>
      <c r="AW5" s="3" t="s">
        <v>182</v>
      </c>
      <c r="AX5" s="3" t="s">
        <v>121</v>
      </c>
      <c r="AY5" s="4" t="s">
        <v>122</v>
      </c>
      <c r="AZ5" s="4" t="s">
        <v>182</v>
      </c>
      <c r="BA5" s="4" t="s">
        <v>120</v>
      </c>
      <c r="BB5" s="4" t="s">
        <v>182</v>
      </c>
      <c r="BC5" s="4" t="s">
        <v>121</v>
      </c>
      <c r="BE5" s="16"/>
    </row>
    <row r="6" spans="2:57" x14ac:dyDescent="0.2">
      <c r="B6" s="16"/>
      <c r="D6" s="11" t="s">
        <v>2</v>
      </c>
      <c r="E6" s="12">
        <f>VLOOKUP(LOWER(G4),experiments_specs!$A:$J,3,FALSE)</f>
        <v>1</v>
      </c>
      <c r="F6" s="15" t="s">
        <v>100</v>
      </c>
      <c r="G6" s="5"/>
      <c r="H6" s="17"/>
      <c r="I6" s="17"/>
      <c r="J6" s="17"/>
      <c r="K6" s="17"/>
      <c r="L6" s="30"/>
      <c r="M6" s="21"/>
      <c r="N6" s="21"/>
      <c r="O6" s="21"/>
      <c r="P6" s="21"/>
      <c r="Q6" s="33"/>
      <c r="S6" s="16"/>
      <c r="U6" s="16"/>
      <c r="W6" s="11" t="s">
        <v>2</v>
      </c>
      <c r="X6" s="12">
        <f>VLOOKUP(LOWER(Z4),experiments_specs!$A:$J,3,FALSE)</f>
        <v>1</v>
      </c>
      <c r="Y6" s="15" t="s">
        <v>106</v>
      </c>
      <c r="Z6" s="5" t="s">
        <v>19</v>
      </c>
      <c r="AA6" s="17"/>
      <c r="AB6" s="17"/>
      <c r="AC6" s="17"/>
      <c r="AD6" s="17"/>
      <c r="AE6" s="30"/>
      <c r="AF6" s="21"/>
      <c r="AG6" s="21"/>
      <c r="AH6" s="21"/>
      <c r="AI6" s="21"/>
      <c r="AJ6" s="33"/>
      <c r="AL6" s="16"/>
      <c r="AN6" s="16"/>
      <c r="AP6" s="11" t="s">
        <v>2</v>
      </c>
      <c r="AQ6" s="12">
        <f>VLOOKUP(LOWER(AS4),experiments_specs!$A:$J,3,FALSE)</f>
        <v>1</v>
      </c>
      <c r="AR6" s="15" t="s">
        <v>112</v>
      </c>
      <c r="AS6" s="5"/>
      <c r="AT6" s="17"/>
      <c r="AU6" s="17"/>
      <c r="AV6" s="17"/>
      <c r="AW6" s="17"/>
      <c r="AX6" s="30"/>
      <c r="AY6" s="21"/>
      <c r="AZ6" s="21"/>
      <c r="BA6" s="21"/>
      <c r="BB6" s="21"/>
      <c r="BC6" s="33"/>
      <c r="BE6" s="16"/>
    </row>
    <row r="7" spans="2:57" x14ac:dyDescent="0.2">
      <c r="B7" s="16"/>
      <c r="D7" s="11" t="s">
        <v>3</v>
      </c>
      <c r="E7" s="12">
        <f>VLOOKUP(LOWER(G4),experiments_specs!$A:$J,4,FALSE)</f>
        <v>2</v>
      </c>
      <c r="F7" s="15" t="s">
        <v>100</v>
      </c>
      <c r="G7" s="6"/>
      <c r="H7" s="18"/>
      <c r="I7" s="18"/>
      <c r="J7" s="18"/>
      <c r="K7" s="18"/>
      <c r="L7" s="31"/>
      <c r="M7" s="22"/>
      <c r="N7" s="22"/>
      <c r="O7" s="22"/>
      <c r="P7" s="22"/>
      <c r="Q7" s="34"/>
      <c r="S7" s="16"/>
      <c r="U7" s="16"/>
      <c r="W7" s="11" t="s">
        <v>3</v>
      </c>
      <c r="X7" s="12">
        <f>VLOOKUP(LOWER(Z4),experiments_specs!$A:$J,4,FALSE)</f>
        <v>2</v>
      </c>
      <c r="Y7" s="15" t="s">
        <v>106</v>
      </c>
      <c r="Z7" s="6" t="s">
        <v>12</v>
      </c>
      <c r="AA7" s="18"/>
      <c r="AB7" s="18"/>
      <c r="AC7" s="18"/>
      <c r="AD7" s="18"/>
      <c r="AE7" s="31"/>
      <c r="AF7" s="22"/>
      <c r="AG7" s="22"/>
      <c r="AH7" s="22"/>
      <c r="AI7" s="22"/>
      <c r="AJ7" s="34"/>
      <c r="AL7" s="16"/>
      <c r="AN7" s="16"/>
      <c r="AP7" s="11" t="s">
        <v>3</v>
      </c>
      <c r="AQ7" s="12">
        <f>VLOOKUP(LOWER(AS4),experiments_specs!$A:$J,4,FALSE)</f>
        <v>2</v>
      </c>
      <c r="AR7" s="15" t="s">
        <v>112</v>
      </c>
      <c r="AS7" s="6"/>
      <c r="AT7" s="18"/>
      <c r="AU7" s="18"/>
      <c r="AV7" s="18"/>
      <c r="AW7" s="18"/>
      <c r="AX7" s="31"/>
      <c r="AY7" s="22"/>
      <c r="AZ7" s="22"/>
      <c r="BA7" s="22"/>
      <c r="BB7" s="22"/>
      <c r="BC7" s="34"/>
      <c r="BE7" s="16"/>
    </row>
    <row r="8" spans="2:57" x14ac:dyDescent="0.2">
      <c r="B8" s="16"/>
      <c r="D8" s="11" t="s">
        <v>4</v>
      </c>
      <c r="E8" s="12" t="str">
        <f>VLOOKUP(LOWER(G4),experiments_specs!$A:$J,5,FALSE)</f>
        <v>False</v>
      </c>
      <c r="F8" s="15" t="s">
        <v>100</v>
      </c>
      <c r="G8" s="6"/>
      <c r="H8" s="19"/>
      <c r="I8" s="19"/>
      <c r="J8" s="19"/>
      <c r="K8" s="19"/>
      <c r="L8" s="31"/>
      <c r="M8" s="22"/>
      <c r="N8" s="22"/>
      <c r="O8" s="22"/>
      <c r="P8" s="22"/>
      <c r="Q8" s="34"/>
      <c r="S8" s="16"/>
      <c r="U8" s="16"/>
      <c r="W8" s="11" t="s">
        <v>4</v>
      </c>
      <c r="X8" s="12" t="str">
        <f>VLOOKUP(LOWER(Z4),experiments_specs!$A:$J,5,FALSE)</f>
        <v>True</v>
      </c>
      <c r="Y8" s="15" t="s">
        <v>106</v>
      </c>
      <c r="Z8" s="6" t="s">
        <v>13</v>
      </c>
      <c r="AA8" s="19"/>
      <c r="AB8" s="19"/>
      <c r="AC8" s="19"/>
      <c r="AD8" s="19"/>
      <c r="AE8" s="31"/>
      <c r="AF8" s="22"/>
      <c r="AG8" s="22"/>
      <c r="AH8" s="22"/>
      <c r="AI8" s="22"/>
      <c r="AJ8" s="34"/>
      <c r="AL8" s="16"/>
      <c r="AN8" s="16"/>
      <c r="AP8" s="11" t="s">
        <v>4</v>
      </c>
      <c r="AQ8" s="12" t="str">
        <f>VLOOKUP(LOWER(AS4),experiments_specs!$A:$J,5,FALSE)</f>
        <v>False</v>
      </c>
      <c r="AR8" s="15" t="s">
        <v>112</v>
      </c>
      <c r="AS8" s="6"/>
      <c r="AT8" s="19"/>
      <c r="AU8" s="19"/>
      <c r="AV8" s="19"/>
      <c r="AW8" s="19"/>
      <c r="AX8" s="31"/>
      <c r="AY8" s="22"/>
      <c r="AZ8" s="22"/>
      <c r="BA8" s="22"/>
      <c r="BB8" s="22"/>
      <c r="BC8" s="34"/>
      <c r="BE8" s="16"/>
    </row>
    <row r="9" spans="2:57" x14ac:dyDescent="0.2">
      <c r="B9" s="16"/>
      <c r="D9" s="11" t="s">
        <v>5</v>
      </c>
      <c r="E9" s="12" t="str">
        <f>VLOOKUP(LOWER(G4),experiments_specs!$A:$J,6,FALSE)</f>
        <v>True</v>
      </c>
      <c r="F9" s="15" t="s">
        <v>100</v>
      </c>
      <c r="G9" s="6"/>
      <c r="H9" s="19"/>
      <c r="I9" s="19"/>
      <c r="J9" s="19"/>
      <c r="K9" s="19"/>
      <c r="L9" s="31"/>
      <c r="M9" s="22"/>
      <c r="N9" s="22"/>
      <c r="O9" s="22"/>
      <c r="P9" s="22"/>
      <c r="Q9" s="34"/>
      <c r="S9" s="16"/>
      <c r="U9" s="16"/>
      <c r="W9" s="11" t="s">
        <v>5</v>
      </c>
      <c r="X9" s="12" t="str">
        <f>VLOOKUP(LOWER(Z4),experiments_specs!$A:$J,6,FALSE)</f>
        <v>True</v>
      </c>
      <c r="Y9" s="15" t="s">
        <v>106</v>
      </c>
      <c r="Z9" s="6" t="s">
        <v>14</v>
      </c>
      <c r="AA9" s="19"/>
      <c r="AB9" s="19"/>
      <c r="AC9" s="19"/>
      <c r="AD9" s="19"/>
      <c r="AE9" s="31"/>
      <c r="AF9" s="22"/>
      <c r="AG9" s="22"/>
      <c r="AH9" s="22"/>
      <c r="AI9" s="22"/>
      <c r="AJ9" s="34"/>
      <c r="AL9" s="16"/>
      <c r="AN9" s="16"/>
      <c r="AP9" s="11" t="s">
        <v>5</v>
      </c>
      <c r="AQ9" s="12" t="str">
        <f>VLOOKUP(LOWER(AS4),experiments_specs!$A:$J,6,FALSE)</f>
        <v>True</v>
      </c>
      <c r="AR9" s="15" t="s">
        <v>112</v>
      </c>
      <c r="AS9" s="6"/>
      <c r="AT9" s="19"/>
      <c r="AU9" s="19"/>
      <c r="AV9" s="19"/>
      <c r="AW9" s="19"/>
      <c r="AX9" s="31"/>
      <c r="AY9" s="22"/>
      <c r="AZ9" s="22"/>
      <c r="BA9" s="22"/>
      <c r="BB9" s="22"/>
      <c r="BC9" s="34"/>
      <c r="BE9" s="16"/>
    </row>
    <row r="10" spans="2:57" x14ac:dyDescent="0.2">
      <c r="B10" s="16"/>
      <c r="D10" s="11" t="s">
        <v>6</v>
      </c>
      <c r="E10" s="12" t="str">
        <f>VLOOKUP(LOWER(G4),experiments_specs!$A:$J,7,FALSE)</f>
        <v>True</v>
      </c>
      <c r="F10" s="15" t="s">
        <v>100</v>
      </c>
      <c r="G10" s="6"/>
      <c r="H10" s="19"/>
      <c r="I10" s="19"/>
      <c r="J10" s="19"/>
      <c r="K10" s="19"/>
      <c r="L10" s="31"/>
      <c r="M10" s="23"/>
      <c r="N10" s="23"/>
      <c r="O10" s="23"/>
      <c r="P10" s="23"/>
      <c r="Q10" s="34"/>
      <c r="S10" s="16"/>
      <c r="U10" s="16"/>
      <c r="W10" s="11" t="s">
        <v>6</v>
      </c>
      <c r="X10" s="12" t="str">
        <f>VLOOKUP(LOWER(Z4),experiments_specs!$A:$J,7,FALSE)</f>
        <v>True</v>
      </c>
      <c r="Y10" s="15" t="s">
        <v>106</v>
      </c>
      <c r="Z10" s="6" t="s">
        <v>15</v>
      </c>
      <c r="AA10" s="19"/>
      <c r="AB10" s="19"/>
      <c r="AC10" s="19"/>
      <c r="AD10" s="19"/>
      <c r="AE10" s="31"/>
      <c r="AF10" s="23"/>
      <c r="AG10" s="23"/>
      <c r="AH10" s="23"/>
      <c r="AI10" s="23"/>
      <c r="AJ10" s="34"/>
      <c r="AL10" s="16"/>
      <c r="AN10" s="16"/>
      <c r="AP10" s="11" t="s">
        <v>6</v>
      </c>
      <c r="AQ10" s="12" t="str">
        <f>VLOOKUP(LOWER(AS4),experiments_specs!$A:$J,7,FALSE)</f>
        <v>True</v>
      </c>
      <c r="AR10" s="15" t="s">
        <v>112</v>
      </c>
      <c r="AS10" s="6"/>
      <c r="AT10" s="19"/>
      <c r="AU10" s="19"/>
      <c r="AV10" s="19"/>
      <c r="AW10" s="19"/>
      <c r="AX10" s="31"/>
      <c r="AY10" s="23"/>
      <c r="AZ10" s="23"/>
      <c r="BA10" s="23"/>
      <c r="BB10" s="23"/>
      <c r="BC10" s="34"/>
      <c r="BE10" s="16"/>
    </row>
    <row r="11" spans="2:57" x14ac:dyDescent="0.2">
      <c r="B11" s="16"/>
      <c r="D11" s="11" t="s">
        <v>7</v>
      </c>
      <c r="E11" s="12" t="str">
        <f>VLOOKUP(LOWER(G4),experiments_specs!$A:$J,8,FALSE)</f>
        <v>True</v>
      </c>
      <c r="F11" s="15" t="s">
        <v>100</v>
      </c>
      <c r="G11" s="6"/>
      <c r="H11" s="19"/>
      <c r="I11" s="19"/>
      <c r="J11" s="19"/>
      <c r="K11" s="19"/>
      <c r="L11" s="31"/>
      <c r="M11" s="23"/>
      <c r="N11" s="23"/>
      <c r="O11" s="23"/>
      <c r="P11" s="23"/>
      <c r="Q11" s="34"/>
      <c r="S11" s="16"/>
      <c r="U11" s="16"/>
      <c r="W11" s="11" t="s">
        <v>7</v>
      </c>
      <c r="X11" s="12" t="str">
        <f>VLOOKUP(LOWER(Z4),experiments_specs!$A:$J,8,FALSE)</f>
        <v>True</v>
      </c>
      <c r="Y11" s="15" t="s">
        <v>106</v>
      </c>
      <c r="Z11" s="6" t="s">
        <v>16</v>
      </c>
      <c r="AA11" s="19"/>
      <c r="AB11" s="19"/>
      <c r="AC11" s="19"/>
      <c r="AD11" s="19"/>
      <c r="AE11" s="31"/>
      <c r="AF11" s="23"/>
      <c r="AG11" s="23"/>
      <c r="AH11" s="23"/>
      <c r="AI11" s="23"/>
      <c r="AJ11" s="34"/>
      <c r="AL11" s="16"/>
      <c r="AN11" s="16"/>
      <c r="AP11" s="11" t="s">
        <v>7</v>
      </c>
      <c r="AQ11" s="12" t="str">
        <f>VLOOKUP(LOWER(AS4),experiments_specs!$A:$J,8,FALSE)</f>
        <v>True</v>
      </c>
      <c r="AR11" s="15" t="s">
        <v>112</v>
      </c>
      <c r="AS11" s="6"/>
      <c r="AT11" s="19"/>
      <c r="AU11" s="19"/>
      <c r="AV11" s="19"/>
      <c r="AW11" s="19"/>
      <c r="AX11" s="31"/>
      <c r="AY11" s="23"/>
      <c r="AZ11" s="23"/>
      <c r="BA11" s="23"/>
      <c r="BB11" s="23"/>
      <c r="BC11" s="34"/>
      <c r="BE11" s="16"/>
    </row>
    <row r="12" spans="2:57" x14ac:dyDescent="0.2">
      <c r="B12" s="16"/>
      <c r="D12" s="11" t="s">
        <v>8</v>
      </c>
      <c r="E12" s="12" t="str">
        <f>VLOOKUP(LOWER(G4),experiments_specs!$A:$J,9,FALSE)</f>
        <v>wup_similarity</v>
      </c>
      <c r="F12" s="15" t="s">
        <v>100</v>
      </c>
      <c r="G12" s="6"/>
      <c r="H12" s="19"/>
      <c r="I12" s="19"/>
      <c r="J12" s="19"/>
      <c r="K12" s="19"/>
      <c r="L12" s="31"/>
      <c r="M12" s="22"/>
      <c r="N12" s="22"/>
      <c r="O12" s="22"/>
      <c r="P12" s="22"/>
      <c r="Q12" s="34"/>
      <c r="S12" s="16"/>
      <c r="U12" s="16"/>
      <c r="W12" s="11" t="s">
        <v>8</v>
      </c>
      <c r="X12" s="12" t="str">
        <f>VLOOKUP(LOWER(Z4),experiments_specs!$A:$J,9,FALSE)</f>
        <v>wup_similarity</v>
      </c>
      <c r="Y12" s="15" t="s">
        <v>106</v>
      </c>
      <c r="Z12" s="6" t="s">
        <v>17</v>
      </c>
      <c r="AA12" s="19"/>
      <c r="AB12" s="19"/>
      <c r="AC12" s="19"/>
      <c r="AD12" s="19"/>
      <c r="AE12" s="31"/>
      <c r="AF12" s="22"/>
      <c r="AG12" s="22"/>
      <c r="AH12" s="22"/>
      <c r="AI12" s="22"/>
      <c r="AJ12" s="34"/>
      <c r="AL12" s="16"/>
      <c r="AN12" s="16"/>
      <c r="AP12" s="11" t="s">
        <v>8</v>
      </c>
      <c r="AQ12" s="12" t="str">
        <f>VLOOKUP(LOWER(AS4),experiments_specs!$A:$J,9,FALSE)</f>
        <v>wup_similarity</v>
      </c>
      <c r="AR12" s="15" t="s">
        <v>112</v>
      </c>
      <c r="AS12" s="6"/>
      <c r="AT12" s="19"/>
      <c r="AU12" s="19"/>
      <c r="AV12" s="19"/>
      <c r="AW12" s="19"/>
      <c r="AX12" s="31"/>
      <c r="AY12" s="22"/>
      <c r="AZ12" s="22"/>
      <c r="BA12" s="22"/>
      <c r="BB12" s="22"/>
      <c r="BC12" s="34"/>
      <c r="BE12" s="16"/>
    </row>
    <row r="13" spans="2:57" x14ac:dyDescent="0.2">
      <c r="B13" s="16"/>
      <c r="D13" s="11" t="s">
        <v>9</v>
      </c>
      <c r="E13" s="12" t="str">
        <f>VLOOKUP(LOWER(G4),experiments_specs!$A:$J,10,FALSE)</f>
        <v>False</v>
      </c>
      <c r="F13" s="15" t="s">
        <v>100</v>
      </c>
      <c r="G13" s="7"/>
      <c r="H13" s="20"/>
      <c r="I13" s="20"/>
      <c r="J13" s="20"/>
      <c r="K13" s="20"/>
      <c r="L13" s="32"/>
      <c r="M13" s="24"/>
      <c r="N13" s="24"/>
      <c r="O13" s="24"/>
      <c r="P13" s="24"/>
      <c r="Q13" s="35"/>
      <c r="S13" s="16"/>
      <c r="U13" s="16"/>
      <c r="W13" s="11" t="s">
        <v>9</v>
      </c>
      <c r="X13" s="12" t="str">
        <f>VLOOKUP(LOWER(Z4),experiments_specs!$A:$J,10,FALSE)</f>
        <v>False</v>
      </c>
      <c r="Y13" s="15" t="s">
        <v>106</v>
      </c>
      <c r="Z13" s="7" t="s">
        <v>18</v>
      </c>
      <c r="AA13" s="20"/>
      <c r="AB13" s="20"/>
      <c r="AC13" s="20"/>
      <c r="AD13" s="20"/>
      <c r="AE13" s="32"/>
      <c r="AF13" s="24"/>
      <c r="AG13" s="24"/>
      <c r="AH13" s="24"/>
      <c r="AI13" s="24"/>
      <c r="AJ13" s="35"/>
      <c r="AL13" s="16"/>
      <c r="AN13" s="16"/>
      <c r="AP13" s="11" t="s">
        <v>9</v>
      </c>
      <c r="AQ13" s="12" t="str">
        <f>VLOOKUP(LOWER(AS4),experiments_specs!$A:$J,10,FALSE)</f>
        <v>True</v>
      </c>
      <c r="AR13" s="15" t="s">
        <v>112</v>
      </c>
      <c r="AS13" s="7"/>
      <c r="AT13" s="20"/>
      <c r="AU13" s="20"/>
      <c r="AV13" s="20"/>
      <c r="AW13" s="20"/>
      <c r="AX13" s="32"/>
      <c r="AY13" s="24"/>
      <c r="AZ13" s="24"/>
      <c r="BA13" s="24"/>
      <c r="BB13" s="24"/>
      <c r="BC13" s="35"/>
      <c r="BE13" s="16"/>
    </row>
    <row r="14" spans="2:57" ht="17" thickBot="1" x14ac:dyDescent="0.25">
      <c r="B14" s="16"/>
      <c r="S14" s="16"/>
      <c r="U14" s="16"/>
      <c r="AL14" s="16"/>
      <c r="AN14" s="16"/>
      <c r="BE14" s="16"/>
    </row>
    <row r="15" spans="2:57" ht="20" thickBot="1" x14ac:dyDescent="0.3">
      <c r="B15" s="16"/>
      <c r="D15" s="13" t="s">
        <v>126</v>
      </c>
      <c r="E15" s="14"/>
      <c r="F15" s="9"/>
      <c r="G15" s="10" t="str">
        <f>"TEST_"&amp;TEXT(RIGHT(G4,2)+1, "00")</f>
        <v>TEST_38</v>
      </c>
      <c r="H15" s="36" t="s">
        <v>124</v>
      </c>
      <c r="I15" s="36"/>
      <c r="J15" s="36"/>
      <c r="K15" s="36"/>
      <c r="L15" s="36"/>
      <c r="M15" s="37" t="s">
        <v>123</v>
      </c>
      <c r="N15" s="37"/>
      <c r="O15" s="37"/>
      <c r="P15" s="37"/>
      <c r="Q15" s="37"/>
      <c r="R15" s="2"/>
      <c r="S15" s="16"/>
      <c r="U15" s="16"/>
      <c r="W15" s="13" t="s">
        <v>126</v>
      </c>
      <c r="X15" s="14"/>
      <c r="Y15" s="9"/>
      <c r="Z15" s="10" t="str">
        <f>"TEST_"&amp;TEXT(RIGHT(Z4,2)+1, "00")</f>
        <v>TEST_44</v>
      </c>
      <c r="AA15" s="36" t="s">
        <v>124</v>
      </c>
      <c r="AB15" s="36"/>
      <c r="AC15" s="36"/>
      <c r="AD15" s="36"/>
      <c r="AE15" s="36"/>
      <c r="AF15" s="37" t="s">
        <v>123</v>
      </c>
      <c r="AG15" s="37"/>
      <c r="AH15" s="37"/>
      <c r="AI15" s="37"/>
      <c r="AJ15" s="37"/>
      <c r="AK15" s="2"/>
      <c r="AL15" s="16"/>
      <c r="AN15" s="16"/>
      <c r="AP15" s="13" t="s">
        <v>126</v>
      </c>
      <c r="AQ15" s="14"/>
      <c r="AR15" s="9"/>
      <c r="AS15" s="10" t="str">
        <f>"TEST_"&amp;TEXT(RIGHT(AS4,2)+1, "00")</f>
        <v>TEST_50</v>
      </c>
      <c r="AT15" s="36" t="s">
        <v>124</v>
      </c>
      <c r="AU15" s="36"/>
      <c r="AV15" s="36"/>
      <c r="AW15" s="36"/>
      <c r="AX15" s="36"/>
      <c r="AY15" s="37" t="s">
        <v>123</v>
      </c>
      <c r="AZ15" s="37"/>
      <c r="BA15" s="37"/>
      <c r="BB15" s="37"/>
      <c r="BC15" s="37"/>
      <c r="BD15" s="2"/>
      <c r="BE15" s="16"/>
    </row>
    <row r="16" spans="2:57" x14ac:dyDescent="0.2">
      <c r="B16" s="16"/>
      <c r="D16" s="11" t="s">
        <v>1</v>
      </c>
      <c r="E16" s="12" t="str">
        <f>VLOOKUP(LOWER(G15),experiments_specs!$A:$J,2,FALSE)</f>
        <v>NN,JJ</v>
      </c>
      <c r="F16" s="15" t="str">
        <f>"{"&amp;LOWER(G15)&amp;".csv}"</f>
        <v>{test_38.csv}</v>
      </c>
      <c r="G16" s="8" t="s">
        <v>118</v>
      </c>
      <c r="H16" s="3" t="s">
        <v>119</v>
      </c>
      <c r="I16" s="3" t="s">
        <v>182</v>
      </c>
      <c r="J16" s="3" t="s">
        <v>120</v>
      </c>
      <c r="K16" s="3" t="s">
        <v>182</v>
      </c>
      <c r="L16" s="29" t="s">
        <v>121</v>
      </c>
      <c r="M16" s="4" t="s">
        <v>122</v>
      </c>
      <c r="N16" s="4" t="s">
        <v>182</v>
      </c>
      <c r="O16" s="4" t="s">
        <v>120</v>
      </c>
      <c r="P16" s="4" t="s">
        <v>182</v>
      </c>
      <c r="Q16" s="4" t="s">
        <v>121</v>
      </c>
      <c r="S16" s="16"/>
      <c r="U16" s="16"/>
      <c r="W16" s="11" t="s">
        <v>1</v>
      </c>
      <c r="X16" s="12" t="str">
        <f>VLOOKUP(LOWER(Z15),experiments_specs!$A:$J,2,FALSE)</f>
        <v>NN,JJ</v>
      </c>
      <c r="Y16" s="15" t="str">
        <f>"{"&amp;LOWER(Z15)&amp;".csv}"</f>
        <v>{test_44.csv}</v>
      </c>
      <c r="Z16" s="8" t="s">
        <v>118</v>
      </c>
      <c r="AA16" s="3" t="s">
        <v>119</v>
      </c>
      <c r="AB16" s="3" t="s">
        <v>182</v>
      </c>
      <c r="AC16" s="3" t="s">
        <v>120</v>
      </c>
      <c r="AD16" s="3" t="s">
        <v>182</v>
      </c>
      <c r="AE16" s="3" t="s">
        <v>121</v>
      </c>
      <c r="AF16" s="4" t="s">
        <v>122</v>
      </c>
      <c r="AG16" s="4" t="s">
        <v>182</v>
      </c>
      <c r="AH16" s="4" t="s">
        <v>120</v>
      </c>
      <c r="AI16" s="4" t="s">
        <v>182</v>
      </c>
      <c r="AJ16" s="4" t="s">
        <v>121</v>
      </c>
      <c r="AL16" s="16"/>
      <c r="AN16" s="16"/>
      <c r="AP16" s="11" t="s">
        <v>1</v>
      </c>
      <c r="AQ16" s="12" t="str">
        <f>VLOOKUP(LOWER(AS15),experiments_specs!$A:$J,2,FALSE)</f>
        <v>NN,JJ</v>
      </c>
      <c r="AR16" s="15" t="str">
        <f>"{"&amp;LOWER(AS15)&amp;".csv}"</f>
        <v>{test_50.csv}</v>
      </c>
      <c r="AS16" s="8" t="s">
        <v>118</v>
      </c>
      <c r="AT16" s="3" t="s">
        <v>119</v>
      </c>
      <c r="AU16" s="3" t="s">
        <v>182</v>
      </c>
      <c r="AV16" s="3" t="s">
        <v>120</v>
      </c>
      <c r="AW16" s="3" t="s">
        <v>182</v>
      </c>
      <c r="AX16" s="3" t="s">
        <v>121</v>
      </c>
      <c r="AY16" s="4" t="s">
        <v>122</v>
      </c>
      <c r="AZ16" s="4" t="s">
        <v>182</v>
      </c>
      <c r="BA16" s="4" t="s">
        <v>120</v>
      </c>
      <c r="BB16" s="4" t="s">
        <v>182</v>
      </c>
      <c r="BC16" s="4" t="s">
        <v>121</v>
      </c>
      <c r="BE16" s="16"/>
    </row>
    <row r="17" spans="2:57" x14ac:dyDescent="0.2">
      <c r="B17" s="16"/>
      <c r="D17" s="11" t="s">
        <v>2</v>
      </c>
      <c r="E17" s="12">
        <f>VLOOKUP(LOWER(G15),experiments_specs!$A:$J,3,FALSE)</f>
        <v>1</v>
      </c>
      <c r="F17" s="15" t="s">
        <v>101</v>
      </c>
      <c r="G17" s="5"/>
      <c r="H17" s="17"/>
      <c r="I17" s="17"/>
      <c r="J17" s="17"/>
      <c r="K17" s="17"/>
      <c r="L17" s="30"/>
      <c r="M17" s="21"/>
      <c r="N17" s="21"/>
      <c r="O17" s="21"/>
      <c r="P17" s="21"/>
      <c r="Q17" s="33"/>
      <c r="S17" s="16"/>
      <c r="U17" s="16"/>
      <c r="W17" s="11" t="s">
        <v>2</v>
      </c>
      <c r="X17" s="12">
        <f>VLOOKUP(LOWER(Z15),experiments_specs!$A:$J,3,FALSE)</f>
        <v>1</v>
      </c>
      <c r="Y17" s="15" t="s">
        <v>107</v>
      </c>
      <c r="Z17" s="5" t="s">
        <v>19</v>
      </c>
      <c r="AA17" s="17"/>
      <c r="AB17" s="17"/>
      <c r="AC17" s="17"/>
      <c r="AD17" s="17"/>
      <c r="AE17" s="30"/>
      <c r="AF17" s="21"/>
      <c r="AG17" s="21"/>
      <c r="AH17" s="21"/>
      <c r="AI17" s="21"/>
      <c r="AJ17" s="33"/>
      <c r="AL17" s="16"/>
      <c r="AN17" s="16"/>
      <c r="AP17" s="11" t="s">
        <v>2</v>
      </c>
      <c r="AQ17" s="12">
        <f>VLOOKUP(LOWER(AS15),experiments_specs!$A:$J,3,FALSE)</f>
        <v>1</v>
      </c>
      <c r="AR17" s="15" t="s">
        <v>113</v>
      </c>
      <c r="AS17" s="5"/>
      <c r="AT17" s="17"/>
      <c r="AU17" s="17"/>
      <c r="AV17" s="17"/>
      <c r="AW17" s="17"/>
      <c r="AX17" s="30"/>
      <c r="AY17" s="21"/>
      <c r="AZ17" s="21"/>
      <c r="BA17" s="21"/>
      <c r="BB17" s="21"/>
      <c r="BC17" s="33"/>
      <c r="BE17" s="16"/>
    </row>
    <row r="18" spans="2:57" x14ac:dyDescent="0.2">
      <c r="B18" s="16"/>
      <c r="D18" s="11" t="s">
        <v>3</v>
      </c>
      <c r="E18" s="12">
        <f>VLOOKUP(LOWER(G15),experiments_specs!$A:$J,4,FALSE)</f>
        <v>2</v>
      </c>
      <c r="F18" s="15" t="s">
        <v>101</v>
      </c>
      <c r="G18" s="6"/>
      <c r="H18" s="18"/>
      <c r="I18" s="18"/>
      <c r="J18" s="18"/>
      <c r="K18" s="18"/>
      <c r="L18" s="31"/>
      <c r="M18" s="22"/>
      <c r="N18" s="22"/>
      <c r="O18" s="22"/>
      <c r="P18" s="22"/>
      <c r="Q18" s="34"/>
      <c r="S18" s="16"/>
      <c r="U18" s="16"/>
      <c r="W18" s="11" t="s">
        <v>3</v>
      </c>
      <c r="X18" s="12">
        <f>VLOOKUP(LOWER(Z15),experiments_specs!$A:$J,4,FALSE)</f>
        <v>2</v>
      </c>
      <c r="Y18" s="15" t="s">
        <v>107</v>
      </c>
      <c r="Z18" s="6" t="s">
        <v>12</v>
      </c>
      <c r="AA18" s="18"/>
      <c r="AB18" s="18"/>
      <c r="AC18" s="18"/>
      <c r="AD18" s="18"/>
      <c r="AE18" s="31"/>
      <c r="AF18" s="23"/>
      <c r="AG18" s="23"/>
      <c r="AH18" s="23"/>
      <c r="AI18" s="23"/>
      <c r="AJ18" s="34"/>
      <c r="AL18" s="16"/>
      <c r="AN18" s="16"/>
      <c r="AP18" s="11" t="s">
        <v>3</v>
      </c>
      <c r="AQ18" s="12">
        <f>VLOOKUP(LOWER(AS15),experiments_specs!$A:$J,4,FALSE)</f>
        <v>2</v>
      </c>
      <c r="AR18" s="15" t="s">
        <v>113</v>
      </c>
      <c r="AS18" s="6"/>
      <c r="AT18" s="18"/>
      <c r="AU18" s="18"/>
      <c r="AV18" s="18"/>
      <c r="AW18" s="18"/>
      <c r="AX18" s="31"/>
      <c r="AY18" s="23"/>
      <c r="AZ18" s="23"/>
      <c r="BA18" s="23"/>
      <c r="BB18" s="23"/>
      <c r="BC18" s="34"/>
      <c r="BE18" s="16"/>
    </row>
    <row r="19" spans="2:57" x14ac:dyDescent="0.2">
      <c r="B19" s="16"/>
      <c r="D19" s="11" t="s">
        <v>4</v>
      </c>
      <c r="E19" s="12" t="str">
        <f>VLOOKUP(LOWER(G15),experiments_specs!$A:$J,5,FALSE)</f>
        <v>False</v>
      </c>
      <c r="F19" s="15" t="s">
        <v>101</v>
      </c>
      <c r="G19" s="6"/>
      <c r="H19" s="19"/>
      <c r="I19" s="19"/>
      <c r="J19" s="19"/>
      <c r="K19" s="19"/>
      <c r="L19" s="31"/>
      <c r="M19" s="22"/>
      <c r="N19" s="22"/>
      <c r="O19" s="22"/>
      <c r="P19" s="22"/>
      <c r="Q19" s="34"/>
      <c r="S19" s="16"/>
      <c r="U19" s="16"/>
      <c r="W19" s="11" t="s">
        <v>4</v>
      </c>
      <c r="X19" s="12" t="str">
        <f>VLOOKUP(LOWER(Z15),experiments_specs!$A:$J,5,FALSE)</f>
        <v>True</v>
      </c>
      <c r="Y19" s="15" t="s">
        <v>107</v>
      </c>
      <c r="Z19" s="6" t="s">
        <v>13</v>
      </c>
      <c r="AA19" s="19"/>
      <c r="AB19" s="19"/>
      <c r="AC19" s="19"/>
      <c r="AD19" s="19"/>
      <c r="AE19" s="31"/>
      <c r="AF19" s="22"/>
      <c r="AG19" s="22"/>
      <c r="AH19" s="22"/>
      <c r="AI19" s="22"/>
      <c r="AJ19" s="34"/>
      <c r="AL19" s="16"/>
      <c r="AN19" s="16"/>
      <c r="AP19" s="11" t="s">
        <v>4</v>
      </c>
      <c r="AQ19" s="12" t="str">
        <f>VLOOKUP(LOWER(AS15),experiments_specs!$A:$J,5,FALSE)</f>
        <v>True</v>
      </c>
      <c r="AR19" s="15" t="s">
        <v>113</v>
      </c>
      <c r="AS19" s="6"/>
      <c r="AT19" s="19"/>
      <c r="AU19" s="19"/>
      <c r="AV19" s="19"/>
      <c r="AW19" s="19"/>
      <c r="AX19" s="31"/>
      <c r="AY19" s="22"/>
      <c r="AZ19" s="22"/>
      <c r="BA19" s="22"/>
      <c r="BB19" s="22"/>
      <c r="BC19" s="34"/>
      <c r="BE19" s="16"/>
    </row>
    <row r="20" spans="2:57" x14ac:dyDescent="0.2">
      <c r="B20" s="16"/>
      <c r="D20" s="11" t="s">
        <v>5</v>
      </c>
      <c r="E20" s="12" t="str">
        <f>VLOOKUP(LOWER(G15),experiments_specs!$A:$J,6,FALSE)</f>
        <v>True</v>
      </c>
      <c r="F20" s="15" t="s">
        <v>101</v>
      </c>
      <c r="G20" s="6"/>
      <c r="H20" s="19"/>
      <c r="I20" s="19"/>
      <c r="J20" s="19"/>
      <c r="K20" s="19"/>
      <c r="L20" s="31"/>
      <c r="M20" s="22"/>
      <c r="N20" s="22"/>
      <c r="O20" s="22"/>
      <c r="P20" s="22"/>
      <c r="Q20" s="34"/>
      <c r="S20" s="16"/>
      <c r="U20" s="16"/>
      <c r="W20" s="11" t="s">
        <v>5</v>
      </c>
      <c r="X20" s="12" t="str">
        <f>VLOOKUP(LOWER(Z15),experiments_specs!$A:$J,6,FALSE)</f>
        <v>True</v>
      </c>
      <c r="Y20" s="15" t="s">
        <v>107</v>
      </c>
      <c r="Z20" s="6" t="s">
        <v>14</v>
      </c>
      <c r="AA20" s="18"/>
      <c r="AB20" s="18"/>
      <c r="AC20" s="18"/>
      <c r="AD20" s="18"/>
      <c r="AE20" s="31"/>
      <c r="AF20" s="23"/>
      <c r="AG20" s="23"/>
      <c r="AH20" s="23"/>
      <c r="AI20" s="23"/>
      <c r="AJ20" s="34"/>
      <c r="AL20" s="16"/>
      <c r="AN20" s="16"/>
      <c r="AP20" s="11" t="s">
        <v>5</v>
      </c>
      <c r="AQ20" s="12" t="str">
        <f>VLOOKUP(LOWER(AS15),experiments_specs!$A:$J,6,FALSE)</f>
        <v>True</v>
      </c>
      <c r="AR20" s="15" t="s">
        <v>113</v>
      </c>
      <c r="AS20" s="6"/>
      <c r="AT20" s="18"/>
      <c r="AU20" s="18"/>
      <c r="AV20" s="18"/>
      <c r="AW20" s="18"/>
      <c r="AX20" s="31"/>
      <c r="AY20" s="23"/>
      <c r="AZ20" s="23"/>
      <c r="BA20" s="23"/>
      <c r="BB20" s="23"/>
      <c r="BC20" s="34"/>
      <c r="BE20" s="16"/>
    </row>
    <row r="21" spans="2:57" x14ac:dyDescent="0.2">
      <c r="B21" s="16"/>
      <c r="D21" s="11" t="s">
        <v>6</v>
      </c>
      <c r="E21" s="12" t="str">
        <f>VLOOKUP(LOWER(G15),experiments_specs!$A:$J,7,FALSE)</f>
        <v>True</v>
      </c>
      <c r="F21" s="15" t="s">
        <v>101</v>
      </c>
      <c r="G21" s="6"/>
      <c r="H21" s="19"/>
      <c r="I21" s="19"/>
      <c r="J21" s="19"/>
      <c r="K21" s="19"/>
      <c r="L21" s="31"/>
      <c r="M21" s="23"/>
      <c r="N21" s="23"/>
      <c r="O21" s="23"/>
      <c r="P21" s="23"/>
      <c r="Q21" s="34"/>
      <c r="S21" s="16"/>
      <c r="U21" s="16"/>
      <c r="W21" s="11" t="s">
        <v>6</v>
      </c>
      <c r="X21" s="12" t="str">
        <f>VLOOKUP(LOWER(Z15),experiments_specs!$A:$J,7,FALSE)</f>
        <v>True</v>
      </c>
      <c r="Y21" s="15" t="s">
        <v>107</v>
      </c>
      <c r="Z21" s="6" t="s">
        <v>15</v>
      </c>
      <c r="AA21" s="19"/>
      <c r="AB21" s="19"/>
      <c r="AC21" s="19"/>
      <c r="AD21" s="19"/>
      <c r="AE21" s="31"/>
      <c r="AF21" s="23"/>
      <c r="AG21" s="23"/>
      <c r="AH21" s="23"/>
      <c r="AI21" s="23"/>
      <c r="AJ21" s="34"/>
      <c r="AL21" s="16"/>
      <c r="AN21" s="16"/>
      <c r="AP21" s="11" t="s">
        <v>6</v>
      </c>
      <c r="AQ21" s="12" t="str">
        <f>VLOOKUP(LOWER(AS15),experiments_specs!$A:$J,7,FALSE)</f>
        <v>True</v>
      </c>
      <c r="AR21" s="15" t="s">
        <v>113</v>
      </c>
      <c r="AS21" s="6"/>
      <c r="AT21" s="19"/>
      <c r="AU21" s="19"/>
      <c r="AV21" s="19"/>
      <c r="AW21" s="19"/>
      <c r="AX21" s="31"/>
      <c r="AY21" s="23"/>
      <c r="AZ21" s="23"/>
      <c r="BA21" s="23"/>
      <c r="BB21" s="23"/>
      <c r="BC21" s="34"/>
      <c r="BE21" s="16"/>
    </row>
    <row r="22" spans="2:57" x14ac:dyDescent="0.2">
      <c r="B22" s="16"/>
      <c r="D22" s="11" t="s">
        <v>7</v>
      </c>
      <c r="E22" s="12" t="str">
        <f>VLOOKUP(LOWER(G15),experiments_specs!$A:$J,8,FALSE)</f>
        <v>True</v>
      </c>
      <c r="F22" s="15" t="s">
        <v>101</v>
      </c>
      <c r="G22" s="6"/>
      <c r="H22" s="19"/>
      <c r="I22" s="19"/>
      <c r="J22" s="19"/>
      <c r="K22" s="19"/>
      <c r="L22" s="31"/>
      <c r="M22" s="23"/>
      <c r="N22" s="23"/>
      <c r="O22" s="23"/>
      <c r="P22" s="23"/>
      <c r="Q22" s="34"/>
      <c r="S22" s="16"/>
      <c r="U22" s="16"/>
      <c r="W22" s="11" t="s">
        <v>7</v>
      </c>
      <c r="X22" s="12" t="str">
        <f>VLOOKUP(LOWER(Z15),experiments_specs!$A:$J,8,FALSE)</f>
        <v>True</v>
      </c>
      <c r="Y22" s="15" t="s">
        <v>107</v>
      </c>
      <c r="Z22" s="6" t="s">
        <v>16</v>
      </c>
      <c r="AA22" s="19"/>
      <c r="AB22" s="19"/>
      <c r="AC22" s="19"/>
      <c r="AD22" s="19"/>
      <c r="AE22" s="31"/>
      <c r="AF22" s="23"/>
      <c r="AG22" s="23"/>
      <c r="AH22" s="23"/>
      <c r="AI22" s="23"/>
      <c r="AJ22" s="34"/>
      <c r="AL22" s="16"/>
      <c r="AN22" s="16"/>
      <c r="AP22" s="11" t="s">
        <v>7</v>
      </c>
      <c r="AQ22" s="12" t="str">
        <f>VLOOKUP(LOWER(AS15),experiments_specs!$A:$J,8,FALSE)</f>
        <v>True</v>
      </c>
      <c r="AR22" s="15" t="s">
        <v>113</v>
      </c>
      <c r="AS22" s="6"/>
      <c r="AT22" s="19"/>
      <c r="AU22" s="19"/>
      <c r="AV22" s="19"/>
      <c r="AW22" s="19"/>
      <c r="AX22" s="31"/>
      <c r="AY22" s="23"/>
      <c r="AZ22" s="23"/>
      <c r="BA22" s="23"/>
      <c r="BB22" s="23"/>
      <c r="BC22" s="34"/>
      <c r="BE22" s="16"/>
    </row>
    <row r="23" spans="2:57" x14ac:dyDescent="0.2">
      <c r="B23" s="16"/>
      <c r="D23" s="11" t="s">
        <v>8</v>
      </c>
      <c r="E23" s="12" t="str">
        <f>VLOOKUP(LOWER(G15),experiments_specs!$A:$J,9,FALSE)</f>
        <v>wup_similarity</v>
      </c>
      <c r="F23" s="15" t="s">
        <v>101</v>
      </c>
      <c r="G23" s="6"/>
      <c r="H23" s="19"/>
      <c r="I23" s="19"/>
      <c r="J23" s="19"/>
      <c r="K23" s="19"/>
      <c r="L23" s="31"/>
      <c r="M23" s="22"/>
      <c r="N23" s="22"/>
      <c r="O23" s="22"/>
      <c r="P23" s="22"/>
      <c r="Q23" s="34"/>
      <c r="S23" s="16"/>
      <c r="U23" s="16"/>
      <c r="W23" s="11" t="s">
        <v>8</v>
      </c>
      <c r="X23" s="12" t="str">
        <f>VLOOKUP(LOWER(Z15),experiments_specs!$A:$J,9,FALSE)</f>
        <v>wup_similarity</v>
      </c>
      <c r="Y23" s="15" t="s">
        <v>107</v>
      </c>
      <c r="Z23" s="6" t="s">
        <v>17</v>
      </c>
      <c r="AA23" s="18"/>
      <c r="AB23" s="18"/>
      <c r="AC23" s="18"/>
      <c r="AD23" s="18"/>
      <c r="AE23" s="31"/>
      <c r="AF23" s="23"/>
      <c r="AG23" s="23"/>
      <c r="AH23" s="23"/>
      <c r="AI23" s="23"/>
      <c r="AJ23" s="34"/>
      <c r="AL23" s="16"/>
      <c r="AN23" s="16"/>
      <c r="AP23" s="11" t="s">
        <v>8</v>
      </c>
      <c r="AQ23" s="12" t="str">
        <f>VLOOKUP(LOWER(AS15),experiments_specs!$A:$J,9,FALSE)</f>
        <v>wup_similarity</v>
      </c>
      <c r="AR23" s="15" t="s">
        <v>113</v>
      </c>
      <c r="AS23" s="6"/>
      <c r="AT23" s="18"/>
      <c r="AU23" s="18"/>
      <c r="AV23" s="18"/>
      <c r="AW23" s="18"/>
      <c r="AX23" s="31"/>
      <c r="AY23" s="23"/>
      <c r="AZ23" s="23"/>
      <c r="BA23" s="23"/>
      <c r="BB23" s="23"/>
      <c r="BC23" s="34"/>
      <c r="BE23" s="16"/>
    </row>
    <row r="24" spans="2:57" x14ac:dyDescent="0.2">
      <c r="B24" s="16"/>
      <c r="D24" s="11" t="s">
        <v>9</v>
      </c>
      <c r="E24" s="12" t="str">
        <f>VLOOKUP(LOWER(G15),experiments_specs!$A:$J,10,FALSE)</f>
        <v>False</v>
      </c>
      <c r="F24" s="15" t="s">
        <v>101</v>
      </c>
      <c r="G24" s="7"/>
      <c r="H24" s="20"/>
      <c r="I24" s="20"/>
      <c r="J24" s="20"/>
      <c r="K24" s="20"/>
      <c r="L24" s="32"/>
      <c r="M24" s="24"/>
      <c r="N24" s="24"/>
      <c r="O24" s="24"/>
      <c r="P24" s="24"/>
      <c r="Q24" s="35"/>
      <c r="S24" s="16"/>
      <c r="U24" s="16"/>
      <c r="W24" s="11" t="s">
        <v>9</v>
      </c>
      <c r="X24" s="12" t="str">
        <f>VLOOKUP(LOWER(Z15),experiments_specs!$A:$J,10,FALSE)</f>
        <v>False</v>
      </c>
      <c r="Y24" s="15" t="s">
        <v>107</v>
      </c>
      <c r="Z24" s="7" t="s">
        <v>18</v>
      </c>
      <c r="AA24" s="20"/>
      <c r="AB24" s="20"/>
      <c r="AC24" s="20"/>
      <c r="AD24" s="20"/>
      <c r="AE24" s="32"/>
      <c r="AF24" s="24"/>
      <c r="AG24" s="24"/>
      <c r="AH24" s="24"/>
      <c r="AI24" s="24"/>
      <c r="AJ24" s="35"/>
      <c r="AL24" s="16"/>
      <c r="AN24" s="16"/>
      <c r="AP24" s="11" t="s">
        <v>9</v>
      </c>
      <c r="AQ24" s="12" t="str">
        <f>VLOOKUP(LOWER(AS15),experiments_specs!$A:$J,10,FALSE)</f>
        <v>True</v>
      </c>
      <c r="AR24" s="15" t="s">
        <v>113</v>
      </c>
      <c r="AS24" s="7"/>
      <c r="AT24" s="20"/>
      <c r="AU24" s="20"/>
      <c r="AV24" s="20"/>
      <c r="AW24" s="20"/>
      <c r="AX24" s="32"/>
      <c r="AY24" s="24"/>
      <c r="AZ24" s="24"/>
      <c r="BA24" s="24"/>
      <c r="BB24" s="24"/>
      <c r="BC24" s="35"/>
      <c r="BE24" s="16"/>
    </row>
    <row r="25" spans="2:57" ht="17" thickBot="1" x14ac:dyDescent="0.25">
      <c r="B25" s="16"/>
      <c r="S25" s="16"/>
      <c r="U25" s="16"/>
      <c r="AL25" s="16"/>
      <c r="AN25" s="16"/>
      <c r="BE25" s="16"/>
    </row>
    <row r="26" spans="2:57" ht="20" thickBot="1" x14ac:dyDescent="0.3">
      <c r="B26" s="16"/>
      <c r="D26" s="13" t="s">
        <v>126</v>
      </c>
      <c r="E26" s="14"/>
      <c r="F26" s="9"/>
      <c r="G26" s="10" t="str">
        <f>"TEST_"&amp;TEXT(RIGHT(G15,2)+1, "00")</f>
        <v>TEST_39</v>
      </c>
      <c r="H26" s="36" t="s">
        <v>124</v>
      </c>
      <c r="I26" s="36"/>
      <c r="J26" s="36"/>
      <c r="K26" s="36"/>
      <c r="L26" s="36"/>
      <c r="M26" s="37" t="s">
        <v>123</v>
      </c>
      <c r="N26" s="37"/>
      <c r="O26" s="37"/>
      <c r="P26" s="37"/>
      <c r="Q26" s="37"/>
      <c r="R26" s="2"/>
      <c r="S26" s="16"/>
      <c r="U26" s="16"/>
      <c r="W26" s="13" t="s">
        <v>126</v>
      </c>
      <c r="X26" s="14"/>
      <c r="Y26" s="9"/>
      <c r="Z26" s="10" t="str">
        <f>"TEST_"&amp;TEXT(RIGHT(Z15,2)+1, "00")</f>
        <v>TEST_45</v>
      </c>
      <c r="AA26" s="36" t="s">
        <v>124</v>
      </c>
      <c r="AB26" s="36"/>
      <c r="AC26" s="36"/>
      <c r="AD26" s="36"/>
      <c r="AE26" s="36"/>
      <c r="AF26" s="37" t="s">
        <v>123</v>
      </c>
      <c r="AG26" s="37"/>
      <c r="AH26" s="37"/>
      <c r="AI26" s="37"/>
      <c r="AJ26" s="37"/>
      <c r="AK26" s="2"/>
      <c r="AL26" s="16"/>
      <c r="AN26" s="16"/>
      <c r="AP26" s="13" t="s">
        <v>126</v>
      </c>
      <c r="AQ26" s="14"/>
      <c r="AR26" s="9"/>
      <c r="AS26" s="10" t="str">
        <f>"TEST_"&amp;TEXT(RIGHT(AS15,2)+1, "00")</f>
        <v>TEST_51</v>
      </c>
      <c r="AT26" s="36" t="s">
        <v>124</v>
      </c>
      <c r="AU26" s="36"/>
      <c r="AV26" s="36"/>
      <c r="AW26" s="36"/>
      <c r="AX26" s="36"/>
      <c r="AY26" s="37" t="s">
        <v>123</v>
      </c>
      <c r="AZ26" s="37"/>
      <c r="BA26" s="37"/>
      <c r="BB26" s="37"/>
      <c r="BC26" s="37"/>
      <c r="BD26" s="2"/>
      <c r="BE26" s="16"/>
    </row>
    <row r="27" spans="2:57" x14ac:dyDescent="0.2">
      <c r="B27" s="16"/>
      <c r="D27" s="11" t="s">
        <v>1</v>
      </c>
      <c r="E27" s="12" t="str">
        <f>VLOOKUP(LOWER(G26),experiments_specs!$A:$J,2,FALSE)</f>
        <v>NN,VB</v>
      </c>
      <c r="F27" s="15" t="str">
        <f>"{"&amp;LOWER(G26)&amp;".csv}"</f>
        <v>{test_39.csv}</v>
      </c>
      <c r="G27" s="8" t="s">
        <v>118</v>
      </c>
      <c r="H27" s="3" t="s">
        <v>119</v>
      </c>
      <c r="I27" s="3" t="s">
        <v>182</v>
      </c>
      <c r="J27" s="3" t="s">
        <v>120</v>
      </c>
      <c r="K27" s="3" t="s">
        <v>182</v>
      </c>
      <c r="L27" s="3" t="s">
        <v>121</v>
      </c>
      <c r="M27" s="4" t="s">
        <v>122</v>
      </c>
      <c r="N27" s="4" t="s">
        <v>182</v>
      </c>
      <c r="O27" s="4" t="s">
        <v>120</v>
      </c>
      <c r="P27" s="4" t="s">
        <v>182</v>
      </c>
      <c r="Q27" s="4" t="s">
        <v>121</v>
      </c>
      <c r="S27" s="16"/>
      <c r="U27" s="16"/>
      <c r="W27" s="11" t="s">
        <v>1</v>
      </c>
      <c r="X27" s="12" t="str">
        <f>VLOOKUP(LOWER(Z26),experiments_specs!$A:$J,2,FALSE)</f>
        <v>NN,VB</v>
      </c>
      <c r="Y27" s="15" t="str">
        <f>"{"&amp;LOWER(Z26)&amp;".csv}"</f>
        <v>{test_45.csv}</v>
      </c>
      <c r="Z27" s="8" t="s">
        <v>118</v>
      </c>
      <c r="AA27" s="3" t="s">
        <v>119</v>
      </c>
      <c r="AB27" s="3" t="s">
        <v>182</v>
      </c>
      <c r="AC27" s="3" t="s">
        <v>120</v>
      </c>
      <c r="AD27" s="3" t="s">
        <v>182</v>
      </c>
      <c r="AE27" s="3" t="s">
        <v>121</v>
      </c>
      <c r="AF27" s="4" t="s">
        <v>122</v>
      </c>
      <c r="AG27" s="4" t="s">
        <v>182</v>
      </c>
      <c r="AH27" s="4" t="s">
        <v>120</v>
      </c>
      <c r="AI27" s="4" t="s">
        <v>182</v>
      </c>
      <c r="AJ27" s="4" t="s">
        <v>121</v>
      </c>
      <c r="AL27" s="16"/>
      <c r="AN27" s="16"/>
      <c r="AP27" s="11" t="s">
        <v>1</v>
      </c>
      <c r="AQ27" s="12" t="str">
        <f>VLOOKUP(LOWER(AS26),experiments_specs!$A:$J,2,FALSE)</f>
        <v>NN,VB</v>
      </c>
      <c r="AR27" s="15" t="str">
        <f>"{"&amp;LOWER(AS26)&amp;".csv}"</f>
        <v>{test_51.csv}</v>
      </c>
      <c r="AS27" s="8" t="s">
        <v>118</v>
      </c>
      <c r="AT27" s="3" t="s">
        <v>119</v>
      </c>
      <c r="AU27" s="3" t="s">
        <v>182</v>
      </c>
      <c r="AV27" s="3" t="s">
        <v>120</v>
      </c>
      <c r="AW27" s="3" t="s">
        <v>182</v>
      </c>
      <c r="AX27" s="3" t="s">
        <v>121</v>
      </c>
      <c r="AY27" s="4" t="s">
        <v>122</v>
      </c>
      <c r="AZ27" s="4" t="s">
        <v>182</v>
      </c>
      <c r="BA27" s="4" t="s">
        <v>120</v>
      </c>
      <c r="BB27" s="4" t="s">
        <v>182</v>
      </c>
      <c r="BC27" s="4" t="s">
        <v>121</v>
      </c>
      <c r="BE27" s="16"/>
    </row>
    <row r="28" spans="2:57" x14ac:dyDescent="0.2">
      <c r="B28" s="16"/>
      <c r="D28" s="11" t="s">
        <v>2</v>
      </c>
      <c r="E28" s="12">
        <f>VLOOKUP(LOWER(G26),experiments_specs!$A:$J,3,FALSE)</f>
        <v>1</v>
      </c>
      <c r="F28" s="15" t="s">
        <v>102</v>
      </c>
      <c r="G28" s="5"/>
      <c r="H28" s="17"/>
      <c r="I28" s="17"/>
      <c r="J28" s="17"/>
      <c r="K28" s="17"/>
      <c r="L28" s="30"/>
      <c r="M28" s="21"/>
      <c r="N28" s="21"/>
      <c r="O28" s="21"/>
      <c r="P28" s="21"/>
      <c r="Q28" s="33"/>
      <c r="S28" s="16"/>
      <c r="U28" s="16"/>
      <c r="W28" s="11" t="s">
        <v>2</v>
      </c>
      <c r="X28" s="12">
        <f>VLOOKUP(LOWER(Z26),experiments_specs!$A:$J,3,FALSE)</f>
        <v>1</v>
      </c>
      <c r="Y28" s="15" t="s">
        <v>108</v>
      </c>
      <c r="Z28" s="5" t="s">
        <v>19</v>
      </c>
      <c r="AA28" s="17"/>
      <c r="AB28" s="17"/>
      <c r="AC28" s="17"/>
      <c r="AD28" s="17"/>
      <c r="AE28" s="30"/>
      <c r="AF28" s="21"/>
      <c r="AG28" s="21"/>
      <c r="AH28" s="21"/>
      <c r="AI28" s="21"/>
      <c r="AJ28" s="33"/>
      <c r="AL28" s="16"/>
      <c r="AN28" s="16"/>
      <c r="AP28" s="11" t="s">
        <v>2</v>
      </c>
      <c r="AQ28" s="12">
        <f>VLOOKUP(LOWER(AS26),experiments_specs!$A:$J,3,FALSE)</f>
        <v>1</v>
      </c>
      <c r="AR28" s="15" t="s">
        <v>114</v>
      </c>
      <c r="AS28" s="5"/>
      <c r="AT28" s="17"/>
      <c r="AU28" s="17"/>
      <c r="AV28" s="17"/>
      <c r="AW28" s="17"/>
      <c r="AX28" s="30"/>
      <c r="AY28" s="21"/>
      <c r="AZ28" s="21"/>
      <c r="BA28" s="21"/>
      <c r="BB28" s="21"/>
      <c r="BC28" s="33"/>
      <c r="BE28" s="16"/>
    </row>
    <row r="29" spans="2:57" x14ac:dyDescent="0.2">
      <c r="B29" s="16"/>
      <c r="D29" s="11" t="s">
        <v>3</v>
      </c>
      <c r="E29" s="12">
        <f>VLOOKUP(LOWER(G26),experiments_specs!$A:$J,4,FALSE)</f>
        <v>2</v>
      </c>
      <c r="F29" s="15" t="s">
        <v>102</v>
      </c>
      <c r="G29" s="6"/>
      <c r="H29" s="18"/>
      <c r="I29" s="18"/>
      <c r="J29" s="18"/>
      <c r="K29" s="18"/>
      <c r="L29" s="31"/>
      <c r="M29" s="22"/>
      <c r="N29" s="22"/>
      <c r="O29" s="22"/>
      <c r="P29" s="22"/>
      <c r="Q29" s="34"/>
      <c r="S29" s="16"/>
      <c r="U29" s="16"/>
      <c r="W29" s="11" t="s">
        <v>3</v>
      </c>
      <c r="X29" s="12">
        <f>VLOOKUP(LOWER(Z26),experiments_specs!$A:$J,4,FALSE)</f>
        <v>2</v>
      </c>
      <c r="Y29" s="15" t="s">
        <v>108</v>
      </c>
      <c r="Z29" s="6" t="s">
        <v>12</v>
      </c>
      <c r="AA29" s="18"/>
      <c r="AB29" s="18"/>
      <c r="AC29" s="18"/>
      <c r="AD29" s="18"/>
      <c r="AE29" s="31"/>
      <c r="AF29" s="23"/>
      <c r="AG29" s="23"/>
      <c r="AH29" s="23"/>
      <c r="AI29" s="23"/>
      <c r="AJ29" s="34"/>
      <c r="AL29" s="16"/>
      <c r="AN29" s="16"/>
      <c r="AP29" s="11" t="s">
        <v>3</v>
      </c>
      <c r="AQ29" s="12">
        <f>VLOOKUP(LOWER(AS26),experiments_specs!$A:$J,4,FALSE)</f>
        <v>2</v>
      </c>
      <c r="AR29" s="15" t="s">
        <v>114</v>
      </c>
      <c r="AS29" s="6"/>
      <c r="AT29" s="18"/>
      <c r="AU29" s="18"/>
      <c r="AV29" s="18"/>
      <c r="AW29" s="18"/>
      <c r="AX29" s="31"/>
      <c r="AY29" s="23"/>
      <c r="AZ29" s="23"/>
      <c r="BA29" s="23"/>
      <c r="BB29" s="23"/>
      <c r="BC29" s="34"/>
      <c r="BE29" s="16"/>
    </row>
    <row r="30" spans="2:57" x14ac:dyDescent="0.2">
      <c r="B30" s="16"/>
      <c r="D30" s="11" t="s">
        <v>4</v>
      </c>
      <c r="E30" s="12" t="str">
        <f>VLOOKUP(LOWER(G26),experiments_specs!$A:$J,5,FALSE)</f>
        <v>False</v>
      </c>
      <c r="F30" s="15" t="s">
        <v>102</v>
      </c>
      <c r="G30" s="6"/>
      <c r="H30" s="19"/>
      <c r="I30" s="19"/>
      <c r="J30" s="19"/>
      <c r="K30" s="19"/>
      <c r="L30" s="31"/>
      <c r="M30" s="22"/>
      <c r="N30" s="22"/>
      <c r="O30" s="22"/>
      <c r="P30" s="22"/>
      <c r="Q30" s="34"/>
      <c r="S30" s="16"/>
      <c r="U30" s="16"/>
      <c r="W30" s="11" t="s">
        <v>4</v>
      </c>
      <c r="X30" s="12" t="str">
        <f>VLOOKUP(LOWER(Z26),experiments_specs!$A:$J,5,FALSE)</f>
        <v>True</v>
      </c>
      <c r="Y30" s="15" t="s">
        <v>108</v>
      </c>
      <c r="Z30" s="6" t="s">
        <v>13</v>
      </c>
      <c r="AA30" s="19"/>
      <c r="AB30" s="19"/>
      <c r="AC30" s="19"/>
      <c r="AD30" s="19"/>
      <c r="AE30" s="31"/>
      <c r="AF30" s="22"/>
      <c r="AG30" s="22"/>
      <c r="AH30" s="22"/>
      <c r="AI30" s="22"/>
      <c r="AJ30" s="34"/>
      <c r="AL30" s="16"/>
      <c r="AN30" s="16"/>
      <c r="AP30" s="11" t="s">
        <v>4</v>
      </c>
      <c r="AQ30" s="12" t="str">
        <f>VLOOKUP(LOWER(AS26),experiments_specs!$A:$J,5,FALSE)</f>
        <v>True</v>
      </c>
      <c r="AR30" s="15" t="s">
        <v>114</v>
      </c>
      <c r="AS30" s="6"/>
      <c r="AT30" s="19"/>
      <c r="AU30" s="19"/>
      <c r="AV30" s="19"/>
      <c r="AW30" s="19"/>
      <c r="AX30" s="31"/>
      <c r="AY30" s="22"/>
      <c r="AZ30" s="22"/>
      <c r="BA30" s="22"/>
      <c r="BB30" s="22"/>
      <c r="BC30" s="34"/>
      <c r="BE30" s="16"/>
    </row>
    <row r="31" spans="2:57" x14ac:dyDescent="0.2">
      <c r="B31" s="16"/>
      <c r="D31" s="11" t="s">
        <v>5</v>
      </c>
      <c r="E31" s="12" t="str">
        <f>VLOOKUP(LOWER(G26),experiments_specs!$A:$J,6,FALSE)</f>
        <v>True</v>
      </c>
      <c r="F31" s="15" t="s">
        <v>102</v>
      </c>
      <c r="G31" s="6"/>
      <c r="H31" s="19"/>
      <c r="I31" s="19"/>
      <c r="J31" s="19"/>
      <c r="K31" s="19"/>
      <c r="L31" s="31"/>
      <c r="M31" s="22"/>
      <c r="N31" s="22"/>
      <c r="O31" s="22"/>
      <c r="P31" s="22"/>
      <c r="Q31" s="34"/>
      <c r="S31" s="16"/>
      <c r="U31" s="16"/>
      <c r="W31" s="11" t="s">
        <v>5</v>
      </c>
      <c r="X31" s="12" t="str">
        <f>VLOOKUP(LOWER(Z26),experiments_specs!$A:$J,6,FALSE)</f>
        <v>True</v>
      </c>
      <c r="Y31" s="15" t="s">
        <v>108</v>
      </c>
      <c r="Z31" s="6" t="s">
        <v>14</v>
      </c>
      <c r="AA31" s="18"/>
      <c r="AB31" s="18"/>
      <c r="AC31" s="18"/>
      <c r="AD31" s="18"/>
      <c r="AE31" s="31"/>
      <c r="AF31" s="23"/>
      <c r="AG31" s="23"/>
      <c r="AH31" s="23"/>
      <c r="AI31" s="23"/>
      <c r="AJ31" s="34"/>
      <c r="AL31" s="16"/>
      <c r="AN31" s="16"/>
      <c r="AP31" s="11" t="s">
        <v>5</v>
      </c>
      <c r="AQ31" s="12" t="str">
        <f>VLOOKUP(LOWER(AS26),experiments_specs!$A:$J,6,FALSE)</f>
        <v>True</v>
      </c>
      <c r="AR31" s="15" t="s">
        <v>114</v>
      </c>
      <c r="AS31" s="6"/>
      <c r="AT31" s="18"/>
      <c r="AU31" s="18"/>
      <c r="AV31" s="18"/>
      <c r="AW31" s="18"/>
      <c r="AX31" s="31"/>
      <c r="AY31" s="23"/>
      <c r="AZ31" s="23"/>
      <c r="BA31" s="23"/>
      <c r="BB31" s="23"/>
      <c r="BC31" s="34"/>
      <c r="BE31" s="16"/>
    </row>
    <row r="32" spans="2:57" x14ac:dyDescent="0.2">
      <c r="B32" s="16"/>
      <c r="D32" s="11" t="s">
        <v>6</v>
      </c>
      <c r="E32" s="12" t="str">
        <f>VLOOKUP(LOWER(G26),experiments_specs!$A:$J,7,FALSE)</f>
        <v>True</v>
      </c>
      <c r="F32" s="15" t="s">
        <v>102</v>
      </c>
      <c r="G32" s="6"/>
      <c r="H32" s="19"/>
      <c r="I32" s="19"/>
      <c r="J32" s="19"/>
      <c r="K32" s="19"/>
      <c r="L32" s="31"/>
      <c r="M32" s="23"/>
      <c r="N32" s="23"/>
      <c r="O32" s="23"/>
      <c r="P32" s="23"/>
      <c r="Q32" s="34"/>
      <c r="S32" s="16"/>
      <c r="U32" s="16"/>
      <c r="W32" s="11" t="s">
        <v>6</v>
      </c>
      <c r="X32" s="12" t="str">
        <f>VLOOKUP(LOWER(Z26),experiments_specs!$A:$J,7,FALSE)</f>
        <v>True</v>
      </c>
      <c r="Y32" s="15" t="s">
        <v>108</v>
      </c>
      <c r="Z32" s="6" t="s">
        <v>15</v>
      </c>
      <c r="AA32" s="19"/>
      <c r="AB32" s="19"/>
      <c r="AC32" s="19"/>
      <c r="AD32" s="19"/>
      <c r="AE32" s="31"/>
      <c r="AF32" s="23"/>
      <c r="AG32" s="23"/>
      <c r="AH32" s="23"/>
      <c r="AI32" s="23"/>
      <c r="AJ32" s="34"/>
      <c r="AL32" s="16"/>
      <c r="AN32" s="16"/>
      <c r="AP32" s="11" t="s">
        <v>6</v>
      </c>
      <c r="AQ32" s="12" t="str">
        <f>VLOOKUP(LOWER(AS26),experiments_specs!$A:$J,7,FALSE)</f>
        <v>True</v>
      </c>
      <c r="AR32" s="15" t="s">
        <v>114</v>
      </c>
      <c r="AS32" s="6"/>
      <c r="AT32" s="19"/>
      <c r="AU32" s="19"/>
      <c r="AV32" s="19"/>
      <c r="AW32" s="19"/>
      <c r="AX32" s="31"/>
      <c r="AY32" s="23"/>
      <c r="AZ32" s="23"/>
      <c r="BA32" s="23"/>
      <c r="BB32" s="23"/>
      <c r="BC32" s="34"/>
      <c r="BE32" s="16"/>
    </row>
    <row r="33" spans="2:57" x14ac:dyDescent="0.2">
      <c r="B33" s="16"/>
      <c r="D33" s="11" t="s">
        <v>7</v>
      </c>
      <c r="E33" s="12" t="str">
        <f>VLOOKUP(LOWER(G26),experiments_specs!$A:$J,8,FALSE)</f>
        <v>True</v>
      </c>
      <c r="F33" s="15" t="s">
        <v>102</v>
      </c>
      <c r="G33" s="6"/>
      <c r="H33" s="19"/>
      <c r="I33" s="19"/>
      <c r="J33" s="19"/>
      <c r="K33" s="19"/>
      <c r="L33" s="31"/>
      <c r="M33" s="23"/>
      <c r="N33" s="23"/>
      <c r="O33" s="23"/>
      <c r="P33" s="23"/>
      <c r="Q33" s="34"/>
      <c r="S33" s="16"/>
      <c r="U33" s="16"/>
      <c r="W33" s="11" t="s">
        <v>7</v>
      </c>
      <c r="X33" s="12" t="str">
        <f>VLOOKUP(LOWER(Z26),experiments_specs!$A:$J,8,FALSE)</f>
        <v>True</v>
      </c>
      <c r="Y33" s="15" t="s">
        <v>108</v>
      </c>
      <c r="Z33" s="6" t="s">
        <v>16</v>
      </c>
      <c r="AA33" s="19"/>
      <c r="AB33" s="19"/>
      <c r="AC33" s="19"/>
      <c r="AD33" s="19"/>
      <c r="AE33" s="31"/>
      <c r="AF33" s="23"/>
      <c r="AG33" s="23"/>
      <c r="AH33" s="23"/>
      <c r="AI33" s="23"/>
      <c r="AJ33" s="34"/>
      <c r="AL33" s="16"/>
      <c r="AN33" s="16"/>
      <c r="AP33" s="11" t="s">
        <v>7</v>
      </c>
      <c r="AQ33" s="12" t="str">
        <f>VLOOKUP(LOWER(AS26),experiments_specs!$A:$J,8,FALSE)</f>
        <v>True</v>
      </c>
      <c r="AR33" s="15" t="s">
        <v>114</v>
      </c>
      <c r="AS33" s="6"/>
      <c r="AT33" s="19"/>
      <c r="AU33" s="19"/>
      <c r="AV33" s="19"/>
      <c r="AW33" s="19"/>
      <c r="AX33" s="31"/>
      <c r="AY33" s="23"/>
      <c r="AZ33" s="23"/>
      <c r="BA33" s="23"/>
      <c r="BB33" s="23"/>
      <c r="BC33" s="34"/>
      <c r="BE33" s="16"/>
    </row>
    <row r="34" spans="2:57" x14ac:dyDescent="0.2">
      <c r="B34" s="16"/>
      <c r="D34" s="11" t="s">
        <v>8</v>
      </c>
      <c r="E34" s="12" t="str">
        <f>VLOOKUP(LOWER(G26),experiments_specs!$A:$J,9,FALSE)</f>
        <v>wup_similarity</v>
      </c>
      <c r="F34" s="15" t="s">
        <v>102</v>
      </c>
      <c r="G34" s="6"/>
      <c r="H34" s="19"/>
      <c r="I34" s="19"/>
      <c r="J34" s="19"/>
      <c r="K34" s="19"/>
      <c r="L34" s="31"/>
      <c r="M34" s="22"/>
      <c r="N34" s="22"/>
      <c r="O34" s="22"/>
      <c r="P34" s="22"/>
      <c r="Q34" s="34"/>
      <c r="S34" s="16"/>
      <c r="U34" s="16"/>
      <c r="W34" s="11" t="s">
        <v>8</v>
      </c>
      <c r="X34" s="12" t="str">
        <f>VLOOKUP(LOWER(Z26),experiments_specs!$A:$J,9,FALSE)</f>
        <v>wup_similarity</v>
      </c>
      <c r="Y34" s="15" t="s">
        <v>108</v>
      </c>
      <c r="Z34" s="6" t="s">
        <v>17</v>
      </c>
      <c r="AA34" s="19"/>
      <c r="AB34" s="19"/>
      <c r="AC34" s="19"/>
      <c r="AD34" s="19"/>
      <c r="AE34" s="31"/>
      <c r="AF34" s="23"/>
      <c r="AG34" s="23"/>
      <c r="AH34" s="23"/>
      <c r="AI34" s="23"/>
      <c r="AJ34" s="34"/>
      <c r="AL34" s="16"/>
      <c r="AN34" s="16"/>
      <c r="AP34" s="11" t="s">
        <v>8</v>
      </c>
      <c r="AQ34" s="12" t="str">
        <f>VLOOKUP(LOWER(AS26),experiments_specs!$A:$J,9,FALSE)</f>
        <v>wup_similarity</v>
      </c>
      <c r="AR34" s="15" t="s">
        <v>114</v>
      </c>
      <c r="AS34" s="6"/>
      <c r="AT34" s="18"/>
      <c r="AU34" s="18"/>
      <c r="AV34" s="18"/>
      <c r="AW34" s="18"/>
      <c r="AX34" s="31"/>
      <c r="AY34" s="23"/>
      <c r="AZ34" s="23"/>
      <c r="BA34" s="23"/>
      <c r="BB34" s="23"/>
      <c r="BC34" s="34"/>
      <c r="BE34" s="16"/>
    </row>
    <row r="35" spans="2:57" x14ac:dyDescent="0.2">
      <c r="B35" s="16"/>
      <c r="D35" s="11" t="s">
        <v>9</v>
      </c>
      <c r="E35" s="12" t="str">
        <f>VLOOKUP(LOWER(G26),experiments_specs!$A:$J,10,FALSE)</f>
        <v>False</v>
      </c>
      <c r="F35" s="15" t="s">
        <v>102</v>
      </c>
      <c r="G35" s="7"/>
      <c r="H35" s="20"/>
      <c r="I35" s="20"/>
      <c r="J35" s="20"/>
      <c r="K35" s="20"/>
      <c r="L35" s="32"/>
      <c r="M35" s="24"/>
      <c r="N35" s="24"/>
      <c r="O35" s="24"/>
      <c r="P35" s="24"/>
      <c r="Q35" s="35"/>
      <c r="S35" s="16"/>
      <c r="U35" s="16"/>
      <c r="W35" s="11" t="s">
        <v>9</v>
      </c>
      <c r="X35" s="12" t="str">
        <f>VLOOKUP(LOWER(Z26),experiments_specs!$A:$J,10,FALSE)</f>
        <v>False</v>
      </c>
      <c r="Y35" s="15" t="s">
        <v>108</v>
      </c>
      <c r="Z35" s="7" t="s">
        <v>18</v>
      </c>
      <c r="AA35" s="20"/>
      <c r="AB35" s="20"/>
      <c r="AC35" s="20"/>
      <c r="AD35" s="20"/>
      <c r="AE35" s="32"/>
      <c r="AF35" s="24"/>
      <c r="AG35" s="24"/>
      <c r="AH35" s="24"/>
      <c r="AI35" s="24"/>
      <c r="AJ35" s="35"/>
      <c r="AL35" s="16"/>
      <c r="AN35" s="16"/>
      <c r="AP35" s="11" t="s">
        <v>9</v>
      </c>
      <c r="AQ35" s="12" t="str">
        <f>VLOOKUP(LOWER(AS26),experiments_specs!$A:$J,10,FALSE)</f>
        <v>True</v>
      </c>
      <c r="AR35" s="15" t="s">
        <v>114</v>
      </c>
      <c r="AS35" s="7"/>
      <c r="AT35" s="20"/>
      <c r="AU35" s="20"/>
      <c r="AV35" s="20"/>
      <c r="AW35" s="20"/>
      <c r="AX35" s="32"/>
      <c r="AY35" s="24"/>
      <c r="AZ35" s="24"/>
      <c r="BA35" s="24"/>
      <c r="BB35" s="24"/>
      <c r="BC35" s="35"/>
      <c r="BE35" s="16"/>
    </row>
    <row r="36" spans="2:57" ht="17" thickBot="1" x14ac:dyDescent="0.25">
      <c r="B36" s="16"/>
      <c r="S36" s="16"/>
      <c r="U36" s="16"/>
      <c r="AL36" s="16"/>
      <c r="AN36" s="16"/>
      <c r="BE36" s="16"/>
    </row>
    <row r="37" spans="2:57" ht="20" thickBot="1" x14ac:dyDescent="0.3">
      <c r="B37" s="16"/>
      <c r="D37" s="13" t="s">
        <v>126</v>
      </c>
      <c r="E37" s="14"/>
      <c r="F37" s="9"/>
      <c r="G37" s="10" t="str">
        <f>"TEST_"&amp;TEXT(RIGHT(G26,2)+1, "00")</f>
        <v>TEST_40</v>
      </c>
      <c r="H37" s="36" t="s">
        <v>124</v>
      </c>
      <c r="I37" s="36"/>
      <c r="J37" s="36"/>
      <c r="K37" s="36"/>
      <c r="L37" s="36"/>
      <c r="M37" s="37" t="s">
        <v>123</v>
      </c>
      <c r="N37" s="37"/>
      <c r="O37" s="37"/>
      <c r="P37" s="37"/>
      <c r="Q37" s="37"/>
      <c r="R37" s="2"/>
      <c r="S37" s="16"/>
      <c r="U37" s="16"/>
      <c r="W37" s="13" t="s">
        <v>126</v>
      </c>
      <c r="X37" s="14"/>
      <c r="Y37" s="9"/>
      <c r="Z37" s="10" t="str">
        <f>"TEST_"&amp;TEXT(RIGHT(Z26,2)+1, "00")</f>
        <v>TEST_46</v>
      </c>
      <c r="AA37" s="36" t="s">
        <v>124</v>
      </c>
      <c r="AB37" s="36"/>
      <c r="AC37" s="36"/>
      <c r="AD37" s="36"/>
      <c r="AE37" s="36"/>
      <c r="AF37" s="37" t="s">
        <v>123</v>
      </c>
      <c r="AG37" s="37"/>
      <c r="AH37" s="37"/>
      <c r="AI37" s="37"/>
      <c r="AJ37" s="37"/>
      <c r="AK37" s="2"/>
      <c r="AL37" s="16"/>
      <c r="AN37" s="16"/>
      <c r="AP37" s="13" t="s">
        <v>126</v>
      </c>
      <c r="AQ37" s="14"/>
      <c r="AR37" s="9"/>
      <c r="AS37" s="10" t="str">
        <f>"TEST_"&amp;TEXT(RIGHT(AS26,2)+1, "00")</f>
        <v>TEST_52</v>
      </c>
      <c r="AT37" s="36" t="s">
        <v>124</v>
      </c>
      <c r="AU37" s="36"/>
      <c r="AV37" s="36"/>
      <c r="AW37" s="36"/>
      <c r="AX37" s="36"/>
      <c r="AY37" s="37" t="s">
        <v>123</v>
      </c>
      <c r="AZ37" s="37"/>
      <c r="BA37" s="37"/>
      <c r="BB37" s="37"/>
      <c r="BC37" s="37"/>
      <c r="BD37" s="2"/>
      <c r="BE37" s="16"/>
    </row>
    <row r="38" spans="2:57" x14ac:dyDescent="0.2">
      <c r="B38" s="16"/>
      <c r="D38" s="11" t="s">
        <v>1</v>
      </c>
      <c r="E38" s="12" t="str">
        <f>VLOOKUP(LOWER(G37),experiments_specs!$A:$J,2,FALSE)</f>
        <v>NN,VB,VBD,VBG,VBN,VBP,VBZ</v>
      </c>
      <c r="F38" s="15" t="str">
        <f>"{"&amp;LOWER(G37)&amp;".csv}"</f>
        <v>{test_40.csv}</v>
      </c>
      <c r="G38" s="8" t="s">
        <v>118</v>
      </c>
      <c r="H38" s="3" t="s">
        <v>119</v>
      </c>
      <c r="I38" s="3" t="s">
        <v>182</v>
      </c>
      <c r="J38" s="3" t="s">
        <v>120</v>
      </c>
      <c r="K38" s="3" t="s">
        <v>182</v>
      </c>
      <c r="L38" s="3" t="s">
        <v>121</v>
      </c>
      <c r="M38" s="4" t="s">
        <v>122</v>
      </c>
      <c r="N38" s="4" t="s">
        <v>182</v>
      </c>
      <c r="O38" s="4" t="s">
        <v>120</v>
      </c>
      <c r="P38" s="4" t="s">
        <v>182</v>
      </c>
      <c r="Q38" s="4" t="s">
        <v>121</v>
      </c>
      <c r="S38" s="16"/>
      <c r="U38" s="16"/>
      <c r="W38" s="11" t="s">
        <v>1</v>
      </c>
      <c r="X38" s="12" t="str">
        <f>VLOOKUP(LOWER(Z37),experiments_specs!$A:$J,2,FALSE)</f>
        <v>NN,VB,VBD,VBG,VBN,VBP,VBZ</v>
      </c>
      <c r="Y38" s="15" t="str">
        <f>"{"&amp;LOWER(Z37)&amp;".csv}"</f>
        <v>{test_46.csv}</v>
      </c>
      <c r="Z38" s="8" t="s">
        <v>118</v>
      </c>
      <c r="AA38" s="3" t="s">
        <v>119</v>
      </c>
      <c r="AB38" s="3" t="s">
        <v>182</v>
      </c>
      <c r="AC38" s="3" t="s">
        <v>120</v>
      </c>
      <c r="AD38" s="3" t="s">
        <v>182</v>
      </c>
      <c r="AE38" s="3" t="s">
        <v>121</v>
      </c>
      <c r="AF38" s="4" t="s">
        <v>122</v>
      </c>
      <c r="AG38" s="4" t="s">
        <v>182</v>
      </c>
      <c r="AH38" s="4" t="s">
        <v>120</v>
      </c>
      <c r="AI38" s="4" t="s">
        <v>182</v>
      </c>
      <c r="AJ38" s="4" t="s">
        <v>121</v>
      </c>
      <c r="AL38" s="16"/>
      <c r="AN38" s="16"/>
      <c r="AP38" s="11" t="s">
        <v>1</v>
      </c>
      <c r="AQ38" s="12" t="str">
        <f>VLOOKUP(LOWER(AS37),experiments_specs!$A:$J,2,FALSE)</f>
        <v>NN,VB,VBD,VBG,VBN,VBP,VBZ</v>
      </c>
      <c r="AR38" s="15" t="str">
        <f>"{"&amp;LOWER(AS37)&amp;".csv}"</f>
        <v>{test_52.csv}</v>
      </c>
      <c r="AS38" s="8" t="s">
        <v>118</v>
      </c>
      <c r="AT38" s="3" t="s">
        <v>119</v>
      </c>
      <c r="AU38" s="3" t="s">
        <v>182</v>
      </c>
      <c r="AV38" s="3" t="s">
        <v>120</v>
      </c>
      <c r="AW38" s="3" t="s">
        <v>182</v>
      </c>
      <c r="AX38" s="3" t="s">
        <v>121</v>
      </c>
      <c r="AY38" s="4" t="s">
        <v>122</v>
      </c>
      <c r="AZ38" s="4" t="s">
        <v>182</v>
      </c>
      <c r="BA38" s="4" t="s">
        <v>120</v>
      </c>
      <c r="BB38" s="4" t="s">
        <v>182</v>
      </c>
      <c r="BC38" s="4" t="s">
        <v>121</v>
      </c>
      <c r="BE38" s="16"/>
    </row>
    <row r="39" spans="2:57" x14ac:dyDescent="0.2">
      <c r="B39" s="16"/>
      <c r="D39" s="11" t="s">
        <v>2</v>
      </c>
      <c r="E39" s="12">
        <f>VLOOKUP(LOWER(G37),experiments_specs!$A:$J,3,FALSE)</f>
        <v>1</v>
      </c>
      <c r="F39" s="15" t="s">
        <v>103</v>
      </c>
      <c r="G39" s="5"/>
      <c r="H39" s="17"/>
      <c r="I39" s="17"/>
      <c r="J39" s="17"/>
      <c r="K39" s="17"/>
      <c r="L39" s="30"/>
      <c r="M39" s="21"/>
      <c r="N39" s="21"/>
      <c r="O39" s="21"/>
      <c r="P39" s="21"/>
      <c r="Q39" s="33"/>
      <c r="S39" s="16"/>
      <c r="U39" s="16"/>
      <c r="W39" s="11" t="s">
        <v>2</v>
      </c>
      <c r="X39" s="12">
        <f>VLOOKUP(LOWER(Z37),experiments_specs!$A:$J,3,FALSE)</f>
        <v>1</v>
      </c>
      <c r="Y39" s="15" t="s">
        <v>109</v>
      </c>
      <c r="Z39" s="5" t="s">
        <v>19</v>
      </c>
      <c r="AA39" s="17"/>
      <c r="AB39" s="17"/>
      <c r="AC39" s="17"/>
      <c r="AD39" s="17"/>
      <c r="AE39" s="30"/>
      <c r="AF39" s="21"/>
      <c r="AG39" s="21"/>
      <c r="AH39" s="21"/>
      <c r="AI39" s="21"/>
      <c r="AJ39" s="33"/>
      <c r="AL39" s="16"/>
      <c r="AN39" s="16"/>
      <c r="AP39" s="11" t="s">
        <v>2</v>
      </c>
      <c r="AQ39" s="12">
        <f>VLOOKUP(LOWER(AS37),experiments_specs!$A:$J,3,FALSE)</f>
        <v>1</v>
      </c>
      <c r="AR39" s="15" t="s">
        <v>115</v>
      </c>
      <c r="AS39" s="5"/>
      <c r="AT39" s="17"/>
      <c r="AU39" s="17"/>
      <c r="AV39" s="17"/>
      <c r="AW39" s="17"/>
      <c r="AX39" s="30"/>
      <c r="AY39" s="21"/>
      <c r="AZ39" s="21"/>
      <c r="BA39" s="21"/>
      <c r="BB39" s="21"/>
      <c r="BC39" s="33"/>
      <c r="BE39" s="16"/>
    </row>
    <row r="40" spans="2:57" x14ac:dyDescent="0.2">
      <c r="B40" s="16"/>
      <c r="D40" s="11" t="s">
        <v>3</v>
      </c>
      <c r="E40" s="12">
        <f>VLOOKUP(LOWER(G37),experiments_specs!$A:$J,4,FALSE)</f>
        <v>2</v>
      </c>
      <c r="F40" s="15" t="s">
        <v>103</v>
      </c>
      <c r="G40" s="6"/>
      <c r="H40" s="18"/>
      <c r="I40" s="18"/>
      <c r="J40" s="18"/>
      <c r="K40" s="18"/>
      <c r="L40" s="31"/>
      <c r="M40" s="22"/>
      <c r="N40" s="22"/>
      <c r="O40" s="22"/>
      <c r="P40" s="22"/>
      <c r="Q40" s="34"/>
      <c r="S40" s="16"/>
      <c r="U40" s="16"/>
      <c r="W40" s="11" t="s">
        <v>3</v>
      </c>
      <c r="X40" s="12">
        <f>VLOOKUP(LOWER(Z37),experiments_specs!$A:$J,4,FALSE)</f>
        <v>2</v>
      </c>
      <c r="Y40" s="15" t="s">
        <v>109</v>
      </c>
      <c r="Z40" s="6" t="s">
        <v>12</v>
      </c>
      <c r="AA40" s="18"/>
      <c r="AB40" s="18"/>
      <c r="AC40" s="18"/>
      <c r="AD40" s="18"/>
      <c r="AE40" s="31"/>
      <c r="AF40" s="23"/>
      <c r="AG40" s="23"/>
      <c r="AH40" s="23"/>
      <c r="AI40" s="23"/>
      <c r="AJ40" s="34"/>
      <c r="AL40" s="16"/>
      <c r="AN40" s="16"/>
      <c r="AP40" s="11" t="s">
        <v>3</v>
      </c>
      <c r="AQ40" s="12">
        <f>VLOOKUP(LOWER(AS37),experiments_specs!$A:$J,4,FALSE)</f>
        <v>2</v>
      </c>
      <c r="AR40" s="15" t="s">
        <v>115</v>
      </c>
      <c r="AS40" s="6"/>
      <c r="AT40" s="18"/>
      <c r="AU40" s="18"/>
      <c r="AV40" s="18"/>
      <c r="AW40" s="18"/>
      <c r="AX40" s="31"/>
      <c r="AY40" s="23"/>
      <c r="AZ40" s="23"/>
      <c r="BA40" s="23"/>
      <c r="BB40" s="23"/>
      <c r="BC40" s="34"/>
      <c r="BE40" s="16"/>
    </row>
    <row r="41" spans="2:57" x14ac:dyDescent="0.2">
      <c r="B41" s="16"/>
      <c r="D41" s="11" t="s">
        <v>4</v>
      </c>
      <c r="E41" s="12" t="str">
        <f>VLOOKUP(LOWER(G37),experiments_specs!$A:$J,5,FALSE)</f>
        <v>False</v>
      </c>
      <c r="F41" s="15" t="s">
        <v>103</v>
      </c>
      <c r="G41" s="6"/>
      <c r="H41" s="19"/>
      <c r="I41" s="19"/>
      <c r="J41" s="19"/>
      <c r="K41" s="19"/>
      <c r="L41" s="31"/>
      <c r="M41" s="22"/>
      <c r="N41" s="22"/>
      <c r="O41" s="22"/>
      <c r="P41" s="22"/>
      <c r="Q41" s="34"/>
      <c r="S41" s="16"/>
      <c r="U41" s="16"/>
      <c r="W41" s="11" t="s">
        <v>4</v>
      </c>
      <c r="X41" s="12" t="str">
        <f>VLOOKUP(LOWER(Z37),experiments_specs!$A:$J,5,FALSE)</f>
        <v>True</v>
      </c>
      <c r="Y41" s="15" t="s">
        <v>109</v>
      </c>
      <c r="Z41" s="6" t="s">
        <v>13</v>
      </c>
      <c r="AA41" s="19"/>
      <c r="AB41" s="19"/>
      <c r="AC41" s="19"/>
      <c r="AD41" s="19"/>
      <c r="AE41" s="31"/>
      <c r="AF41" s="22"/>
      <c r="AG41" s="22"/>
      <c r="AH41" s="22"/>
      <c r="AI41" s="22"/>
      <c r="AJ41" s="34"/>
      <c r="AL41" s="16"/>
      <c r="AN41" s="16"/>
      <c r="AP41" s="11" t="s">
        <v>4</v>
      </c>
      <c r="AQ41" s="12" t="str">
        <f>VLOOKUP(LOWER(AS37),experiments_specs!$A:$J,5,FALSE)</f>
        <v>True</v>
      </c>
      <c r="AR41" s="15" t="s">
        <v>115</v>
      </c>
      <c r="AS41" s="6"/>
      <c r="AT41" s="19"/>
      <c r="AU41" s="19"/>
      <c r="AV41" s="19"/>
      <c r="AW41" s="19"/>
      <c r="AX41" s="31"/>
      <c r="AY41" s="22"/>
      <c r="AZ41" s="22"/>
      <c r="BA41" s="22"/>
      <c r="BB41" s="22"/>
      <c r="BC41" s="34"/>
      <c r="BE41" s="16"/>
    </row>
    <row r="42" spans="2:57" x14ac:dyDescent="0.2">
      <c r="B42" s="16"/>
      <c r="D42" s="11" t="s">
        <v>5</v>
      </c>
      <c r="E42" s="12" t="str">
        <f>VLOOKUP(LOWER(G37),experiments_specs!$A:$J,6,FALSE)</f>
        <v>True</v>
      </c>
      <c r="F42" s="15" t="s">
        <v>103</v>
      </c>
      <c r="G42" s="6"/>
      <c r="H42" s="19"/>
      <c r="I42" s="19"/>
      <c r="J42" s="19"/>
      <c r="K42" s="19"/>
      <c r="L42" s="31"/>
      <c r="M42" s="22"/>
      <c r="N42" s="22"/>
      <c r="O42" s="22"/>
      <c r="P42" s="22"/>
      <c r="Q42" s="34"/>
      <c r="S42" s="16"/>
      <c r="U42" s="16"/>
      <c r="W42" s="11" t="s">
        <v>5</v>
      </c>
      <c r="X42" s="12" t="str">
        <f>VLOOKUP(LOWER(Z37),experiments_specs!$A:$J,6,FALSE)</f>
        <v>True</v>
      </c>
      <c r="Y42" s="15" t="s">
        <v>109</v>
      </c>
      <c r="Z42" s="6" t="s">
        <v>14</v>
      </c>
      <c r="AA42" s="18"/>
      <c r="AB42" s="18"/>
      <c r="AC42" s="18"/>
      <c r="AD42" s="18"/>
      <c r="AE42" s="31"/>
      <c r="AF42" s="23"/>
      <c r="AG42" s="23"/>
      <c r="AH42" s="23"/>
      <c r="AI42" s="23"/>
      <c r="AJ42" s="34"/>
      <c r="AL42" s="16"/>
      <c r="AN42" s="16"/>
      <c r="AP42" s="11" t="s">
        <v>5</v>
      </c>
      <c r="AQ42" s="12" t="str">
        <f>VLOOKUP(LOWER(AS37),experiments_specs!$A:$J,6,FALSE)</f>
        <v>True</v>
      </c>
      <c r="AR42" s="15" t="s">
        <v>115</v>
      </c>
      <c r="AS42" s="6"/>
      <c r="AT42" s="18"/>
      <c r="AU42" s="18"/>
      <c r="AV42" s="18"/>
      <c r="AW42" s="18"/>
      <c r="AX42" s="31"/>
      <c r="AY42" s="23"/>
      <c r="AZ42" s="23"/>
      <c r="BA42" s="23"/>
      <c r="BB42" s="23"/>
      <c r="BC42" s="34"/>
      <c r="BE42" s="16"/>
    </row>
    <row r="43" spans="2:57" x14ac:dyDescent="0.2">
      <c r="B43" s="16"/>
      <c r="D43" s="11" t="s">
        <v>6</v>
      </c>
      <c r="E43" s="12" t="str">
        <f>VLOOKUP(LOWER(G37),experiments_specs!$A:$J,7,FALSE)</f>
        <v>True</v>
      </c>
      <c r="F43" s="15" t="s">
        <v>103</v>
      </c>
      <c r="G43" s="6"/>
      <c r="H43" s="19"/>
      <c r="I43" s="19"/>
      <c r="J43" s="19"/>
      <c r="K43" s="19"/>
      <c r="L43" s="31"/>
      <c r="M43" s="23"/>
      <c r="N43" s="23"/>
      <c r="O43" s="23"/>
      <c r="P43" s="23"/>
      <c r="Q43" s="34"/>
      <c r="S43" s="16"/>
      <c r="U43" s="16"/>
      <c r="W43" s="11" t="s">
        <v>6</v>
      </c>
      <c r="X43" s="12" t="str">
        <f>VLOOKUP(LOWER(Z37),experiments_specs!$A:$J,7,FALSE)</f>
        <v>True</v>
      </c>
      <c r="Y43" s="15" t="s">
        <v>109</v>
      </c>
      <c r="Z43" s="6" t="s">
        <v>15</v>
      </c>
      <c r="AA43" s="19"/>
      <c r="AB43" s="19"/>
      <c r="AC43" s="19"/>
      <c r="AD43" s="19"/>
      <c r="AE43" s="31"/>
      <c r="AF43" s="23"/>
      <c r="AG43" s="23"/>
      <c r="AH43" s="23"/>
      <c r="AI43" s="23"/>
      <c r="AJ43" s="34"/>
      <c r="AL43" s="16"/>
      <c r="AN43" s="16"/>
      <c r="AP43" s="11" t="s">
        <v>6</v>
      </c>
      <c r="AQ43" s="12" t="str">
        <f>VLOOKUP(LOWER(AS37),experiments_specs!$A:$J,7,FALSE)</f>
        <v>True</v>
      </c>
      <c r="AR43" s="15" t="s">
        <v>115</v>
      </c>
      <c r="AS43" s="6"/>
      <c r="AT43" s="19"/>
      <c r="AU43" s="19"/>
      <c r="AV43" s="19"/>
      <c r="AW43" s="19"/>
      <c r="AX43" s="31"/>
      <c r="AY43" s="23"/>
      <c r="AZ43" s="23"/>
      <c r="BA43" s="23"/>
      <c r="BB43" s="23"/>
      <c r="BC43" s="34"/>
      <c r="BE43" s="16"/>
    </row>
    <row r="44" spans="2:57" x14ac:dyDescent="0.2">
      <c r="B44" s="16"/>
      <c r="D44" s="11" t="s">
        <v>7</v>
      </c>
      <c r="E44" s="12" t="str">
        <f>VLOOKUP(LOWER(G37),experiments_specs!$A:$J,8,FALSE)</f>
        <v>True</v>
      </c>
      <c r="F44" s="15" t="s">
        <v>103</v>
      </c>
      <c r="G44" s="6"/>
      <c r="H44" s="19"/>
      <c r="I44" s="19"/>
      <c r="J44" s="19"/>
      <c r="K44" s="19"/>
      <c r="L44" s="31"/>
      <c r="M44" s="23"/>
      <c r="N44" s="23"/>
      <c r="O44" s="23"/>
      <c r="P44" s="23"/>
      <c r="Q44" s="34"/>
      <c r="S44" s="16"/>
      <c r="U44" s="16"/>
      <c r="W44" s="11" t="s">
        <v>7</v>
      </c>
      <c r="X44" s="12" t="str">
        <f>VLOOKUP(LOWER(Z37),experiments_specs!$A:$J,8,FALSE)</f>
        <v>True</v>
      </c>
      <c r="Y44" s="15" t="s">
        <v>109</v>
      </c>
      <c r="Z44" s="6" t="s">
        <v>16</v>
      </c>
      <c r="AA44" s="19"/>
      <c r="AB44" s="19"/>
      <c r="AC44" s="19"/>
      <c r="AD44" s="19"/>
      <c r="AE44" s="31"/>
      <c r="AF44" s="23"/>
      <c r="AG44" s="23"/>
      <c r="AH44" s="23"/>
      <c r="AI44" s="23"/>
      <c r="AJ44" s="34"/>
      <c r="AL44" s="16"/>
      <c r="AN44" s="16"/>
      <c r="AP44" s="11" t="s">
        <v>7</v>
      </c>
      <c r="AQ44" s="12" t="str">
        <f>VLOOKUP(LOWER(AS37),experiments_specs!$A:$J,8,FALSE)</f>
        <v>True</v>
      </c>
      <c r="AR44" s="15" t="s">
        <v>115</v>
      </c>
      <c r="AS44" s="6"/>
      <c r="AT44" s="19"/>
      <c r="AU44" s="19"/>
      <c r="AV44" s="19"/>
      <c r="AW44" s="19"/>
      <c r="AX44" s="31"/>
      <c r="AY44" s="23"/>
      <c r="AZ44" s="23"/>
      <c r="BA44" s="23"/>
      <c r="BB44" s="23"/>
      <c r="BC44" s="34"/>
      <c r="BE44" s="16"/>
    </row>
    <row r="45" spans="2:57" x14ac:dyDescent="0.2">
      <c r="B45" s="16"/>
      <c r="D45" s="11" t="s">
        <v>8</v>
      </c>
      <c r="E45" s="12" t="str">
        <f>VLOOKUP(LOWER(G37),experiments_specs!$A:$J,9,FALSE)</f>
        <v>wup_similarity</v>
      </c>
      <c r="F45" s="15" t="s">
        <v>103</v>
      </c>
      <c r="G45" s="6"/>
      <c r="H45" s="19"/>
      <c r="I45" s="19"/>
      <c r="J45" s="19"/>
      <c r="K45" s="19"/>
      <c r="L45" s="31"/>
      <c r="M45" s="22"/>
      <c r="N45" s="22"/>
      <c r="O45" s="22"/>
      <c r="P45" s="22"/>
      <c r="Q45" s="34"/>
      <c r="S45" s="16"/>
      <c r="U45" s="16"/>
      <c r="W45" s="11" t="s">
        <v>8</v>
      </c>
      <c r="X45" s="12" t="str">
        <f>VLOOKUP(LOWER(Z37),experiments_specs!$A:$J,9,FALSE)</f>
        <v>wup_similarity</v>
      </c>
      <c r="Y45" s="15" t="s">
        <v>109</v>
      </c>
      <c r="Z45" s="6" t="s">
        <v>17</v>
      </c>
      <c r="AA45" s="19"/>
      <c r="AB45" s="19"/>
      <c r="AC45" s="19"/>
      <c r="AD45" s="19"/>
      <c r="AE45" s="31"/>
      <c r="AF45" s="22"/>
      <c r="AG45" s="22"/>
      <c r="AH45" s="22"/>
      <c r="AI45" s="22"/>
      <c r="AJ45" s="34"/>
      <c r="AL45" s="16"/>
      <c r="AN45" s="16"/>
      <c r="AP45" s="11" t="s">
        <v>8</v>
      </c>
      <c r="AQ45" s="12" t="str">
        <f>VLOOKUP(LOWER(AS37),experiments_specs!$A:$J,9,FALSE)</f>
        <v>wup_similarity</v>
      </c>
      <c r="AR45" s="15" t="s">
        <v>115</v>
      </c>
      <c r="AS45" s="6"/>
      <c r="AT45" s="18"/>
      <c r="AU45" s="18"/>
      <c r="AV45" s="18"/>
      <c r="AW45" s="18"/>
      <c r="AX45" s="31"/>
      <c r="AY45" s="23"/>
      <c r="AZ45" s="23"/>
      <c r="BA45" s="23"/>
      <c r="BB45" s="23"/>
      <c r="BC45" s="34"/>
      <c r="BE45" s="16"/>
    </row>
    <row r="46" spans="2:57" x14ac:dyDescent="0.2">
      <c r="B46" s="16"/>
      <c r="D46" s="11" t="s">
        <v>9</v>
      </c>
      <c r="E46" s="12" t="str">
        <f>VLOOKUP(LOWER(G37),experiments_specs!$A:$J,10,FALSE)</f>
        <v>False</v>
      </c>
      <c r="F46" s="15" t="s">
        <v>103</v>
      </c>
      <c r="G46" s="7"/>
      <c r="H46" s="20"/>
      <c r="I46" s="20"/>
      <c r="J46" s="20"/>
      <c r="K46" s="20"/>
      <c r="L46" s="32"/>
      <c r="M46" s="24"/>
      <c r="N46" s="24"/>
      <c r="O46" s="24"/>
      <c r="P46" s="24"/>
      <c r="Q46" s="35"/>
      <c r="S46" s="16"/>
      <c r="U46" s="16"/>
      <c r="W46" s="11" t="s">
        <v>9</v>
      </c>
      <c r="X46" s="12" t="str">
        <f>VLOOKUP(LOWER(Z37),experiments_specs!$A:$J,10,FALSE)</f>
        <v>False</v>
      </c>
      <c r="Y46" s="15" t="s">
        <v>109</v>
      </c>
      <c r="Z46" s="7" t="s">
        <v>18</v>
      </c>
      <c r="AA46" s="20"/>
      <c r="AB46" s="20"/>
      <c r="AC46" s="20"/>
      <c r="AD46" s="20"/>
      <c r="AE46" s="32"/>
      <c r="AF46" s="24"/>
      <c r="AG46" s="24"/>
      <c r="AH46" s="24"/>
      <c r="AI46" s="24"/>
      <c r="AJ46" s="35"/>
      <c r="AL46" s="16"/>
      <c r="AN46" s="16"/>
      <c r="AP46" s="11" t="s">
        <v>9</v>
      </c>
      <c r="AQ46" s="12" t="str">
        <f>VLOOKUP(LOWER(AS37),experiments_specs!$A:$J,10,FALSE)</f>
        <v>True</v>
      </c>
      <c r="AR46" s="15" t="s">
        <v>115</v>
      </c>
      <c r="AS46" s="7"/>
      <c r="AT46" s="20"/>
      <c r="AU46" s="20"/>
      <c r="AV46" s="20"/>
      <c r="AW46" s="20"/>
      <c r="AX46" s="32"/>
      <c r="AY46" s="24"/>
      <c r="AZ46" s="24"/>
      <c r="BA46" s="24"/>
      <c r="BB46" s="24"/>
      <c r="BC46" s="35"/>
      <c r="BE46" s="16"/>
    </row>
    <row r="47" spans="2:57" ht="17" thickBot="1" x14ac:dyDescent="0.25">
      <c r="B47" s="16"/>
      <c r="S47" s="16"/>
      <c r="U47" s="16"/>
      <c r="AL47" s="16"/>
      <c r="AN47" s="16"/>
      <c r="BE47" s="16"/>
    </row>
    <row r="48" spans="2:57" ht="20" thickBot="1" x14ac:dyDescent="0.3">
      <c r="B48" s="16"/>
      <c r="D48" s="13" t="s">
        <v>126</v>
      </c>
      <c r="E48" s="14"/>
      <c r="F48" s="9"/>
      <c r="G48" s="10" t="str">
        <f>"TEST_"&amp;TEXT(RIGHT(G37,2)+1, "00")</f>
        <v>TEST_41</v>
      </c>
      <c r="H48" s="36" t="s">
        <v>124</v>
      </c>
      <c r="I48" s="36"/>
      <c r="J48" s="36"/>
      <c r="K48" s="36"/>
      <c r="L48" s="36"/>
      <c r="M48" s="37" t="s">
        <v>123</v>
      </c>
      <c r="N48" s="37"/>
      <c r="O48" s="37"/>
      <c r="P48" s="37"/>
      <c r="Q48" s="37"/>
      <c r="R48" s="2"/>
      <c r="S48" s="16"/>
      <c r="U48" s="16"/>
      <c r="W48" s="13" t="s">
        <v>126</v>
      </c>
      <c r="X48" s="14"/>
      <c r="Y48" s="9"/>
      <c r="Z48" s="10" t="str">
        <f>"TEST_"&amp;TEXT(RIGHT(Z37,2)+1, "00")</f>
        <v>TEST_47</v>
      </c>
      <c r="AA48" s="36" t="s">
        <v>124</v>
      </c>
      <c r="AB48" s="36"/>
      <c r="AC48" s="36"/>
      <c r="AD48" s="36"/>
      <c r="AE48" s="36"/>
      <c r="AF48" s="37" t="s">
        <v>123</v>
      </c>
      <c r="AG48" s="37"/>
      <c r="AH48" s="37"/>
      <c r="AI48" s="37"/>
      <c r="AJ48" s="37"/>
      <c r="AK48" s="2"/>
      <c r="AL48" s="16"/>
      <c r="AN48" s="16"/>
      <c r="AP48" s="13" t="s">
        <v>126</v>
      </c>
      <c r="AQ48" s="14"/>
      <c r="AR48" s="9"/>
      <c r="AS48" s="10" t="str">
        <f>"TEST_"&amp;TEXT(RIGHT(AS37,2)+1, "00")</f>
        <v>TEST_53</v>
      </c>
      <c r="AT48" s="36" t="s">
        <v>124</v>
      </c>
      <c r="AU48" s="36"/>
      <c r="AV48" s="36"/>
      <c r="AW48" s="36"/>
      <c r="AX48" s="36"/>
      <c r="AY48" s="37" t="s">
        <v>123</v>
      </c>
      <c r="AZ48" s="37"/>
      <c r="BA48" s="37"/>
      <c r="BB48" s="37"/>
      <c r="BC48" s="37"/>
      <c r="BD48" s="2"/>
      <c r="BE48" s="16"/>
    </row>
    <row r="49" spans="2:57" x14ac:dyDescent="0.2">
      <c r="B49" s="16"/>
      <c r="D49" s="11" t="s">
        <v>1</v>
      </c>
      <c r="E49" s="12" t="str">
        <f>VLOOKUP(LOWER(G48),experiments_specs!$A:$J,2,FALSE)</f>
        <v>NN,RB</v>
      </c>
      <c r="F49" s="15" t="str">
        <f>"{"&amp;LOWER(G48)&amp;".csv}"</f>
        <v>{test_41.csv}</v>
      </c>
      <c r="G49" s="8" t="s">
        <v>118</v>
      </c>
      <c r="H49" s="3" t="s">
        <v>119</v>
      </c>
      <c r="I49" s="3" t="s">
        <v>182</v>
      </c>
      <c r="J49" s="3" t="s">
        <v>120</v>
      </c>
      <c r="K49" s="3" t="s">
        <v>182</v>
      </c>
      <c r="L49" s="3" t="s">
        <v>121</v>
      </c>
      <c r="M49" s="4" t="s">
        <v>122</v>
      </c>
      <c r="N49" s="4" t="s">
        <v>182</v>
      </c>
      <c r="O49" s="4" t="s">
        <v>120</v>
      </c>
      <c r="P49" s="4" t="s">
        <v>182</v>
      </c>
      <c r="Q49" s="4" t="s">
        <v>121</v>
      </c>
      <c r="S49" s="16"/>
      <c r="U49" s="16"/>
      <c r="W49" s="11" t="s">
        <v>1</v>
      </c>
      <c r="X49" s="12" t="str">
        <f>VLOOKUP(LOWER(Z48),experiments_specs!$A:$J,2,FALSE)</f>
        <v>NN,RB</v>
      </c>
      <c r="Y49" s="15" t="str">
        <f>"{"&amp;LOWER(Z48)&amp;".csv}"</f>
        <v>{test_47.csv}</v>
      </c>
      <c r="Z49" s="8" t="s">
        <v>118</v>
      </c>
      <c r="AA49" s="3" t="s">
        <v>119</v>
      </c>
      <c r="AB49" s="3" t="s">
        <v>182</v>
      </c>
      <c r="AC49" s="3" t="s">
        <v>120</v>
      </c>
      <c r="AD49" s="3" t="s">
        <v>182</v>
      </c>
      <c r="AE49" s="3" t="s">
        <v>121</v>
      </c>
      <c r="AF49" s="4" t="s">
        <v>122</v>
      </c>
      <c r="AG49" s="4" t="s">
        <v>182</v>
      </c>
      <c r="AH49" s="4" t="s">
        <v>120</v>
      </c>
      <c r="AI49" s="4" t="s">
        <v>182</v>
      </c>
      <c r="AJ49" s="4" t="s">
        <v>121</v>
      </c>
      <c r="AL49" s="16"/>
      <c r="AN49" s="16"/>
      <c r="AP49" s="11" t="s">
        <v>1</v>
      </c>
      <c r="AQ49" s="12" t="str">
        <f>VLOOKUP(LOWER(AS48),experiments_specs!$A:$J,2,FALSE)</f>
        <v>NN,RB</v>
      </c>
      <c r="AR49" s="15" t="str">
        <f>"{"&amp;LOWER(AS48)&amp;".csv}"</f>
        <v>{test_53.csv}</v>
      </c>
      <c r="AS49" s="8" t="s">
        <v>118</v>
      </c>
      <c r="AT49" s="3" t="s">
        <v>119</v>
      </c>
      <c r="AU49" s="3" t="s">
        <v>182</v>
      </c>
      <c r="AV49" s="3" t="s">
        <v>120</v>
      </c>
      <c r="AW49" s="3" t="s">
        <v>182</v>
      </c>
      <c r="AX49" s="3" t="s">
        <v>121</v>
      </c>
      <c r="AY49" s="4" t="s">
        <v>122</v>
      </c>
      <c r="AZ49" s="4" t="s">
        <v>182</v>
      </c>
      <c r="BA49" s="4" t="s">
        <v>120</v>
      </c>
      <c r="BB49" s="4" t="s">
        <v>182</v>
      </c>
      <c r="BC49" s="4" t="s">
        <v>121</v>
      </c>
      <c r="BE49" s="16"/>
    </row>
    <row r="50" spans="2:57" x14ac:dyDescent="0.2">
      <c r="B50" s="16"/>
      <c r="D50" s="11" t="s">
        <v>2</v>
      </c>
      <c r="E50" s="12">
        <f>VLOOKUP(LOWER(G48),experiments_specs!$A:$J,3,FALSE)</f>
        <v>1</v>
      </c>
      <c r="F50" s="15" t="s">
        <v>104</v>
      </c>
      <c r="G50" s="5"/>
      <c r="H50" s="17"/>
      <c r="I50" s="17"/>
      <c r="J50" s="17"/>
      <c r="K50" s="17"/>
      <c r="L50" s="30"/>
      <c r="M50" s="21"/>
      <c r="N50" s="21"/>
      <c r="O50" s="21"/>
      <c r="P50" s="21"/>
      <c r="Q50" s="33"/>
      <c r="S50" s="16"/>
      <c r="U50" s="16"/>
      <c r="W50" s="11" t="s">
        <v>2</v>
      </c>
      <c r="X50" s="12">
        <f>VLOOKUP(LOWER(Z48),experiments_specs!$A:$J,3,FALSE)</f>
        <v>1</v>
      </c>
      <c r="Y50" s="15" t="s">
        <v>110</v>
      </c>
      <c r="Z50" s="5" t="s">
        <v>19</v>
      </c>
      <c r="AA50" s="17"/>
      <c r="AB50" s="17"/>
      <c r="AC50" s="17"/>
      <c r="AD50" s="17"/>
      <c r="AE50" s="30"/>
      <c r="AF50" s="21"/>
      <c r="AG50" s="21"/>
      <c r="AH50" s="21"/>
      <c r="AI50" s="21"/>
      <c r="AJ50" s="33"/>
      <c r="AL50" s="16"/>
      <c r="AN50" s="16"/>
      <c r="AP50" s="11" t="s">
        <v>2</v>
      </c>
      <c r="AQ50" s="12">
        <f>VLOOKUP(LOWER(AS48),experiments_specs!$A:$J,3,FALSE)</f>
        <v>1</v>
      </c>
      <c r="AR50" s="15" t="s">
        <v>116</v>
      </c>
      <c r="AS50" s="5"/>
      <c r="AT50" s="17"/>
      <c r="AU50" s="17"/>
      <c r="AV50" s="17"/>
      <c r="AW50" s="17"/>
      <c r="AX50" s="30"/>
      <c r="AY50" s="21"/>
      <c r="AZ50" s="21"/>
      <c r="BA50" s="21"/>
      <c r="BB50" s="21"/>
      <c r="BC50" s="33"/>
      <c r="BE50" s="16"/>
    </row>
    <row r="51" spans="2:57" x14ac:dyDescent="0.2">
      <c r="B51" s="16"/>
      <c r="D51" s="11" t="s">
        <v>3</v>
      </c>
      <c r="E51" s="12">
        <f>VLOOKUP(LOWER(G48),experiments_specs!$A:$J,4,FALSE)</f>
        <v>2</v>
      </c>
      <c r="F51" s="15" t="s">
        <v>104</v>
      </c>
      <c r="G51" s="6"/>
      <c r="H51" s="18"/>
      <c r="I51" s="18"/>
      <c r="J51" s="18"/>
      <c r="K51" s="18"/>
      <c r="L51" s="31"/>
      <c r="M51" s="22"/>
      <c r="N51" s="22"/>
      <c r="O51" s="22"/>
      <c r="P51" s="22"/>
      <c r="Q51" s="34"/>
      <c r="S51" s="16"/>
      <c r="U51" s="16"/>
      <c r="W51" s="11" t="s">
        <v>3</v>
      </c>
      <c r="X51" s="12">
        <f>VLOOKUP(LOWER(Z48),experiments_specs!$A:$J,4,FALSE)</f>
        <v>2</v>
      </c>
      <c r="Y51" s="15" t="s">
        <v>110</v>
      </c>
      <c r="Z51" s="6" t="s">
        <v>12</v>
      </c>
      <c r="AA51" s="18"/>
      <c r="AB51" s="18"/>
      <c r="AC51" s="18"/>
      <c r="AD51" s="18"/>
      <c r="AE51" s="31"/>
      <c r="AF51" s="23"/>
      <c r="AG51" s="23"/>
      <c r="AH51" s="23"/>
      <c r="AI51" s="23"/>
      <c r="AJ51" s="34"/>
      <c r="AL51" s="16"/>
      <c r="AN51" s="16"/>
      <c r="AP51" s="11" t="s">
        <v>3</v>
      </c>
      <c r="AQ51" s="12">
        <f>VLOOKUP(LOWER(AS48),experiments_specs!$A:$J,4,FALSE)</f>
        <v>2</v>
      </c>
      <c r="AR51" s="15" t="s">
        <v>116</v>
      </c>
      <c r="AS51" s="6"/>
      <c r="AT51" s="18"/>
      <c r="AU51" s="18"/>
      <c r="AV51" s="18"/>
      <c r="AW51" s="18"/>
      <c r="AX51" s="31"/>
      <c r="AY51" s="23"/>
      <c r="AZ51" s="23"/>
      <c r="BA51" s="23"/>
      <c r="BB51" s="23"/>
      <c r="BC51" s="34"/>
      <c r="BE51" s="16"/>
    </row>
    <row r="52" spans="2:57" x14ac:dyDescent="0.2">
      <c r="B52" s="16"/>
      <c r="D52" s="11" t="s">
        <v>4</v>
      </c>
      <c r="E52" s="12" t="str">
        <f>VLOOKUP(LOWER(G48),experiments_specs!$A:$J,5,FALSE)</f>
        <v>False</v>
      </c>
      <c r="F52" s="15" t="s">
        <v>104</v>
      </c>
      <c r="G52" s="6"/>
      <c r="H52" s="19"/>
      <c r="I52" s="19"/>
      <c r="J52" s="19"/>
      <c r="K52" s="19"/>
      <c r="L52" s="31"/>
      <c r="M52" s="22"/>
      <c r="N52" s="22"/>
      <c r="O52" s="22"/>
      <c r="P52" s="22"/>
      <c r="Q52" s="34"/>
      <c r="S52" s="16"/>
      <c r="U52" s="16"/>
      <c r="W52" s="11" t="s">
        <v>4</v>
      </c>
      <c r="X52" s="12" t="str">
        <f>VLOOKUP(LOWER(Z48),experiments_specs!$A:$J,5,FALSE)</f>
        <v>True</v>
      </c>
      <c r="Y52" s="15" t="s">
        <v>110</v>
      </c>
      <c r="Z52" s="6" t="s">
        <v>13</v>
      </c>
      <c r="AA52" s="19"/>
      <c r="AB52" s="19"/>
      <c r="AC52" s="19"/>
      <c r="AD52" s="19"/>
      <c r="AE52" s="31"/>
      <c r="AF52" s="22"/>
      <c r="AG52" s="22"/>
      <c r="AH52" s="22"/>
      <c r="AI52" s="22"/>
      <c r="AJ52" s="34"/>
      <c r="AL52" s="16"/>
      <c r="AN52" s="16"/>
      <c r="AP52" s="11" t="s">
        <v>4</v>
      </c>
      <c r="AQ52" s="12" t="str">
        <f>VLOOKUP(LOWER(AS48),experiments_specs!$A:$J,5,FALSE)</f>
        <v>True</v>
      </c>
      <c r="AR52" s="15" t="s">
        <v>116</v>
      </c>
      <c r="AS52" s="6"/>
      <c r="AT52" s="19"/>
      <c r="AU52" s="19"/>
      <c r="AV52" s="19"/>
      <c r="AW52" s="19"/>
      <c r="AX52" s="31"/>
      <c r="AY52" s="22"/>
      <c r="AZ52" s="22"/>
      <c r="BA52" s="22"/>
      <c r="BB52" s="22"/>
      <c r="BC52" s="34"/>
      <c r="BE52" s="16"/>
    </row>
    <row r="53" spans="2:57" x14ac:dyDescent="0.2">
      <c r="B53" s="16"/>
      <c r="D53" s="11" t="s">
        <v>5</v>
      </c>
      <c r="E53" s="12" t="str">
        <f>VLOOKUP(LOWER(G48),experiments_specs!$A:$J,6,FALSE)</f>
        <v>True</v>
      </c>
      <c r="F53" s="15" t="s">
        <v>104</v>
      </c>
      <c r="G53" s="6"/>
      <c r="H53" s="19"/>
      <c r="I53" s="19"/>
      <c r="J53" s="19"/>
      <c r="K53" s="19"/>
      <c r="L53" s="31"/>
      <c r="M53" s="22"/>
      <c r="N53" s="22"/>
      <c r="O53" s="22"/>
      <c r="P53" s="22"/>
      <c r="Q53" s="34"/>
      <c r="S53" s="16"/>
      <c r="U53" s="16"/>
      <c r="W53" s="11" t="s">
        <v>5</v>
      </c>
      <c r="X53" s="12" t="str">
        <f>VLOOKUP(LOWER(Z48),experiments_specs!$A:$J,6,FALSE)</f>
        <v>True</v>
      </c>
      <c r="Y53" s="15" t="s">
        <v>110</v>
      </c>
      <c r="Z53" s="6" t="s">
        <v>14</v>
      </c>
      <c r="AA53" s="18"/>
      <c r="AB53" s="18"/>
      <c r="AC53" s="18"/>
      <c r="AD53" s="18"/>
      <c r="AE53" s="31"/>
      <c r="AF53" s="23"/>
      <c r="AG53" s="23"/>
      <c r="AH53" s="23"/>
      <c r="AI53" s="23"/>
      <c r="AJ53" s="34"/>
      <c r="AL53" s="16"/>
      <c r="AN53" s="16"/>
      <c r="AP53" s="11" t="s">
        <v>5</v>
      </c>
      <c r="AQ53" s="12" t="str">
        <f>VLOOKUP(LOWER(AS48),experiments_specs!$A:$J,6,FALSE)</f>
        <v>True</v>
      </c>
      <c r="AR53" s="15" t="s">
        <v>116</v>
      </c>
      <c r="AS53" s="6"/>
      <c r="AT53" s="18"/>
      <c r="AU53" s="18"/>
      <c r="AV53" s="18"/>
      <c r="AW53" s="18"/>
      <c r="AX53" s="31"/>
      <c r="AY53" s="23"/>
      <c r="AZ53" s="23"/>
      <c r="BA53" s="23"/>
      <c r="BB53" s="23"/>
      <c r="BC53" s="34"/>
      <c r="BE53" s="16"/>
    </row>
    <row r="54" spans="2:57" x14ac:dyDescent="0.2">
      <c r="B54" s="16"/>
      <c r="D54" s="11" t="s">
        <v>6</v>
      </c>
      <c r="E54" s="12" t="str">
        <f>VLOOKUP(LOWER(G48),experiments_specs!$A:$J,7,FALSE)</f>
        <v>True</v>
      </c>
      <c r="F54" s="15" t="s">
        <v>104</v>
      </c>
      <c r="G54" s="6"/>
      <c r="H54" s="19"/>
      <c r="I54" s="19"/>
      <c r="J54" s="19"/>
      <c r="K54" s="19"/>
      <c r="L54" s="31"/>
      <c r="M54" s="23"/>
      <c r="N54" s="23"/>
      <c r="O54" s="23"/>
      <c r="P54" s="23"/>
      <c r="Q54" s="34"/>
      <c r="S54" s="16"/>
      <c r="U54" s="16"/>
      <c r="W54" s="11" t="s">
        <v>6</v>
      </c>
      <c r="X54" s="12" t="str">
        <f>VLOOKUP(LOWER(Z48),experiments_specs!$A:$J,7,FALSE)</f>
        <v>True</v>
      </c>
      <c r="Y54" s="15" t="s">
        <v>110</v>
      </c>
      <c r="Z54" s="6" t="s">
        <v>15</v>
      </c>
      <c r="AA54" s="19"/>
      <c r="AB54" s="19"/>
      <c r="AC54" s="19"/>
      <c r="AD54" s="19"/>
      <c r="AE54" s="31"/>
      <c r="AF54" s="23"/>
      <c r="AG54" s="23"/>
      <c r="AH54" s="23"/>
      <c r="AI54" s="23"/>
      <c r="AJ54" s="34"/>
      <c r="AL54" s="16"/>
      <c r="AN54" s="16"/>
      <c r="AP54" s="11" t="s">
        <v>6</v>
      </c>
      <c r="AQ54" s="12" t="str">
        <f>VLOOKUP(LOWER(AS48),experiments_specs!$A:$J,7,FALSE)</f>
        <v>True</v>
      </c>
      <c r="AR54" s="15" t="s">
        <v>116</v>
      </c>
      <c r="AS54" s="6"/>
      <c r="AT54" s="19"/>
      <c r="AU54" s="19"/>
      <c r="AV54" s="19"/>
      <c r="AW54" s="19"/>
      <c r="AX54" s="31"/>
      <c r="AY54" s="23"/>
      <c r="AZ54" s="23"/>
      <c r="BA54" s="23"/>
      <c r="BB54" s="23"/>
      <c r="BC54" s="34"/>
      <c r="BE54" s="16"/>
    </row>
    <row r="55" spans="2:57" x14ac:dyDescent="0.2">
      <c r="B55" s="16"/>
      <c r="D55" s="11" t="s">
        <v>7</v>
      </c>
      <c r="E55" s="12" t="str">
        <f>VLOOKUP(LOWER(G48),experiments_specs!$A:$J,8,FALSE)</f>
        <v>True</v>
      </c>
      <c r="F55" s="15" t="s">
        <v>104</v>
      </c>
      <c r="G55" s="6"/>
      <c r="H55" s="19"/>
      <c r="I55" s="19"/>
      <c r="J55" s="19"/>
      <c r="K55" s="19"/>
      <c r="L55" s="31"/>
      <c r="M55" s="23"/>
      <c r="N55" s="23"/>
      <c r="O55" s="23"/>
      <c r="P55" s="23"/>
      <c r="Q55" s="34"/>
      <c r="S55" s="16"/>
      <c r="U55" s="16"/>
      <c r="W55" s="11" t="s">
        <v>7</v>
      </c>
      <c r="X55" s="12" t="str">
        <f>VLOOKUP(LOWER(Z48),experiments_specs!$A:$J,8,FALSE)</f>
        <v>True</v>
      </c>
      <c r="Y55" s="15" t="s">
        <v>110</v>
      </c>
      <c r="Z55" s="6" t="s">
        <v>16</v>
      </c>
      <c r="AA55" s="19"/>
      <c r="AB55" s="19"/>
      <c r="AC55" s="19"/>
      <c r="AD55" s="19"/>
      <c r="AE55" s="31"/>
      <c r="AF55" s="23"/>
      <c r="AG55" s="23"/>
      <c r="AH55" s="23"/>
      <c r="AI55" s="23"/>
      <c r="AJ55" s="34"/>
      <c r="AL55" s="16"/>
      <c r="AN55" s="16"/>
      <c r="AP55" s="11" t="s">
        <v>7</v>
      </c>
      <c r="AQ55" s="12" t="str">
        <f>VLOOKUP(LOWER(AS48),experiments_specs!$A:$J,8,FALSE)</f>
        <v>True</v>
      </c>
      <c r="AR55" s="15" t="s">
        <v>116</v>
      </c>
      <c r="AS55" s="6"/>
      <c r="AT55" s="19"/>
      <c r="AU55" s="19"/>
      <c r="AV55" s="19"/>
      <c r="AW55" s="19"/>
      <c r="AX55" s="31"/>
      <c r="AY55" s="23"/>
      <c r="AZ55" s="23"/>
      <c r="BA55" s="23"/>
      <c r="BB55" s="23"/>
      <c r="BC55" s="34"/>
      <c r="BE55" s="16"/>
    </row>
    <row r="56" spans="2:57" x14ac:dyDescent="0.2">
      <c r="B56" s="16"/>
      <c r="D56" s="11" t="s">
        <v>8</v>
      </c>
      <c r="E56" s="12" t="str">
        <f>VLOOKUP(LOWER(G48),experiments_specs!$A:$J,9,FALSE)</f>
        <v>wup_similarity</v>
      </c>
      <c r="F56" s="15" t="s">
        <v>104</v>
      </c>
      <c r="G56" s="6"/>
      <c r="H56" s="19"/>
      <c r="I56" s="19"/>
      <c r="J56" s="19"/>
      <c r="K56" s="19"/>
      <c r="L56" s="31"/>
      <c r="M56" s="22"/>
      <c r="N56" s="22"/>
      <c r="O56" s="22"/>
      <c r="P56" s="22"/>
      <c r="Q56" s="34"/>
      <c r="S56" s="16"/>
      <c r="U56" s="16"/>
      <c r="W56" s="11" t="s">
        <v>8</v>
      </c>
      <c r="X56" s="12" t="str">
        <f>VLOOKUP(LOWER(Z48),experiments_specs!$A:$J,9,FALSE)</f>
        <v>wup_similarity</v>
      </c>
      <c r="Y56" s="15" t="s">
        <v>110</v>
      </c>
      <c r="Z56" s="6" t="s">
        <v>17</v>
      </c>
      <c r="AA56" s="18"/>
      <c r="AB56" s="18"/>
      <c r="AC56" s="18"/>
      <c r="AD56" s="18"/>
      <c r="AE56" s="31"/>
      <c r="AF56" s="23"/>
      <c r="AG56" s="23"/>
      <c r="AH56" s="23"/>
      <c r="AI56" s="23"/>
      <c r="AJ56" s="34"/>
      <c r="AL56" s="16"/>
      <c r="AN56" s="16"/>
      <c r="AP56" s="11" t="s">
        <v>8</v>
      </c>
      <c r="AQ56" s="12" t="str">
        <f>VLOOKUP(LOWER(AS48),experiments_specs!$A:$J,9,FALSE)</f>
        <v>wup_similarity</v>
      </c>
      <c r="AR56" s="15" t="s">
        <v>116</v>
      </c>
      <c r="AS56" s="6"/>
      <c r="AT56" s="18"/>
      <c r="AU56" s="18"/>
      <c r="AV56" s="18"/>
      <c r="AW56" s="18"/>
      <c r="AX56" s="31"/>
      <c r="AY56" s="23"/>
      <c r="AZ56" s="23"/>
      <c r="BA56" s="23"/>
      <c r="BB56" s="23"/>
      <c r="BC56" s="34"/>
      <c r="BE56" s="16"/>
    </row>
    <row r="57" spans="2:57" x14ac:dyDescent="0.2">
      <c r="B57" s="16"/>
      <c r="D57" s="11" t="s">
        <v>9</v>
      </c>
      <c r="E57" s="12" t="str">
        <f>VLOOKUP(LOWER(G48),experiments_specs!$A:$J,10,FALSE)</f>
        <v>False</v>
      </c>
      <c r="F57" s="15" t="s">
        <v>104</v>
      </c>
      <c r="G57" s="7"/>
      <c r="H57" s="20"/>
      <c r="I57" s="20"/>
      <c r="J57" s="20"/>
      <c r="K57" s="20"/>
      <c r="L57" s="32"/>
      <c r="M57" s="24"/>
      <c r="N57" s="24"/>
      <c r="O57" s="24"/>
      <c r="P57" s="24"/>
      <c r="Q57" s="35"/>
      <c r="S57" s="16"/>
      <c r="U57" s="16"/>
      <c r="W57" s="11" t="s">
        <v>9</v>
      </c>
      <c r="X57" s="12" t="str">
        <f>VLOOKUP(LOWER(Z48),experiments_specs!$A:$J,10,FALSE)</f>
        <v>False</v>
      </c>
      <c r="Y57" s="15" t="s">
        <v>110</v>
      </c>
      <c r="Z57" s="7" t="s">
        <v>18</v>
      </c>
      <c r="AA57" s="20"/>
      <c r="AB57" s="20"/>
      <c r="AC57" s="20"/>
      <c r="AD57" s="20"/>
      <c r="AE57" s="32"/>
      <c r="AF57" s="24"/>
      <c r="AG57" s="24"/>
      <c r="AH57" s="24"/>
      <c r="AI57" s="24"/>
      <c r="AJ57" s="35"/>
      <c r="AL57" s="16"/>
      <c r="AN57" s="16"/>
      <c r="AP57" s="11" t="s">
        <v>9</v>
      </c>
      <c r="AQ57" s="12" t="str">
        <f>VLOOKUP(LOWER(AS48),experiments_specs!$A:$J,10,FALSE)</f>
        <v>True</v>
      </c>
      <c r="AR57" s="15" t="s">
        <v>116</v>
      </c>
      <c r="AS57" s="7"/>
      <c r="AT57" s="20"/>
      <c r="AU57" s="20"/>
      <c r="AV57" s="20"/>
      <c r="AW57" s="20"/>
      <c r="AX57" s="32"/>
      <c r="AY57" s="24"/>
      <c r="AZ57" s="24"/>
      <c r="BA57" s="24"/>
      <c r="BB57" s="24"/>
      <c r="BC57" s="35"/>
      <c r="BE57" s="16"/>
    </row>
    <row r="58" spans="2:57" ht="17" thickBot="1" x14ac:dyDescent="0.25">
      <c r="B58" s="16"/>
      <c r="S58" s="16"/>
      <c r="U58" s="16"/>
      <c r="AL58" s="16"/>
      <c r="AN58" s="16"/>
      <c r="BE58" s="16"/>
    </row>
    <row r="59" spans="2:57" ht="20" thickBot="1" x14ac:dyDescent="0.3">
      <c r="B59" s="16"/>
      <c r="D59" s="13" t="s">
        <v>126</v>
      </c>
      <c r="E59" s="14"/>
      <c r="F59" s="9"/>
      <c r="G59" s="10" t="str">
        <f>"TEST_"&amp;TEXT(RIGHT(G48,2)+1, "00")</f>
        <v>TEST_42</v>
      </c>
      <c r="H59" s="36" t="s">
        <v>124</v>
      </c>
      <c r="I59" s="36"/>
      <c r="J59" s="36"/>
      <c r="K59" s="36"/>
      <c r="L59" s="36"/>
      <c r="M59" s="37" t="s">
        <v>123</v>
      </c>
      <c r="N59" s="37"/>
      <c r="O59" s="37"/>
      <c r="P59" s="37"/>
      <c r="Q59" s="37"/>
      <c r="R59" s="2"/>
      <c r="S59" s="16"/>
      <c r="U59" s="16"/>
      <c r="W59" s="13" t="s">
        <v>126</v>
      </c>
      <c r="X59" s="14"/>
      <c r="Y59" s="9"/>
      <c r="Z59" s="10" t="str">
        <f>"TEST_"&amp;TEXT(RIGHT(Z48,2)+1, "00")</f>
        <v>TEST_48</v>
      </c>
      <c r="AA59" s="36" t="s">
        <v>124</v>
      </c>
      <c r="AB59" s="36"/>
      <c r="AC59" s="36"/>
      <c r="AD59" s="36"/>
      <c r="AE59" s="36"/>
      <c r="AF59" s="37" t="s">
        <v>123</v>
      </c>
      <c r="AG59" s="37"/>
      <c r="AH59" s="37"/>
      <c r="AI59" s="37"/>
      <c r="AJ59" s="37"/>
      <c r="AK59" s="2"/>
      <c r="AL59" s="16"/>
      <c r="AN59" s="16"/>
      <c r="AP59" s="13" t="s">
        <v>126</v>
      </c>
      <c r="AQ59" s="14"/>
      <c r="AR59" s="9"/>
      <c r="AS59" s="10" t="str">
        <f>"TEST_"&amp;TEXT(RIGHT(AS48,2)+1, "00")</f>
        <v>TEST_54</v>
      </c>
      <c r="AT59" s="36" t="s">
        <v>124</v>
      </c>
      <c r="AU59" s="36"/>
      <c r="AV59" s="36"/>
      <c r="AW59" s="36"/>
      <c r="AX59" s="36"/>
      <c r="AY59" s="37" t="s">
        <v>123</v>
      </c>
      <c r="AZ59" s="37"/>
      <c r="BA59" s="37"/>
      <c r="BB59" s="37"/>
      <c r="BC59" s="37"/>
      <c r="BD59" s="2"/>
      <c r="BE59" s="16"/>
    </row>
    <row r="60" spans="2:57" x14ac:dyDescent="0.2">
      <c r="B60" s="16"/>
      <c r="D60" s="11" t="s">
        <v>1</v>
      </c>
      <c r="E60" s="12" t="str">
        <f>VLOOKUP(LOWER(G59),experiments_specs!$A:$J,2,FALSE)</f>
        <v>NN,JJ,VB,VBD,VBG,VBN,VBP,VBZ</v>
      </c>
      <c r="F60" s="15" t="str">
        <f>"{"&amp;LOWER(G59)&amp;".csv}"</f>
        <v>{test_42.csv}</v>
      </c>
      <c r="G60" s="8" t="s">
        <v>118</v>
      </c>
      <c r="H60" s="3" t="s">
        <v>119</v>
      </c>
      <c r="I60" s="3" t="s">
        <v>182</v>
      </c>
      <c r="J60" s="3" t="s">
        <v>120</v>
      </c>
      <c r="K60" s="3" t="s">
        <v>182</v>
      </c>
      <c r="L60" s="3" t="s">
        <v>121</v>
      </c>
      <c r="M60" s="4" t="s">
        <v>122</v>
      </c>
      <c r="N60" s="4" t="s">
        <v>182</v>
      </c>
      <c r="O60" s="4" t="s">
        <v>120</v>
      </c>
      <c r="P60" s="4" t="s">
        <v>182</v>
      </c>
      <c r="Q60" s="4" t="s">
        <v>121</v>
      </c>
      <c r="S60" s="16"/>
      <c r="U60" s="16"/>
      <c r="W60" s="11" t="s">
        <v>1</v>
      </c>
      <c r="X60" s="12" t="str">
        <f>VLOOKUP(LOWER(Z59),experiments_specs!$A:$J,2,FALSE)</f>
        <v>NN,JJ,VB,VBD,VBG,VBN,VBP,VBZ</v>
      </c>
      <c r="Y60" s="15" t="str">
        <f>"{"&amp;LOWER(Z59)&amp;".csv}"</f>
        <v>{test_48.csv}</v>
      </c>
      <c r="Z60" s="8" t="s">
        <v>118</v>
      </c>
      <c r="AA60" s="3" t="s">
        <v>119</v>
      </c>
      <c r="AB60" s="3" t="s">
        <v>182</v>
      </c>
      <c r="AC60" s="3" t="s">
        <v>120</v>
      </c>
      <c r="AD60" s="3" t="s">
        <v>182</v>
      </c>
      <c r="AE60" s="3" t="s">
        <v>121</v>
      </c>
      <c r="AF60" s="4" t="s">
        <v>122</v>
      </c>
      <c r="AG60" s="4" t="s">
        <v>182</v>
      </c>
      <c r="AH60" s="4" t="s">
        <v>120</v>
      </c>
      <c r="AI60" s="4" t="s">
        <v>182</v>
      </c>
      <c r="AJ60" s="4" t="s">
        <v>121</v>
      </c>
      <c r="AL60" s="16"/>
      <c r="AN60" s="16"/>
      <c r="AP60" s="11" t="s">
        <v>1</v>
      </c>
      <c r="AQ60" s="12" t="str">
        <f>VLOOKUP(LOWER(AS59),experiments_specs!$A:$J,2,FALSE)</f>
        <v>NN,JJ,VB,VBD,VBG,VBN,VBP,VBZ</v>
      </c>
      <c r="AR60" s="15" t="str">
        <f>"{"&amp;LOWER(AS59)&amp;".csv}"</f>
        <v>{test_54.csv}</v>
      </c>
      <c r="AS60" s="8" t="s">
        <v>118</v>
      </c>
      <c r="AT60" s="3" t="s">
        <v>119</v>
      </c>
      <c r="AU60" s="3" t="s">
        <v>182</v>
      </c>
      <c r="AV60" s="3" t="s">
        <v>120</v>
      </c>
      <c r="AW60" s="3" t="s">
        <v>182</v>
      </c>
      <c r="AX60" s="3" t="s">
        <v>121</v>
      </c>
      <c r="AY60" s="4" t="s">
        <v>122</v>
      </c>
      <c r="AZ60" s="4" t="s">
        <v>182</v>
      </c>
      <c r="BA60" s="4" t="s">
        <v>120</v>
      </c>
      <c r="BB60" s="4" t="s">
        <v>182</v>
      </c>
      <c r="BC60" s="4" t="s">
        <v>121</v>
      </c>
      <c r="BE60" s="16"/>
    </row>
    <row r="61" spans="2:57" x14ac:dyDescent="0.2">
      <c r="B61" s="16"/>
      <c r="D61" s="11" t="s">
        <v>2</v>
      </c>
      <c r="E61" s="12">
        <f>VLOOKUP(LOWER(G59),experiments_specs!$A:$J,3,FALSE)</f>
        <v>1</v>
      </c>
      <c r="F61" s="15" t="s">
        <v>105</v>
      </c>
      <c r="G61" s="5"/>
      <c r="H61" s="17"/>
      <c r="I61" s="17"/>
      <c r="J61" s="17"/>
      <c r="K61" s="17"/>
      <c r="L61" s="30"/>
      <c r="M61" s="21"/>
      <c r="N61" s="21"/>
      <c r="O61" s="21"/>
      <c r="P61" s="21"/>
      <c r="Q61" s="33"/>
      <c r="S61" s="16"/>
      <c r="U61" s="16"/>
      <c r="W61" s="11" t="s">
        <v>2</v>
      </c>
      <c r="X61" s="12">
        <f>VLOOKUP(LOWER(Z59),experiments_specs!$A:$J,3,FALSE)</f>
        <v>1</v>
      </c>
      <c r="Y61" s="15" t="s">
        <v>111</v>
      </c>
      <c r="Z61" s="5" t="s">
        <v>19</v>
      </c>
      <c r="AA61" s="17"/>
      <c r="AB61" s="17"/>
      <c r="AC61" s="17"/>
      <c r="AD61" s="17"/>
      <c r="AE61" s="30"/>
      <c r="AF61" s="21"/>
      <c r="AG61" s="21"/>
      <c r="AH61" s="21"/>
      <c r="AI61" s="21"/>
      <c r="AJ61" s="33"/>
      <c r="AL61" s="16"/>
      <c r="AN61" s="16"/>
      <c r="AP61" s="11" t="s">
        <v>2</v>
      </c>
      <c r="AQ61" s="12">
        <f>VLOOKUP(LOWER(AS59),experiments_specs!$A:$J,3,FALSE)</f>
        <v>1</v>
      </c>
      <c r="AR61" s="15" t="s">
        <v>117</v>
      </c>
      <c r="AS61" s="5"/>
      <c r="AT61" s="17"/>
      <c r="AU61" s="17"/>
      <c r="AV61" s="17"/>
      <c r="AW61" s="17"/>
      <c r="AX61" s="30"/>
      <c r="AY61" s="21"/>
      <c r="AZ61" s="21"/>
      <c r="BA61" s="21"/>
      <c r="BB61" s="21"/>
      <c r="BC61" s="33"/>
      <c r="BE61" s="16"/>
    </row>
    <row r="62" spans="2:57" x14ac:dyDescent="0.2">
      <c r="B62" s="16"/>
      <c r="D62" s="11" t="s">
        <v>3</v>
      </c>
      <c r="E62" s="12">
        <f>VLOOKUP(LOWER(G59),experiments_specs!$A:$J,4,FALSE)</f>
        <v>2</v>
      </c>
      <c r="F62" s="15" t="s">
        <v>105</v>
      </c>
      <c r="G62" s="6"/>
      <c r="H62" s="18"/>
      <c r="I62" s="18"/>
      <c r="J62" s="18"/>
      <c r="K62" s="18"/>
      <c r="L62" s="31"/>
      <c r="M62" s="22"/>
      <c r="N62" s="22"/>
      <c r="O62" s="22"/>
      <c r="P62" s="22"/>
      <c r="Q62" s="34"/>
      <c r="S62" s="16"/>
      <c r="U62" s="16"/>
      <c r="W62" s="11" t="s">
        <v>3</v>
      </c>
      <c r="X62" s="12">
        <f>VLOOKUP(LOWER(Z59),experiments_specs!$A:$J,4,FALSE)</f>
        <v>2</v>
      </c>
      <c r="Y62" s="15" t="s">
        <v>111</v>
      </c>
      <c r="Z62" s="6" t="s">
        <v>12</v>
      </c>
      <c r="AA62" s="18"/>
      <c r="AB62" s="18"/>
      <c r="AC62" s="18"/>
      <c r="AD62" s="18"/>
      <c r="AE62" s="31"/>
      <c r="AF62" s="23"/>
      <c r="AG62" s="23"/>
      <c r="AH62" s="23"/>
      <c r="AI62" s="23"/>
      <c r="AJ62" s="34"/>
      <c r="AL62" s="16"/>
      <c r="AN62" s="16"/>
      <c r="AP62" s="11" t="s">
        <v>3</v>
      </c>
      <c r="AQ62" s="12">
        <f>VLOOKUP(LOWER(AS59),experiments_specs!$A:$J,4,FALSE)</f>
        <v>2</v>
      </c>
      <c r="AR62" s="15" t="s">
        <v>117</v>
      </c>
      <c r="AS62" s="6"/>
      <c r="AT62" s="18"/>
      <c r="AU62" s="18"/>
      <c r="AV62" s="18"/>
      <c r="AW62" s="18"/>
      <c r="AX62" s="31"/>
      <c r="AY62" s="23"/>
      <c r="AZ62" s="23"/>
      <c r="BA62" s="23"/>
      <c r="BB62" s="23"/>
      <c r="BC62" s="34"/>
      <c r="BE62" s="16"/>
    </row>
    <row r="63" spans="2:57" x14ac:dyDescent="0.2">
      <c r="B63" s="16"/>
      <c r="D63" s="11" t="s">
        <v>4</v>
      </c>
      <c r="E63" s="12" t="str">
        <f>VLOOKUP(LOWER(G59),experiments_specs!$A:$J,5,FALSE)</f>
        <v>False</v>
      </c>
      <c r="F63" s="15" t="s">
        <v>105</v>
      </c>
      <c r="G63" s="6"/>
      <c r="H63" s="19"/>
      <c r="I63" s="19"/>
      <c r="J63" s="19"/>
      <c r="K63" s="19"/>
      <c r="L63" s="31"/>
      <c r="M63" s="22"/>
      <c r="N63" s="22"/>
      <c r="O63" s="22"/>
      <c r="P63" s="22"/>
      <c r="Q63" s="34"/>
      <c r="S63" s="16"/>
      <c r="U63" s="16"/>
      <c r="W63" s="11" t="s">
        <v>4</v>
      </c>
      <c r="X63" s="12" t="str">
        <f>VLOOKUP(LOWER(Z59),experiments_specs!$A:$J,5,FALSE)</f>
        <v>True</v>
      </c>
      <c r="Y63" s="15" t="s">
        <v>111</v>
      </c>
      <c r="Z63" s="6" t="s">
        <v>13</v>
      </c>
      <c r="AA63" s="19"/>
      <c r="AB63" s="19"/>
      <c r="AC63" s="19"/>
      <c r="AD63" s="19"/>
      <c r="AE63" s="31"/>
      <c r="AF63" s="22"/>
      <c r="AG63" s="22"/>
      <c r="AH63" s="22"/>
      <c r="AI63" s="22"/>
      <c r="AJ63" s="34"/>
      <c r="AL63" s="16"/>
      <c r="AN63" s="16"/>
      <c r="AP63" s="11" t="s">
        <v>4</v>
      </c>
      <c r="AQ63" s="12" t="str">
        <f>VLOOKUP(LOWER(AS59),experiments_specs!$A:$J,5,FALSE)</f>
        <v>True</v>
      </c>
      <c r="AR63" s="15" t="s">
        <v>117</v>
      </c>
      <c r="AS63" s="6"/>
      <c r="AT63" s="19"/>
      <c r="AU63" s="19"/>
      <c r="AV63" s="19"/>
      <c r="AW63" s="19"/>
      <c r="AX63" s="31"/>
      <c r="AY63" s="22"/>
      <c r="AZ63" s="22"/>
      <c r="BA63" s="22"/>
      <c r="BB63" s="22"/>
      <c r="BC63" s="34"/>
      <c r="BE63" s="16"/>
    </row>
    <row r="64" spans="2:57" x14ac:dyDescent="0.2">
      <c r="B64" s="16"/>
      <c r="D64" s="11" t="s">
        <v>5</v>
      </c>
      <c r="E64" s="12" t="str">
        <f>VLOOKUP(LOWER(G59),experiments_specs!$A:$J,6,FALSE)</f>
        <v>True</v>
      </c>
      <c r="F64" s="15" t="s">
        <v>105</v>
      </c>
      <c r="G64" s="6"/>
      <c r="H64" s="19"/>
      <c r="I64" s="19"/>
      <c r="J64" s="19"/>
      <c r="K64" s="19"/>
      <c r="L64" s="31"/>
      <c r="M64" s="22"/>
      <c r="N64" s="22"/>
      <c r="O64" s="22"/>
      <c r="P64" s="22"/>
      <c r="Q64" s="34"/>
      <c r="S64" s="16"/>
      <c r="U64" s="16"/>
      <c r="W64" s="11" t="s">
        <v>5</v>
      </c>
      <c r="X64" s="12" t="str">
        <f>VLOOKUP(LOWER(Z59),experiments_specs!$A:$J,6,FALSE)</f>
        <v>True</v>
      </c>
      <c r="Y64" s="15" t="s">
        <v>111</v>
      </c>
      <c r="Z64" s="6" t="s">
        <v>14</v>
      </c>
      <c r="AA64" s="18"/>
      <c r="AB64" s="18"/>
      <c r="AC64" s="18"/>
      <c r="AD64" s="18"/>
      <c r="AE64" s="31"/>
      <c r="AF64" s="23"/>
      <c r="AG64" s="23"/>
      <c r="AH64" s="23"/>
      <c r="AI64" s="23"/>
      <c r="AJ64" s="34"/>
      <c r="AL64" s="16"/>
      <c r="AN64" s="16"/>
      <c r="AP64" s="11" t="s">
        <v>5</v>
      </c>
      <c r="AQ64" s="12" t="str">
        <f>VLOOKUP(LOWER(AS59),experiments_specs!$A:$J,6,FALSE)</f>
        <v>True</v>
      </c>
      <c r="AR64" s="15" t="s">
        <v>117</v>
      </c>
      <c r="AS64" s="6"/>
      <c r="AT64" s="18"/>
      <c r="AU64" s="18"/>
      <c r="AV64" s="18"/>
      <c r="AW64" s="18"/>
      <c r="AX64" s="31"/>
      <c r="AY64" s="23"/>
      <c r="AZ64" s="23"/>
      <c r="BA64" s="23"/>
      <c r="BB64" s="23"/>
      <c r="BC64" s="34"/>
      <c r="BE64" s="16"/>
    </row>
    <row r="65" spans="2:57" x14ac:dyDescent="0.2">
      <c r="B65" s="16"/>
      <c r="D65" s="11" t="s">
        <v>6</v>
      </c>
      <c r="E65" s="12" t="str">
        <f>VLOOKUP(LOWER(G59),experiments_specs!$A:$J,7,FALSE)</f>
        <v>True</v>
      </c>
      <c r="F65" s="15" t="s">
        <v>105</v>
      </c>
      <c r="G65" s="6"/>
      <c r="H65" s="19"/>
      <c r="I65" s="19"/>
      <c r="J65" s="19"/>
      <c r="K65" s="19"/>
      <c r="L65" s="31"/>
      <c r="M65" s="23"/>
      <c r="N65" s="23"/>
      <c r="O65" s="23"/>
      <c r="P65" s="23"/>
      <c r="Q65" s="34"/>
      <c r="S65" s="16"/>
      <c r="U65" s="16"/>
      <c r="W65" s="11" t="s">
        <v>6</v>
      </c>
      <c r="X65" s="12" t="str">
        <f>VLOOKUP(LOWER(Z59),experiments_specs!$A:$J,7,FALSE)</f>
        <v>True</v>
      </c>
      <c r="Y65" s="15" t="s">
        <v>111</v>
      </c>
      <c r="Z65" s="6" t="s">
        <v>15</v>
      </c>
      <c r="AA65" s="19"/>
      <c r="AB65" s="19"/>
      <c r="AC65" s="19"/>
      <c r="AD65" s="19"/>
      <c r="AE65" s="31"/>
      <c r="AF65" s="23"/>
      <c r="AG65" s="23"/>
      <c r="AH65" s="23"/>
      <c r="AI65" s="23"/>
      <c r="AJ65" s="34"/>
      <c r="AL65" s="16"/>
      <c r="AN65" s="16"/>
      <c r="AP65" s="11" t="s">
        <v>6</v>
      </c>
      <c r="AQ65" s="12" t="str">
        <f>VLOOKUP(LOWER(AS59),experiments_specs!$A:$J,7,FALSE)</f>
        <v>True</v>
      </c>
      <c r="AR65" s="15" t="s">
        <v>117</v>
      </c>
      <c r="AS65" s="6"/>
      <c r="AT65" s="19"/>
      <c r="AU65" s="19"/>
      <c r="AV65" s="19"/>
      <c r="AW65" s="19"/>
      <c r="AX65" s="31"/>
      <c r="AY65" s="23"/>
      <c r="AZ65" s="23"/>
      <c r="BA65" s="23"/>
      <c r="BB65" s="23"/>
      <c r="BC65" s="34"/>
      <c r="BE65" s="16"/>
    </row>
    <row r="66" spans="2:57" x14ac:dyDescent="0.2">
      <c r="B66" s="16"/>
      <c r="D66" s="11" t="s">
        <v>7</v>
      </c>
      <c r="E66" s="12" t="str">
        <f>VLOOKUP(LOWER(G59),experiments_specs!$A:$J,8,FALSE)</f>
        <v>True</v>
      </c>
      <c r="F66" s="15" t="s">
        <v>105</v>
      </c>
      <c r="G66" s="6"/>
      <c r="H66" s="19"/>
      <c r="I66" s="19"/>
      <c r="J66" s="19"/>
      <c r="K66" s="19"/>
      <c r="L66" s="31"/>
      <c r="M66" s="23"/>
      <c r="N66" s="23"/>
      <c r="O66" s="23"/>
      <c r="P66" s="23"/>
      <c r="Q66" s="34"/>
      <c r="S66" s="16"/>
      <c r="U66" s="16"/>
      <c r="W66" s="11" t="s">
        <v>7</v>
      </c>
      <c r="X66" s="12" t="str">
        <f>VLOOKUP(LOWER(Z59),experiments_specs!$A:$J,8,FALSE)</f>
        <v>True</v>
      </c>
      <c r="Y66" s="15" t="s">
        <v>111</v>
      </c>
      <c r="Z66" s="6" t="s">
        <v>16</v>
      </c>
      <c r="AA66" s="19"/>
      <c r="AB66" s="19"/>
      <c r="AC66" s="19"/>
      <c r="AD66" s="19"/>
      <c r="AE66" s="31"/>
      <c r="AF66" s="23"/>
      <c r="AG66" s="23"/>
      <c r="AH66" s="23"/>
      <c r="AI66" s="23"/>
      <c r="AJ66" s="34"/>
      <c r="AL66" s="16"/>
      <c r="AN66" s="16"/>
      <c r="AP66" s="11" t="s">
        <v>7</v>
      </c>
      <c r="AQ66" s="12" t="str">
        <f>VLOOKUP(LOWER(AS59),experiments_specs!$A:$J,8,FALSE)</f>
        <v>True</v>
      </c>
      <c r="AR66" s="15" t="s">
        <v>117</v>
      </c>
      <c r="AS66" s="6"/>
      <c r="AT66" s="19"/>
      <c r="AU66" s="19"/>
      <c r="AV66" s="19"/>
      <c r="AW66" s="19"/>
      <c r="AX66" s="31"/>
      <c r="AY66" s="23"/>
      <c r="AZ66" s="23"/>
      <c r="BA66" s="23"/>
      <c r="BB66" s="23"/>
      <c r="BC66" s="34"/>
      <c r="BE66" s="16"/>
    </row>
    <row r="67" spans="2:57" x14ac:dyDescent="0.2">
      <c r="B67" s="16"/>
      <c r="D67" s="11" t="s">
        <v>8</v>
      </c>
      <c r="E67" s="12" t="str">
        <f>VLOOKUP(LOWER(G59),experiments_specs!$A:$J,9,FALSE)</f>
        <v>wup_similarity</v>
      </c>
      <c r="F67" s="15" t="s">
        <v>105</v>
      </c>
      <c r="G67" s="6"/>
      <c r="H67" s="19"/>
      <c r="I67" s="19"/>
      <c r="J67" s="19"/>
      <c r="K67" s="19"/>
      <c r="L67" s="31"/>
      <c r="M67" s="22"/>
      <c r="N67" s="22"/>
      <c r="O67" s="22"/>
      <c r="P67" s="22"/>
      <c r="Q67" s="34"/>
      <c r="S67" s="16"/>
      <c r="U67" s="16"/>
      <c r="W67" s="11" t="s">
        <v>8</v>
      </c>
      <c r="X67" s="12" t="str">
        <f>VLOOKUP(LOWER(Z59),experiments_specs!$A:$J,9,FALSE)</f>
        <v>wup_similarity</v>
      </c>
      <c r="Y67" s="15" t="s">
        <v>111</v>
      </c>
      <c r="Z67" s="6" t="s">
        <v>17</v>
      </c>
      <c r="AA67" s="19"/>
      <c r="AB67" s="19"/>
      <c r="AC67" s="19"/>
      <c r="AD67" s="19"/>
      <c r="AE67" s="31"/>
      <c r="AF67" s="22"/>
      <c r="AG67" s="22"/>
      <c r="AH67" s="22"/>
      <c r="AI67" s="22"/>
      <c r="AJ67" s="34"/>
      <c r="AL67" s="16"/>
      <c r="AN67" s="16"/>
      <c r="AP67" s="11" t="s">
        <v>8</v>
      </c>
      <c r="AQ67" s="12" t="str">
        <f>VLOOKUP(LOWER(AS59),experiments_specs!$A:$J,9,FALSE)</f>
        <v>wup_similarity</v>
      </c>
      <c r="AR67" s="15" t="s">
        <v>117</v>
      </c>
      <c r="AS67" s="6"/>
      <c r="AT67" s="18"/>
      <c r="AU67" s="18"/>
      <c r="AV67" s="18"/>
      <c r="AW67" s="18"/>
      <c r="AX67" s="31"/>
      <c r="AY67" s="23"/>
      <c r="AZ67" s="23"/>
      <c r="BA67" s="23"/>
      <c r="BB67" s="23"/>
      <c r="BC67" s="34"/>
      <c r="BE67" s="16"/>
    </row>
    <row r="68" spans="2:57" x14ac:dyDescent="0.2">
      <c r="B68" s="16"/>
      <c r="D68" s="11" t="s">
        <v>9</v>
      </c>
      <c r="E68" s="12" t="str">
        <f>VLOOKUP(LOWER(G59),experiments_specs!$A:$J,10,FALSE)</f>
        <v>False</v>
      </c>
      <c r="F68" s="15" t="s">
        <v>105</v>
      </c>
      <c r="G68" s="7"/>
      <c r="H68" s="20"/>
      <c r="I68" s="20"/>
      <c r="J68" s="20"/>
      <c r="K68" s="20"/>
      <c r="L68" s="32"/>
      <c r="M68" s="24"/>
      <c r="N68" s="24"/>
      <c r="O68" s="24"/>
      <c r="P68" s="24"/>
      <c r="Q68" s="35"/>
      <c r="S68" s="16"/>
      <c r="U68" s="16"/>
      <c r="W68" s="11" t="s">
        <v>9</v>
      </c>
      <c r="X68" s="12" t="str">
        <f>VLOOKUP(LOWER(Z59),experiments_specs!$A:$J,10,FALSE)</f>
        <v>False</v>
      </c>
      <c r="Y68" s="15" t="s">
        <v>111</v>
      </c>
      <c r="Z68" s="7" t="s">
        <v>18</v>
      </c>
      <c r="AA68" s="20"/>
      <c r="AB68" s="20"/>
      <c r="AC68" s="20"/>
      <c r="AD68" s="20"/>
      <c r="AE68" s="32"/>
      <c r="AF68" s="24"/>
      <c r="AG68" s="24"/>
      <c r="AH68" s="24"/>
      <c r="AI68" s="24"/>
      <c r="AJ68" s="35"/>
      <c r="AL68" s="16"/>
      <c r="AN68" s="16"/>
      <c r="AP68" s="11" t="s">
        <v>9</v>
      </c>
      <c r="AQ68" s="12" t="str">
        <f>VLOOKUP(LOWER(AS59),experiments_specs!$A:$J,10,FALSE)</f>
        <v>True</v>
      </c>
      <c r="AR68" s="15" t="s">
        <v>117</v>
      </c>
      <c r="AS68" s="7"/>
      <c r="AT68" s="20"/>
      <c r="AU68" s="20"/>
      <c r="AV68" s="20"/>
      <c r="AW68" s="20"/>
      <c r="AX68" s="32"/>
      <c r="AY68" s="24"/>
      <c r="AZ68" s="24"/>
      <c r="BA68" s="24"/>
      <c r="BB68" s="24"/>
      <c r="BC68" s="35"/>
      <c r="BE68" s="16"/>
    </row>
    <row r="69" spans="2:57" x14ac:dyDescent="0.2">
      <c r="B69" s="16"/>
      <c r="S69" s="16"/>
      <c r="U69" s="16"/>
      <c r="AL69" s="16"/>
      <c r="AN69" s="16"/>
      <c r="BE69" s="16"/>
    </row>
    <row r="70" spans="2:57" x14ac:dyDescent="0.2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</row>
  </sheetData>
  <mergeCells count="39">
    <mergeCell ref="AY59:BC59"/>
    <mergeCell ref="H48:L48"/>
    <mergeCell ref="M48:Q48"/>
    <mergeCell ref="AA48:AE48"/>
    <mergeCell ref="AF48:AJ48"/>
    <mergeCell ref="AT48:AX48"/>
    <mergeCell ref="AY48:BC48"/>
    <mergeCell ref="H59:L59"/>
    <mergeCell ref="M59:Q59"/>
    <mergeCell ref="AA59:AE59"/>
    <mergeCell ref="AF59:AJ59"/>
    <mergeCell ref="AT59:AX59"/>
    <mergeCell ref="AY37:BC37"/>
    <mergeCell ref="H26:L26"/>
    <mergeCell ref="M26:Q26"/>
    <mergeCell ref="AA26:AE26"/>
    <mergeCell ref="AF26:AJ26"/>
    <mergeCell ref="AT26:AX26"/>
    <mergeCell ref="AY26:BC26"/>
    <mergeCell ref="H37:L37"/>
    <mergeCell ref="M37:Q37"/>
    <mergeCell ref="AA37:AE37"/>
    <mergeCell ref="AF37:AJ37"/>
    <mergeCell ref="AT37:AX37"/>
    <mergeCell ref="AY15:BC15"/>
    <mergeCell ref="D2:Q2"/>
    <mergeCell ref="W2:AJ2"/>
    <mergeCell ref="AP2:BC2"/>
    <mergeCell ref="H4:L4"/>
    <mergeCell ref="M4:Q4"/>
    <mergeCell ref="AA4:AE4"/>
    <mergeCell ref="AF4:AJ4"/>
    <mergeCell ref="AT4:AX4"/>
    <mergeCell ref="AY4:BC4"/>
    <mergeCell ref="H15:L15"/>
    <mergeCell ref="M15:Q15"/>
    <mergeCell ref="AA15:AE15"/>
    <mergeCell ref="AF15:AJ15"/>
    <mergeCell ref="AT15:AX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588EB-6F51-9041-9798-AB1AC82264E5}">
  <sheetPr codeName="Foglio6"/>
  <dimension ref="B2:BE70"/>
  <sheetViews>
    <sheetView workbookViewId="0">
      <selection activeCell="AJ60" sqref="AJ60:AJ69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8" width="25.83203125" customWidth="1"/>
    <col min="9" max="9" width="11.83203125" customWidth="1"/>
    <col min="10" max="10" width="25.83203125" customWidth="1"/>
    <col min="11" max="11" width="11.83203125" customWidth="1"/>
    <col min="12" max="12" width="12.1640625" bestFit="1" customWidth="1"/>
    <col min="13" max="13" width="25.83203125" customWidth="1"/>
    <col min="14" max="14" width="11.83203125" customWidth="1"/>
    <col min="15" max="15" width="25.83203125" customWidth="1"/>
    <col min="16" max="16" width="11.83203125" customWidth="1"/>
    <col min="17" max="17" width="12.1640625" bestFit="1" customWidth="1"/>
    <col min="18" max="22" width="3.1640625" customWidth="1"/>
    <col min="23" max="23" width="22.33203125" bestFit="1" customWidth="1"/>
    <col min="24" max="24" width="29" bestFit="1" customWidth="1"/>
    <col min="25" max="25" width="1.83203125" customWidth="1"/>
    <col min="26" max="26" width="24.1640625" bestFit="1" customWidth="1"/>
    <col min="27" max="27" width="25.83203125" customWidth="1"/>
    <col min="28" max="28" width="11.83203125" customWidth="1"/>
    <col min="29" max="29" width="25.83203125" customWidth="1"/>
    <col min="30" max="30" width="11.83203125" customWidth="1"/>
    <col min="31" max="31" width="12.1640625" bestFit="1" customWidth="1"/>
    <col min="32" max="32" width="25.83203125" customWidth="1"/>
    <col min="33" max="33" width="11.83203125" customWidth="1"/>
    <col min="34" max="34" width="25.83203125" customWidth="1"/>
    <col min="35" max="35" width="11.83203125" customWidth="1"/>
    <col min="36" max="36" width="12.1640625" bestFit="1" customWidth="1"/>
    <col min="37" max="41" width="3.1640625" customWidth="1"/>
    <col min="42" max="42" width="22.33203125" bestFit="1" customWidth="1"/>
    <col min="43" max="43" width="29" bestFit="1" customWidth="1"/>
    <col min="44" max="44" width="1.83203125" customWidth="1"/>
    <col min="45" max="45" width="24.1640625" bestFit="1" customWidth="1"/>
    <col min="46" max="46" width="25.83203125" customWidth="1"/>
    <col min="47" max="47" width="11.83203125" customWidth="1"/>
    <col min="48" max="48" width="25.83203125" customWidth="1"/>
    <col min="49" max="49" width="11.83203125" customWidth="1"/>
    <col min="50" max="50" width="12.1640625" bestFit="1" customWidth="1"/>
    <col min="51" max="51" width="25.83203125" customWidth="1"/>
    <col min="52" max="52" width="11.83203125" customWidth="1"/>
    <col min="53" max="53" width="25.83203125" customWidth="1"/>
    <col min="54" max="54" width="11.83203125" customWidth="1"/>
    <col min="55" max="55" width="12.1640625" bestFit="1" customWidth="1"/>
    <col min="56" max="57" width="3.1640625" customWidth="1"/>
  </cols>
  <sheetData>
    <row r="2" spans="2:57" ht="19" x14ac:dyDescent="0.25">
      <c r="B2" s="16"/>
      <c r="C2" s="16"/>
      <c r="D2" s="38" t="s">
        <v>127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16"/>
      <c r="S2" s="16"/>
      <c r="U2" s="16"/>
      <c r="V2" s="16"/>
      <c r="W2" s="38" t="s">
        <v>128</v>
      </c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16"/>
      <c r="AL2" s="16"/>
      <c r="AN2" s="16"/>
      <c r="AO2" s="16"/>
      <c r="AP2" s="38" t="s">
        <v>129</v>
      </c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16"/>
      <c r="BE2" s="16"/>
    </row>
    <row r="3" spans="2:57" ht="17" thickBot="1" x14ac:dyDescent="0.25">
      <c r="B3" s="16"/>
      <c r="S3" s="16"/>
      <c r="U3" s="16"/>
      <c r="AL3" s="16"/>
      <c r="AN3" s="16"/>
      <c r="BE3" s="16"/>
    </row>
    <row r="4" spans="2:57" ht="20" thickBot="1" x14ac:dyDescent="0.3">
      <c r="B4" s="16"/>
      <c r="D4" s="13" t="s">
        <v>126</v>
      </c>
      <c r="E4" s="14"/>
      <c r="F4" s="9"/>
      <c r="G4" s="10" t="s">
        <v>133</v>
      </c>
      <c r="H4" s="36" t="s">
        <v>124</v>
      </c>
      <c r="I4" s="36"/>
      <c r="J4" s="36"/>
      <c r="K4" s="36"/>
      <c r="L4" s="36"/>
      <c r="M4" s="37" t="s">
        <v>123</v>
      </c>
      <c r="N4" s="37"/>
      <c r="O4" s="37"/>
      <c r="P4" s="37"/>
      <c r="Q4" s="37"/>
      <c r="R4" s="2"/>
      <c r="S4" s="16"/>
      <c r="U4" s="16"/>
      <c r="W4" s="13" t="s">
        <v>126</v>
      </c>
      <c r="X4" s="14"/>
      <c r="Y4" s="9"/>
      <c r="Z4" s="10" t="str">
        <f>"TEST_"&amp;TEXT(RIGHT(G59,2)+1, "00")</f>
        <v>TEST_61</v>
      </c>
      <c r="AA4" s="36" t="s">
        <v>124</v>
      </c>
      <c r="AB4" s="36"/>
      <c r="AC4" s="36"/>
      <c r="AD4" s="36"/>
      <c r="AE4" s="36"/>
      <c r="AF4" s="37" t="s">
        <v>123</v>
      </c>
      <c r="AG4" s="37"/>
      <c r="AH4" s="37"/>
      <c r="AI4" s="37"/>
      <c r="AJ4" s="37"/>
      <c r="AK4" s="2"/>
      <c r="AL4" s="16"/>
      <c r="AN4" s="16"/>
      <c r="AP4" s="13" t="s">
        <v>126</v>
      </c>
      <c r="AQ4" s="14"/>
      <c r="AR4" s="9"/>
      <c r="AS4" s="10" t="str">
        <f>"TEST_"&amp;TEXT(RIGHT(Z59,2)+1, "00")</f>
        <v>TEST_67</v>
      </c>
      <c r="AT4" s="36" t="s">
        <v>124</v>
      </c>
      <c r="AU4" s="36"/>
      <c r="AV4" s="36"/>
      <c r="AW4" s="36"/>
      <c r="AX4" s="36"/>
      <c r="AY4" s="37" t="s">
        <v>123</v>
      </c>
      <c r="AZ4" s="37"/>
      <c r="BA4" s="37"/>
      <c r="BB4" s="37"/>
      <c r="BC4" s="37"/>
      <c r="BD4" s="2"/>
      <c r="BE4" s="16"/>
    </row>
    <row r="5" spans="2:57" x14ac:dyDescent="0.2">
      <c r="B5" s="16"/>
      <c r="D5" s="11" t="s">
        <v>1</v>
      </c>
      <c r="E5" s="12" t="str">
        <f>VLOOKUP(LOWER(G4),experiments_specs!$A:$J,2,FALSE)</f>
        <v>NN</v>
      </c>
      <c r="F5" s="15" t="str">
        <f>"{"&amp;LOWER(G4)&amp;".csv}"</f>
        <v>{test_55.csv}</v>
      </c>
      <c r="G5" s="8" t="s">
        <v>118</v>
      </c>
      <c r="H5" s="3" t="s">
        <v>119</v>
      </c>
      <c r="I5" s="3" t="s">
        <v>182</v>
      </c>
      <c r="J5" s="3" t="s">
        <v>120</v>
      </c>
      <c r="K5" s="3" t="s">
        <v>182</v>
      </c>
      <c r="L5" s="29" t="s">
        <v>121</v>
      </c>
      <c r="M5" s="4" t="s">
        <v>122</v>
      </c>
      <c r="N5" s="4" t="s">
        <v>182</v>
      </c>
      <c r="O5" s="4" t="s">
        <v>120</v>
      </c>
      <c r="P5" s="4" t="s">
        <v>182</v>
      </c>
      <c r="Q5" s="4" t="s">
        <v>121</v>
      </c>
      <c r="S5" s="16"/>
      <c r="U5" s="16"/>
      <c r="W5" s="11" t="s">
        <v>1</v>
      </c>
      <c r="X5" s="12" t="str">
        <f>VLOOKUP(LOWER(Z4),experiments_specs!$A:$J,2,FALSE)</f>
        <v>NN</v>
      </c>
      <c r="Y5" s="15" t="str">
        <f>"{"&amp;LOWER(Z4)&amp;".csv}"</f>
        <v>{test_61.csv}</v>
      </c>
      <c r="Z5" s="8" t="s">
        <v>118</v>
      </c>
      <c r="AA5" s="3" t="s">
        <v>119</v>
      </c>
      <c r="AB5" s="3" t="s">
        <v>182</v>
      </c>
      <c r="AC5" s="3" t="s">
        <v>120</v>
      </c>
      <c r="AD5" s="3" t="s">
        <v>182</v>
      </c>
      <c r="AE5" s="3" t="s">
        <v>121</v>
      </c>
      <c r="AF5" s="4" t="s">
        <v>122</v>
      </c>
      <c r="AG5" s="4" t="s">
        <v>182</v>
      </c>
      <c r="AH5" s="4" t="s">
        <v>120</v>
      </c>
      <c r="AI5" s="4" t="s">
        <v>182</v>
      </c>
      <c r="AJ5" s="4" t="s">
        <v>121</v>
      </c>
      <c r="AL5" s="16"/>
      <c r="AN5" s="16"/>
      <c r="AP5" s="11" t="s">
        <v>1</v>
      </c>
      <c r="AQ5" s="12" t="str">
        <f>VLOOKUP(LOWER(AS4),experiments_specs!$A:$J,2,FALSE)</f>
        <v>NN</v>
      </c>
      <c r="AR5" s="15" t="str">
        <f>"{"&amp;LOWER(AS4)&amp;".csv}"</f>
        <v>{test_67.csv}</v>
      </c>
      <c r="AS5" s="8" t="s">
        <v>118</v>
      </c>
      <c r="AT5" s="3" t="s">
        <v>119</v>
      </c>
      <c r="AU5" s="3" t="s">
        <v>182</v>
      </c>
      <c r="AV5" s="3" t="s">
        <v>120</v>
      </c>
      <c r="AW5" s="3" t="s">
        <v>182</v>
      </c>
      <c r="AX5" s="3" t="s">
        <v>121</v>
      </c>
      <c r="AY5" s="4" t="s">
        <v>122</v>
      </c>
      <c r="AZ5" s="4" t="s">
        <v>182</v>
      </c>
      <c r="BA5" s="4" t="s">
        <v>120</v>
      </c>
      <c r="BB5" s="4" t="s">
        <v>182</v>
      </c>
      <c r="BC5" s="4" t="s">
        <v>121</v>
      </c>
      <c r="BE5" s="16"/>
    </row>
    <row r="6" spans="2:57" x14ac:dyDescent="0.2">
      <c r="B6" s="16"/>
      <c r="D6" s="11" t="s">
        <v>2</v>
      </c>
      <c r="E6" s="12">
        <f>VLOOKUP(LOWER(G4),experiments_specs!$A:$J,3,FALSE)</f>
        <v>1</v>
      </c>
      <c r="F6" s="15" t="s">
        <v>100</v>
      </c>
      <c r="G6" s="5"/>
      <c r="H6" s="17"/>
      <c r="I6" s="17"/>
      <c r="J6" s="17"/>
      <c r="K6" s="17"/>
      <c r="L6" s="30"/>
      <c r="M6" s="21"/>
      <c r="N6" s="21"/>
      <c r="O6" s="21"/>
      <c r="P6" s="21"/>
      <c r="Q6" s="33"/>
      <c r="S6" s="16"/>
      <c r="U6" s="16"/>
      <c r="W6" s="11" t="s">
        <v>2</v>
      </c>
      <c r="X6" s="12">
        <f>VLOOKUP(LOWER(Z4),experiments_specs!$A:$J,3,FALSE)</f>
        <v>1</v>
      </c>
      <c r="Y6" s="15" t="s">
        <v>106</v>
      </c>
      <c r="Z6" s="5" t="s">
        <v>19</v>
      </c>
      <c r="AA6" s="17"/>
      <c r="AB6" s="17"/>
      <c r="AC6" s="17"/>
      <c r="AD6" s="17"/>
      <c r="AE6" s="30"/>
      <c r="AF6" s="21"/>
      <c r="AG6" s="21"/>
      <c r="AH6" s="21"/>
      <c r="AI6" s="21"/>
      <c r="AJ6" s="33"/>
      <c r="AL6" s="16"/>
      <c r="AN6" s="16"/>
      <c r="AP6" s="11" t="s">
        <v>2</v>
      </c>
      <c r="AQ6" s="12">
        <f>VLOOKUP(LOWER(AS4),experiments_specs!$A:$J,3,FALSE)</f>
        <v>1</v>
      </c>
      <c r="AR6" s="15" t="s">
        <v>112</v>
      </c>
      <c r="AS6" s="5"/>
      <c r="AT6" s="17"/>
      <c r="AU6" s="17"/>
      <c r="AV6" s="17"/>
      <c r="AW6" s="17"/>
      <c r="AX6" s="30"/>
      <c r="AY6" s="21"/>
      <c r="AZ6" s="21"/>
      <c r="BA6" s="21"/>
      <c r="BB6" s="21"/>
      <c r="BC6" s="33"/>
      <c r="BE6" s="16"/>
    </row>
    <row r="7" spans="2:57" x14ac:dyDescent="0.2">
      <c r="B7" s="16"/>
      <c r="D7" s="11" t="s">
        <v>3</v>
      </c>
      <c r="E7" s="12">
        <f>VLOOKUP(LOWER(G4),experiments_specs!$A:$J,4,FALSE)</f>
        <v>2</v>
      </c>
      <c r="F7" s="15" t="s">
        <v>100</v>
      </c>
      <c r="G7" s="6"/>
      <c r="H7" s="18"/>
      <c r="I7" s="18"/>
      <c r="J7" s="18"/>
      <c r="K7" s="18"/>
      <c r="L7" s="31"/>
      <c r="M7" s="22"/>
      <c r="N7" s="22"/>
      <c r="O7" s="22"/>
      <c r="P7" s="22"/>
      <c r="Q7" s="34"/>
      <c r="S7" s="16"/>
      <c r="U7" s="16"/>
      <c r="W7" s="11" t="s">
        <v>3</v>
      </c>
      <c r="X7" s="12">
        <f>VLOOKUP(LOWER(Z4),experiments_specs!$A:$J,4,FALSE)</f>
        <v>2</v>
      </c>
      <c r="Y7" s="15" t="s">
        <v>106</v>
      </c>
      <c r="Z7" s="6" t="s">
        <v>12</v>
      </c>
      <c r="AA7" s="18"/>
      <c r="AB7" s="18"/>
      <c r="AC7" s="18"/>
      <c r="AD7" s="18"/>
      <c r="AE7" s="31"/>
      <c r="AF7" s="22"/>
      <c r="AG7" s="22"/>
      <c r="AH7" s="22"/>
      <c r="AI7" s="22"/>
      <c r="AJ7" s="34"/>
      <c r="AL7" s="16"/>
      <c r="AN7" s="16"/>
      <c r="AP7" s="11" t="s">
        <v>3</v>
      </c>
      <c r="AQ7" s="12">
        <f>VLOOKUP(LOWER(AS4),experiments_specs!$A:$J,4,FALSE)</f>
        <v>2</v>
      </c>
      <c r="AR7" s="15" t="s">
        <v>112</v>
      </c>
      <c r="AS7" s="6"/>
      <c r="AT7" s="18"/>
      <c r="AU7" s="18"/>
      <c r="AV7" s="18"/>
      <c r="AW7" s="18"/>
      <c r="AX7" s="31"/>
      <c r="AY7" s="22"/>
      <c r="AZ7" s="22"/>
      <c r="BA7" s="22"/>
      <c r="BB7" s="22"/>
      <c r="BC7" s="34"/>
      <c r="BE7" s="16"/>
    </row>
    <row r="8" spans="2:57" x14ac:dyDescent="0.2">
      <c r="B8" s="16"/>
      <c r="D8" s="11" t="s">
        <v>4</v>
      </c>
      <c r="E8" s="12" t="str">
        <f>VLOOKUP(LOWER(G4),experiments_specs!$A:$J,5,FALSE)</f>
        <v>False</v>
      </c>
      <c r="F8" s="15" t="s">
        <v>100</v>
      </c>
      <c r="G8" s="6"/>
      <c r="H8" s="19"/>
      <c r="I8" s="19"/>
      <c r="J8" s="19"/>
      <c r="K8" s="19"/>
      <c r="L8" s="31"/>
      <c r="M8" s="22"/>
      <c r="N8" s="22"/>
      <c r="O8" s="22"/>
      <c r="P8" s="22"/>
      <c r="Q8" s="34"/>
      <c r="S8" s="16"/>
      <c r="U8" s="16"/>
      <c r="W8" s="11" t="s">
        <v>4</v>
      </c>
      <c r="X8" s="12" t="str">
        <f>VLOOKUP(LOWER(Z4),experiments_specs!$A:$J,5,FALSE)</f>
        <v>True</v>
      </c>
      <c r="Y8" s="15" t="s">
        <v>106</v>
      </c>
      <c r="Z8" s="6" t="s">
        <v>13</v>
      </c>
      <c r="AA8" s="19"/>
      <c r="AB8" s="19"/>
      <c r="AC8" s="19"/>
      <c r="AD8" s="19"/>
      <c r="AE8" s="31"/>
      <c r="AF8" s="22"/>
      <c r="AG8" s="22"/>
      <c r="AH8" s="22"/>
      <c r="AI8" s="22"/>
      <c r="AJ8" s="34"/>
      <c r="AL8" s="16"/>
      <c r="AN8" s="16"/>
      <c r="AP8" s="11" t="s">
        <v>4</v>
      </c>
      <c r="AQ8" s="12" t="str">
        <f>VLOOKUP(LOWER(AS4),experiments_specs!$A:$J,5,FALSE)</f>
        <v>False</v>
      </c>
      <c r="AR8" s="15" t="s">
        <v>112</v>
      </c>
      <c r="AS8" s="6"/>
      <c r="AT8" s="19"/>
      <c r="AU8" s="19"/>
      <c r="AV8" s="19"/>
      <c r="AW8" s="19"/>
      <c r="AX8" s="31"/>
      <c r="AY8" s="22"/>
      <c r="AZ8" s="22"/>
      <c r="BA8" s="22"/>
      <c r="BB8" s="22"/>
      <c r="BC8" s="34"/>
      <c r="BE8" s="16"/>
    </row>
    <row r="9" spans="2:57" x14ac:dyDescent="0.2">
      <c r="B9" s="16"/>
      <c r="D9" s="11" t="s">
        <v>5</v>
      </c>
      <c r="E9" s="12" t="str">
        <f>VLOOKUP(LOWER(G4),experiments_specs!$A:$J,6,FALSE)</f>
        <v>False</v>
      </c>
      <c r="F9" s="15" t="s">
        <v>100</v>
      </c>
      <c r="G9" s="6"/>
      <c r="H9" s="19"/>
      <c r="I9" s="19"/>
      <c r="J9" s="19"/>
      <c r="K9" s="19"/>
      <c r="L9" s="31"/>
      <c r="M9" s="22"/>
      <c r="N9" s="22"/>
      <c r="O9" s="22"/>
      <c r="P9" s="22"/>
      <c r="Q9" s="34"/>
      <c r="S9" s="16"/>
      <c r="U9" s="16"/>
      <c r="W9" s="11" t="s">
        <v>5</v>
      </c>
      <c r="X9" s="12" t="str">
        <f>VLOOKUP(LOWER(Z4),experiments_specs!$A:$J,6,FALSE)</f>
        <v>False</v>
      </c>
      <c r="Y9" s="15" t="s">
        <v>106</v>
      </c>
      <c r="Z9" s="6" t="s">
        <v>14</v>
      </c>
      <c r="AA9" s="19"/>
      <c r="AB9" s="19"/>
      <c r="AC9" s="19"/>
      <c r="AD9" s="19"/>
      <c r="AE9" s="31"/>
      <c r="AF9" s="22"/>
      <c r="AG9" s="22"/>
      <c r="AH9" s="22"/>
      <c r="AI9" s="22"/>
      <c r="AJ9" s="34"/>
      <c r="AL9" s="16"/>
      <c r="AN9" s="16"/>
      <c r="AP9" s="11" t="s">
        <v>5</v>
      </c>
      <c r="AQ9" s="12" t="str">
        <f>VLOOKUP(LOWER(AS4),experiments_specs!$A:$J,6,FALSE)</f>
        <v>False</v>
      </c>
      <c r="AR9" s="15" t="s">
        <v>112</v>
      </c>
      <c r="AS9" s="6"/>
      <c r="AT9" s="19"/>
      <c r="AU9" s="19"/>
      <c r="AV9" s="19"/>
      <c r="AW9" s="19"/>
      <c r="AX9" s="31"/>
      <c r="AY9" s="22"/>
      <c r="AZ9" s="22"/>
      <c r="BA9" s="22"/>
      <c r="BB9" s="22"/>
      <c r="BC9" s="34"/>
      <c r="BE9" s="16"/>
    </row>
    <row r="10" spans="2:57" x14ac:dyDescent="0.2">
      <c r="B10" s="16"/>
      <c r="D10" s="11" t="s">
        <v>6</v>
      </c>
      <c r="E10" s="12" t="str">
        <f>VLOOKUP(LOWER(G4),experiments_specs!$A:$J,7,FALSE)</f>
        <v>True</v>
      </c>
      <c r="F10" s="15" t="s">
        <v>100</v>
      </c>
      <c r="G10" s="6"/>
      <c r="H10" s="19"/>
      <c r="I10" s="19"/>
      <c r="J10" s="19"/>
      <c r="K10" s="19"/>
      <c r="L10" s="31"/>
      <c r="M10" s="23"/>
      <c r="N10" s="23"/>
      <c r="O10" s="23"/>
      <c r="P10" s="23"/>
      <c r="Q10" s="34"/>
      <c r="S10" s="16"/>
      <c r="U10" s="16"/>
      <c r="W10" s="11" t="s">
        <v>6</v>
      </c>
      <c r="X10" s="12" t="str">
        <f>VLOOKUP(LOWER(Z4),experiments_specs!$A:$J,7,FALSE)</f>
        <v>True</v>
      </c>
      <c r="Y10" s="15" t="s">
        <v>106</v>
      </c>
      <c r="Z10" s="6" t="s">
        <v>15</v>
      </c>
      <c r="AA10" s="19"/>
      <c r="AB10" s="19"/>
      <c r="AC10" s="19"/>
      <c r="AD10" s="19"/>
      <c r="AE10" s="31"/>
      <c r="AF10" s="23"/>
      <c r="AG10" s="23"/>
      <c r="AH10" s="23"/>
      <c r="AI10" s="23"/>
      <c r="AJ10" s="34"/>
      <c r="AL10" s="16"/>
      <c r="AN10" s="16"/>
      <c r="AP10" s="11" t="s">
        <v>6</v>
      </c>
      <c r="AQ10" s="12" t="str">
        <f>VLOOKUP(LOWER(AS4),experiments_specs!$A:$J,7,FALSE)</f>
        <v>True</v>
      </c>
      <c r="AR10" s="15" t="s">
        <v>112</v>
      </c>
      <c r="AS10" s="6"/>
      <c r="AT10" s="19"/>
      <c r="AU10" s="19"/>
      <c r="AV10" s="19"/>
      <c r="AW10" s="19"/>
      <c r="AX10" s="31"/>
      <c r="AY10" s="23"/>
      <c r="AZ10" s="23"/>
      <c r="BA10" s="23"/>
      <c r="BB10" s="23"/>
      <c r="BC10" s="34"/>
      <c r="BE10" s="16"/>
    </row>
    <row r="11" spans="2:57" x14ac:dyDescent="0.2">
      <c r="B11" s="16"/>
      <c r="D11" s="11" t="s">
        <v>7</v>
      </c>
      <c r="E11" s="12" t="str">
        <f>VLOOKUP(LOWER(G4),experiments_specs!$A:$J,8,FALSE)</f>
        <v>False</v>
      </c>
      <c r="F11" s="15" t="s">
        <v>100</v>
      </c>
      <c r="G11" s="6"/>
      <c r="H11" s="19"/>
      <c r="I11" s="19"/>
      <c r="J11" s="19"/>
      <c r="K11" s="19"/>
      <c r="L11" s="31"/>
      <c r="M11" s="23"/>
      <c r="N11" s="23"/>
      <c r="O11" s="23"/>
      <c r="P11" s="23"/>
      <c r="Q11" s="34"/>
      <c r="S11" s="16"/>
      <c r="U11" s="16"/>
      <c r="W11" s="11" t="s">
        <v>7</v>
      </c>
      <c r="X11" s="12" t="str">
        <f>VLOOKUP(LOWER(Z4),experiments_specs!$A:$J,8,FALSE)</f>
        <v>False</v>
      </c>
      <c r="Y11" s="15" t="s">
        <v>106</v>
      </c>
      <c r="Z11" s="6" t="s">
        <v>16</v>
      </c>
      <c r="AA11" s="19"/>
      <c r="AB11" s="19"/>
      <c r="AC11" s="19"/>
      <c r="AD11" s="19"/>
      <c r="AE11" s="31"/>
      <c r="AF11" s="23"/>
      <c r="AG11" s="23"/>
      <c r="AH11" s="23"/>
      <c r="AI11" s="23"/>
      <c r="AJ11" s="34"/>
      <c r="AL11" s="16"/>
      <c r="AN11" s="16"/>
      <c r="AP11" s="11" t="s">
        <v>7</v>
      </c>
      <c r="AQ11" s="12" t="str">
        <f>VLOOKUP(LOWER(AS4),experiments_specs!$A:$J,8,FALSE)</f>
        <v>False</v>
      </c>
      <c r="AR11" s="15" t="s">
        <v>112</v>
      </c>
      <c r="AS11" s="6"/>
      <c r="AT11" s="19"/>
      <c r="AU11" s="19"/>
      <c r="AV11" s="19"/>
      <c r="AW11" s="19"/>
      <c r="AX11" s="31"/>
      <c r="AY11" s="23"/>
      <c r="AZ11" s="23"/>
      <c r="BA11" s="23"/>
      <c r="BB11" s="23"/>
      <c r="BC11" s="34"/>
      <c r="BE11" s="16"/>
    </row>
    <row r="12" spans="2:57" x14ac:dyDescent="0.2">
      <c r="B12" s="16"/>
      <c r="D12" s="11" t="s">
        <v>8</v>
      </c>
      <c r="E12" s="12" t="str">
        <f>VLOOKUP(LOWER(G4),experiments_specs!$A:$J,9,FALSE)</f>
        <v>wup_similarity</v>
      </c>
      <c r="F12" s="15" t="s">
        <v>100</v>
      </c>
      <c r="G12" s="6"/>
      <c r="H12" s="19"/>
      <c r="I12" s="19"/>
      <c r="J12" s="19"/>
      <c r="K12" s="19"/>
      <c r="L12" s="31"/>
      <c r="M12" s="22"/>
      <c r="N12" s="22"/>
      <c r="O12" s="22"/>
      <c r="P12" s="22"/>
      <c r="Q12" s="34"/>
      <c r="S12" s="16"/>
      <c r="U12" s="16"/>
      <c r="W12" s="11" t="s">
        <v>8</v>
      </c>
      <c r="X12" s="12" t="str">
        <f>VLOOKUP(LOWER(Z4),experiments_specs!$A:$J,9,FALSE)</f>
        <v>wup_similarity</v>
      </c>
      <c r="Y12" s="15" t="s">
        <v>106</v>
      </c>
      <c r="Z12" s="6" t="s">
        <v>17</v>
      </c>
      <c r="AA12" s="19"/>
      <c r="AB12" s="19"/>
      <c r="AC12" s="19"/>
      <c r="AD12" s="19"/>
      <c r="AE12" s="31"/>
      <c r="AF12" s="22"/>
      <c r="AG12" s="22"/>
      <c r="AH12" s="22"/>
      <c r="AI12" s="22"/>
      <c r="AJ12" s="34"/>
      <c r="AL12" s="16"/>
      <c r="AN12" s="16"/>
      <c r="AP12" s="11" t="s">
        <v>8</v>
      </c>
      <c r="AQ12" s="12" t="str">
        <f>VLOOKUP(LOWER(AS4),experiments_specs!$A:$J,9,FALSE)</f>
        <v>wup_similarity</v>
      </c>
      <c r="AR12" s="15" t="s">
        <v>112</v>
      </c>
      <c r="AS12" s="6"/>
      <c r="AT12" s="19"/>
      <c r="AU12" s="19"/>
      <c r="AV12" s="19"/>
      <c r="AW12" s="19"/>
      <c r="AX12" s="31"/>
      <c r="AY12" s="22"/>
      <c r="AZ12" s="22"/>
      <c r="BA12" s="22"/>
      <c r="BB12" s="22"/>
      <c r="BC12" s="34"/>
      <c r="BE12" s="16"/>
    </row>
    <row r="13" spans="2:57" x14ac:dyDescent="0.2">
      <c r="B13" s="16"/>
      <c r="D13" s="11" t="s">
        <v>9</v>
      </c>
      <c r="E13" s="12" t="str">
        <f>VLOOKUP(LOWER(G4),experiments_specs!$A:$J,10,FALSE)</f>
        <v>False</v>
      </c>
      <c r="F13" s="15" t="s">
        <v>100</v>
      </c>
      <c r="G13" s="7"/>
      <c r="H13" s="20"/>
      <c r="I13" s="20"/>
      <c r="J13" s="20"/>
      <c r="K13" s="20"/>
      <c r="L13" s="32"/>
      <c r="M13" s="24"/>
      <c r="N13" s="24"/>
      <c r="O13" s="24"/>
      <c r="P13" s="24"/>
      <c r="Q13" s="35"/>
      <c r="S13" s="16"/>
      <c r="U13" s="16"/>
      <c r="W13" s="11" t="s">
        <v>9</v>
      </c>
      <c r="X13" s="12" t="str">
        <f>VLOOKUP(LOWER(Z4),experiments_specs!$A:$J,10,FALSE)</f>
        <v>False</v>
      </c>
      <c r="Y13" s="15" t="s">
        <v>106</v>
      </c>
      <c r="Z13" s="7" t="s">
        <v>18</v>
      </c>
      <c r="AA13" s="20"/>
      <c r="AB13" s="20"/>
      <c r="AC13" s="20"/>
      <c r="AD13" s="20"/>
      <c r="AE13" s="32"/>
      <c r="AF13" s="24"/>
      <c r="AG13" s="24"/>
      <c r="AH13" s="24"/>
      <c r="AI13" s="24"/>
      <c r="AJ13" s="35"/>
      <c r="AL13" s="16"/>
      <c r="AN13" s="16"/>
      <c r="AP13" s="11" t="s">
        <v>9</v>
      </c>
      <c r="AQ13" s="12" t="str">
        <f>VLOOKUP(LOWER(AS4),experiments_specs!$A:$J,10,FALSE)</f>
        <v>True</v>
      </c>
      <c r="AR13" s="15" t="s">
        <v>112</v>
      </c>
      <c r="AS13" s="7"/>
      <c r="AT13" s="20"/>
      <c r="AU13" s="20"/>
      <c r="AV13" s="20"/>
      <c r="AW13" s="20"/>
      <c r="AX13" s="32"/>
      <c r="AY13" s="24"/>
      <c r="AZ13" s="24"/>
      <c r="BA13" s="24"/>
      <c r="BB13" s="24"/>
      <c r="BC13" s="35"/>
      <c r="BE13" s="16"/>
    </row>
    <row r="14" spans="2:57" ht="17" thickBot="1" x14ac:dyDescent="0.25">
      <c r="B14" s="16"/>
      <c r="S14" s="16"/>
      <c r="U14" s="16"/>
      <c r="AL14" s="16"/>
      <c r="AN14" s="16"/>
      <c r="BE14" s="16"/>
    </row>
    <row r="15" spans="2:57" ht="20" thickBot="1" x14ac:dyDescent="0.3">
      <c r="B15" s="16"/>
      <c r="D15" s="13" t="s">
        <v>126</v>
      </c>
      <c r="E15" s="14"/>
      <c r="F15" s="9"/>
      <c r="G15" s="10" t="str">
        <f>"TEST_"&amp;TEXT(RIGHT(G4,2)+1, "00")</f>
        <v>TEST_56</v>
      </c>
      <c r="H15" s="36" t="s">
        <v>124</v>
      </c>
      <c r="I15" s="36"/>
      <c r="J15" s="36"/>
      <c r="K15" s="36"/>
      <c r="L15" s="36"/>
      <c r="M15" s="37" t="s">
        <v>123</v>
      </c>
      <c r="N15" s="37"/>
      <c r="O15" s="37"/>
      <c r="P15" s="37"/>
      <c r="Q15" s="37"/>
      <c r="R15" s="2"/>
      <c r="S15" s="16"/>
      <c r="U15" s="16"/>
      <c r="W15" s="13" t="s">
        <v>126</v>
      </c>
      <c r="X15" s="14"/>
      <c r="Y15" s="9"/>
      <c r="Z15" s="10" t="str">
        <f>"TEST_"&amp;TEXT(RIGHT(Z4,2)+1, "00")</f>
        <v>TEST_62</v>
      </c>
      <c r="AA15" s="36" t="s">
        <v>124</v>
      </c>
      <c r="AB15" s="36"/>
      <c r="AC15" s="36"/>
      <c r="AD15" s="36"/>
      <c r="AE15" s="36"/>
      <c r="AF15" s="37" t="s">
        <v>123</v>
      </c>
      <c r="AG15" s="37"/>
      <c r="AH15" s="37"/>
      <c r="AI15" s="37"/>
      <c r="AJ15" s="37"/>
      <c r="AK15" s="2"/>
      <c r="AL15" s="16"/>
      <c r="AN15" s="16"/>
      <c r="AP15" s="13" t="s">
        <v>126</v>
      </c>
      <c r="AQ15" s="14"/>
      <c r="AR15" s="9"/>
      <c r="AS15" s="10" t="str">
        <f>"TEST_"&amp;TEXT(RIGHT(AS4,2)+1, "00")</f>
        <v>TEST_68</v>
      </c>
      <c r="AT15" s="36" t="s">
        <v>124</v>
      </c>
      <c r="AU15" s="36"/>
      <c r="AV15" s="36"/>
      <c r="AW15" s="36"/>
      <c r="AX15" s="36"/>
      <c r="AY15" s="37" t="s">
        <v>123</v>
      </c>
      <c r="AZ15" s="37"/>
      <c r="BA15" s="37"/>
      <c r="BB15" s="37"/>
      <c r="BC15" s="37"/>
      <c r="BD15" s="2"/>
      <c r="BE15" s="16"/>
    </row>
    <row r="16" spans="2:57" x14ac:dyDescent="0.2">
      <c r="B16" s="16"/>
      <c r="D16" s="11" t="s">
        <v>1</v>
      </c>
      <c r="E16" s="12" t="str">
        <f>VLOOKUP(LOWER(G15),experiments_specs!$A:$J,2,FALSE)</f>
        <v>NN,JJ</v>
      </c>
      <c r="F16" s="15" t="str">
        <f>"{"&amp;LOWER(G15)&amp;".csv}"</f>
        <v>{test_56.csv}</v>
      </c>
      <c r="G16" s="8" t="s">
        <v>118</v>
      </c>
      <c r="H16" s="3" t="s">
        <v>119</v>
      </c>
      <c r="I16" s="3" t="s">
        <v>182</v>
      </c>
      <c r="J16" s="3" t="s">
        <v>120</v>
      </c>
      <c r="K16" s="3" t="s">
        <v>182</v>
      </c>
      <c r="L16" s="29" t="s">
        <v>121</v>
      </c>
      <c r="M16" s="4" t="s">
        <v>122</v>
      </c>
      <c r="N16" s="4" t="s">
        <v>182</v>
      </c>
      <c r="O16" s="4" t="s">
        <v>120</v>
      </c>
      <c r="P16" s="4" t="s">
        <v>182</v>
      </c>
      <c r="Q16" s="4" t="s">
        <v>121</v>
      </c>
      <c r="S16" s="16"/>
      <c r="U16" s="16"/>
      <c r="W16" s="11" t="s">
        <v>1</v>
      </c>
      <c r="X16" s="12" t="str">
        <f>VLOOKUP(LOWER(Z15),experiments_specs!$A:$J,2,FALSE)</f>
        <v>NN,JJ</v>
      </c>
      <c r="Y16" s="15" t="str">
        <f>"{"&amp;LOWER(Z15)&amp;".csv}"</f>
        <v>{test_62.csv}</v>
      </c>
      <c r="Z16" s="8" t="s">
        <v>118</v>
      </c>
      <c r="AA16" s="3" t="s">
        <v>119</v>
      </c>
      <c r="AB16" s="3" t="s">
        <v>182</v>
      </c>
      <c r="AC16" s="3" t="s">
        <v>120</v>
      </c>
      <c r="AD16" s="3" t="s">
        <v>182</v>
      </c>
      <c r="AE16" s="3" t="s">
        <v>121</v>
      </c>
      <c r="AF16" s="4" t="s">
        <v>122</v>
      </c>
      <c r="AG16" s="4" t="s">
        <v>182</v>
      </c>
      <c r="AH16" s="4" t="s">
        <v>120</v>
      </c>
      <c r="AI16" s="4" t="s">
        <v>182</v>
      </c>
      <c r="AJ16" s="4" t="s">
        <v>121</v>
      </c>
      <c r="AL16" s="16"/>
      <c r="AN16" s="16"/>
      <c r="AP16" s="11" t="s">
        <v>1</v>
      </c>
      <c r="AQ16" s="12" t="str">
        <f>VLOOKUP(LOWER(AS15),experiments_specs!$A:$J,2,FALSE)</f>
        <v>NN,JJ</v>
      </c>
      <c r="AR16" s="15" t="str">
        <f>"{"&amp;LOWER(AS15)&amp;".csv}"</f>
        <v>{test_68.csv}</v>
      </c>
      <c r="AS16" s="8" t="s">
        <v>118</v>
      </c>
      <c r="AT16" s="3" t="s">
        <v>119</v>
      </c>
      <c r="AU16" s="3" t="s">
        <v>182</v>
      </c>
      <c r="AV16" s="3" t="s">
        <v>120</v>
      </c>
      <c r="AW16" s="3" t="s">
        <v>182</v>
      </c>
      <c r="AX16" s="3" t="s">
        <v>121</v>
      </c>
      <c r="AY16" s="4" t="s">
        <v>122</v>
      </c>
      <c r="AZ16" s="4" t="s">
        <v>182</v>
      </c>
      <c r="BA16" s="4" t="s">
        <v>120</v>
      </c>
      <c r="BB16" s="4" t="s">
        <v>182</v>
      </c>
      <c r="BC16" s="4" t="s">
        <v>121</v>
      </c>
      <c r="BE16" s="16"/>
    </row>
    <row r="17" spans="2:57" x14ac:dyDescent="0.2">
      <c r="B17" s="16"/>
      <c r="D17" s="11" t="s">
        <v>2</v>
      </c>
      <c r="E17" s="12">
        <f>VLOOKUP(LOWER(G15),experiments_specs!$A:$J,3,FALSE)</f>
        <v>1</v>
      </c>
      <c r="F17" s="15" t="s">
        <v>101</v>
      </c>
      <c r="G17" s="5"/>
      <c r="H17" s="17"/>
      <c r="I17" s="17"/>
      <c r="J17" s="17"/>
      <c r="K17" s="17"/>
      <c r="L17" s="30"/>
      <c r="M17" s="21"/>
      <c r="N17" s="21"/>
      <c r="O17" s="21"/>
      <c r="P17" s="21"/>
      <c r="Q17" s="33"/>
      <c r="S17" s="16"/>
      <c r="U17" s="16"/>
      <c r="W17" s="11" t="s">
        <v>2</v>
      </c>
      <c r="X17" s="12">
        <f>VLOOKUP(LOWER(Z15),experiments_specs!$A:$J,3,FALSE)</f>
        <v>1</v>
      </c>
      <c r="Y17" s="15" t="s">
        <v>107</v>
      </c>
      <c r="Z17" s="5" t="s">
        <v>19</v>
      </c>
      <c r="AA17" s="17"/>
      <c r="AB17" s="17"/>
      <c r="AC17" s="17"/>
      <c r="AD17" s="17"/>
      <c r="AE17" s="30"/>
      <c r="AF17" s="21"/>
      <c r="AG17" s="21"/>
      <c r="AH17" s="21"/>
      <c r="AI17" s="21"/>
      <c r="AJ17" s="33"/>
      <c r="AL17" s="16"/>
      <c r="AN17" s="16"/>
      <c r="AP17" s="11" t="s">
        <v>2</v>
      </c>
      <c r="AQ17" s="12">
        <f>VLOOKUP(LOWER(AS15),experiments_specs!$A:$J,3,FALSE)</f>
        <v>1</v>
      </c>
      <c r="AR17" s="15" t="s">
        <v>113</v>
      </c>
      <c r="AS17" s="5"/>
      <c r="AT17" s="17"/>
      <c r="AU17" s="17"/>
      <c r="AV17" s="17"/>
      <c r="AW17" s="17"/>
      <c r="AX17" s="30"/>
      <c r="AY17" s="21"/>
      <c r="AZ17" s="21"/>
      <c r="BA17" s="21"/>
      <c r="BB17" s="21"/>
      <c r="BC17" s="33"/>
      <c r="BE17" s="16"/>
    </row>
    <row r="18" spans="2:57" x14ac:dyDescent="0.2">
      <c r="B18" s="16"/>
      <c r="D18" s="11" t="s">
        <v>3</v>
      </c>
      <c r="E18" s="12">
        <f>VLOOKUP(LOWER(G15),experiments_specs!$A:$J,4,FALSE)</f>
        <v>2</v>
      </c>
      <c r="F18" s="15" t="s">
        <v>101</v>
      </c>
      <c r="G18" s="6"/>
      <c r="H18" s="18"/>
      <c r="I18" s="18"/>
      <c r="J18" s="18"/>
      <c r="K18" s="18"/>
      <c r="L18" s="31"/>
      <c r="M18" s="22"/>
      <c r="N18" s="22"/>
      <c r="O18" s="22"/>
      <c r="P18" s="22"/>
      <c r="Q18" s="34"/>
      <c r="S18" s="16"/>
      <c r="U18" s="16"/>
      <c r="W18" s="11" t="s">
        <v>3</v>
      </c>
      <c r="X18" s="12">
        <f>VLOOKUP(LOWER(Z15),experiments_specs!$A:$J,4,FALSE)</f>
        <v>2</v>
      </c>
      <c r="Y18" s="15" t="s">
        <v>107</v>
      </c>
      <c r="Z18" s="6" t="s">
        <v>12</v>
      </c>
      <c r="AA18" s="18"/>
      <c r="AB18" s="18"/>
      <c r="AC18" s="18"/>
      <c r="AD18" s="18"/>
      <c r="AE18" s="31"/>
      <c r="AF18" s="23"/>
      <c r="AG18" s="23"/>
      <c r="AH18" s="23"/>
      <c r="AI18" s="23"/>
      <c r="AJ18" s="34"/>
      <c r="AL18" s="16"/>
      <c r="AN18" s="16"/>
      <c r="AP18" s="11" t="s">
        <v>3</v>
      </c>
      <c r="AQ18" s="12">
        <f>VLOOKUP(LOWER(AS15),experiments_specs!$A:$J,4,FALSE)</f>
        <v>2</v>
      </c>
      <c r="AR18" s="15" t="s">
        <v>113</v>
      </c>
      <c r="AS18" s="6"/>
      <c r="AT18" s="18"/>
      <c r="AU18" s="18"/>
      <c r="AV18" s="18"/>
      <c r="AW18" s="18"/>
      <c r="AX18" s="31"/>
      <c r="AY18" s="23"/>
      <c r="AZ18" s="23"/>
      <c r="BA18" s="23"/>
      <c r="BB18" s="23"/>
      <c r="BC18" s="34"/>
      <c r="BE18" s="16"/>
    </row>
    <row r="19" spans="2:57" x14ac:dyDescent="0.2">
      <c r="B19" s="16"/>
      <c r="D19" s="11" t="s">
        <v>4</v>
      </c>
      <c r="E19" s="12" t="str">
        <f>VLOOKUP(LOWER(G15),experiments_specs!$A:$J,5,FALSE)</f>
        <v>False</v>
      </c>
      <c r="F19" s="15" t="s">
        <v>101</v>
      </c>
      <c r="G19" s="6"/>
      <c r="H19" s="19"/>
      <c r="I19" s="19"/>
      <c r="J19" s="19"/>
      <c r="K19" s="19"/>
      <c r="L19" s="31"/>
      <c r="M19" s="22"/>
      <c r="N19" s="22"/>
      <c r="O19" s="22"/>
      <c r="P19" s="22"/>
      <c r="Q19" s="34"/>
      <c r="S19" s="16"/>
      <c r="U19" s="16"/>
      <c r="W19" s="11" t="s">
        <v>4</v>
      </c>
      <c r="X19" s="12" t="str">
        <f>VLOOKUP(LOWER(Z15),experiments_specs!$A:$J,5,FALSE)</f>
        <v>True</v>
      </c>
      <c r="Y19" s="15" t="s">
        <v>107</v>
      </c>
      <c r="Z19" s="6" t="s">
        <v>13</v>
      </c>
      <c r="AA19" s="19"/>
      <c r="AB19" s="19"/>
      <c r="AC19" s="19"/>
      <c r="AD19" s="19"/>
      <c r="AE19" s="31"/>
      <c r="AF19" s="22"/>
      <c r="AG19" s="22"/>
      <c r="AH19" s="22"/>
      <c r="AI19" s="22"/>
      <c r="AJ19" s="34"/>
      <c r="AL19" s="16"/>
      <c r="AN19" s="16"/>
      <c r="AP19" s="11" t="s">
        <v>4</v>
      </c>
      <c r="AQ19" s="12" t="str">
        <f>VLOOKUP(LOWER(AS15),experiments_specs!$A:$J,5,FALSE)</f>
        <v>True</v>
      </c>
      <c r="AR19" s="15" t="s">
        <v>113</v>
      </c>
      <c r="AS19" s="6"/>
      <c r="AT19" s="19"/>
      <c r="AU19" s="19"/>
      <c r="AV19" s="19"/>
      <c r="AW19" s="19"/>
      <c r="AX19" s="31"/>
      <c r="AY19" s="22"/>
      <c r="AZ19" s="22"/>
      <c r="BA19" s="22"/>
      <c r="BB19" s="22"/>
      <c r="BC19" s="34"/>
      <c r="BE19" s="16"/>
    </row>
    <row r="20" spans="2:57" x14ac:dyDescent="0.2">
      <c r="B20" s="16"/>
      <c r="D20" s="11" t="s">
        <v>5</v>
      </c>
      <c r="E20" s="12" t="str">
        <f>VLOOKUP(LOWER(G15),experiments_specs!$A:$J,6,FALSE)</f>
        <v>False</v>
      </c>
      <c r="F20" s="15" t="s">
        <v>101</v>
      </c>
      <c r="G20" s="6"/>
      <c r="H20" s="19"/>
      <c r="I20" s="19"/>
      <c r="J20" s="19"/>
      <c r="K20" s="19"/>
      <c r="L20" s="31"/>
      <c r="M20" s="22"/>
      <c r="N20" s="22"/>
      <c r="O20" s="22"/>
      <c r="P20" s="22"/>
      <c r="Q20" s="34"/>
      <c r="S20" s="16"/>
      <c r="U20" s="16"/>
      <c r="W20" s="11" t="s">
        <v>5</v>
      </c>
      <c r="X20" s="12" t="str">
        <f>VLOOKUP(LOWER(Z15),experiments_specs!$A:$J,6,FALSE)</f>
        <v>False</v>
      </c>
      <c r="Y20" s="15" t="s">
        <v>107</v>
      </c>
      <c r="Z20" s="6" t="s">
        <v>14</v>
      </c>
      <c r="AA20" s="18"/>
      <c r="AB20" s="18"/>
      <c r="AC20" s="18"/>
      <c r="AD20" s="18"/>
      <c r="AE20" s="31"/>
      <c r="AF20" s="23"/>
      <c r="AG20" s="23"/>
      <c r="AH20" s="23"/>
      <c r="AI20" s="23"/>
      <c r="AJ20" s="34"/>
      <c r="AL20" s="16"/>
      <c r="AN20" s="16"/>
      <c r="AP20" s="11" t="s">
        <v>5</v>
      </c>
      <c r="AQ20" s="12" t="str">
        <f>VLOOKUP(LOWER(AS15),experiments_specs!$A:$J,6,FALSE)</f>
        <v>False</v>
      </c>
      <c r="AR20" s="15" t="s">
        <v>113</v>
      </c>
      <c r="AS20" s="6"/>
      <c r="AT20" s="18"/>
      <c r="AU20" s="18"/>
      <c r="AV20" s="18"/>
      <c r="AW20" s="18"/>
      <c r="AX20" s="31"/>
      <c r="AY20" s="23"/>
      <c r="AZ20" s="23"/>
      <c r="BA20" s="23"/>
      <c r="BB20" s="23"/>
      <c r="BC20" s="34"/>
      <c r="BE20" s="16"/>
    </row>
    <row r="21" spans="2:57" x14ac:dyDescent="0.2">
      <c r="B21" s="16"/>
      <c r="D21" s="11" t="s">
        <v>6</v>
      </c>
      <c r="E21" s="12" t="str">
        <f>VLOOKUP(LOWER(G15),experiments_specs!$A:$J,7,FALSE)</f>
        <v>True</v>
      </c>
      <c r="F21" s="15" t="s">
        <v>101</v>
      </c>
      <c r="G21" s="6"/>
      <c r="H21" s="19"/>
      <c r="I21" s="19"/>
      <c r="J21" s="19"/>
      <c r="K21" s="19"/>
      <c r="L21" s="31"/>
      <c r="M21" s="23"/>
      <c r="N21" s="23"/>
      <c r="O21" s="23"/>
      <c r="P21" s="23"/>
      <c r="Q21" s="34"/>
      <c r="S21" s="16"/>
      <c r="U21" s="16"/>
      <c r="W21" s="11" t="s">
        <v>6</v>
      </c>
      <c r="X21" s="12" t="str">
        <f>VLOOKUP(LOWER(Z15),experiments_specs!$A:$J,7,FALSE)</f>
        <v>True</v>
      </c>
      <c r="Y21" s="15" t="s">
        <v>107</v>
      </c>
      <c r="Z21" s="6" t="s">
        <v>15</v>
      </c>
      <c r="AA21" s="19"/>
      <c r="AB21" s="19"/>
      <c r="AC21" s="19"/>
      <c r="AD21" s="19"/>
      <c r="AE21" s="31"/>
      <c r="AF21" s="23"/>
      <c r="AG21" s="23"/>
      <c r="AH21" s="23"/>
      <c r="AI21" s="23"/>
      <c r="AJ21" s="34"/>
      <c r="AL21" s="16"/>
      <c r="AN21" s="16"/>
      <c r="AP21" s="11" t="s">
        <v>6</v>
      </c>
      <c r="AQ21" s="12" t="str">
        <f>VLOOKUP(LOWER(AS15),experiments_specs!$A:$J,7,FALSE)</f>
        <v>True</v>
      </c>
      <c r="AR21" s="15" t="s">
        <v>113</v>
      </c>
      <c r="AS21" s="6"/>
      <c r="AT21" s="19"/>
      <c r="AU21" s="19"/>
      <c r="AV21" s="19"/>
      <c r="AW21" s="19"/>
      <c r="AX21" s="31"/>
      <c r="AY21" s="23"/>
      <c r="AZ21" s="23"/>
      <c r="BA21" s="23"/>
      <c r="BB21" s="23"/>
      <c r="BC21" s="34"/>
      <c r="BE21" s="16"/>
    </row>
    <row r="22" spans="2:57" x14ac:dyDescent="0.2">
      <c r="B22" s="16"/>
      <c r="D22" s="11" t="s">
        <v>7</v>
      </c>
      <c r="E22" s="12" t="str">
        <f>VLOOKUP(LOWER(G15),experiments_specs!$A:$J,8,FALSE)</f>
        <v>False</v>
      </c>
      <c r="F22" s="15" t="s">
        <v>101</v>
      </c>
      <c r="G22" s="6"/>
      <c r="H22" s="19"/>
      <c r="I22" s="19"/>
      <c r="J22" s="19"/>
      <c r="K22" s="19"/>
      <c r="L22" s="31"/>
      <c r="M22" s="23"/>
      <c r="N22" s="23"/>
      <c r="O22" s="23"/>
      <c r="P22" s="23"/>
      <c r="Q22" s="34"/>
      <c r="S22" s="16"/>
      <c r="U22" s="16"/>
      <c r="W22" s="11" t="s">
        <v>7</v>
      </c>
      <c r="X22" s="12" t="str">
        <f>VLOOKUP(LOWER(Z15),experiments_specs!$A:$J,8,FALSE)</f>
        <v>False</v>
      </c>
      <c r="Y22" s="15" t="s">
        <v>107</v>
      </c>
      <c r="Z22" s="6" t="s">
        <v>16</v>
      </c>
      <c r="AA22" s="19"/>
      <c r="AB22" s="19"/>
      <c r="AC22" s="19"/>
      <c r="AD22" s="19"/>
      <c r="AE22" s="31"/>
      <c r="AF22" s="23"/>
      <c r="AG22" s="23"/>
      <c r="AH22" s="23"/>
      <c r="AI22" s="23"/>
      <c r="AJ22" s="34"/>
      <c r="AL22" s="16"/>
      <c r="AN22" s="16"/>
      <c r="AP22" s="11" t="s">
        <v>7</v>
      </c>
      <c r="AQ22" s="12" t="str">
        <f>VLOOKUP(LOWER(AS15),experiments_specs!$A:$J,8,FALSE)</f>
        <v>False</v>
      </c>
      <c r="AR22" s="15" t="s">
        <v>113</v>
      </c>
      <c r="AS22" s="6"/>
      <c r="AT22" s="19"/>
      <c r="AU22" s="19"/>
      <c r="AV22" s="19"/>
      <c r="AW22" s="19"/>
      <c r="AX22" s="31"/>
      <c r="AY22" s="23"/>
      <c r="AZ22" s="23"/>
      <c r="BA22" s="23"/>
      <c r="BB22" s="23"/>
      <c r="BC22" s="34"/>
      <c r="BE22" s="16"/>
    </row>
    <row r="23" spans="2:57" x14ac:dyDescent="0.2">
      <c r="B23" s="16"/>
      <c r="D23" s="11" t="s">
        <v>8</v>
      </c>
      <c r="E23" s="12" t="str">
        <f>VLOOKUP(LOWER(G15),experiments_specs!$A:$J,9,FALSE)</f>
        <v>wup_similarity</v>
      </c>
      <c r="F23" s="15" t="s">
        <v>101</v>
      </c>
      <c r="G23" s="6"/>
      <c r="H23" s="19"/>
      <c r="I23" s="19"/>
      <c r="J23" s="19"/>
      <c r="K23" s="19"/>
      <c r="L23" s="31"/>
      <c r="M23" s="22"/>
      <c r="N23" s="22"/>
      <c r="O23" s="22"/>
      <c r="P23" s="22"/>
      <c r="Q23" s="34"/>
      <c r="S23" s="16"/>
      <c r="U23" s="16"/>
      <c r="W23" s="11" t="s">
        <v>8</v>
      </c>
      <c r="X23" s="12" t="str">
        <f>VLOOKUP(LOWER(Z15),experiments_specs!$A:$J,9,FALSE)</f>
        <v>wup_similarity</v>
      </c>
      <c r="Y23" s="15" t="s">
        <v>107</v>
      </c>
      <c r="Z23" s="6" t="s">
        <v>17</v>
      </c>
      <c r="AA23" s="18"/>
      <c r="AB23" s="18"/>
      <c r="AC23" s="18"/>
      <c r="AD23" s="18"/>
      <c r="AE23" s="31"/>
      <c r="AF23" s="23"/>
      <c r="AG23" s="23"/>
      <c r="AH23" s="23"/>
      <c r="AI23" s="23"/>
      <c r="AJ23" s="34"/>
      <c r="AL23" s="16"/>
      <c r="AN23" s="16"/>
      <c r="AP23" s="11" t="s">
        <v>8</v>
      </c>
      <c r="AQ23" s="12" t="str">
        <f>VLOOKUP(LOWER(AS15),experiments_specs!$A:$J,9,FALSE)</f>
        <v>wup_similarity</v>
      </c>
      <c r="AR23" s="15" t="s">
        <v>113</v>
      </c>
      <c r="AS23" s="6"/>
      <c r="AT23" s="18"/>
      <c r="AU23" s="18"/>
      <c r="AV23" s="18"/>
      <c r="AW23" s="18"/>
      <c r="AX23" s="31"/>
      <c r="AY23" s="23"/>
      <c r="AZ23" s="23"/>
      <c r="BA23" s="23"/>
      <c r="BB23" s="23"/>
      <c r="BC23" s="34"/>
      <c r="BE23" s="16"/>
    </row>
    <row r="24" spans="2:57" x14ac:dyDescent="0.2">
      <c r="B24" s="16"/>
      <c r="D24" s="11" t="s">
        <v>9</v>
      </c>
      <c r="E24" s="12" t="str">
        <f>VLOOKUP(LOWER(G15),experiments_specs!$A:$J,10,FALSE)</f>
        <v>False</v>
      </c>
      <c r="F24" s="15" t="s">
        <v>101</v>
      </c>
      <c r="G24" s="7"/>
      <c r="H24" s="20"/>
      <c r="I24" s="20"/>
      <c r="J24" s="20"/>
      <c r="K24" s="20"/>
      <c r="L24" s="32"/>
      <c r="M24" s="24"/>
      <c r="N24" s="24"/>
      <c r="O24" s="24"/>
      <c r="P24" s="24"/>
      <c r="Q24" s="35"/>
      <c r="S24" s="16"/>
      <c r="U24" s="16"/>
      <c r="W24" s="11" t="s">
        <v>9</v>
      </c>
      <c r="X24" s="12" t="str">
        <f>VLOOKUP(LOWER(Z15),experiments_specs!$A:$J,10,FALSE)</f>
        <v>False</v>
      </c>
      <c r="Y24" s="15" t="s">
        <v>107</v>
      </c>
      <c r="Z24" s="7" t="s">
        <v>18</v>
      </c>
      <c r="AA24" s="20"/>
      <c r="AB24" s="20"/>
      <c r="AC24" s="20"/>
      <c r="AD24" s="20"/>
      <c r="AE24" s="32"/>
      <c r="AF24" s="24"/>
      <c r="AG24" s="24"/>
      <c r="AH24" s="24"/>
      <c r="AI24" s="24"/>
      <c r="AJ24" s="35"/>
      <c r="AL24" s="16"/>
      <c r="AN24" s="16"/>
      <c r="AP24" s="11" t="s">
        <v>9</v>
      </c>
      <c r="AQ24" s="12" t="str">
        <f>VLOOKUP(LOWER(AS15),experiments_specs!$A:$J,10,FALSE)</f>
        <v>True</v>
      </c>
      <c r="AR24" s="15" t="s">
        <v>113</v>
      </c>
      <c r="AS24" s="7"/>
      <c r="AT24" s="20"/>
      <c r="AU24" s="20"/>
      <c r="AV24" s="20"/>
      <c r="AW24" s="20"/>
      <c r="AX24" s="32"/>
      <c r="AY24" s="24"/>
      <c r="AZ24" s="24"/>
      <c r="BA24" s="24"/>
      <c r="BB24" s="24"/>
      <c r="BC24" s="35"/>
      <c r="BE24" s="16"/>
    </row>
    <row r="25" spans="2:57" ht="17" thickBot="1" x14ac:dyDescent="0.25">
      <c r="B25" s="16"/>
      <c r="S25" s="16"/>
      <c r="U25" s="16"/>
      <c r="AL25" s="16"/>
      <c r="AN25" s="16"/>
      <c r="BE25" s="16"/>
    </row>
    <row r="26" spans="2:57" ht="20" thickBot="1" x14ac:dyDescent="0.3">
      <c r="B26" s="16"/>
      <c r="D26" s="13" t="s">
        <v>126</v>
      </c>
      <c r="E26" s="14"/>
      <c r="F26" s="9"/>
      <c r="G26" s="10" t="str">
        <f>"TEST_"&amp;TEXT(RIGHT(G15,2)+1, "00")</f>
        <v>TEST_57</v>
      </c>
      <c r="H26" s="36" t="s">
        <v>124</v>
      </c>
      <c r="I26" s="36"/>
      <c r="J26" s="36"/>
      <c r="K26" s="36"/>
      <c r="L26" s="36"/>
      <c r="M26" s="37" t="s">
        <v>123</v>
      </c>
      <c r="N26" s="37"/>
      <c r="O26" s="37"/>
      <c r="P26" s="37"/>
      <c r="Q26" s="37"/>
      <c r="R26" s="2"/>
      <c r="S26" s="16"/>
      <c r="U26" s="16"/>
      <c r="W26" s="13" t="s">
        <v>126</v>
      </c>
      <c r="X26" s="14"/>
      <c r="Y26" s="9"/>
      <c r="Z26" s="10" t="str">
        <f>"TEST_"&amp;TEXT(RIGHT(Z15,2)+1, "00")</f>
        <v>TEST_63</v>
      </c>
      <c r="AA26" s="36" t="s">
        <v>124</v>
      </c>
      <c r="AB26" s="36"/>
      <c r="AC26" s="36"/>
      <c r="AD26" s="36"/>
      <c r="AE26" s="36"/>
      <c r="AF26" s="37" t="s">
        <v>123</v>
      </c>
      <c r="AG26" s="37"/>
      <c r="AH26" s="37"/>
      <c r="AI26" s="37"/>
      <c r="AJ26" s="37"/>
      <c r="AK26" s="2"/>
      <c r="AL26" s="16"/>
      <c r="AN26" s="16"/>
      <c r="AP26" s="13" t="s">
        <v>126</v>
      </c>
      <c r="AQ26" s="14"/>
      <c r="AR26" s="9"/>
      <c r="AS26" s="10" t="str">
        <f>"TEST_"&amp;TEXT(RIGHT(AS15,2)+1, "00")</f>
        <v>TEST_69</v>
      </c>
      <c r="AT26" s="36" t="s">
        <v>124</v>
      </c>
      <c r="AU26" s="36"/>
      <c r="AV26" s="36"/>
      <c r="AW26" s="36"/>
      <c r="AX26" s="36"/>
      <c r="AY26" s="37" t="s">
        <v>123</v>
      </c>
      <c r="AZ26" s="37"/>
      <c r="BA26" s="37"/>
      <c r="BB26" s="37"/>
      <c r="BC26" s="37"/>
      <c r="BD26" s="2"/>
      <c r="BE26" s="16"/>
    </row>
    <row r="27" spans="2:57" x14ac:dyDescent="0.2">
      <c r="B27" s="16"/>
      <c r="D27" s="11" t="s">
        <v>1</v>
      </c>
      <c r="E27" s="12" t="str">
        <f>VLOOKUP(LOWER(G26),experiments_specs!$A:$J,2,FALSE)</f>
        <v>NN,VB</v>
      </c>
      <c r="F27" s="15" t="str">
        <f>"{"&amp;LOWER(G26)&amp;".csv}"</f>
        <v>{test_57.csv}</v>
      </c>
      <c r="G27" s="8" t="s">
        <v>118</v>
      </c>
      <c r="H27" s="3" t="s">
        <v>119</v>
      </c>
      <c r="I27" s="3" t="s">
        <v>182</v>
      </c>
      <c r="J27" s="3" t="s">
        <v>120</v>
      </c>
      <c r="K27" s="3" t="s">
        <v>182</v>
      </c>
      <c r="L27" s="3" t="s">
        <v>121</v>
      </c>
      <c r="M27" s="4" t="s">
        <v>122</v>
      </c>
      <c r="N27" s="4" t="s">
        <v>182</v>
      </c>
      <c r="O27" s="4" t="s">
        <v>120</v>
      </c>
      <c r="P27" s="4" t="s">
        <v>182</v>
      </c>
      <c r="Q27" s="4" t="s">
        <v>121</v>
      </c>
      <c r="S27" s="16"/>
      <c r="U27" s="16"/>
      <c r="W27" s="11" t="s">
        <v>1</v>
      </c>
      <c r="X27" s="12" t="str">
        <f>VLOOKUP(LOWER(Z26),experiments_specs!$A:$J,2,FALSE)</f>
        <v>NN,VB</v>
      </c>
      <c r="Y27" s="15" t="str">
        <f>"{"&amp;LOWER(Z26)&amp;".csv}"</f>
        <v>{test_63.csv}</v>
      </c>
      <c r="Z27" s="8" t="s">
        <v>118</v>
      </c>
      <c r="AA27" s="3" t="s">
        <v>119</v>
      </c>
      <c r="AB27" s="3" t="s">
        <v>182</v>
      </c>
      <c r="AC27" s="3" t="s">
        <v>120</v>
      </c>
      <c r="AD27" s="3" t="s">
        <v>182</v>
      </c>
      <c r="AE27" s="3" t="s">
        <v>121</v>
      </c>
      <c r="AF27" s="4" t="s">
        <v>122</v>
      </c>
      <c r="AG27" s="4" t="s">
        <v>182</v>
      </c>
      <c r="AH27" s="4" t="s">
        <v>120</v>
      </c>
      <c r="AI27" s="4" t="s">
        <v>182</v>
      </c>
      <c r="AJ27" s="4" t="s">
        <v>121</v>
      </c>
      <c r="AL27" s="16"/>
      <c r="AN27" s="16"/>
      <c r="AP27" s="11" t="s">
        <v>1</v>
      </c>
      <c r="AQ27" s="12" t="str">
        <f>VLOOKUP(LOWER(AS26),experiments_specs!$A:$J,2,FALSE)</f>
        <v>NN,VB</v>
      </c>
      <c r="AR27" s="15" t="str">
        <f>"{"&amp;LOWER(AS26)&amp;".csv}"</f>
        <v>{test_69.csv}</v>
      </c>
      <c r="AS27" s="8" t="s">
        <v>118</v>
      </c>
      <c r="AT27" s="3" t="s">
        <v>119</v>
      </c>
      <c r="AU27" s="3" t="s">
        <v>182</v>
      </c>
      <c r="AV27" s="3" t="s">
        <v>120</v>
      </c>
      <c r="AW27" s="3" t="s">
        <v>182</v>
      </c>
      <c r="AX27" s="3" t="s">
        <v>121</v>
      </c>
      <c r="AY27" s="4" t="s">
        <v>122</v>
      </c>
      <c r="AZ27" s="4" t="s">
        <v>182</v>
      </c>
      <c r="BA27" s="4" t="s">
        <v>120</v>
      </c>
      <c r="BB27" s="4" t="s">
        <v>182</v>
      </c>
      <c r="BC27" s="4" t="s">
        <v>121</v>
      </c>
      <c r="BE27" s="16"/>
    </row>
    <row r="28" spans="2:57" x14ac:dyDescent="0.2">
      <c r="B28" s="16"/>
      <c r="D28" s="11" t="s">
        <v>2</v>
      </c>
      <c r="E28" s="12">
        <f>VLOOKUP(LOWER(G26),experiments_specs!$A:$J,3,FALSE)</f>
        <v>1</v>
      </c>
      <c r="F28" s="15" t="s">
        <v>102</v>
      </c>
      <c r="G28" s="5"/>
      <c r="H28" s="17"/>
      <c r="I28" s="17"/>
      <c r="J28" s="17"/>
      <c r="K28" s="17"/>
      <c r="L28" s="30"/>
      <c r="M28" s="21"/>
      <c r="N28" s="21"/>
      <c r="O28" s="21"/>
      <c r="P28" s="21"/>
      <c r="Q28" s="33"/>
      <c r="S28" s="16"/>
      <c r="U28" s="16"/>
      <c r="W28" s="11" t="s">
        <v>2</v>
      </c>
      <c r="X28" s="12">
        <f>VLOOKUP(LOWER(Z26),experiments_specs!$A:$J,3,FALSE)</f>
        <v>1</v>
      </c>
      <c r="Y28" s="15" t="s">
        <v>108</v>
      </c>
      <c r="Z28" s="5" t="s">
        <v>19</v>
      </c>
      <c r="AA28" s="17"/>
      <c r="AB28" s="17"/>
      <c r="AC28" s="17"/>
      <c r="AD28" s="17"/>
      <c r="AE28" s="30"/>
      <c r="AF28" s="21"/>
      <c r="AG28" s="21"/>
      <c r="AH28" s="21"/>
      <c r="AI28" s="21"/>
      <c r="AJ28" s="33"/>
      <c r="AL28" s="16"/>
      <c r="AN28" s="16"/>
      <c r="AP28" s="11" t="s">
        <v>2</v>
      </c>
      <c r="AQ28" s="12">
        <f>VLOOKUP(LOWER(AS26),experiments_specs!$A:$J,3,FALSE)</f>
        <v>1</v>
      </c>
      <c r="AR28" s="15" t="s">
        <v>114</v>
      </c>
      <c r="AS28" s="5"/>
      <c r="AT28" s="17"/>
      <c r="AU28" s="17"/>
      <c r="AV28" s="17"/>
      <c r="AW28" s="17"/>
      <c r="AX28" s="30"/>
      <c r="AY28" s="21"/>
      <c r="AZ28" s="21"/>
      <c r="BA28" s="21"/>
      <c r="BB28" s="21"/>
      <c r="BC28" s="33"/>
      <c r="BE28" s="16"/>
    </row>
    <row r="29" spans="2:57" x14ac:dyDescent="0.2">
      <c r="B29" s="16"/>
      <c r="D29" s="11" t="s">
        <v>3</v>
      </c>
      <c r="E29" s="12">
        <f>VLOOKUP(LOWER(G26),experiments_specs!$A:$J,4,FALSE)</f>
        <v>2</v>
      </c>
      <c r="F29" s="15" t="s">
        <v>102</v>
      </c>
      <c r="G29" s="6"/>
      <c r="H29" s="18"/>
      <c r="I29" s="18"/>
      <c r="J29" s="18"/>
      <c r="K29" s="18"/>
      <c r="L29" s="31"/>
      <c r="M29" s="22"/>
      <c r="N29" s="22"/>
      <c r="O29" s="22"/>
      <c r="P29" s="22"/>
      <c r="Q29" s="34"/>
      <c r="S29" s="16"/>
      <c r="U29" s="16"/>
      <c r="W29" s="11" t="s">
        <v>3</v>
      </c>
      <c r="X29" s="12">
        <f>VLOOKUP(LOWER(Z26),experiments_specs!$A:$J,4,FALSE)</f>
        <v>2</v>
      </c>
      <c r="Y29" s="15" t="s">
        <v>108</v>
      </c>
      <c r="Z29" s="6" t="s">
        <v>12</v>
      </c>
      <c r="AA29" s="18"/>
      <c r="AB29" s="18"/>
      <c r="AC29" s="18"/>
      <c r="AD29" s="18"/>
      <c r="AE29" s="31"/>
      <c r="AF29" s="23"/>
      <c r="AG29" s="23"/>
      <c r="AH29" s="23"/>
      <c r="AI29" s="23"/>
      <c r="AJ29" s="34"/>
      <c r="AL29" s="16"/>
      <c r="AN29" s="16"/>
      <c r="AP29" s="11" t="s">
        <v>3</v>
      </c>
      <c r="AQ29" s="12">
        <f>VLOOKUP(LOWER(AS26),experiments_specs!$A:$J,4,FALSE)</f>
        <v>2</v>
      </c>
      <c r="AR29" s="15" t="s">
        <v>114</v>
      </c>
      <c r="AS29" s="6"/>
      <c r="AT29" s="18"/>
      <c r="AU29" s="18"/>
      <c r="AV29" s="18"/>
      <c r="AW29" s="18"/>
      <c r="AX29" s="31"/>
      <c r="AY29" s="23"/>
      <c r="AZ29" s="23"/>
      <c r="BA29" s="23"/>
      <c r="BB29" s="23"/>
      <c r="BC29" s="34"/>
      <c r="BE29" s="16"/>
    </row>
    <row r="30" spans="2:57" x14ac:dyDescent="0.2">
      <c r="B30" s="16"/>
      <c r="D30" s="11" t="s">
        <v>4</v>
      </c>
      <c r="E30" s="12" t="str">
        <f>VLOOKUP(LOWER(G26),experiments_specs!$A:$J,5,FALSE)</f>
        <v>False</v>
      </c>
      <c r="F30" s="15" t="s">
        <v>102</v>
      </c>
      <c r="G30" s="6"/>
      <c r="H30" s="19"/>
      <c r="I30" s="19"/>
      <c r="J30" s="19"/>
      <c r="K30" s="19"/>
      <c r="L30" s="31"/>
      <c r="M30" s="22"/>
      <c r="N30" s="22"/>
      <c r="O30" s="22"/>
      <c r="P30" s="22"/>
      <c r="Q30" s="34"/>
      <c r="S30" s="16"/>
      <c r="U30" s="16"/>
      <c r="W30" s="11" t="s">
        <v>4</v>
      </c>
      <c r="X30" s="12" t="str">
        <f>VLOOKUP(LOWER(Z26),experiments_specs!$A:$J,5,FALSE)</f>
        <v>True</v>
      </c>
      <c r="Y30" s="15" t="s">
        <v>108</v>
      </c>
      <c r="Z30" s="6" t="s">
        <v>13</v>
      </c>
      <c r="AA30" s="19"/>
      <c r="AB30" s="19"/>
      <c r="AC30" s="19"/>
      <c r="AD30" s="19"/>
      <c r="AE30" s="31"/>
      <c r="AF30" s="22"/>
      <c r="AG30" s="22"/>
      <c r="AH30" s="22"/>
      <c r="AI30" s="22"/>
      <c r="AJ30" s="34"/>
      <c r="AL30" s="16"/>
      <c r="AN30" s="16"/>
      <c r="AP30" s="11" t="s">
        <v>4</v>
      </c>
      <c r="AQ30" s="12" t="str">
        <f>VLOOKUP(LOWER(AS26),experiments_specs!$A:$J,5,FALSE)</f>
        <v>True</v>
      </c>
      <c r="AR30" s="15" t="s">
        <v>114</v>
      </c>
      <c r="AS30" s="6"/>
      <c r="AT30" s="19"/>
      <c r="AU30" s="19"/>
      <c r="AV30" s="19"/>
      <c r="AW30" s="19"/>
      <c r="AX30" s="31"/>
      <c r="AY30" s="22"/>
      <c r="AZ30" s="22"/>
      <c r="BA30" s="22"/>
      <c r="BB30" s="22"/>
      <c r="BC30" s="34"/>
      <c r="BE30" s="16"/>
    </row>
    <row r="31" spans="2:57" x14ac:dyDescent="0.2">
      <c r="B31" s="16"/>
      <c r="D31" s="11" t="s">
        <v>5</v>
      </c>
      <c r="E31" s="12" t="str">
        <f>VLOOKUP(LOWER(G26),experiments_specs!$A:$J,6,FALSE)</f>
        <v>False</v>
      </c>
      <c r="F31" s="15" t="s">
        <v>102</v>
      </c>
      <c r="G31" s="6"/>
      <c r="H31" s="19"/>
      <c r="I31" s="19"/>
      <c r="J31" s="19"/>
      <c r="K31" s="19"/>
      <c r="L31" s="31"/>
      <c r="M31" s="22"/>
      <c r="N31" s="22"/>
      <c r="O31" s="22"/>
      <c r="P31" s="22"/>
      <c r="Q31" s="34"/>
      <c r="S31" s="16"/>
      <c r="U31" s="16"/>
      <c r="W31" s="11" t="s">
        <v>5</v>
      </c>
      <c r="X31" s="12" t="str">
        <f>VLOOKUP(LOWER(Z26),experiments_specs!$A:$J,6,FALSE)</f>
        <v>False</v>
      </c>
      <c r="Y31" s="15" t="s">
        <v>108</v>
      </c>
      <c r="Z31" s="6" t="s">
        <v>14</v>
      </c>
      <c r="AA31" s="18"/>
      <c r="AB31" s="18"/>
      <c r="AC31" s="18"/>
      <c r="AD31" s="18"/>
      <c r="AE31" s="31"/>
      <c r="AF31" s="23"/>
      <c r="AG31" s="23"/>
      <c r="AH31" s="23"/>
      <c r="AI31" s="23"/>
      <c r="AJ31" s="34"/>
      <c r="AL31" s="16"/>
      <c r="AN31" s="16"/>
      <c r="AP31" s="11" t="s">
        <v>5</v>
      </c>
      <c r="AQ31" s="12" t="str">
        <f>VLOOKUP(LOWER(AS26),experiments_specs!$A:$J,6,FALSE)</f>
        <v>False</v>
      </c>
      <c r="AR31" s="15" t="s">
        <v>114</v>
      </c>
      <c r="AS31" s="6"/>
      <c r="AT31" s="18"/>
      <c r="AU31" s="18"/>
      <c r="AV31" s="18"/>
      <c r="AW31" s="18"/>
      <c r="AX31" s="31"/>
      <c r="AY31" s="23"/>
      <c r="AZ31" s="23"/>
      <c r="BA31" s="23"/>
      <c r="BB31" s="23"/>
      <c r="BC31" s="34"/>
      <c r="BE31" s="16"/>
    </row>
    <row r="32" spans="2:57" x14ac:dyDescent="0.2">
      <c r="B32" s="16"/>
      <c r="D32" s="11" t="s">
        <v>6</v>
      </c>
      <c r="E32" s="12" t="str">
        <f>VLOOKUP(LOWER(G26),experiments_specs!$A:$J,7,FALSE)</f>
        <v>True</v>
      </c>
      <c r="F32" s="15" t="s">
        <v>102</v>
      </c>
      <c r="G32" s="6"/>
      <c r="H32" s="19"/>
      <c r="I32" s="19"/>
      <c r="J32" s="19"/>
      <c r="K32" s="19"/>
      <c r="L32" s="31"/>
      <c r="M32" s="23"/>
      <c r="N32" s="23"/>
      <c r="O32" s="23"/>
      <c r="P32" s="23"/>
      <c r="Q32" s="34"/>
      <c r="S32" s="16"/>
      <c r="U32" s="16"/>
      <c r="W32" s="11" t="s">
        <v>6</v>
      </c>
      <c r="X32" s="12" t="str">
        <f>VLOOKUP(LOWER(Z26),experiments_specs!$A:$J,7,FALSE)</f>
        <v>True</v>
      </c>
      <c r="Y32" s="15" t="s">
        <v>108</v>
      </c>
      <c r="Z32" s="6" t="s">
        <v>15</v>
      </c>
      <c r="AA32" s="19"/>
      <c r="AB32" s="19"/>
      <c r="AC32" s="19"/>
      <c r="AD32" s="19"/>
      <c r="AE32" s="31"/>
      <c r="AF32" s="23"/>
      <c r="AG32" s="23"/>
      <c r="AH32" s="23"/>
      <c r="AI32" s="23"/>
      <c r="AJ32" s="34"/>
      <c r="AL32" s="16"/>
      <c r="AN32" s="16"/>
      <c r="AP32" s="11" t="s">
        <v>6</v>
      </c>
      <c r="AQ32" s="12" t="str">
        <f>VLOOKUP(LOWER(AS26),experiments_specs!$A:$J,7,FALSE)</f>
        <v>True</v>
      </c>
      <c r="AR32" s="15" t="s">
        <v>114</v>
      </c>
      <c r="AS32" s="6"/>
      <c r="AT32" s="19"/>
      <c r="AU32" s="19"/>
      <c r="AV32" s="19"/>
      <c r="AW32" s="19"/>
      <c r="AX32" s="31"/>
      <c r="AY32" s="23"/>
      <c r="AZ32" s="23"/>
      <c r="BA32" s="23"/>
      <c r="BB32" s="23"/>
      <c r="BC32" s="34"/>
      <c r="BE32" s="16"/>
    </row>
    <row r="33" spans="2:57" x14ac:dyDescent="0.2">
      <c r="B33" s="16"/>
      <c r="D33" s="11" t="s">
        <v>7</v>
      </c>
      <c r="E33" s="12" t="str">
        <f>VLOOKUP(LOWER(G26),experiments_specs!$A:$J,8,FALSE)</f>
        <v>False</v>
      </c>
      <c r="F33" s="15" t="s">
        <v>102</v>
      </c>
      <c r="G33" s="6"/>
      <c r="H33" s="19"/>
      <c r="I33" s="19"/>
      <c r="J33" s="19"/>
      <c r="K33" s="19"/>
      <c r="L33" s="31"/>
      <c r="M33" s="23"/>
      <c r="N33" s="23"/>
      <c r="O33" s="23"/>
      <c r="P33" s="23"/>
      <c r="Q33" s="34"/>
      <c r="S33" s="16"/>
      <c r="U33" s="16"/>
      <c r="W33" s="11" t="s">
        <v>7</v>
      </c>
      <c r="X33" s="12" t="str">
        <f>VLOOKUP(LOWER(Z26),experiments_specs!$A:$J,8,FALSE)</f>
        <v>False</v>
      </c>
      <c r="Y33" s="15" t="s">
        <v>108</v>
      </c>
      <c r="Z33" s="6" t="s">
        <v>16</v>
      </c>
      <c r="AA33" s="19"/>
      <c r="AB33" s="19"/>
      <c r="AC33" s="19"/>
      <c r="AD33" s="19"/>
      <c r="AE33" s="31"/>
      <c r="AF33" s="23"/>
      <c r="AG33" s="23"/>
      <c r="AH33" s="23"/>
      <c r="AI33" s="23"/>
      <c r="AJ33" s="34"/>
      <c r="AL33" s="16"/>
      <c r="AN33" s="16"/>
      <c r="AP33" s="11" t="s">
        <v>7</v>
      </c>
      <c r="AQ33" s="12" t="str">
        <f>VLOOKUP(LOWER(AS26),experiments_specs!$A:$J,8,FALSE)</f>
        <v>False</v>
      </c>
      <c r="AR33" s="15" t="s">
        <v>114</v>
      </c>
      <c r="AS33" s="6"/>
      <c r="AT33" s="19"/>
      <c r="AU33" s="19"/>
      <c r="AV33" s="19"/>
      <c r="AW33" s="19"/>
      <c r="AX33" s="31"/>
      <c r="AY33" s="23"/>
      <c r="AZ33" s="23"/>
      <c r="BA33" s="23"/>
      <c r="BB33" s="23"/>
      <c r="BC33" s="34"/>
      <c r="BE33" s="16"/>
    </row>
    <row r="34" spans="2:57" x14ac:dyDescent="0.2">
      <c r="B34" s="16"/>
      <c r="D34" s="11" t="s">
        <v>8</v>
      </c>
      <c r="E34" s="12" t="str">
        <f>VLOOKUP(LOWER(G26),experiments_specs!$A:$J,9,FALSE)</f>
        <v>wup_similarity</v>
      </c>
      <c r="F34" s="15" t="s">
        <v>102</v>
      </c>
      <c r="G34" s="6"/>
      <c r="H34" s="19"/>
      <c r="I34" s="19"/>
      <c r="J34" s="19"/>
      <c r="K34" s="19"/>
      <c r="L34" s="31"/>
      <c r="M34" s="22"/>
      <c r="N34" s="22"/>
      <c r="O34" s="22"/>
      <c r="P34" s="22"/>
      <c r="Q34" s="34"/>
      <c r="S34" s="16"/>
      <c r="U34" s="16"/>
      <c r="W34" s="11" t="s">
        <v>8</v>
      </c>
      <c r="X34" s="12" t="str">
        <f>VLOOKUP(LOWER(Z26),experiments_specs!$A:$J,9,FALSE)</f>
        <v>wup_similarity</v>
      </c>
      <c r="Y34" s="15" t="s">
        <v>108</v>
      </c>
      <c r="Z34" s="6" t="s">
        <v>17</v>
      </c>
      <c r="AA34" s="19"/>
      <c r="AB34" s="19"/>
      <c r="AC34" s="19"/>
      <c r="AD34" s="19"/>
      <c r="AE34" s="31"/>
      <c r="AF34" s="23"/>
      <c r="AG34" s="23"/>
      <c r="AH34" s="23"/>
      <c r="AI34" s="23"/>
      <c r="AJ34" s="34"/>
      <c r="AL34" s="16"/>
      <c r="AN34" s="16"/>
      <c r="AP34" s="11" t="s">
        <v>8</v>
      </c>
      <c r="AQ34" s="12" t="str">
        <f>VLOOKUP(LOWER(AS26),experiments_specs!$A:$J,9,FALSE)</f>
        <v>wup_similarity</v>
      </c>
      <c r="AR34" s="15" t="s">
        <v>114</v>
      </c>
      <c r="AS34" s="6"/>
      <c r="AT34" s="18"/>
      <c r="AU34" s="18"/>
      <c r="AV34" s="18"/>
      <c r="AW34" s="18"/>
      <c r="AX34" s="31"/>
      <c r="AY34" s="23"/>
      <c r="AZ34" s="23"/>
      <c r="BA34" s="23"/>
      <c r="BB34" s="23"/>
      <c r="BC34" s="34"/>
      <c r="BE34" s="16"/>
    </row>
    <row r="35" spans="2:57" x14ac:dyDescent="0.2">
      <c r="B35" s="16"/>
      <c r="D35" s="11" t="s">
        <v>9</v>
      </c>
      <c r="E35" s="12" t="str">
        <f>VLOOKUP(LOWER(G26),experiments_specs!$A:$J,10,FALSE)</f>
        <v>False</v>
      </c>
      <c r="F35" s="15" t="s">
        <v>102</v>
      </c>
      <c r="G35" s="7"/>
      <c r="H35" s="20"/>
      <c r="I35" s="20"/>
      <c r="J35" s="20"/>
      <c r="K35" s="20"/>
      <c r="L35" s="32"/>
      <c r="M35" s="24"/>
      <c r="N35" s="24"/>
      <c r="O35" s="24"/>
      <c r="P35" s="24"/>
      <c r="Q35" s="35"/>
      <c r="S35" s="16"/>
      <c r="U35" s="16"/>
      <c r="W35" s="11" t="s">
        <v>9</v>
      </c>
      <c r="X35" s="12" t="str">
        <f>VLOOKUP(LOWER(Z26),experiments_specs!$A:$J,10,FALSE)</f>
        <v>False</v>
      </c>
      <c r="Y35" s="15" t="s">
        <v>108</v>
      </c>
      <c r="Z35" s="7" t="s">
        <v>18</v>
      </c>
      <c r="AA35" s="20"/>
      <c r="AB35" s="20"/>
      <c r="AC35" s="20"/>
      <c r="AD35" s="20"/>
      <c r="AE35" s="32"/>
      <c r="AF35" s="24"/>
      <c r="AG35" s="24"/>
      <c r="AH35" s="24"/>
      <c r="AI35" s="24"/>
      <c r="AJ35" s="35"/>
      <c r="AL35" s="16"/>
      <c r="AN35" s="16"/>
      <c r="AP35" s="11" t="s">
        <v>9</v>
      </c>
      <c r="AQ35" s="12" t="str">
        <f>VLOOKUP(LOWER(AS26),experiments_specs!$A:$J,10,FALSE)</f>
        <v>True</v>
      </c>
      <c r="AR35" s="15" t="s">
        <v>114</v>
      </c>
      <c r="AS35" s="7"/>
      <c r="AT35" s="20"/>
      <c r="AU35" s="20"/>
      <c r="AV35" s="20"/>
      <c r="AW35" s="20"/>
      <c r="AX35" s="32"/>
      <c r="AY35" s="24"/>
      <c r="AZ35" s="24"/>
      <c r="BA35" s="24"/>
      <c r="BB35" s="24"/>
      <c r="BC35" s="35"/>
      <c r="BE35" s="16"/>
    </row>
    <row r="36" spans="2:57" ht="17" thickBot="1" x14ac:dyDescent="0.25">
      <c r="B36" s="16"/>
      <c r="S36" s="16"/>
      <c r="U36" s="16"/>
      <c r="AL36" s="16"/>
      <c r="AN36" s="16"/>
      <c r="BE36" s="16"/>
    </row>
    <row r="37" spans="2:57" ht="20" thickBot="1" x14ac:dyDescent="0.3">
      <c r="B37" s="16"/>
      <c r="D37" s="13" t="s">
        <v>126</v>
      </c>
      <c r="E37" s="14"/>
      <c r="F37" s="9"/>
      <c r="G37" s="10" t="str">
        <f>"TEST_"&amp;TEXT(RIGHT(G26,2)+1, "00")</f>
        <v>TEST_58</v>
      </c>
      <c r="H37" s="36" t="s">
        <v>124</v>
      </c>
      <c r="I37" s="36"/>
      <c r="J37" s="36"/>
      <c r="K37" s="36"/>
      <c r="L37" s="36"/>
      <c r="M37" s="37" t="s">
        <v>123</v>
      </c>
      <c r="N37" s="37"/>
      <c r="O37" s="37"/>
      <c r="P37" s="37"/>
      <c r="Q37" s="37"/>
      <c r="R37" s="2"/>
      <c r="S37" s="16"/>
      <c r="U37" s="16"/>
      <c r="W37" s="13" t="s">
        <v>126</v>
      </c>
      <c r="X37" s="14"/>
      <c r="Y37" s="9"/>
      <c r="Z37" s="10" t="str">
        <f>"TEST_"&amp;TEXT(RIGHT(Z26,2)+1, "00")</f>
        <v>TEST_64</v>
      </c>
      <c r="AA37" s="36" t="s">
        <v>124</v>
      </c>
      <c r="AB37" s="36"/>
      <c r="AC37" s="36"/>
      <c r="AD37" s="36"/>
      <c r="AE37" s="36"/>
      <c r="AF37" s="37" t="s">
        <v>123</v>
      </c>
      <c r="AG37" s="37"/>
      <c r="AH37" s="37"/>
      <c r="AI37" s="37"/>
      <c r="AJ37" s="37"/>
      <c r="AK37" s="2"/>
      <c r="AL37" s="16"/>
      <c r="AN37" s="16"/>
      <c r="AP37" s="13" t="s">
        <v>126</v>
      </c>
      <c r="AQ37" s="14"/>
      <c r="AR37" s="9"/>
      <c r="AS37" s="10" t="str">
        <f>"TEST_"&amp;TEXT(RIGHT(AS26,2)+1, "00")</f>
        <v>TEST_70</v>
      </c>
      <c r="AT37" s="36" t="s">
        <v>124</v>
      </c>
      <c r="AU37" s="36"/>
      <c r="AV37" s="36"/>
      <c r="AW37" s="36"/>
      <c r="AX37" s="36"/>
      <c r="AY37" s="37" t="s">
        <v>123</v>
      </c>
      <c r="AZ37" s="37"/>
      <c r="BA37" s="37"/>
      <c r="BB37" s="37"/>
      <c r="BC37" s="37"/>
      <c r="BD37" s="2"/>
      <c r="BE37" s="16"/>
    </row>
    <row r="38" spans="2:57" x14ac:dyDescent="0.2">
      <c r="B38" s="16"/>
      <c r="D38" s="11" t="s">
        <v>1</v>
      </c>
      <c r="E38" s="12" t="str">
        <f>VLOOKUP(LOWER(G37),experiments_specs!$A:$J,2,FALSE)</f>
        <v>NN,VB,VBD,VBG,VBN,VBP,VBZ</v>
      </c>
      <c r="F38" s="15" t="str">
        <f>"{"&amp;LOWER(G37)&amp;".csv}"</f>
        <v>{test_58.csv}</v>
      </c>
      <c r="G38" s="8" t="s">
        <v>118</v>
      </c>
      <c r="H38" s="3" t="s">
        <v>119</v>
      </c>
      <c r="I38" s="3" t="s">
        <v>182</v>
      </c>
      <c r="J38" s="3" t="s">
        <v>120</v>
      </c>
      <c r="K38" s="3" t="s">
        <v>182</v>
      </c>
      <c r="L38" s="3" t="s">
        <v>121</v>
      </c>
      <c r="M38" s="4" t="s">
        <v>122</v>
      </c>
      <c r="N38" s="4" t="s">
        <v>182</v>
      </c>
      <c r="O38" s="4" t="s">
        <v>120</v>
      </c>
      <c r="P38" s="4" t="s">
        <v>182</v>
      </c>
      <c r="Q38" s="4" t="s">
        <v>121</v>
      </c>
      <c r="S38" s="16"/>
      <c r="U38" s="16"/>
      <c r="W38" s="11" t="s">
        <v>1</v>
      </c>
      <c r="X38" s="12" t="str">
        <f>VLOOKUP(LOWER(Z37),experiments_specs!$A:$J,2,FALSE)</f>
        <v>NN,VB,VBD,VBG,VBN,VBP,VBZ</v>
      </c>
      <c r="Y38" s="15" t="str">
        <f>"{"&amp;LOWER(Z37)&amp;".csv}"</f>
        <v>{test_64.csv}</v>
      </c>
      <c r="Z38" s="8" t="s">
        <v>118</v>
      </c>
      <c r="AA38" s="3" t="s">
        <v>119</v>
      </c>
      <c r="AB38" s="3" t="s">
        <v>182</v>
      </c>
      <c r="AC38" s="3" t="s">
        <v>120</v>
      </c>
      <c r="AD38" s="3" t="s">
        <v>182</v>
      </c>
      <c r="AE38" s="3" t="s">
        <v>121</v>
      </c>
      <c r="AF38" s="4" t="s">
        <v>122</v>
      </c>
      <c r="AG38" s="4" t="s">
        <v>182</v>
      </c>
      <c r="AH38" s="4" t="s">
        <v>120</v>
      </c>
      <c r="AI38" s="4" t="s">
        <v>182</v>
      </c>
      <c r="AJ38" s="4" t="s">
        <v>121</v>
      </c>
      <c r="AL38" s="16"/>
      <c r="AN38" s="16"/>
      <c r="AP38" s="11" t="s">
        <v>1</v>
      </c>
      <c r="AQ38" s="12" t="str">
        <f>VLOOKUP(LOWER(AS37),experiments_specs!$A:$J,2,FALSE)</f>
        <v>NN,VB,VBD,VBG,VBN,VBP,VBZ</v>
      </c>
      <c r="AR38" s="15" t="str">
        <f>"{"&amp;LOWER(AS37)&amp;".csv}"</f>
        <v>{test_70.csv}</v>
      </c>
      <c r="AS38" s="8" t="s">
        <v>118</v>
      </c>
      <c r="AT38" s="3" t="s">
        <v>119</v>
      </c>
      <c r="AU38" s="3" t="s">
        <v>182</v>
      </c>
      <c r="AV38" s="3" t="s">
        <v>120</v>
      </c>
      <c r="AW38" s="3" t="s">
        <v>182</v>
      </c>
      <c r="AX38" s="3" t="s">
        <v>121</v>
      </c>
      <c r="AY38" s="4" t="s">
        <v>122</v>
      </c>
      <c r="AZ38" s="4" t="s">
        <v>182</v>
      </c>
      <c r="BA38" s="4" t="s">
        <v>120</v>
      </c>
      <c r="BB38" s="4" t="s">
        <v>182</v>
      </c>
      <c r="BC38" s="4" t="s">
        <v>121</v>
      </c>
      <c r="BE38" s="16"/>
    </row>
    <row r="39" spans="2:57" x14ac:dyDescent="0.2">
      <c r="B39" s="16"/>
      <c r="D39" s="11" t="s">
        <v>2</v>
      </c>
      <c r="E39" s="12">
        <f>VLOOKUP(LOWER(G37),experiments_specs!$A:$J,3,FALSE)</f>
        <v>1</v>
      </c>
      <c r="F39" s="15" t="s">
        <v>103</v>
      </c>
      <c r="G39" s="5"/>
      <c r="H39" s="17"/>
      <c r="I39" s="17"/>
      <c r="J39" s="17"/>
      <c r="K39" s="17"/>
      <c r="L39" s="30"/>
      <c r="M39" s="21"/>
      <c r="N39" s="21"/>
      <c r="O39" s="21"/>
      <c r="P39" s="21"/>
      <c r="Q39" s="33"/>
      <c r="S39" s="16"/>
      <c r="U39" s="16"/>
      <c r="W39" s="11" t="s">
        <v>2</v>
      </c>
      <c r="X39" s="12">
        <f>VLOOKUP(LOWER(Z37),experiments_specs!$A:$J,3,FALSE)</f>
        <v>1</v>
      </c>
      <c r="Y39" s="15" t="s">
        <v>109</v>
      </c>
      <c r="Z39" s="5" t="s">
        <v>19</v>
      </c>
      <c r="AA39" s="17"/>
      <c r="AB39" s="17"/>
      <c r="AC39" s="17"/>
      <c r="AD39" s="17"/>
      <c r="AE39" s="30"/>
      <c r="AF39" s="21"/>
      <c r="AG39" s="21"/>
      <c r="AH39" s="21"/>
      <c r="AI39" s="21"/>
      <c r="AJ39" s="33"/>
      <c r="AL39" s="16"/>
      <c r="AN39" s="16"/>
      <c r="AP39" s="11" t="s">
        <v>2</v>
      </c>
      <c r="AQ39" s="12">
        <f>VLOOKUP(LOWER(AS37),experiments_specs!$A:$J,3,FALSE)</f>
        <v>1</v>
      </c>
      <c r="AR39" s="15" t="s">
        <v>115</v>
      </c>
      <c r="AS39" s="5"/>
      <c r="AT39" s="17"/>
      <c r="AU39" s="17"/>
      <c r="AV39" s="17"/>
      <c r="AW39" s="17"/>
      <c r="AX39" s="30"/>
      <c r="AY39" s="21"/>
      <c r="AZ39" s="21"/>
      <c r="BA39" s="21"/>
      <c r="BB39" s="21"/>
      <c r="BC39" s="33"/>
      <c r="BE39" s="16"/>
    </row>
    <row r="40" spans="2:57" x14ac:dyDescent="0.2">
      <c r="B40" s="16"/>
      <c r="D40" s="11" t="s">
        <v>3</v>
      </c>
      <c r="E40" s="12">
        <f>VLOOKUP(LOWER(G37),experiments_specs!$A:$J,4,FALSE)</f>
        <v>2</v>
      </c>
      <c r="F40" s="15" t="s">
        <v>103</v>
      </c>
      <c r="G40" s="6"/>
      <c r="H40" s="18"/>
      <c r="I40" s="18"/>
      <c r="J40" s="18"/>
      <c r="K40" s="18"/>
      <c r="L40" s="31"/>
      <c r="M40" s="22"/>
      <c r="N40" s="22"/>
      <c r="O40" s="22"/>
      <c r="P40" s="22"/>
      <c r="Q40" s="34"/>
      <c r="S40" s="16"/>
      <c r="U40" s="16"/>
      <c r="W40" s="11" t="s">
        <v>3</v>
      </c>
      <c r="X40" s="12">
        <f>VLOOKUP(LOWER(Z37),experiments_specs!$A:$J,4,FALSE)</f>
        <v>2</v>
      </c>
      <c r="Y40" s="15" t="s">
        <v>109</v>
      </c>
      <c r="Z40" s="6" t="s">
        <v>12</v>
      </c>
      <c r="AA40" s="18"/>
      <c r="AB40" s="18"/>
      <c r="AC40" s="18"/>
      <c r="AD40" s="18"/>
      <c r="AE40" s="31"/>
      <c r="AF40" s="23"/>
      <c r="AG40" s="23"/>
      <c r="AH40" s="23"/>
      <c r="AI40" s="23"/>
      <c r="AJ40" s="34"/>
      <c r="AL40" s="16"/>
      <c r="AN40" s="16"/>
      <c r="AP40" s="11" t="s">
        <v>3</v>
      </c>
      <c r="AQ40" s="12">
        <f>VLOOKUP(LOWER(AS37),experiments_specs!$A:$J,4,FALSE)</f>
        <v>2</v>
      </c>
      <c r="AR40" s="15" t="s">
        <v>115</v>
      </c>
      <c r="AS40" s="6"/>
      <c r="AT40" s="18"/>
      <c r="AU40" s="18"/>
      <c r="AV40" s="18"/>
      <c r="AW40" s="18"/>
      <c r="AX40" s="31"/>
      <c r="AY40" s="23"/>
      <c r="AZ40" s="23"/>
      <c r="BA40" s="23"/>
      <c r="BB40" s="23"/>
      <c r="BC40" s="34"/>
      <c r="BE40" s="16"/>
    </row>
    <row r="41" spans="2:57" x14ac:dyDescent="0.2">
      <c r="B41" s="16"/>
      <c r="D41" s="11" t="s">
        <v>4</v>
      </c>
      <c r="E41" s="12" t="str">
        <f>VLOOKUP(LOWER(G37),experiments_specs!$A:$J,5,FALSE)</f>
        <v>False</v>
      </c>
      <c r="F41" s="15" t="s">
        <v>103</v>
      </c>
      <c r="G41" s="6"/>
      <c r="H41" s="19"/>
      <c r="I41" s="19"/>
      <c r="J41" s="19"/>
      <c r="K41" s="19"/>
      <c r="L41" s="31"/>
      <c r="M41" s="22"/>
      <c r="N41" s="22"/>
      <c r="O41" s="22"/>
      <c r="P41" s="22"/>
      <c r="Q41" s="34"/>
      <c r="S41" s="16"/>
      <c r="U41" s="16"/>
      <c r="W41" s="11" t="s">
        <v>4</v>
      </c>
      <c r="X41" s="12" t="str">
        <f>VLOOKUP(LOWER(Z37),experiments_specs!$A:$J,5,FALSE)</f>
        <v>True</v>
      </c>
      <c r="Y41" s="15" t="s">
        <v>109</v>
      </c>
      <c r="Z41" s="6" t="s">
        <v>13</v>
      </c>
      <c r="AA41" s="19"/>
      <c r="AB41" s="19"/>
      <c r="AC41" s="19"/>
      <c r="AD41" s="19"/>
      <c r="AE41" s="31"/>
      <c r="AF41" s="22"/>
      <c r="AG41" s="22"/>
      <c r="AH41" s="22"/>
      <c r="AI41" s="22"/>
      <c r="AJ41" s="34"/>
      <c r="AL41" s="16"/>
      <c r="AN41" s="16"/>
      <c r="AP41" s="11" t="s">
        <v>4</v>
      </c>
      <c r="AQ41" s="12" t="str">
        <f>VLOOKUP(LOWER(AS37),experiments_specs!$A:$J,5,FALSE)</f>
        <v>True</v>
      </c>
      <c r="AR41" s="15" t="s">
        <v>115</v>
      </c>
      <c r="AS41" s="6"/>
      <c r="AT41" s="19"/>
      <c r="AU41" s="19"/>
      <c r="AV41" s="19"/>
      <c r="AW41" s="19"/>
      <c r="AX41" s="31"/>
      <c r="AY41" s="22"/>
      <c r="AZ41" s="22"/>
      <c r="BA41" s="22"/>
      <c r="BB41" s="22"/>
      <c r="BC41" s="34"/>
      <c r="BE41" s="16"/>
    </row>
    <row r="42" spans="2:57" x14ac:dyDescent="0.2">
      <c r="B42" s="16"/>
      <c r="D42" s="11" t="s">
        <v>5</v>
      </c>
      <c r="E42" s="12" t="str">
        <f>VLOOKUP(LOWER(G37),experiments_specs!$A:$J,6,FALSE)</f>
        <v>False</v>
      </c>
      <c r="F42" s="15" t="s">
        <v>103</v>
      </c>
      <c r="G42" s="6"/>
      <c r="H42" s="19"/>
      <c r="I42" s="19"/>
      <c r="J42" s="19"/>
      <c r="K42" s="19"/>
      <c r="L42" s="31"/>
      <c r="M42" s="22"/>
      <c r="N42" s="22"/>
      <c r="O42" s="22"/>
      <c r="P42" s="22"/>
      <c r="Q42" s="34"/>
      <c r="S42" s="16"/>
      <c r="U42" s="16"/>
      <c r="W42" s="11" t="s">
        <v>5</v>
      </c>
      <c r="X42" s="12" t="str">
        <f>VLOOKUP(LOWER(Z37),experiments_specs!$A:$J,6,FALSE)</f>
        <v>False</v>
      </c>
      <c r="Y42" s="15" t="s">
        <v>109</v>
      </c>
      <c r="Z42" s="6" t="s">
        <v>14</v>
      </c>
      <c r="AA42" s="18"/>
      <c r="AB42" s="18"/>
      <c r="AC42" s="18"/>
      <c r="AD42" s="18"/>
      <c r="AE42" s="31"/>
      <c r="AF42" s="23"/>
      <c r="AG42" s="23"/>
      <c r="AH42" s="23"/>
      <c r="AI42" s="23"/>
      <c r="AJ42" s="34"/>
      <c r="AL42" s="16"/>
      <c r="AN42" s="16"/>
      <c r="AP42" s="11" t="s">
        <v>5</v>
      </c>
      <c r="AQ42" s="12" t="str">
        <f>VLOOKUP(LOWER(AS37),experiments_specs!$A:$J,6,FALSE)</f>
        <v>False</v>
      </c>
      <c r="AR42" s="15" t="s">
        <v>115</v>
      </c>
      <c r="AS42" s="6"/>
      <c r="AT42" s="18"/>
      <c r="AU42" s="18"/>
      <c r="AV42" s="18"/>
      <c r="AW42" s="18"/>
      <c r="AX42" s="31"/>
      <c r="AY42" s="23"/>
      <c r="AZ42" s="23"/>
      <c r="BA42" s="23"/>
      <c r="BB42" s="23"/>
      <c r="BC42" s="34"/>
      <c r="BE42" s="16"/>
    </row>
    <row r="43" spans="2:57" x14ac:dyDescent="0.2">
      <c r="B43" s="16"/>
      <c r="D43" s="11" t="s">
        <v>6</v>
      </c>
      <c r="E43" s="12" t="str">
        <f>VLOOKUP(LOWER(G37),experiments_specs!$A:$J,7,FALSE)</f>
        <v>True</v>
      </c>
      <c r="F43" s="15" t="s">
        <v>103</v>
      </c>
      <c r="G43" s="6"/>
      <c r="H43" s="19"/>
      <c r="I43" s="19"/>
      <c r="J43" s="19"/>
      <c r="K43" s="19"/>
      <c r="L43" s="31"/>
      <c r="M43" s="23"/>
      <c r="N43" s="23"/>
      <c r="O43" s="23"/>
      <c r="P43" s="23"/>
      <c r="Q43" s="34"/>
      <c r="S43" s="16"/>
      <c r="U43" s="16"/>
      <c r="W43" s="11" t="s">
        <v>6</v>
      </c>
      <c r="X43" s="12" t="str">
        <f>VLOOKUP(LOWER(Z37),experiments_specs!$A:$J,7,FALSE)</f>
        <v>True</v>
      </c>
      <c r="Y43" s="15" t="s">
        <v>109</v>
      </c>
      <c r="Z43" s="6" t="s">
        <v>15</v>
      </c>
      <c r="AA43" s="19"/>
      <c r="AB43" s="19"/>
      <c r="AC43" s="19"/>
      <c r="AD43" s="19"/>
      <c r="AE43" s="31"/>
      <c r="AF43" s="23"/>
      <c r="AG43" s="23"/>
      <c r="AH43" s="23"/>
      <c r="AI43" s="23"/>
      <c r="AJ43" s="34"/>
      <c r="AL43" s="16"/>
      <c r="AN43" s="16"/>
      <c r="AP43" s="11" t="s">
        <v>6</v>
      </c>
      <c r="AQ43" s="12" t="str">
        <f>VLOOKUP(LOWER(AS37),experiments_specs!$A:$J,7,FALSE)</f>
        <v>True</v>
      </c>
      <c r="AR43" s="15" t="s">
        <v>115</v>
      </c>
      <c r="AS43" s="6"/>
      <c r="AT43" s="19"/>
      <c r="AU43" s="19"/>
      <c r="AV43" s="19"/>
      <c r="AW43" s="19"/>
      <c r="AX43" s="31"/>
      <c r="AY43" s="23"/>
      <c r="AZ43" s="23"/>
      <c r="BA43" s="23"/>
      <c r="BB43" s="23"/>
      <c r="BC43" s="34"/>
      <c r="BE43" s="16"/>
    </row>
    <row r="44" spans="2:57" x14ac:dyDescent="0.2">
      <c r="B44" s="16"/>
      <c r="D44" s="11" t="s">
        <v>7</v>
      </c>
      <c r="E44" s="12" t="str">
        <f>VLOOKUP(LOWER(G37),experiments_specs!$A:$J,8,FALSE)</f>
        <v>False</v>
      </c>
      <c r="F44" s="15" t="s">
        <v>103</v>
      </c>
      <c r="G44" s="6"/>
      <c r="H44" s="19"/>
      <c r="I44" s="19"/>
      <c r="J44" s="19"/>
      <c r="K44" s="19"/>
      <c r="L44" s="31"/>
      <c r="M44" s="23"/>
      <c r="N44" s="23"/>
      <c r="O44" s="23"/>
      <c r="P44" s="23"/>
      <c r="Q44" s="34"/>
      <c r="S44" s="16"/>
      <c r="U44" s="16"/>
      <c r="W44" s="11" t="s">
        <v>7</v>
      </c>
      <c r="X44" s="12" t="str">
        <f>VLOOKUP(LOWER(Z37),experiments_specs!$A:$J,8,FALSE)</f>
        <v>False</v>
      </c>
      <c r="Y44" s="15" t="s">
        <v>109</v>
      </c>
      <c r="Z44" s="6" t="s">
        <v>16</v>
      </c>
      <c r="AA44" s="19"/>
      <c r="AB44" s="19"/>
      <c r="AC44" s="19"/>
      <c r="AD44" s="19"/>
      <c r="AE44" s="31"/>
      <c r="AF44" s="23"/>
      <c r="AG44" s="23"/>
      <c r="AH44" s="23"/>
      <c r="AI44" s="23"/>
      <c r="AJ44" s="34"/>
      <c r="AL44" s="16"/>
      <c r="AN44" s="16"/>
      <c r="AP44" s="11" t="s">
        <v>7</v>
      </c>
      <c r="AQ44" s="12" t="str">
        <f>VLOOKUP(LOWER(AS37),experiments_specs!$A:$J,8,FALSE)</f>
        <v>False</v>
      </c>
      <c r="AR44" s="15" t="s">
        <v>115</v>
      </c>
      <c r="AS44" s="6"/>
      <c r="AT44" s="19"/>
      <c r="AU44" s="19"/>
      <c r="AV44" s="19"/>
      <c r="AW44" s="19"/>
      <c r="AX44" s="31"/>
      <c r="AY44" s="23"/>
      <c r="AZ44" s="23"/>
      <c r="BA44" s="23"/>
      <c r="BB44" s="23"/>
      <c r="BC44" s="34"/>
      <c r="BE44" s="16"/>
    </row>
    <row r="45" spans="2:57" x14ac:dyDescent="0.2">
      <c r="B45" s="16"/>
      <c r="D45" s="11" t="s">
        <v>8</v>
      </c>
      <c r="E45" s="12" t="str">
        <f>VLOOKUP(LOWER(G37),experiments_specs!$A:$J,9,FALSE)</f>
        <v>wup_similarity</v>
      </c>
      <c r="F45" s="15" t="s">
        <v>103</v>
      </c>
      <c r="G45" s="6"/>
      <c r="H45" s="19"/>
      <c r="I45" s="19"/>
      <c r="J45" s="19"/>
      <c r="K45" s="19"/>
      <c r="L45" s="31"/>
      <c r="M45" s="22"/>
      <c r="N45" s="22"/>
      <c r="O45" s="22"/>
      <c r="P45" s="22"/>
      <c r="Q45" s="34"/>
      <c r="S45" s="16"/>
      <c r="U45" s="16"/>
      <c r="W45" s="11" t="s">
        <v>8</v>
      </c>
      <c r="X45" s="12" t="str">
        <f>VLOOKUP(LOWER(Z37),experiments_specs!$A:$J,9,FALSE)</f>
        <v>wup_similarity</v>
      </c>
      <c r="Y45" s="15" t="s">
        <v>109</v>
      </c>
      <c r="Z45" s="6" t="s">
        <v>17</v>
      </c>
      <c r="AA45" s="19"/>
      <c r="AB45" s="19"/>
      <c r="AC45" s="19"/>
      <c r="AD45" s="19"/>
      <c r="AE45" s="31"/>
      <c r="AF45" s="22"/>
      <c r="AG45" s="22"/>
      <c r="AH45" s="22"/>
      <c r="AI45" s="22"/>
      <c r="AJ45" s="34"/>
      <c r="AL45" s="16"/>
      <c r="AN45" s="16"/>
      <c r="AP45" s="11" t="s">
        <v>8</v>
      </c>
      <c r="AQ45" s="12" t="str">
        <f>VLOOKUP(LOWER(AS37),experiments_specs!$A:$J,9,FALSE)</f>
        <v>wup_similarity</v>
      </c>
      <c r="AR45" s="15" t="s">
        <v>115</v>
      </c>
      <c r="AS45" s="6"/>
      <c r="AT45" s="18"/>
      <c r="AU45" s="18"/>
      <c r="AV45" s="18"/>
      <c r="AW45" s="18"/>
      <c r="AX45" s="31"/>
      <c r="AY45" s="23"/>
      <c r="AZ45" s="23"/>
      <c r="BA45" s="23"/>
      <c r="BB45" s="23"/>
      <c r="BC45" s="34"/>
      <c r="BE45" s="16"/>
    </row>
    <row r="46" spans="2:57" x14ac:dyDescent="0.2">
      <c r="B46" s="16"/>
      <c r="D46" s="11" t="s">
        <v>9</v>
      </c>
      <c r="E46" s="12" t="str">
        <f>VLOOKUP(LOWER(G37),experiments_specs!$A:$J,10,FALSE)</f>
        <v>False</v>
      </c>
      <c r="F46" s="15" t="s">
        <v>103</v>
      </c>
      <c r="G46" s="7"/>
      <c r="H46" s="20"/>
      <c r="I46" s="20"/>
      <c r="J46" s="20"/>
      <c r="K46" s="20"/>
      <c r="L46" s="32"/>
      <c r="M46" s="24"/>
      <c r="N46" s="24"/>
      <c r="O46" s="24"/>
      <c r="P46" s="24"/>
      <c r="Q46" s="35"/>
      <c r="S46" s="16"/>
      <c r="U46" s="16"/>
      <c r="W46" s="11" t="s">
        <v>9</v>
      </c>
      <c r="X46" s="12" t="str">
        <f>VLOOKUP(LOWER(Z37),experiments_specs!$A:$J,10,FALSE)</f>
        <v>False</v>
      </c>
      <c r="Y46" s="15" t="s">
        <v>109</v>
      </c>
      <c r="Z46" s="7" t="s">
        <v>18</v>
      </c>
      <c r="AA46" s="20"/>
      <c r="AB46" s="20"/>
      <c r="AC46" s="20"/>
      <c r="AD46" s="20"/>
      <c r="AE46" s="32"/>
      <c r="AF46" s="24"/>
      <c r="AG46" s="24"/>
      <c r="AH46" s="24"/>
      <c r="AI46" s="24"/>
      <c r="AJ46" s="35"/>
      <c r="AL46" s="16"/>
      <c r="AN46" s="16"/>
      <c r="AP46" s="11" t="s">
        <v>9</v>
      </c>
      <c r="AQ46" s="12" t="str">
        <f>VLOOKUP(LOWER(AS37),experiments_specs!$A:$J,10,FALSE)</f>
        <v>True</v>
      </c>
      <c r="AR46" s="15" t="s">
        <v>115</v>
      </c>
      <c r="AS46" s="7"/>
      <c r="AT46" s="20"/>
      <c r="AU46" s="20"/>
      <c r="AV46" s="20"/>
      <c r="AW46" s="20"/>
      <c r="AX46" s="32"/>
      <c r="AY46" s="24"/>
      <c r="AZ46" s="24"/>
      <c r="BA46" s="24"/>
      <c r="BB46" s="24"/>
      <c r="BC46" s="35"/>
      <c r="BE46" s="16"/>
    </row>
    <row r="47" spans="2:57" ht="17" thickBot="1" x14ac:dyDescent="0.25">
      <c r="B47" s="16"/>
      <c r="S47" s="16"/>
      <c r="U47" s="16"/>
      <c r="AL47" s="16"/>
      <c r="AN47" s="16"/>
      <c r="BE47" s="16"/>
    </row>
    <row r="48" spans="2:57" ht="20" thickBot="1" x14ac:dyDescent="0.3">
      <c r="B48" s="16"/>
      <c r="D48" s="13" t="s">
        <v>126</v>
      </c>
      <c r="E48" s="14"/>
      <c r="F48" s="9"/>
      <c r="G48" s="10" t="str">
        <f>"TEST_"&amp;TEXT(RIGHT(G37,2)+1, "00")</f>
        <v>TEST_59</v>
      </c>
      <c r="H48" s="36" t="s">
        <v>124</v>
      </c>
      <c r="I48" s="36"/>
      <c r="J48" s="36"/>
      <c r="K48" s="36"/>
      <c r="L48" s="36"/>
      <c r="M48" s="37" t="s">
        <v>123</v>
      </c>
      <c r="N48" s="37"/>
      <c r="O48" s="37"/>
      <c r="P48" s="37"/>
      <c r="Q48" s="37"/>
      <c r="R48" s="2"/>
      <c r="S48" s="16"/>
      <c r="U48" s="16"/>
      <c r="W48" s="13" t="s">
        <v>126</v>
      </c>
      <c r="X48" s="14"/>
      <c r="Y48" s="9"/>
      <c r="Z48" s="10" t="str">
        <f>"TEST_"&amp;TEXT(RIGHT(Z37,2)+1, "00")</f>
        <v>TEST_65</v>
      </c>
      <c r="AA48" s="36" t="s">
        <v>124</v>
      </c>
      <c r="AB48" s="36"/>
      <c r="AC48" s="36"/>
      <c r="AD48" s="36"/>
      <c r="AE48" s="36"/>
      <c r="AF48" s="37" t="s">
        <v>123</v>
      </c>
      <c r="AG48" s="37"/>
      <c r="AH48" s="37"/>
      <c r="AI48" s="37"/>
      <c r="AJ48" s="37"/>
      <c r="AK48" s="2"/>
      <c r="AL48" s="16"/>
      <c r="AN48" s="16"/>
      <c r="AP48" s="13" t="s">
        <v>126</v>
      </c>
      <c r="AQ48" s="14"/>
      <c r="AR48" s="9"/>
      <c r="AS48" s="10" t="str">
        <f>"TEST_"&amp;TEXT(RIGHT(AS37,2)+1, "00")</f>
        <v>TEST_71</v>
      </c>
      <c r="AT48" s="36" t="s">
        <v>124</v>
      </c>
      <c r="AU48" s="36"/>
      <c r="AV48" s="36"/>
      <c r="AW48" s="36"/>
      <c r="AX48" s="36"/>
      <c r="AY48" s="37" t="s">
        <v>123</v>
      </c>
      <c r="AZ48" s="37"/>
      <c r="BA48" s="37"/>
      <c r="BB48" s="37"/>
      <c r="BC48" s="37"/>
      <c r="BD48" s="2"/>
      <c r="BE48" s="16"/>
    </row>
    <row r="49" spans="2:57" x14ac:dyDescent="0.2">
      <c r="B49" s="16"/>
      <c r="D49" s="11" t="s">
        <v>1</v>
      </c>
      <c r="E49" s="12" t="str">
        <f>VLOOKUP(LOWER(G48),experiments_specs!$A:$J,2,FALSE)</f>
        <v>NN,RB</v>
      </c>
      <c r="F49" s="15" t="str">
        <f>"{"&amp;LOWER(G48)&amp;".csv}"</f>
        <v>{test_59.csv}</v>
      </c>
      <c r="G49" s="8" t="s">
        <v>118</v>
      </c>
      <c r="H49" s="3" t="s">
        <v>119</v>
      </c>
      <c r="I49" s="3" t="s">
        <v>182</v>
      </c>
      <c r="J49" s="3" t="s">
        <v>120</v>
      </c>
      <c r="K49" s="3" t="s">
        <v>182</v>
      </c>
      <c r="L49" s="3" t="s">
        <v>121</v>
      </c>
      <c r="M49" s="4" t="s">
        <v>122</v>
      </c>
      <c r="N49" s="4" t="s">
        <v>182</v>
      </c>
      <c r="O49" s="4" t="s">
        <v>120</v>
      </c>
      <c r="P49" s="4" t="s">
        <v>182</v>
      </c>
      <c r="Q49" s="4" t="s">
        <v>121</v>
      </c>
      <c r="S49" s="16"/>
      <c r="U49" s="16"/>
      <c r="W49" s="11" t="s">
        <v>1</v>
      </c>
      <c r="X49" s="12" t="str">
        <f>VLOOKUP(LOWER(Z48),experiments_specs!$A:$J,2,FALSE)</f>
        <v>NN,RB</v>
      </c>
      <c r="Y49" s="15" t="str">
        <f>"{"&amp;LOWER(Z48)&amp;".csv}"</f>
        <v>{test_65.csv}</v>
      </c>
      <c r="Z49" s="8" t="s">
        <v>118</v>
      </c>
      <c r="AA49" s="3" t="s">
        <v>119</v>
      </c>
      <c r="AB49" s="3" t="s">
        <v>182</v>
      </c>
      <c r="AC49" s="3" t="s">
        <v>120</v>
      </c>
      <c r="AD49" s="3" t="s">
        <v>182</v>
      </c>
      <c r="AE49" s="3" t="s">
        <v>121</v>
      </c>
      <c r="AF49" s="4" t="s">
        <v>122</v>
      </c>
      <c r="AG49" s="4" t="s">
        <v>182</v>
      </c>
      <c r="AH49" s="4" t="s">
        <v>120</v>
      </c>
      <c r="AI49" s="4" t="s">
        <v>182</v>
      </c>
      <c r="AJ49" s="4" t="s">
        <v>121</v>
      </c>
      <c r="AL49" s="16"/>
      <c r="AN49" s="16"/>
      <c r="AP49" s="11" t="s">
        <v>1</v>
      </c>
      <c r="AQ49" s="12" t="str">
        <f>VLOOKUP(LOWER(AS48),experiments_specs!$A:$J,2,FALSE)</f>
        <v>NN,RB</v>
      </c>
      <c r="AR49" s="15" t="str">
        <f>"{"&amp;LOWER(AS48)&amp;".csv}"</f>
        <v>{test_71.csv}</v>
      </c>
      <c r="AS49" s="8" t="s">
        <v>118</v>
      </c>
      <c r="AT49" s="3" t="s">
        <v>119</v>
      </c>
      <c r="AU49" s="3" t="s">
        <v>182</v>
      </c>
      <c r="AV49" s="3" t="s">
        <v>120</v>
      </c>
      <c r="AW49" s="3" t="s">
        <v>182</v>
      </c>
      <c r="AX49" s="3" t="s">
        <v>121</v>
      </c>
      <c r="AY49" s="4" t="s">
        <v>122</v>
      </c>
      <c r="AZ49" s="4" t="s">
        <v>182</v>
      </c>
      <c r="BA49" s="4" t="s">
        <v>120</v>
      </c>
      <c r="BB49" s="4" t="s">
        <v>182</v>
      </c>
      <c r="BC49" s="4" t="s">
        <v>121</v>
      </c>
      <c r="BE49" s="16"/>
    </row>
    <row r="50" spans="2:57" x14ac:dyDescent="0.2">
      <c r="B50" s="16"/>
      <c r="D50" s="11" t="s">
        <v>2</v>
      </c>
      <c r="E50" s="12">
        <f>VLOOKUP(LOWER(G48),experiments_specs!$A:$J,3,FALSE)</f>
        <v>1</v>
      </c>
      <c r="F50" s="15" t="s">
        <v>104</v>
      </c>
      <c r="G50" s="5"/>
      <c r="H50" s="17"/>
      <c r="I50" s="17"/>
      <c r="J50" s="17"/>
      <c r="K50" s="17"/>
      <c r="L50" s="30"/>
      <c r="M50" s="21"/>
      <c r="N50" s="21"/>
      <c r="O50" s="21"/>
      <c r="P50" s="21"/>
      <c r="Q50" s="33"/>
      <c r="S50" s="16"/>
      <c r="U50" s="16"/>
      <c r="W50" s="11" t="s">
        <v>2</v>
      </c>
      <c r="X50" s="12">
        <f>VLOOKUP(LOWER(Z48),experiments_specs!$A:$J,3,FALSE)</f>
        <v>1</v>
      </c>
      <c r="Y50" s="15" t="s">
        <v>110</v>
      </c>
      <c r="Z50" s="5" t="s">
        <v>19</v>
      </c>
      <c r="AA50" s="17"/>
      <c r="AB50" s="17"/>
      <c r="AC50" s="17"/>
      <c r="AD50" s="17"/>
      <c r="AE50" s="30"/>
      <c r="AF50" s="21"/>
      <c r="AG50" s="21"/>
      <c r="AH50" s="21"/>
      <c r="AI50" s="21"/>
      <c r="AJ50" s="33"/>
      <c r="AL50" s="16"/>
      <c r="AN50" s="16"/>
      <c r="AP50" s="11" t="s">
        <v>2</v>
      </c>
      <c r="AQ50" s="12">
        <f>VLOOKUP(LOWER(AS48),experiments_specs!$A:$J,3,FALSE)</f>
        <v>1</v>
      </c>
      <c r="AR50" s="15" t="s">
        <v>116</v>
      </c>
      <c r="AS50" s="5"/>
      <c r="AT50" s="17"/>
      <c r="AU50" s="17"/>
      <c r="AV50" s="17"/>
      <c r="AW50" s="17"/>
      <c r="AX50" s="30"/>
      <c r="AY50" s="21"/>
      <c r="AZ50" s="21"/>
      <c r="BA50" s="21"/>
      <c r="BB50" s="21"/>
      <c r="BC50" s="33"/>
      <c r="BE50" s="16"/>
    </row>
    <row r="51" spans="2:57" x14ac:dyDescent="0.2">
      <c r="B51" s="16"/>
      <c r="D51" s="11" t="s">
        <v>3</v>
      </c>
      <c r="E51" s="12">
        <f>VLOOKUP(LOWER(G48),experiments_specs!$A:$J,4,FALSE)</f>
        <v>2</v>
      </c>
      <c r="F51" s="15" t="s">
        <v>104</v>
      </c>
      <c r="G51" s="6"/>
      <c r="H51" s="18"/>
      <c r="I51" s="18"/>
      <c r="J51" s="18"/>
      <c r="K51" s="18"/>
      <c r="L51" s="31"/>
      <c r="M51" s="22"/>
      <c r="N51" s="22"/>
      <c r="O51" s="22"/>
      <c r="P51" s="22"/>
      <c r="Q51" s="34"/>
      <c r="S51" s="16"/>
      <c r="U51" s="16"/>
      <c r="W51" s="11" t="s">
        <v>3</v>
      </c>
      <c r="X51" s="12">
        <f>VLOOKUP(LOWER(Z48),experiments_specs!$A:$J,4,FALSE)</f>
        <v>2</v>
      </c>
      <c r="Y51" s="15" t="s">
        <v>110</v>
      </c>
      <c r="Z51" s="6" t="s">
        <v>12</v>
      </c>
      <c r="AA51" s="18"/>
      <c r="AB51" s="18"/>
      <c r="AC51" s="18"/>
      <c r="AD51" s="18"/>
      <c r="AE51" s="31"/>
      <c r="AF51" s="23"/>
      <c r="AG51" s="23"/>
      <c r="AH51" s="23"/>
      <c r="AI51" s="23"/>
      <c r="AJ51" s="34"/>
      <c r="AL51" s="16"/>
      <c r="AN51" s="16"/>
      <c r="AP51" s="11" t="s">
        <v>3</v>
      </c>
      <c r="AQ51" s="12">
        <f>VLOOKUP(LOWER(AS48),experiments_specs!$A:$J,4,FALSE)</f>
        <v>2</v>
      </c>
      <c r="AR51" s="15" t="s">
        <v>116</v>
      </c>
      <c r="AS51" s="6"/>
      <c r="AT51" s="18"/>
      <c r="AU51" s="18"/>
      <c r="AV51" s="18"/>
      <c r="AW51" s="18"/>
      <c r="AX51" s="31"/>
      <c r="AY51" s="23"/>
      <c r="AZ51" s="23"/>
      <c r="BA51" s="23"/>
      <c r="BB51" s="23"/>
      <c r="BC51" s="34"/>
      <c r="BE51" s="16"/>
    </row>
    <row r="52" spans="2:57" x14ac:dyDescent="0.2">
      <c r="B52" s="16"/>
      <c r="D52" s="11" t="s">
        <v>4</v>
      </c>
      <c r="E52" s="12" t="str">
        <f>VLOOKUP(LOWER(G48),experiments_specs!$A:$J,5,FALSE)</f>
        <v>False</v>
      </c>
      <c r="F52" s="15" t="s">
        <v>104</v>
      </c>
      <c r="G52" s="6"/>
      <c r="H52" s="19"/>
      <c r="I52" s="19"/>
      <c r="J52" s="19"/>
      <c r="K52" s="19"/>
      <c r="L52" s="31"/>
      <c r="M52" s="22"/>
      <c r="N52" s="22"/>
      <c r="O52" s="22"/>
      <c r="P52" s="22"/>
      <c r="Q52" s="34"/>
      <c r="S52" s="16"/>
      <c r="U52" s="16"/>
      <c r="W52" s="11" t="s">
        <v>4</v>
      </c>
      <c r="X52" s="12" t="str">
        <f>VLOOKUP(LOWER(Z48),experiments_specs!$A:$J,5,FALSE)</f>
        <v>True</v>
      </c>
      <c r="Y52" s="15" t="s">
        <v>110</v>
      </c>
      <c r="Z52" s="6" t="s">
        <v>13</v>
      </c>
      <c r="AA52" s="19"/>
      <c r="AB52" s="19"/>
      <c r="AC52" s="19"/>
      <c r="AD52" s="19"/>
      <c r="AE52" s="31"/>
      <c r="AF52" s="22"/>
      <c r="AG52" s="22"/>
      <c r="AH52" s="22"/>
      <c r="AI52" s="22"/>
      <c r="AJ52" s="34"/>
      <c r="AL52" s="16"/>
      <c r="AN52" s="16"/>
      <c r="AP52" s="11" t="s">
        <v>4</v>
      </c>
      <c r="AQ52" s="12" t="str">
        <f>VLOOKUP(LOWER(AS48),experiments_specs!$A:$J,5,FALSE)</f>
        <v>True</v>
      </c>
      <c r="AR52" s="15" t="s">
        <v>116</v>
      </c>
      <c r="AS52" s="6"/>
      <c r="AT52" s="19"/>
      <c r="AU52" s="19"/>
      <c r="AV52" s="19"/>
      <c r="AW52" s="19"/>
      <c r="AX52" s="31"/>
      <c r="AY52" s="22"/>
      <c r="AZ52" s="22"/>
      <c r="BA52" s="22"/>
      <c r="BB52" s="22"/>
      <c r="BC52" s="34"/>
      <c r="BE52" s="16"/>
    </row>
    <row r="53" spans="2:57" x14ac:dyDescent="0.2">
      <c r="B53" s="16"/>
      <c r="D53" s="11" t="s">
        <v>5</v>
      </c>
      <c r="E53" s="12" t="str">
        <f>VLOOKUP(LOWER(G48),experiments_specs!$A:$J,6,FALSE)</f>
        <v>False</v>
      </c>
      <c r="F53" s="15" t="s">
        <v>104</v>
      </c>
      <c r="G53" s="6"/>
      <c r="H53" s="19"/>
      <c r="I53" s="19"/>
      <c r="J53" s="19"/>
      <c r="K53" s="19"/>
      <c r="L53" s="31"/>
      <c r="M53" s="22"/>
      <c r="N53" s="22"/>
      <c r="O53" s="22"/>
      <c r="P53" s="22"/>
      <c r="Q53" s="34"/>
      <c r="S53" s="16"/>
      <c r="U53" s="16"/>
      <c r="W53" s="11" t="s">
        <v>5</v>
      </c>
      <c r="X53" s="12" t="str">
        <f>VLOOKUP(LOWER(Z48),experiments_specs!$A:$J,6,FALSE)</f>
        <v>False</v>
      </c>
      <c r="Y53" s="15" t="s">
        <v>110</v>
      </c>
      <c r="Z53" s="6" t="s">
        <v>14</v>
      </c>
      <c r="AA53" s="18"/>
      <c r="AB53" s="18"/>
      <c r="AC53" s="18"/>
      <c r="AD53" s="18"/>
      <c r="AE53" s="31"/>
      <c r="AF53" s="23"/>
      <c r="AG53" s="23"/>
      <c r="AH53" s="23"/>
      <c r="AI53" s="23"/>
      <c r="AJ53" s="34"/>
      <c r="AL53" s="16"/>
      <c r="AN53" s="16"/>
      <c r="AP53" s="11" t="s">
        <v>5</v>
      </c>
      <c r="AQ53" s="12" t="str">
        <f>VLOOKUP(LOWER(AS48),experiments_specs!$A:$J,6,FALSE)</f>
        <v>False</v>
      </c>
      <c r="AR53" s="15" t="s">
        <v>116</v>
      </c>
      <c r="AS53" s="6"/>
      <c r="AT53" s="18"/>
      <c r="AU53" s="18"/>
      <c r="AV53" s="18"/>
      <c r="AW53" s="18"/>
      <c r="AX53" s="31"/>
      <c r="AY53" s="23"/>
      <c r="AZ53" s="23"/>
      <c r="BA53" s="23"/>
      <c r="BB53" s="23"/>
      <c r="BC53" s="34"/>
      <c r="BE53" s="16"/>
    </row>
    <row r="54" spans="2:57" x14ac:dyDescent="0.2">
      <c r="B54" s="16"/>
      <c r="D54" s="11" t="s">
        <v>6</v>
      </c>
      <c r="E54" s="12" t="str">
        <f>VLOOKUP(LOWER(G48),experiments_specs!$A:$J,7,FALSE)</f>
        <v>True</v>
      </c>
      <c r="F54" s="15" t="s">
        <v>104</v>
      </c>
      <c r="G54" s="6"/>
      <c r="H54" s="19"/>
      <c r="I54" s="19"/>
      <c r="J54" s="19"/>
      <c r="K54" s="19"/>
      <c r="L54" s="31"/>
      <c r="M54" s="23"/>
      <c r="N54" s="23"/>
      <c r="O54" s="23"/>
      <c r="P54" s="23"/>
      <c r="Q54" s="34"/>
      <c r="S54" s="16"/>
      <c r="U54" s="16"/>
      <c r="W54" s="11" t="s">
        <v>6</v>
      </c>
      <c r="X54" s="12" t="str">
        <f>VLOOKUP(LOWER(Z48),experiments_specs!$A:$J,7,FALSE)</f>
        <v>True</v>
      </c>
      <c r="Y54" s="15" t="s">
        <v>110</v>
      </c>
      <c r="Z54" s="6" t="s">
        <v>15</v>
      </c>
      <c r="AA54" s="19"/>
      <c r="AB54" s="19"/>
      <c r="AC54" s="19"/>
      <c r="AD54" s="19"/>
      <c r="AE54" s="31"/>
      <c r="AF54" s="23"/>
      <c r="AG54" s="23"/>
      <c r="AH54" s="23"/>
      <c r="AI54" s="23"/>
      <c r="AJ54" s="34"/>
      <c r="AL54" s="16"/>
      <c r="AN54" s="16"/>
      <c r="AP54" s="11" t="s">
        <v>6</v>
      </c>
      <c r="AQ54" s="12" t="str">
        <f>VLOOKUP(LOWER(AS48),experiments_specs!$A:$J,7,FALSE)</f>
        <v>True</v>
      </c>
      <c r="AR54" s="15" t="s">
        <v>116</v>
      </c>
      <c r="AS54" s="6"/>
      <c r="AT54" s="19"/>
      <c r="AU54" s="19"/>
      <c r="AV54" s="19"/>
      <c r="AW54" s="19"/>
      <c r="AX54" s="31"/>
      <c r="AY54" s="23"/>
      <c r="AZ54" s="23"/>
      <c r="BA54" s="23"/>
      <c r="BB54" s="23"/>
      <c r="BC54" s="34"/>
      <c r="BE54" s="16"/>
    </row>
    <row r="55" spans="2:57" x14ac:dyDescent="0.2">
      <c r="B55" s="16"/>
      <c r="D55" s="11" t="s">
        <v>7</v>
      </c>
      <c r="E55" s="12" t="str">
        <f>VLOOKUP(LOWER(G48),experiments_specs!$A:$J,8,FALSE)</f>
        <v>False</v>
      </c>
      <c r="F55" s="15" t="s">
        <v>104</v>
      </c>
      <c r="G55" s="6"/>
      <c r="H55" s="19"/>
      <c r="I55" s="19"/>
      <c r="J55" s="19"/>
      <c r="K55" s="19"/>
      <c r="L55" s="31"/>
      <c r="M55" s="23"/>
      <c r="N55" s="23"/>
      <c r="O55" s="23"/>
      <c r="P55" s="23"/>
      <c r="Q55" s="34"/>
      <c r="S55" s="16"/>
      <c r="U55" s="16"/>
      <c r="W55" s="11" t="s">
        <v>7</v>
      </c>
      <c r="X55" s="12" t="str">
        <f>VLOOKUP(LOWER(Z48),experiments_specs!$A:$J,8,FALSE)</f>
        <v>False</v>
      </c>
      <c r="Y55" s="15" t="s">
        <v>110</v>
      </c>
      <c r="Z55" s="6" t="s">
        <v>16</v>
      </c>
      <c r="AA55" s="19"/>
      <c r="AB55" s="19"/>
      <c r="AC55" s="19"/>
      <c r="AD55" s="19"/>
      <c r="AE55" s="31"/>
      <c r="AF55" s="23"/>
      <c r="AG55" s="23"/>
      <c r="AH55" s="23"/>
      <c r="AI55" s="23"/>
      <c r="AJ55" s="34"/>
      <c r="AL55" s="16"/>
      <c r="AN55" s="16"/>
      <c r="AP55" s="11" t="s">
        <v>7</v>
      </c>
      <c r="AQ55" s="12" t="str">
        <f>VLOOKUP(LOWER(AS48),experiments_specs!$A:$J,8,FALSE)</f>
        <v>False</v>
      </c>
      <c r="AR55" s="15" t="s">
        <v>116</v>
      </c>
      <c r="AS55" s="6"/>
      <c r="AT55" s="19"/>
      <c r="AU55" s="19"/>
      <c r="AV55" s="19"/>
      <c r="AW55" s="19"/>
      <c r="AX55" s="31"/>
      <c r="AY55" s="23"/>
      <c r="AZ55" s="23"/>
      <c r="BA55" s="23"/>
      <c r="BB55" s="23"/>
      <c r="BC55" s="34"/>
      <c r="BE55" s="16"/>
    </row>
    <row r="56" spans="2:57" x14ac:dyDescent="0.2">
      <c r="B56" s="16"/>
      <c r="D56" s="11" t="s">
        <v>8</v>
      </c>
      <c r="E56" s="12" t="str">
        <f>VLOOKUP(LOWER(G48),experiments_specs!$A:$J,9,FALSE)</f>
        <v>wup_similarity</v>
      </c>
      <c r="F56" s="15" t="s">
        <v>104</v>
      </c>
      <c r="G56" s="6"/>
      <c r="H56" s="19"/>
      <c r="I56" s="19"/>
      <c r="J56" s="19"/>
      <c r="K56" s="19"/>
      <c r="L56" s="31"/>
      <c r="M56" s="22"/>
      <c r="N56" s="22"/>
      <c r="O56" s="22"/>
      <c r="P56" s="22"/>
      <c r="Q56" s="34"/>
      <c r="S56" s="16"/>
      <c r="U56" s="16"/>
      <c r="W56" s="11" t="s">
        <v>8</v>
      </c>
      <c r="X56" s="12" t="str">
        <f>VLOOKUP(LOWER(Z48),experiments_specs!$A:$J,9,FALSE)</f>
        <v>wup_similarity</v>
      </c>
      <c r="Y56" s="15" t="s">
        <v>110</v>
      </c>
      <c r="Z56" s="6" t="s">
        <v>17</v>
      </c>
      <c r="AA56" s="18"/>
      <c r="AB56" s="18"/>
      <c r="AC56" s="18"/>
      <c r="AD56" s="18"/>
      <c r="AE56" s="31"/>
      <c r="AF56" s="23"/>
      <c r="AG56" s="23"/>
      <c r="AH56" s="23"/>
      <c r="AI56" s="23"/>
      <c r="AJ56" s="34"/>
      <c r="AL56" s="16"/>
      <c r="AN56" s="16"/>
      <c r="AP56" s="11" t="s">
        <v>8</v>
      </c>
      <c r="AQ56" s="12" t="str">
        <f>VLOOKUP(LOWER(AS48),experiments_specs!$A:$J,9,FALSE)</f>
        <v>wup_similarity</v>
      </c>
      <c r="AR56" s="15" t="s">
        <v>116</v>
      </c>
      <c r="AS56" s="6"/>
      <c r="AT56" s="18"/>
      <c r="AU56" s="18"/>
      <c r="AV56" s="18"/>
      <c r="AW56" s="18"/>
      <c r="AX56" s="31"/>
      <c r="AY56" s="23"/>
      <c r="AZ56" s="23"/>
      <c r="BA56" s="23"/>
      <c r="BB56" s="23"/>
      <c r="BC56" s="34"/>
      <c r="BE56" s="16"/>
    </row>
    <row r="57" spans="2:57" x14ac:dyDescent="0.2">
      <c r="B57" s="16"/>
      <c r="D57" s="11" t="s">
        <v>9</v>
      </c>
      <c r="E57" s="12" t="str">
        <f>VLOOKUP(LOWER(G48),experiments_specs!$A:$J,10,FALSE)</f>
        <v>False</v>
      </c>
      <c r="F57" s="15" t="s">
        <v>104</v>
      </c>
      <c r="G57" s="7"/>
      <c r="H57" s="20"/>
      <c r="I57" s="20"/>
      <c r="J57" s="20"/>
      <c r="K57" s="20"/>
      <c r="L57" s="32"/>
      <c r="M57" s="24"/>
      <c r="N57" s="24"/>
      <c r="O57" s="24"/>
      <c r="P57" s="24"/>
      <c r="Q57" s="35"/>
      <c r="S57" s="16"/>
      <c r="U57" s="16"/>
      <c r="W57" s="11" t="s">
        <v>9</v>
      </c>
      <c r="X57" s="12" t="str">
        <f>VLOOKUP(LOWER(Z48),experiments_specs!$A:$J,10,FALSE)</f>
        <v>False</v>
      </c>
      <c r="Y57" s="15" t="s">
        <v>110</v>
      </c>
      <c r="Z57" s="7" t="s">
        <v>18</v>
      </c>
      <c r="AA57" s="20"/>
      <c r="AB57" s="20"/>
      <c r="AC57" s="20"/>
      <c r="AD57" s="20"/>
      <c r="AE57" s="32"/>
      <c r="AF57" s="24"/>
      <c r="AG57" s="24"/>
      <c r="AH57" s="24"/>
      <c r="AI57" s="24"/>
      <c r="AJ57" s="35"/>
      <c r="AL57" s="16"/>
      <c r="AN57" s="16"/>
      <c r="AP57" s="11" t="s">
        <v>9</v>
      </c>
      <c r="AQ57" s="12" t="str">
        <f>VLOOKUP(LOWER(AS48),experiments_specs!$A:$J,10,FALSE)</f>
        <v>True</v>
      </c>
      <c r="AR57" s="15" t="s">
        <v>116</v>
      </c>
      <c r="AS57" s="7"/>
      <c r="AT57" s="20"/>
      <c r="AU57" s="20"/>
      <c r="AV57" s="20"/>
      <c r="AW57" s="20"/>
      <c r="AX57" s="32"/>
      <c r="AY57" s="24"/>
      <c r="AZ57" s="24"/>
      <c r="BA57" s="24"/>
      <c r="BB57" s="24"/>
      <c r="BC57" s="35"/>
      <c r="BE57" s="16"/>
    </row>
    <row r="58" spans="2:57" ht="17" thickBot="1" x14ac:dyDescent="0.25">
      <c r="B58" s="16"/>
      <c r="S58" s="16"/>
      <c r="U58" s="16"/>
      <c r="AL58" s="16"/>
      <c r="AN58" s="16"/>
      <c r="BE58" s="16"/>
    </row>
    <row r="59" spans="2:57" ht="20" thickBot="1" x14ac:dyDescent="0.3">
      <c r="B59" s="16"/>
      <c r="D59" s="13" t="s">
        <v>126</v>
      </c>
      <c r="E59" s="14"/>
      <c r="F59" s="9"/>
      <c r="G59" s="10" t="str">
        <f>"TEST_"&amp;TEXT(RIGHT(G48,2)+1, "00")</f>
        <v>TEST_60</v>
      </c>
      <c r="H59" s="36" t="s">
        <v>124</v>
      </c>
      <c r="I59" s="36"/>
      <c r="J59" s="36"/>
      <c r="K59" s="36"/>
      <c r="L59" s="36"/>
      <c r="M59" s="37" t="s">
        <v>123</v>
      </c>
      <c r="N59" s="37"/>
      <c r="O59" s="37"/>
      <c r="P59" s="37"/>
      <c r="Q59" s="37"/>
      <c r="R59" s="2"/>
      <c r="S59" s="16"/>
      <c r="U59" s="16"/>
      <c r="W59" s="13" t="s">
        <v>126</v>
      </c>
      <c r="X59" s="14"/>
      <c r="Y59" s="9"/>
      <c r="Z59" s="10" t="str">
        <f>"TEST_"&amp;TEXT(RIGHT(Z48,2)+1, "00")</f>
        <v>TEST_66</v>
      </c>
      <c r="AA59" s="36" t="s">
        <v>124</v>
      </c>
      <c r="AB59" s="36"/>
      <c r="AC59" s="36"/>
      <c r="AD59" s="36"/>
      <c r="AE59" s="36"/>
      <c r="AF59" s="37" t="s">
        <v>123</v>
      </c>
      <c r="AG59" s="37"/>
      <c r="AH59" s="37"/>
      <c r="AI59" s="37"/>
      <c r="AJ59" s="37"/>
      <c r="AK59" s="2"/>
      <c r="AL59" s="16"/>
      <c r="AN59" s="16"/>
      <c r="AP59" s="13" t="s">
        <v>126</v>
      </c>
      <c r="AQ59" s="14"/>
      <c r="AR59" s="9"/>
      <c r="AS59" s="10" t="str">
        <f>"TEST_"&amp;TEXT(RIGHT(AS48,2)+1, "00")</f>
        <v>TEST_72</v>
      </c>
      <c r="AT59" s="36" t="s">
        <v>124</v>
      </c>
      <c r="AU59" s="36"/>
      <c r="AV59" s="36"/>
      <c r="AW59" s="36"/>
      <c r="AX59" s="36"/>
      <c r="AY59" s="37" t="s">
        <v>123</v>
      </c>
      <c r="AZ59" s="37"/>
      <c r="BA59" s="37"/>
      <c r="BB59" s="37"/>
      <c r="BC59" s="37"/>
      <c r="BD59" s="2"/>
      <c r="BE59" s="16"/>
    </row>
    <row r="60" spans="2:57" x14ac:dyDescent="0.2">
      <c r="B60" s="16"/>
      <c r="D60" s="11" t="s">
        <v>1</v>
      </c>
      <c r="E60" s="12" t="str">
        <f>VLOOKUP(LOWER(G59),experiments_specs!$A:$J,2,FALSE)</f>
        <v>NN,JJ,VB,VBD,VBG,VBN,VBP,VBZ</v>
      </c>
      <c r="F60" s="15" t="str">
        <f>"{"&amp;LOWER(G59)&amp;".csv}"</f>
        <v>{test_60.csv}</v>
      </c>
      <c r="G60" s="8" t="s">
        <v>118</v>
      </c>
      <c r="H60" s="3" t="s">
        <v>119</v>
      </c>
      <c r="I60" s="3" t="s">
        <v>182</v>
      </c>
      <c r="J60" s="3" t="s">
        <v>120</v>
      </c>
      <c r="K60" s="3" t="s">
        <v>182</v>
      </c>
      <c r="L60" s="3" t="s">
        <v>121</v>
      </c>
      <c r="M60" s="4" t="s">
        <v>122</v>
      </c>
      <c r="N60" s="4" t="s">
        <v>182</v>
      </c>
      <c r="O60" s="4" t="s">
        <v>120</v>
      </c>
      <c r="P60" s="4" t="s">
        <v>182</v>
      </c>
      <c r="Q60" s="4" t="s">
        <v>121</v>
      </c>
      <c r="S60" s="16"/>
      <c r="U60" s="16"/>
      <c r="W60" s="11" t="s">
        <v>1</v>
      </c>
      <c r="X60" s="12" t="str">
        <f>VLOOKUP(LOWER(Z59),experiments_specs!$A:$J,2,FALSE)</f>
        <v>NN,JJ,VB,VBD,VBG,VBN,VBP,VBZ</v>
      </c>
      <c r="Y60" s="15" t="str">
        <f>"{"&amp;LOWER(Z59)&amp;".csv}"</f>
        <v>{test_66.csv}</v>
      </c>
      <c r="Z60" s="8" t="s">
        <v>118</v>
      </c>
      <c r="AA60" s="3" t="s">
        <v>119</v>
      </c>
      <c r="AB60" s="3" t="s">
        <v>182</v>
      </c>
      <c r="AC60" s="3" t="s">
        <v>120</v>
      </c>
      <c r="AD60" s="3" t="s">
        <v>182</v>
      </c>
      <c r="AE60" s="3" t="s">
        <v>121</v>
      </c>
      <c r="AF60" s="4" t="s">
        <v>122</v>
      </c>
      <c r="AG60" s="4" t="s">
        <v>182</v>
      </c>
      <c r="AH60" s="4" t="s">
        <v>120</v>
      </c>
      <c r="AI60" s="4" t="s">
        <v>182</v>
      </c>
      <c r="AJ60" s="4" t="s">
        <v>121</v>
      </c>
      <c r="AL60" s="16"/>
      <c r="AN60" s="16"/>
      <c r="AP60" s="11" t="s">
        <v>1</v>
      </c>
      <c r="AQ60" s="12" t="str">
        <f>VLOOKUP(LOWER(AS59),experiments_specs!$A:$J,2,FALSE)</f>
        <v>NN,JJ,VB,VBD,VBG,VBN,VBP,VBZ</v>
      </c>
      <c r="AR60" s="15" t="str">
        <f>"{"&amp;LOWER(AS59)&amp;".csv}"</f>
        <v>{test_72.csv}</v>
      </c>
      <c r="AS60" s="8" t="s">
        <v>118</v>
      </c>
      <c r="AT60" s="3" t="s">
        <v>119</v>
      </c>
      <c r="AU60" s="3" t="s">
        <v>182</v>
      </c>
      <c r="AV60" s="3" t="s">
        <v>120</v>
      </c>
      <c r="AW60" s="3" t="s">
        <v>182</v>
      </c>
      <c r="AX60" s="3" t="s">
        <v>121</v>
      </c>
      <c r="AY60" s="4" t="s">
        <v>122</v>
      </c>
      <c r="AZ60" s="4" t="s">
        <v>182</v>
      </c>
      <c r="BA60" s="4" t="s">
        <v>120</v>
      </c>
      <c r="BB60" s="4" t="s">
        <v>182</v>
      </c>
      <c r="BC60" s="4" t="s">
        <v>121</v>
      </c>
      <c r="BE60" s="16"/>
    </row>
    <row r="61" spans="2:57" x14ac:dyDescent="0.2">
      <c r="B61" s="16"/>
      <c r="D61" s="11" t="s">
        <v>2</v>
      </c>
      <c r="E61" s="12">
        <f>VLOOKUP(LOWER(G59),experiments_specs!$A:$J,3,FALSE)</f>
        <v>1</v>
      </c>
      <c r="F61" s="15" t="s">
        <v>105</v>
      </c>
      <c r="G61" s="5"/>
      <c r="H61" s="17"/>
      <c r="I61" s="17"/>
      <c r="J61" s="17"/>
      <c r="K61" s="17"/>
      <c r="L61" s="30"/>
      <c r="M61" s="21"/>
      <c r="N61" s="21"/>
      <c r="O61" s="21"/>
      <c r="P61" s="21"/>
      <c r="Q61" s="33"/>
      <c r="S61" s="16"/>
      <c r="U61" s="16"/>
      <c r="W61" s="11" t="s">
        <v>2</v>
      </c>
      <c r="X61" s="12">
        <f>VLOOKUP(LOWER(Z59),experiments_specs!$A:$J,3,FALSE)</f>
        <v>1</v>
      </c>
      <c r="Y61" s="15" t="s">
        <v>111</v>
      </c>
      <c r="Z61" s="5" t="s">
        <v>19</v>
      </c>
      <c r="AA61" s="17"/>
      <c r="AB61" s="17"/>
      <c r="AC61" s="17"/>
      <c r="AD61" s="17"/>
      <c r="AE61" s="30"/>
      <c r="AF61" s="21"/>
      <c r="AG61" s="21"/>
      <c r="AH61" s="21"/>
      <c r="AI61" s="21"/>
      <c r="AJ61" s="33"/>
      <c r="AL61" s="16"/>
      <c r="AN61" s="16"/>
      <c r="AP61" s="11" t="s">
        <v>2</v>
      </c>
      <c r="AQ61" s="12">
        <f>VLOOKUP(LOWER(AS59),experiments_specs!$A:$J,3,FALSE)</f>
        <v>1</v>
      </c>
      <c r="AR61" s="15" t="s">
        <v>117</v>
      </c>
      <c r="AS61" s="5"/>
      <c r="AT61" s="17"/>
      <c r="AU61" s="17"/>
      <c r="AV61" s="17"/>
      <c r="AW61" s="17"/>
      <c r="AX61" s="30"/>
      <c r="AY61" s="21"/>
      <c r="AZ61" s="21"/>
      <c r="BA61" s="21"/>
      <c r="BB61" s="21"/>
      <c r="BC61" s="33"/>
      <c r="BE61" s="16"/>
    </row>
    <row r="62" spans="2:57" x14ac:dyDescent="0.2">
      <c r="B62" s="16"/>
      <c r="D62" s="11" t="s">
        <v>3</v>
      </c>
      <c r="E62" s="12">
        <f>VLOOKUP(LOWER(G59),experiments_specs!$A:$J,4,FALSE)</f>
        <v>2</v>
      </c>
      <c r="F62" s="15" t="s">
        <v>105</v>
      </c>
      <c r="G62" s="6"/>
      <c r="H62" s="18"/>
      <c r="I62" s="18"/>
      <c r="J62" s="18"/>
      <c r="K62" s="18"/>
      <c r="L62" s="31"/>
      <c r="M62" s="22"/>
      <c r="N62" s="22"/>
      <c r="O62" s="22"/>
      <c r="P62" s="22"/>
      <c r="Q62" s="34"/>
      <c r="S62" s="16"/>
      <c r="U62" s="16"/>
      <c r="W62" s="11" t="s">
        <v>3</v>
      </c>
      <c r="X62" s="12">
        <f>VLOOKUP(LOWER(Z59),experiments_specs!$A:$J,4,FALSE)</f>
        <v>2</v>
      </c>
      <c r="Y62" s="15" t="s">
        <v>111</v>
      </c>
      <c r="Z62" s="6" t="s">
        <v>12</v>
      </c>
      <c r="AA62" s="18"/>
      <c r="AB62" s="18"/>
      <c r="AC62" s="18"/>
      <c r="AD62" s="18"/>
      <c r="AE62" s="31"/>
      <c r="AF62" s="23"/>
      <c r="AG62" s="23"/>
      <c r="AH62" s="23"/>
      <c r="AI62" s="23"/>
      <c r="AJ62" s="34"/>
      <c r="AL62" s="16"/>
      <c r="AN62" s="16"/>
      <c r="AP62" s="11" t="s">
        <v>3</v>
      </c>
      <c r="AQ62" s="12">
        <f>VLOOKUP(LOWER(AS59),experiments_specs!$A:$J,4,FALSE)</f>
        <v>2</v>
      </c>
      <c r="AR62" s="15" t="s">
        <v>117</v>
      </c>
      <c r="AS62" s="6"/>
      <c r="AT62" s="18"/>
      <c r="AU62" s="18"/>
      <c r="AV62" s="18"/>
      <c r="AW62" s="18"/>
      <c r="AX62" s="31"/>
      <c r="AY62" s="23"/>
      <c r="AZ62" s="23"/>
      <c r="BA62" s="23"/>
      <c r="BB62" s="23"/>
      <c r="BC62" s="34"/>
      <c r="BE62" s="16"/>
    </row>
    <row r="63" spans="2:57" x14ac:dyDescent="0.2">
      <c r="B63" s="16"/>
      <c r="D63" s="11" t="s">
        <v>4</v>
      </c>
      <c r="E63" s="12" t="str">
        <f>VLOOKUP(LOWER(G59),experiments_specs!$A:$J,5,FALSE)</f>
        <v>False</v>
      </c>
      <c r="F63" s="15" t="s">
        <v>105</v>
      </c>
      <c r="G63" s="6"/>
      <c r="H63" s="19"/>
      <c r="I63" s="19"/>
      <c r="J63" s="19"/>
      <c r="K63" s="19"/>
      <c r="L63" s="31"/>
      <c r="M63" s="22"/>
      <c r="N63" s="22"/>
      <c r="O63" s="22"/>
      <c r="P63" s="22"/>
      <c r="Q63" s="34"/>
      <c r="S63" s="16"/>
      <c r="U63" s="16"/>
      <c r="W63" s="11" t="s">
        <v>4</v>
      </c>
      <c r="X63" s="12" t="str">
        <f>VLOOKUP(LOWER(Z59),experiments_specs!$A:$J,5,FALSE)</f>
        <v>True</v>
      </c>
      <c r="Y63" s="15" t="s">
        <v>111</v>
      </c>
      <c r="Z63" s="6" t="s">
        <v>13</v>
      </c>
      <c r="AA63" s="19"/>
      <c r="AB63" s="19"/>
      <c r="AC63" s="19"/>
      <c r="AD63" s="19"/>
      <c r="AE63" s="31"/>
      <c r="AF63" s="22"/>
      <c r="AG63" s="22"/>
      <c r="AH63" s="22"/>
      <c r="AI63" s="22"/>
      <c r="AJ63" s="34"/>
      <c r="AL63" s="16"/>
      <c r="AN63" s="16"/>
      <c r="AP63" s="11" t="s">
        <v>4</v>
      </c>
      <c r="AQ63" s="12" t="str">
        <f>VLOOKUP(LOWER(AS59),experiments_specs!$A:$J,5,FALSE)</f>
        <v>True</v>
      </c>
      <c r="AR63" s="15" t="s">
        <v>117</v>
      </c>
      <c r="AS63" s="6"/>
      <c r="AT63" s="19"/>
      <c r="AU63" s="19"/>
      <c r="AV63" s="19"/>
      <c r="AW63" s="19"/>
      <c r="AX63" s="31"/>
      <c r="AY63" s="22"/>
      <c r="AZ63" s="22"/>
      <c r="BA63" s="22"/>
      <c r="BB63" s="22"/>
      <c r="BC63" s="34"/>
      <c r="BE63" s="16"/>
    </row>
    <row r="64" spans="2:57" x14ac:dyDescent="0.2">
      <c r="B64" s="16"/>
      <c r="D64" s="11" t="s">
        <v>5</v>
      </c>
      <c r="E64" s="12" t="str">
        <f>VLOOKUP(LOWER(G59),experiments_specs!$A:$J,6,FALSE)</f>
        <v>False</v>
      </c>
      <c r="F64" s="15" t="s">
        <v>105</v>
      </c>
      <c r="G64" s="6"/>
      <c r="H64" s="19"/>
      <c r="I64" s="19"/>
      <c r="J64" s="19"/>
      <c r="K64" s="19"/>
      <c r="L64" s="31"/>
      <c r="M64" s="22"/>
      <c r="N64" s="22"/>
      <c r="O64" s="22"/>
      <c r="P64" s="22"/>
      <c r="Q64" s="34"/>
      <c r="S64" s="16"/>
      <c r="U64" s="16"/>
      <c r="W64" s="11" t="s">
        <v>5</v>
      </c>
      <c r="X64" s="12" t="str">
        <f>VLOOKUP(LOWER(Z59),experiments_specs!$A:$J,6,FALSE)</f>
        <v>False</v>
      </c>
      <c r="Y64" s="15" t="s">
        <v>111</v>
      </c>
      <c r="Z64" s="6" t="s">
        <v>14</v>
      </c>
      <c r="AA64" s="18"/>
      <c r="AB64" s="18"/>
      <c r="AC64" s="18"/>
      <c r="AD64" s="18"/>
      <c r="AE64" s="31"/>
      <c r="AF64" s="23"/>
      <c r="AG64" s="23"/>
      <c r="AH64" s="23"/>
      <c r="AI64" s="23"/>
      <c r="AJ64" s="34"/>
      <c r="AL64" s="16"/>
      <c r="AN64" s="16"/>
      <c r="AP64" s="11" t="s">
        <v>5</v>
      </c>
      <c r="AQ64" s="12" t="str">
        <f>VLOOKUP(LOWER(AS59),experiments_specs!$A:$J,6,FALSE)</f>
        <v>False</v>
      </c>
      <c r="AR64" s="15" t="s">
        <v>117</v>
      </c>
      <c r="AS64" s="6"/>
      <c r="AT64" s="18"/>
      <c r="AU64" s="18"/>
      <c r="AV64" s="18"/>
      <c r="AW64" s="18"/>
      <c r="AX64" s="31"/>
      <c r="AY64" s="23"/>
      <c r="AZ64" s="23"/>
      <c r="BA64" s="23"/>
      <c r="BB64" s="23"/>
      <c r="BC64" s="34"/>
      <c r="BE64" s="16"/>
    </row>
    <row r="65" spans="2:57" x14ac:dyDescent="0.2">
      <c r="B65" s="16"/>
      <c r="D65" s="11" t="s">
        <v>6</v>
      </c>
      <c r="E65" s="12" t="str">
        <f>VLOOKUP(LOWER(G59),experiments_specs!$A:$J,7,FALSE)</f>
        <v>True</v>
      </c>
      <c r="F65" s="15" t="s">
        <v>105</v>
      </c>
      <c r="G65" s="6"/>
      <c r="H65" s="19"/>
      <c r="I65" s="19"/>
      <c r="J65" s="19"/>
      <c r="K65" s="19"/>
      <c r="L65" s="31"/>
      <c r="M65" s="23"/>
      <c r="N65" s="23"/>
      <c r="O65" s="23"/>
      <c r="P65" s="23"/>
      <c r="Q65" s="34"/>
      <c r="S65" s="16"/>
      <c r="U65" s="16"/>
      <c r="W65" s="11" t="s">
        <v>6</v>
      </c>
      <c r="X65" s="12" t="str">
        <f>VLOOKUP(LOWER(Z59),experiments_specs!$A:$J,7,FALSE)</f>
        <v>True</v>
      </c>
      <c r="Y65" s="15" t="s">
        <v>111</v>
      </c>
      <c r="Z65" s="6" t="s">
        <v>15</v>
      </c>
      <c r="AA65" s="19"/>
      <c r="AB65" s="19"/>
      <c r="AC65" s="19"/>
      <c r="AD65" s="19"/>
      <c r="AE65" s="31"/>
      <c r="AF65" s="23"/>
      <c r="AG65" s="23"/>
      <c r="AH65" s="23"/>
      <c r="AI65" s="23"/>
      <c r="AJ65" s="34"/>
      <c r="AL65" s="16"/>
      <c r="AN65" s="16"/>
      <c r="AP65" s="11" t="s">
        <v>6</v>
      </c>
      <c r="AQ65" s="12" t="str">
        <f>VLOOKUP(LOWER(AS59),experiments_specs!$A:$J,7,FALSE)</f>
        <v>True</v>
      </c>
      <c r="AR65" s="15" t="s">
        <v>117</v>
      </c>
      <c r="AS65" s="6"/>
      <c r="AT65" s="19"/>
      <c r="AU65" s="19"/>
      <c r="AV65" s="19"/>
      <c r="AW65" s="19"/>
      <c r="AX65" s="31"/>
      <c r="AY65" s="23"/>
      <c r="AZ65" s="23"/>
      <c r="BA65" s="23"/>
      <c r="BB65" s="23"/>
      <c r="BC65" s="34"/>
      <c r="BE65" s="16"/>
    </row>
    <row r="66" spans="2:57" x14ac:dyDescent="0.2">
      <c r="B66" s="16"/>
      <c r="D66" s="11" t="s">
        <v>7</v>
      </c>
      <c r="E66" s="12" t="str">
        <f>VLOOKUP(LOWER(G59),experiments_specs!$A:$J,8,FALSE)</f>
        <v>False</v>
      </c>
      <c r="F66" s="15" t="s">
        <v>105</v>
      </c>
      <c r="G66" s="6"/>
      <c r="H66" s="19"/>
      <c r="I66" s="19"/>
      <c r="J66" s="19"/>
      <c r="K66" s="19"/>
      <c r="L66" s="31"/>
      <c r="M66" s="23"/>
      <c r="N66" s="23"/>
      <c r="O66" s="23"/>
      <c r="P66" s="23"/>
      <c r="Q66" s="34"/>
      <c r="S66" s="16"/>
      <c r="U66" s="16"/>
      <c r="W66" s="11" t="s">
        <v>7</v>
      </c>
      <c r="X66" s="12" t="str">
        <f>VLOOKUP(LOWER(Z59),experiments_specs!$A:$J,8,FALSE)</f>
        <v>False</v>
      </c>
      <c r="Y66" s="15" t="s">
        <v>111</v>
      </c>
      <c r="Z66" s="6" t="s">
        <v>16</v>
      </c>
      <c r="AA66" s="19"/>
      <c r="AB66" s="19"/>
      <c r="AC66" s="19"/>
      <c r="AD66" s="19"/>
      <c r="AE66" s="31"/>
      <c r="AF66" s="23"/>
      <c r="AG66" s="23"/>
      <c r="AH66" s="23"/>
      <c r="AI66" s="23"/>
      <c r="AJ66" s="34"/>
      <c r="AL66" s="16"/>
      <c r="AN66" s="16"/>
      <c r="AP66" s="11" t="s">
        <v>7</v>
      </c>
      <c r="AQ66" s="12" t="str">
        <f>VLOOKUP(LOWER(AS59),experiments_specs!$A:$J,8,FALSE)</f>
        <v>False</v>
      </c>
      <c r="AR66" s="15" t="s">
        <v>117</v>
      </c>
      <c r="AS66" s="6"/>
      <c r="AT66" s="19"/>
      <c r="AU66" s="19"/>
      <c r="AV66" s="19"/>
      <c r="AW66" s="19"/>
      <c r="AX66" s="31"/>
      <c r="AY66" s="23"/>
      <c r="AZ66" s="23"/>
      <c r="BA66" s="23"/>
      <c r="BB66" s="23"/>
      <c r="BC66" s="34"/>
      <c r="BE66" s="16"/>
    </row>
    <row r="67" spans="2:57" x14ac:dyDescent="0.2">
      <c r="B67" s="16"/>
      <c r="D67" s="11" t="s">
        <v>8</v>
      </c>
      <c r="E67" s="12" t="str">
        <f>VLOOKUP(LOWER(G59),experiments_specs!$A:$J,9,FALSE)</f>
        <v>wup_similarity</v>
      </c>
      <c r="F67" s="15" t="s">
        <v>105</v>
      </c>
      <c r="G67" s="6"/>
      <c r="H67" s="19"/>
      <c r="I67" s="19"/>
      <c r="J67" s="19"/>
      <c r="K67" s="19"/>
      <c r="L67" s="31"/>
      <c r="M67" s="22"/>
      <c r="N67" s="22"/>
      <c r="O67" s="22"/>
      <c r="P67" s="22"/>
      <c r="Q67" s="34"/>
      <c r="S67" s="16"/>
      <c r="U67" s="16"/>
      <c r="W67" s="11" t="s">
        <v>8</v>
      </c>
      <c r="X67" s="12" t="str">
        <f>VLOOKUP(LOWER(Z59),experiments_specs!$A:$J,9,FALSE)</f>
        <v>wup_similarity</v>
      </c>
      <c r="Y67" s="15" t="s">
        <v>111</v>
      </c>
      <c r="Z67" s="6" t="s">
        <v>17</v>
      </c>
      <c r="AA67" s="19"/>
      <c r="AB67" s="19"/>
      <c r="AC67" s="19"/>
      <c r="AD67" s="19"/>
      <c r="AE67" s="31"/>
      <c r="AF67" s="22"/>
      <c r="AG67" s="22"/>
      <c r="AH67" s="22"/>
      <c r="AI67" s="22"/>
      <c r="AJ67" s="34"/>
      <c r="AL67" s="16"/>
      <c r="AN67" s="16"/>
      <c r="AP67" s="11" t="s">
        <v>8</v>
      </c>
      <c r="AQ67" s="12" t="str">
        <f>VLOOKUP(LOWER(AS59),experiments_specs!$A:$J,9,FALSE)</f>
        <v>wup_similarity</v>
      </c>
      <c r="AR67" s="15" t="s">
        <v>117</v>
      </c>
      <c r="AS67" s="6"/>
      <c r="AT67" s="18"/>
      <c r="AU67" s="18"/>
      <c r="AV67" s="18"/>
      <c r="AW67" s="18"/>
      <c r="AX67" s="31"/>
      <c r="AY67" s="23"/>
      <c r="AZ67" s="23"/>
      <c r="BA67" s="23"/>
      <c r="BB67" s="23"/>
      <c r="BC67" s="34"/>
      <c r="BE67" s="16"/>
    </row>
    <row r="68" spans="2:57" x14ac:dyDescent="0.2">
      <c r="B68" s="16"/>
      <c r="D68" s="11" t="s">
        <v>9</v>
      </c>
      <c r="E68" s="12" t="str">
        <f>VLOOKUP(LOWER(G59),experiments_specs!$A:$J,10,FALSE)</f>
        <v>False</v>
      </c>
      <c r="F68" s="15" t="s">
        <v>105</v>
      </c>
      <c r="G68" s="7"/>
      <c r="H68" s="20"/>
      <c r="I68" s="20"/>
      <c r="J68" s="20"/>
      <c r="K68" s="20"/>
      <c r="L68" s="32"/>
      <c r="M68" s="24"/>
      <c r="N68" s="24"/>
      <c r="O68" s="24"/>
      <c r="P68" s="24"/>
      <c r="Q68" s="35"/>
      <c r="S68" s="16"/>
      <c r="U68" s="16"/>
      <c r="W68" s="11" t="s">
        <v>9</v>
      </c>
      <c r="X68" s="12" t="str">
        <f>VLOOKUP(LOWER(Z59),experiments_specs!$A:$J,10,FALSE)</f>
        <v>False</v>
      </c>
      <c r="Y68" s="15" t="s">
        <v>111</v>
      </c>
      <c r="Z68" s="7" t="s">
        <v>18</v>
      </c>
      <c r="AA68" s="20"/>
      <c r="AB68" s="20"/>
      <c r="AC68" s="20"/>
      <c r="AD68" s="20"/>
      <c r="AE68" s="32"/>
      <c r="AF68" s="24"/>
      <c r="AG68" s="24"/>
      <c r="AH68" s="24"/>
      <c r="AI68" s="24"/>
      <c r="AJ68" s="35"/>
      <c r="AL68" s="16"/>
      <c r="AN68" s="16"/>
      <c r="AP68" s="11" t="s">
        <v>9</v>
      </c>
      <c r="AQ68" s="12" t="str">
        <f>VLOOKUP(LOWER(AS59),experiments_specs!$A:$J,10,FALSE)</f>
        <v>True</v>
      </c>
      <c r="AR68" s="15" t="s">
        <v>117</v>
      </c>
      <c r="AS68" s="7"/>
      <c r="AT68" s="20"/>
      <c r="AU68" s="20"/>
      <c r="AV68" s="20"/>
      <c r="AW68" s="20"/>
      <c r="AX68" s="32"/>
      <c r="AY68" s="24"/>
      <c r="AZ68" s="24"/>
      <c r="BA68" s="24"/>
      <c r="BB68" s="24"/>
      <c r="BC68" s="35"/>
      <c r="BE68" s="16"/>
    </row>
    <row r="69" spans="2:57" x14ac:dyDescent="0.2">
      <c r="B69" s="16"/>
      <c r="S69" s="16"/>
      <c r="U69" s="16"/>
      <c r="AL69" s="16"/>
      <c r="AN69" s="16"/>
      <c r="BE69" s="16"/>
    </row>
    <row r="70" spans="2:57" x14ac:dyDescent="0.2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</row>
  </sheetData>
  <mergeCells count="39">
    <mergeCell ref="AY15:BC15"/>
    <mergeCell ref="D2:Q2"/>
    <mergeCell ref="W2:AJ2"/>
    <mergeCell ref="AP2:BC2"/>
    <mergeCell ref="H4:L4"/>
    <mergeCell ref="M4:Q4"/>
    <mergeCell ref="AA4:AE4"/>
    <mergeCell ref="AF4:AJ4"/>
    <mergeCell ref="AT4:AX4"/>
    <mergeCell ref="AY4:BC4"/>
    <mergeCell ref="H15:L15"/>
    <mergeCell ref="M15:Q15"/>
    <mergeCell ref="AA15:AE15"/>
    <mergeCell ref="AF15:AJ15"/>
    <mergeCell ref="AT15:AX15"/>
    <mergeCell ref="AY37:BC37"/>
    <mergeCell ref="H26:L26"/>
    <mergeCell ref="M26:Q26"/>
    <mergeCell ref="AA26:AE26"/>
    <mergeCell ref="AF26:AJ26"/>
    <mergeCell ref="AT26:AX26"/>
    <mergeCell ref="AY26:BC26"/>
    <mergeCell ref="H37:L37"/>
    <mergeCell ref="M37:Q37"/>
    <mergeCell ref="AA37:AE37"/>
    <mergeCell ref="AF37:AJ37"/>
    <mergeCell ref="AT37:AX37"/>
    <mergeCell ref="AY59:BC59"/>
    <mergeCell ref="H48:L48"/>
    <mergeCell ref="M48:Q48"/>
    <mergeCell ref="AA48:AE48"/>
    <mergeCell ref="AF48:AJ48"/>
    <mergeCell ref="AT48:AX48"/>
    <mergeCell ref="AY48:BC48"/>
    <mergeCell ref="H59:L59"/>
    <mergeCell ref="M59:Q59"/>
    <mergeCell ref="AA59:AE59"/>
    <mergeCell ref="AF59:AJ59"/>
    <mergeCell ref="AT59:AX5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0AE84-955B-B44B-9786-7EFAA76D5F17}">
  <sheetPr codeName="Foglio7"/>
  <dimension ref="B2:BE70"/>
  <sheetViews>
    <sheetView workbookViewId="0">
      <selection activeCell="AJ60" sqref="AJ60:AJ69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8" width="25.83203125" customWidth="1"/>
    <col min="9" max="9" width="11.83203125" customWidth="1"/>
    <col min="10" max="10" width="25.83203125" customWidth="1"/>
    <col min="11" max="11" width="11.83203125" customWidth="1"/>
    <col min="12" max="12" width="12.1640625" bestFit="1" customWidth="1"/>
    <col min="13" max="13" width="25.83203125" customWidth="1"/>
    <col min="14" max="14" width="11.83203125" customWidth="1"/>
    <col min="15" max="15" width="25.83203125" customWidth="1"/>
    <col min="16" max="16" width="11.83203125" customWidth="1"/>
    <col min="17" max="17" width="12.1640625" bestFit="1" customWidth="1"/>
    <col min="18" max="22" width="3.1640625" customWidth="1"/>
    <col min="23" max="23" width="22.33203125" bestFit="1" customWidth="1"/>
    <col min="24" max="24" width="29" bestFit="1" customWidth="1"/>
    <col min="25" max="25" width="1.83203125" customWidth="1"/>
    <col min="26" max="26" width="24.1640625" bestFit="1" customWidth="1"/>
    <col min="27" max="27" width="25.83203125" customWidth="1"/>
    <col min="28" max="28" width="11.83203125" customWidth="1"/>
    <col min="29" max="29" width="25.83203125" customWidth="1"/>
    <col min="30" max="30" width="11.83203125" customWidth="1"/>
    <col min="31" max="31" width="12.1640625" bestFit="1" customWidth="1"/>
    <col min="32" max="32" width="25.83203125" customWidth="1"/>
    <col min="33" max="33" width="11.83203125" customWidth="1"/>
    <col min="34" max="34" width="25.83203125" customWidth="1"/>
    <col min="35" max="35" width="11.83203125" customWidth="1"/>
    <col min="36" max="36" width="12.1640625" bestFit="1" customWidth="1"/>
    <col min="37" max="41" width="3.1640625" customWidth="1"/>
    <col min="42" max="42" width="22.33203125" bestFit="1" customWidth="1"/>
    <col min="43" max="43" width="29" bestFit="1" customWidth="1"/>
    <col min="44" max="44" width="1.83203125" customWidth="1"/>
    <col min="45" max="45" width="24.1640625" bestFit="1" customWidth="1"/>
    <col min="46" max="46" width="25.83203125" customWidth="1"/>
    <col min="47" max="47" width="11.83203125" customWidth="1"/>
    <col min="48" max="48" width="25.83203125" customWidth="1"/>
    <col min="49" max="49" width="11.83203125" customWidth="1"/>
    <col min="50" max="50" width="12.1640625" bestFit="1" customWidth="1"/>
    <col min="51" max="51" width="25.83203125" customWidth="1"/>
    <col min="52" max="52" width="11.83203125" customWidth="1"/>
    <col min="53" max="53" width="25.83203125" customWidth="1"/>
    <col min="54" max="54" width="11.83203125" customWidth="1"/>
    <col min="55" max="55" width="12.1640625" bestFit="1" customWidth="1"/>
    <col min="56" max="57" width="3.1640625" customWidth="1"/>
  </cols>
  <sheetData>
    <row r="2" spans="2:57" ht="19" x14ac:dyDescent="0.25">
      <c r="B2" s="16"/>
      <c r="C2" s="16"/>
      <c r="D2" s="38" t="s">
        <v>127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16"/>
      <c r="S2" s="16"/>
      <c r="U2" s="16"/>
      <c r="V2" s="16"/>
      <c r="W2" s="38" t="s">
        <v>128</v>
      </c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16"/>
      <c r="AL2" s="16"/>
      <c r="AN2" s="16"/>
      <c r="AO2" s="16"/>
      <c r="AP2" s="38" t="s">
        <v>129</v>
      </c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16"/>
      <c r="BE2" s="16"/>
    </row>
    <row r="3" spans="2:57" ht="17" thickBot="1" x14ac:dyDescent="0.25">
      <c r="B3" s="16"/>
      <c r="S3" s="16"/>
      <c r="U3" s="16"/>
      <c r="AL3" s="16"/>
      <c r="AN3" s="16"/>
      <c r="BE3" s="16"/>
    </row>
    <row r="4" spans="2:57" ht="20" thickBot="1" x14ac:dyDescent="0.3">
      <c r="B4" s="16"/>
      <c r="D4" s="13" t="s">
        <v>126</v>
      </c>
      <c r="E4" s="14"/>
      <c r="F4" s="9"/>
      <c r="G4" s="10" t="s">
        <v>170</v>
      </c>
      <c r="H4" s="36" t="s">
        <v>124</v>
      </c>
      <c r="I4" s="36"/>
      <c r="J4" s="36"/>
      <c r="K4" s="36"/>
      <c r="L4" s="36"/>
      <c r="M4" s="37" t="s">
        <v>123</v>
      </c>
      <c r="N4" s="37"/>
      <c r="O4" s="37"/>
      <c r="P4" s="37"/>
      <c r="Q4" s="37"/>
      <c r="R4" s="2"/>
      <c r="S4" s="16"/>
      <c r="U4" s="16"/>
      <c r="W4" s="13" t="s">
        <v>126</v>
      </c>
      <c r="X4" s="14"/>
      <c r="Y4" s="9"/>
      <c r="Z4" s="10" t="str">
        <f>"TEST_"&amp;TEXT(RIGHT(G59,2)+1, "00")</f>
        <v>TEST_79</v>
      </c>
      <c r="AA4" s="36" t="s">
        <v>124</v>
      </c>
      <c r="AB4" s="36"/>
      <c r="AC4" s="36"/>
      <c r="AD4" s="36"/>
      <c r="AE4" s="36"/>
      <c r="AF4" s="37" t="s">
        <v>123</v>
      </c>
      <c r="AG4" s="37"/>
      <c r="AH4" s="37"/>
      <c r="AI4" s="37"/>
      <c r="AJ4" s="37"/>
      <c r="AK4" s="2"/>
      <c r="AL4" s="16"/>
      <c r="AN4" s="16"/>
      <c r="AP4" s="13" t="s">
        <v>126</v>
      </c>
      <c r="AQ4" s="14"/>
      <c r="AR4" s="9"/>
      <c r="AS4" s="10" t="str">
        <f>"TEST_"&amp;TEXT(RIGHT(Z59,2)+1, "00")</f>
        <v>TEST_85</v>
      </c>
      <c r="AT4" s="36" t="s">
        <v>124</v>
      </c>
      <c r="AU4" s="36"/>
      <c r="AV4" s="36"/>
      <c r="AW4" s="36"/>
      <c r="AX4" s="36"/>
      <c r="AY4" s="37" t="s">
        <v>123</v>
      </c>
      <c r="AZ4" s="37"/>
      <c r="BA4" s="37"/>
      <c r="BB4" s="37"/>
      <c r="BC4" s="37"/>
      <c r="BD4" s="2"/>
      <c r="BE4" s="16"/>
    </row>
    <row r="5" spans="2:57" x14ac:dyDescent="0.2">
      <c r="B5" s="16"/>
      <c r="D5" s="11" t="s">
        <v>1</v>
      </c>
      <c r="E5" s="12" t="str">
        <f>VLOOKUP(LOWER(G4),experiments_specs!$A:$J,2,FALSE)</f>
        <v>NN</v>
      </c>
      <c r="F5" s="15" t="str">
        <f>"{"&amp;LOWER(G4)&amp;".csv}"</f>
        <v>{test_73.csv}</v>
      </c>
      <c r="G5" s="8" t="s">
        <v>118</v>
      </c>
      <c r="H5" s="3" t="s">
        <v>119</v>
      </c>
      <c r="I5" s="3" t="s">
        <v>182</v>
      </c>
      <c r="J5" s="3" t="s">
        <v>120</v>
      </c>
      <c r="K5" s="3" t="s">
        <v>182</v>
      </c>
      <c r="L5" s="29" t="s">
        <v>121</v>
      </c>
      <c r="M5" s="4" t="s">
        <v>122</v>
      </c>
      <c r="N5" s="4" t="s">
        <v>182</v>
      </c>
      <c r="O5" s="4" t="s">
        <v>120</v>
      </c>
      <c r="P5" s="4" t="s">
        <v>182</v>
      </c>
      <c r="Q5" s="4" t="s">
        <v>121</v>
      </c>
      <c r="S5" s="16"/>
      <c r="U5" s="16"/>
      <c r="W5" s="11" t="s">
        <v>1</v>
      </c>
      <c r="X5" s="12" t="str">
        <f>VLOOKUP(LOWER(Z4),experiments_specs!$A:$J,2,FALSE)</f>
        <v>NN</v>
      </c>
      <c r="Y5" s="15" t="str">
        <f>"{"&amp;LOWER(Z4)&amp;".csv}"</f>
        <v>{test_79.csv}</v>
      </c>
      <c r="Z5" s="8" t="s">
        <v>118</v>
      </c>
      <c r="AA5" s="3" t="s">
        <v>119</v>
      </c>
      <c r="AB5" s="3" t="s">
        <v>182</v>
      </c>
      <c r="AC5" s="3" t="s">
        <v>120</v>
      </c>
      <c r="AD5" s="3" t="s">
        <v>182</v>
      </c>
      <c r="AE5" s="3" t="s">
        <v>121</v>
      </c>
      <c r="AF5" s="4" t="s">
        <v>122</v>
      </c>
      <c r="AG5" s="4" t="s">
        <v>182</v>
      </c>
      <c r="AH5" s="4" t="s">
        <v>120</v>
      </c>
      <c r="AI5" s="4" t="s">
        <v>182</v>
      </c>
      <c r="AJ5" s="4" t="s">
        <v>121</v>
      </c>
      <c r="AL5" s="16"/>
      <c r="AN5" s="16"/>
      <c r="AP5" s="11" t="s">
        <v>1</v>
      </c>
      <c r="AQ5" s="12" t="str">
        <f>VLOOKUP(LOWER(AS4),experiments_specs!$A:$J,2,FALSE)</f>
        <v>NN</v>
      </c>
      <c r="AR5" s="15" t="str">
        <f>"{"&amp;LOWER(AS4)&amp;".csv}"</f>
        <v>{test_85.csv}</v>
      </c>
      <c r="AS5" s="8" t="s">
        <v>118</v>
      </c>
      <c r="AT5" s="3" t="s">
        <v>119</v>
      </c>
      <c r="AU5" s="3" t="s">
        <v>182</v>
      </c>
      <c r="AV5" s="3" t="s">
        <v>120</v>
      </c>
      <c r="AW5" s="3" t="s">
        <v>182</v>
      </c>
      <c r="AX5" s="3" t="s">
        <v>121</v>
      </c>
      <c r="AY5" s="4" t="s">
        <v>122</v>
      </c>
      <c r="AZ5" s="4" t="s">
        <v>182</v>
      </c>
      <c r="BA5" s="4" t="s">
        <v>120</v>
      </c>
      <c r="BB5" s="4" t="s">
        <v>182</v>
      </c>
      <c r="BC5" s="4" t="s">
        <v>121</v>
      </c>
      <c r="BE5" s="16"/>
    </row>
    <row r="6" spans="2:57" x14ac:dyDescent="0.2">
      <c r="B6" s="16"/>
      <c r="D6" s="11" t="s">
        <v>2</v>
      </c>
      <c r="E6" s="12">
        <f>VLOOKUP(LOWER(G4),experiments_specs!$A:$J,3,FALSE)</f>
        <v>1</v>
      </c>
      <c r="F6" s="15" t="s">
        <v>100</v>
      </c>
      <c r="G6" s="5"/>
      <c r="H6" s="17"/>
      <c r="I6" s="17"/>
      <c r="J6" s="17"/>
      <c r="K6" s="17"/>
      <c r="L6" s="30"/>
      <c r="M6" s="21"/>
      <c r="N6" s="21"/>
      <c r="O6" s="21"/>
      <c r="P6" s="21"/>
      <c r="Q6" s="33"/>
      <c r="S6" s="16"/>
      <c r="U6" s="16"/>
      <c r="W6" s="11" t="s">
        <v>2</v>
      </c>
      <c r="X6" s="12">
        <f>VLOOKUP(LOWER(Z4),experiments_specs!$A:$J,3,FALSE)</f>
        <v>1</v>
      </c>
      <c r="Y6" s="15" t="s">
        <v>106</v>
      </c>
      <c r="Z6" s="5" t="s">
        <v>19</v>
      </c>
      <c r="AA6" s="17"/>
      <c r="AB6" s="17"/>
      <c r="AC6" s="17"/>
      <c r="AD6" s="17"/>
      <c r="AE6" s="30"/>
      <c r="AF6" s="21"/>
      <c r="AG6" s="21"/>
      <c r="AH6" s="21"/>
      <c r="AI6" s="21"/>
      <c r="AJ6" s="33"/>
      <c r="AL6" s="16"/>
      <c r="AN6" s="16"/>
      <c r="AP6" s="11" t="s">
        <v>2</v>
      </c>
      <c r="AQ6" s="12">
        <f>VLOOKUP(LOWER(AS4),experiments_specs!$A:$J,3,FALSE)</f>
        <v>1</v>
      </c>
      <c r="AR6" s="15" t="s">
        <v>112</v>
      </c>
      <c r="AS6" s="5"/>
      <c r="AT6" s="17"/>
      <c r="AU6" s="17"/>
      <c r="AV6" s="17"/>
      <c r="AW6" s="17"/>
      <c r="AX6" s="30"/>
      <c r="AY6" s="21"/>
      <c r="AZ6" s="21"/>
      <c r="BA6" s="21"/>
      <c r="BB6" s="21"/>
      <c r="BC6" s="33"/>
      <c r="BE6" s="16"/>
    </row>
    <row r="7" spans="2:57" x14ac:dyDescent="0.2">
      <c r="B7" s="16"/>
      <c r="D7" s="11" t="s">
        <v>3</v>
      </c>
      <c r="E7" s="12">
        <f>VLOOKUP(LOWER(G4),experiments_specs!$A:$J,4,FALSE)</f>
        <v>2</v>
      </c>
      <c r="F7" s="15" t="s">
        <v>100</v>
      </c>
      <c r="G7" s="6"/>
      <c r="H7" s="18"/>
      <c r="I7" s="18"/>
      <c r="J7" s="18"/>
      <c r="K7" s="18"/>
      <c r="L7" s="31"/>
      <c r="M7" s="22"/>
      <c r="N7" s="22"/>
      <c r="O7" s="22"/>
      <c r="P7" s="22"/>
      <c r="Q7" s="34"/>
      <c r="S7" s="16"/>
      <c r="U7" s="16"/>
      <c r="W7" s="11" t="s">
        <v>3</v>
      </c>
      <c r="X7" s="12">
        <f>VLOOKUP(LOWER(Z4),experiments_specs!$A:$J,4,FALSE)</f>
        <v>2</v>
      </c>
      <c r="Y7" s="15" t="s">
        <v>106</v>
      </c>
      <c r="Z7" s="6" t="s">
        <v>12</v>
      </c>
      <c r="AA7" s="18"/>
      <c r="AB7" s="18"/>
      <c r="AC7" s="18"/>
      <c r="AD7" s="18"/>
      <c r="AE7" s="31"/>
      <c r="AF7" s="22"/>
      <c r="AG7" s="22"/>
      <c r="AH7" s="22"/>
      <c r="AI7" s="22"/>
      <c r="AJ7" s="34"/>
      <c r="AL7" s="16"/>
      <c r="AN7" s="16"/>
      <c r="AP7" s="11" t="s">
        <v>3</v>
      </c>
      <c r="AQ7" s="12">
        <f>VLOOKUP(LOWER(AS4),experiments_specs!$A:$J,4,FALSE)</f>
        <v>2</v>
      </c>
      <c r="AR7" s="15" t="s">
        <v>112</v>
      </c>
      <c r="AS7" s="6"/>
      <c r="AT7" s="18"/>
      <c r="AU7" s="18"/>
      <c r="AV7" s="18"/>
      <c r="AW7" s="18"/>
      <c r="AX7" s="31"/>
      <c r="AY7" s="22"/>
      <c r="AZ7" s="22"/>
      <c r="BA7" s="22"/>
      <c r="BB7" s="22"/>
      <c r="BC7" s="34"/>
      <c r="BE7" s="16"/>
    </row>
    <row r="8" spans="2:57" x14ac:dyDescent="0.2">
      <c r="B8" s="16"/>
      <c r="D8" s="11" t="s">
        <v>4</v>
      </c>
      <c r="E8" s="12" t="str">
        <f>VLOOKUP(LOWER(G4),experiments_specs!$A:$J,5,FALSE)</f>
        <v>False</v>
      </c>
      <c r="F8" s="15" t="s">
        <v>100</v>
      </c>
      <c r="G8" s="6"/>
      <c r="H8" s="19"/>
      <c r="I8" s="19"/>
      <c r="J8" s="19"/>
      <c r="K8" s="19"/>
      <c r="L8" s="31"/>
      <c r="M8" s="22"/>
      <c r="N8" s="22"/>
      <c r="O8" s="22"/>
      <c r="P8" s="22"/>
      <c r="Q8" s="34"/>
      <c r="S8" s="16"/>
      <c r="U8" s="16"/>
      <c r="W8" s="11" t="s">
        <v>4</v>
      </c>
      <c r="X8" s="12" t="str">
        <f>VLOOKUP(LOWER(Z4),experiments_specs!$A:$J,5,FALSE)</f>
        <v>True</v>
      </c>
      <c r="Y8" s="15" t="s">
        <v>106</v>
      </c>
      <c r="Z8" s="6" t="s">
        <v>13</v>
      </c>
      <c r="AA8" s="19"/>
      <c r="AB8" s="19"/>
      <c r="AC8" s="19"/>
      <c r="AD8" s="19"/>
      <c r="AE8" s="31"/>
      <c r="AF8" s="22"/>
      <c r="AG8" s="22"/>
      <c r="AH8" s="22"/>
      <c r="AI8" s="22"/>
      <c r="AJ8" s="34"/>
      <c r="AL8" s="16"/>
      <c r="AN8" s="16"/>
      <c r="AP8" s="11" t="s">
        <v>4</v>
      </c>
      <c r="AQ8" s="12" t="str">
        <f>VLOOKUP(LOWER(AS4),experiments_specs!$A:$J,5,FALSE)</f>
        <v>False</v>
      </c>
      <c r="AR8" s="15" t="s">
        <v>112</v>
      </c>
      <c r="AS8" s="6"/>
      <c r="AT8" s="19"/>
      <c r="AU8" s="19"/>
      <c r="AV8" s="19"/>
      <c r="AW8" s="19"/>
      <c r="AX8" s="31"/>
      <c r="AY8" s="22"/>
      <c r="AZ8" s="22"/>
      <c r="BA8" s="22"/>
      <c r="BB8" s="22"/>
      <c r="BC8" s="34"/>
      <c r="BE8" s="16"/>
    </row>
    <row r="9" spans="2:57" x14ac:dyDescent="0.2">
      <c r="B9" s="16"/>
      <c r="D9" s="11" t="s">
        <v>5</v>
      </c>
      <c r="E9" s="12" t="str">
        <f>VLOOKUP(LOWER(G4),experiments_specs!$A:$J,6,FALSE)</f>
        <v>False</v>
      </c>
      <c r="F9" s="15" t="s">
        <v>100</v>
      </c>
      <c r="G9" s="6"/>
      <c r="H9" s="19"/>
      <c r="I9" s="19"/>
      <c r="J9" s="19"/>
      <c r="K9" s="19"/>
      <c r="L9" s="31"/>
      <c r="M9" s="22"/>
      <c r="N9" s="22"/>
      <c r="O9" s="22"/>
      <c r="P9" s="22"/>
      <c r="Q9" s="34"/>
      <c r="S9" s="16"/>
      <c r="U9" s="16"/>
      <c r="W9" s="11" t="s">
        <v>5</v>
      </c>
      <c r="X9" s="12" t="str">
        <f>VLOOKUP(LOWER(Z4),experiments_specs!$A:$J,6,FALSE)</f>
        <v>False</v>
      </c>
      <c r="Y9" s="15" t="s">
        <v>106</v>
      </c>
      <c r="Z9" s="6" t="s">
        <v>14</v>
      </c>
      <c r="AA9" s="19"/>
      <c r="AB9" s="19"/>
      <c r="AC9" s="19"/>
      <c r="AD9" s="19"/>
      <c r="AE9" s="31"/>
      <c r="AF9" s="22"/>
      <c r="AG9" s="22"/>
      <c r="AH9" s="22"/>
      <c r="AI9" s="22"/>
      <c r="AJ9" s="34"/>
      <c r="AL9" s="16"/>
      <c r="AN9" s="16"/>
      <c r="AP9" s="11" t="s">
        <v>5</v>
      </c>
      <c r="AQ9" s="12" t="str">
        <f>VLOOKUP(LOWER(AS4),experiments_specs!$A:$J,6,FALSE)</f>
        <v>False</v>
      </c>
      <c r="AR9" s="15" t="s">
        <v>112</v>
      </c>
      <c r="AS9" s="6"/>
      <c r="AT9" s="19"/>
      <c r="AU9" s="19"/>
      <c r="AV9" s="19"/>
      <c r="AW9" s="19"/>
      <c r="AX9" s="31"/>
      <c r="AY9" s="22"/>
      <c r="AZ9" s="22"/>
      <c r="BA9" s="22"/>
      <c r="BB9" s="22"/>
      <c r="BC9" s="34"/>
      <c r="BE9" s="16"/>
    </row>
    <row r="10" spans="2:57" x14ac:dyDescent="0.2">
      <c r="B10" s="16"/>
      <c r="D10" s="11" t="s">
        <v>6</v>
      </c>
      <c r="E10" s="12" t="str">
        <f>VLOOKUP(LOWER(G4),experiments_specs!$A:$J,7,FALSE)</f>
        <v>False</v>
      </c>
      <c r="F10" s="15" t="s">
        <v>100</v>
      </c>
      <c r="G10" s="6"/>
      <c r="H10" s="19"/>
      <c r="I10" s="19"/>
      <c r="J10" s="19"/>
      <c r="K10" s="19"/>
      <c r="L10" s="31"/>
      <c r="M10" s="23"/>
      <c r="N10" s="23"/>
      <c r="O10" s="23"/>
      <c r="P10" s="23"/>
      <c r="Q10" s="34"/>
      <c r="S10" s="16"/>
      <c r="U10" s="16"/>
      <c r="W10" s="11" t="s">
        <v>6</v>
      </c>
      <c r="X10" s="12" t="str">
        <f>VLOOKUP(LOWER(Z4),experiments_specs!$A:$J,7,FALSE)</f>
        <v>False</v>
      </c>
      <c r="Y10" s="15" t="s">
        <v>106</v>
      </c>
      <c r="Z10" s="6" t="s">
        <v>15</v>
      </c>
      <c r="AA10" s="19"/>
      <c r="AB10" s="19"/>
      <c r="AC10" s="19"/>
      <c r="AD10" s="19"/>
      <c r="AE10" s="31"/>
      <c r="AF10" s="23"/>
      <c r="AG10" s="23"/>
      <c r="AH10" s="23"/>
      <c r="AI10" s="23"/>
      <c r="AJ10" s="34"/>
      <c r="AL10" s="16"/>
      <c r="AN10" s="16"/>
      <c r="AP10" s="11" t="s">
        <v>6</v>
      </c>
      <c r="AQ10" s="12" t="str">
        <f>VLOOKUP(LOWER(AS4),experiments_specs!$A:$J,7,FALSE)</f>
        <v>False</v>
      </c>
      <c r="AR10" s="15" t="s">
        <v>112</v>
      </c>
      <c r="AS10" s="6"/>
      <c r="AT10" s="19"/>
      <c r="AU10" s="19"/>
      <c r="AV10" s="19"/>
      <c r="AW10" s="19"/>
      <c r="AX10" s="31"/>
      <c r="AY10" s="23"/>
      <c r="AZ10" s="23"/>
      <c r="BA10" s="23"/>
      <c r="BB10" s="23"/>
      <c r="BC10" s="34"/>
      <c r="BE10" s="16"/>
    </row>
    <row r="11" spans="2:57" x14ac:dyDescent="0.2">
      <c r="B11" s="16"/>
      <c r="D11" s="11" t="s">
        <v>7</v>
      </c>
      <c r="E11" s="12" t="str">
        <f>VLOOKUP(LOWER(G4),experiments_specs!$A:$J,8,FALSE)</f>
        <v>True</v>
      </c>
      <c r="F11" s="15" t="s">
        <v>100</v>
      </c>
      <c r="G11" s="6"/>
      <c r="H11" s="19"/>
      <c r="I11" s="19"/>
      <c r="J11" s="19"/>
      <c r="K11" s="19"/>
      <c r="L11" s="31"/>
      <c r="M11" s="23"/>
      <c r="N11" s="23"/>
      <c r="O11" s="23"/>
      <c r="P11" s="23"/>
      <c r="Q11" s="34"/>
      <c r="S11" s="16"/>
      <c r="U11" s="16"/>
      <c r="W11" s="11" t="s">
        <v>7</v>
      </c>
      <c r="X11" s="12" t="str">
        <f>VLOOKUP(LOWER(Z4),experiments_specs!$A:$J,8,FALSE)</f>
        <v>True</v>
      </c>
      <c r="Y11" s="15" t="s">
        <v>106</v>
      </c>
      <c r="Z11" s="6" t="s">
        <v>16</v>
      </c>
      <c r="AA11" s="19"/>
      <c r="AB11" s="19"/>
      <c r="AC11" s="19"/>
      <c r="AD11" s="19"/>
      <c r="AE11" s="31"/>
      <c r="AF11" s="23"/>
      <c r="AG11" s="23"/>
      <c r="AH11" s="23"/>
      <c r="AI11" s="23"/>
      <c r="AJ11" s="34"/>
      <c r="AL11" s="16"/>
      <c r="AN11" s="16"/>
      <c r="AP11" s="11" t="s">
        <v>7</v>
      </c>
      <c r="AQ11" s="12" t="str">
        <f>VLOOKUP(LOWER(AS4),experiments_specs!$A:$J,8,FALSE)</f>
        <v>True</v>
      </c>
      <c r="AR11" s="15" t="s">
        <v>112</v>
      </c>
      <c r="AS11" s="6"/>
      <c r="AT11" s="19"/>
      <c r="AU11" s="19"/>
      <c r="AV11" s="19"/>
      <c r="AW11" s="19"/>
      <c r="AX11" s="31"/>
      <c r="AY11" s="23"/>
      <c r="AZ11" s="23"/>
      <c r="BA11" s="23"/>
      <c r="BB11" s="23"/>
      <c r="BC11" s="34"/>
      <c r="BE11" s="16"/>
    </row>
    <row r="12" spans="2:57" x14ac:dyDescent="0.2">
      <c r="B12" s="16"/>
      <c r="D12" s="11" t="s">
        <v>8</v>
      </c>
      <c r="E12" s="12" t="str">
        <f>VLOOKUP(LOWER(G4),experiments_specs!$A:$J,9,FALSE)</f>
        <v>wup_similarity</v>
      </c>
      <c r="F12" s="15" t="s">
        <v>100</v>
      </c>
      <c r="G12" s="6"/>
      <c r="H12" s="19"/>
      <c r="I12" s="19"/>
      <c r="J12" s="19"/>
      <c r="K12" s="19"/>
      <c r="L12" s="31"/>
      <c r="M12" s="22"/>
      <c r="N12" s="22"/>
      <c r="O12" s="22"/>
      <c r="P12" s="22"/>
      <c r="Q12" s="34"/>
      <c r="S12" s="16"/>
      <c r="U12" s="16"/>
      <c r="W12" s="11" t="s">
        <v>8</v>
      </c>
      <c r="X12" s="12" t="str">
        <f>VLOOKUP(LOWER(Z4),experiments_specs!$A:$J,9,FALSE)</f>
        <v>wup_similarity</v>
      </c>
      <c r="Y12" s="15" t="s">
        <v>106</v>
      </c>
      <c r="Z12" s="6" t="s">
        <v>17</v>
      </c>
      <c r="AA12" s="19"/>
      <c r="AB12" s="19"/>
      <c r="AC12" s="19"/>
      <c r="AD12" s="19"/>
      <c r="AE12" s="31"/>
      <c r="AF12" s="22"/>
      <c r="AG12" s="22"/>
      <c r="AH12" s="22"/>
      <c r="AI12" s="22"/>
      <c r="AJ12" s="34"/>
      <c r="AL12" s="16"/>
      <c r="AN12" s="16"/>
      <c r="AP12" s="11" t="s">
        <v>8</v>
      </c>
      <c r="AQ12" s="12" t="str">
        <f>VLOOKUP(LOWER(AS4),experiments_specs!$A:$J,9,FALSE)</f>
        <v>wup_similarity</v>
      </c>
      <c r="AR12" s="15" t="s">
        <v>112</v>
      </c>
      <c r="AS12" s="6"/>
      <c r="AT12" s="19"/>
      <c r="AU12" s="19"/>
      <c r="AV12" s="19"/>
      <c r="AW12" s="19"/>
      <c r="AX12" s="31"/>
      <c r="AY12" s="22"/>
      <c r="AZ12" s="22"/>
      <c r="BA12" s="22"/>
      <c r="BB12" s="22"/>
      <c r="BC12" s="34"/>
      <c r="BE12" s="16"/>
    </row>
    <row r="13" spans="2:57" x14ac:dyDescent="0.2">
      <c r="B13" s="16"/>
      <c r="D13" s="11" t="s">
        <v>9</v>
      </c>
      <c r="E13" s="12" t="str">
        <f>VLOOKUP(LOWER(G4),experiments_specs!$A:$J,10,FALSE)</f>
        <v>False</v>
      </c>
      <c r="F13" s="15" t="s">
        <v>100</v>
      </c>
      <c r="G13" s="7"/>
      <c r="H13" s="20"/>
      <c r="I13" s="20"/>
      <c r="J13" s="20"/>
      <c r="K13" s="20"/>
      <c r="L13" s="32"/>
      <c r="M13" s="24"/>
      <c r="N13" s="24"/>
      <c r="O13" s="24"/>
      <c r="P13" s="24"/>
      <c r="Q13" s="35"/>
      <c r="S13" s="16"/>
      <c r="U13" s="16"/>
      <c r="W13" s="11" t="s">
        <v>9</v>
      </c>
      <c r="X13" s="12" t="str">
        <f>VLOOKUP(LOWER(Z4),experiments_specs!$A:$J,10,FALSE)</f>
        <v>False</v>
      </c>
      <c r="Y13" s="15" t="s">
        <v>106</v>
      </c>
      <c r="Z13" s="7" t="s">
        <v>18</v>
      </c>
      <c r="AA13" s="20"/>
      <c r="AB13" s="20"/>
      <c r="AC13" s="20"/>
      <c r="AD13" s="20"/>
      <c r="AE13" s="32"/>
      <c r="AF13" s="24"/>
      <c r="AG13" s="24"/>
      <c r="AH13" s="24"/>
      <c r="AI13" s="24"/>
      <c r="AJ13" s="35"/>
      <c r="AL13" s="16"/>
      <c r="AN13" s="16"/>
      <c r="AP13" s="11" t="s">
        <v>9</v>
      </c>
      <c r="AQ13" s="12" t="str">
        <f>VLOOKUP(LOWER(AS4),experiments_specs!$A:$J,10,FALSE)</f>
        <v>True</v>
      </c>
      <c r="AR13" s="15" t="s">
        <v>112</v>
      </c>
      <c r="AS13" s="7"/>
      <c r="AT13" s="20"/>
      <c r="AU13" s="20"/>
      <c r="AV13" s="20"/>
      <c r="AW13" s="20"/>
      <c r="AX13" s="32"/>
      <c r="AY13" s="24"/>
      <c r="AZ13" s="24"/>
      <c r="BA13" s="24"/>
      <c r="BB13" s="24"/>
      <c r="BC13" s="35"/>
      <c r="BE13" s="16"/>
    </row>
    <row r="14" spans="2:57" ht="17" thickBot="1" x14ac:dyDescent="0.25">
      <c r="B14" s="16"/>
      <c r="S14" s="16"/>
      <c r="U14" s="16"/>
      <c r="AL14" s="16"/>
      <c r="AN14" s="16"/>
      <c r="BE14" s="16"/>
    </row>
    <row r="15" spans="2:57" ht="20" thickBot="1" x14ac:dyDescent="0.3">
      <c r="B15" s="16"/>
      <c r="D15" s="13" t="s">
        <v>126</v>
      </c>
      <c r="E15" s="14"/>
      <c r="F15" s="9"/>
      <c r="G15" s="10" t="str">
        <f>"TEST_"&amp;TEXT(RIGHT(G4,2)+1, "00")</f>
        <v>TEST_74</v>
      </c>
      <c r="H15" s="36" t="s">
        <v>124</v>
      </c>
      <c r="I15" s="36"/>
      <c r="J15" s="36"/>
      <c r="K15" s="36"/>
      <c r="L15" s="36"/>
      <c r="M15" s="37" t="s">
        <v>123</v>
      </c>
      <c r="N15" s="37"/>
      <c r="O15" s="37"/>
      <c r="P15" s="37"/>
      <c r="Q15" s="37"/>
      <c r="R15" s="2"/>
      <c r="S15" s="16"/>
      <c r="U15" s="16"/>
      <c r="W15" s="13" t="s">
        <v>126</v>
      </c>
      <c r="X15" s="14"/>
      <c r="Y15" s="9"/>
      <c r="Z15" s="10" t="str">
        <f>"TEST_"&amp;TEXT(RIGHT(Z4,2)+1, "00")</f>
        <v>TEST_80</v>
      </c>
      <c r="AA15" s="36" t="s">
        <v>124</v>
      </c>
      <c r="AB15" s="36"/>
      <c r="AC15" s="36"/>
      <c r="AD15" s="36"/>
      <c r="AE15" s="36"/>
      <c r="AF15" s="37" t="s">
        <v>123</v>
      </c>
      <c r="AG15" s="37"/>
      <c r="AH15" s="37"/>
      <c r="AI15" s="37"/>
      <c r="AJ15" s="37"/>
      <c r="AK15" s="2"/>
      <c r="AL15" s="16"/>
      <c r="AN15" s="16"/>
      <c r="AP15" s="13" t="s">
        <v>126</v>
      </c>
      <c r="AQ15" s="14"/>
      <c r="AR15" s="9"/>
      <c r="AS15" s="10" t="str">
        <f>"TEST_"&amp;TEXT(RIGHT(AS4,2)+1, "00")</f>
        <v>TEST_86</v>
      </c>
      <c r="AT15" s="36" t="s">
        <v>124</v>
      </c>
      <c r="AU15" s="36"/>
      <c r="AV15" s="36"/>
      <c r="AW15" s="36"/>
      <c r="AX15" s="36"/>
      <c r="AY15" s="37" t="s">
        <v>123</v>
      </c>
      <c r="AZ15" s="37"/>
      <c r="BA15" s="37"/>
      <c r="BB15" s="37"/>
      <c r="BC15" s="37"/>
      <c r="BD15" s="2"/>
      <c r="BE15" s="16"/>
    </row>
    <row r="16" spans="2:57" x14ac:dyDescent="0.2">
      <c r="B16" s="16"/>
      <c r="D16" s="11" t="s">
        <v>1</v>
      </c>
      <c r="E16" s="12" t="str">
        <f>VLOOKUP(LOWER(G15),experiments_specs!$A:$J,2,FALSE)</f>
        <v>NN,JJ</v>
      </c>
      <c r="F16" s="15" t="str">
        <f>"{"&amp;LOWER(G15)&amp;".csv}"</f>
        <v>{test_74.csv}</v>
      </c>
      <c r="G16" s="8" t="s">
        <v>118</v>
      </c>
      <c r="H16" s="3" t="s">
        <v>119</v>
      </c>
      <c r="I16" s="3" t="s">
        <v>182</v>
      </c>
      <c r="J16" s="3" t="s">
        <v>120</v>
      </c>
      <c r="K16" s="3" t="s">
        <v>182</v>
      </c>
      <c r="L16" s="29" t="s">
        <v>121</v>
      </c>
      <c r="M16" s="4" t="s">
        <v>122</v>
      </c>
      <c r="N16" s="4" t="s">
        <v>182</v>
      </c>
      <c r="O16" s="4" t="s">
        <v>120</v>
      </c>
      <c r="P16" s="4" t="s">
        <v>182</v>
      </c>
      <c r="Q16" s="4" t="s">
        <v>121</v>
      </c>
      <c r="S16" s="16"/>
      <c r="U16" s="16"/>
      <c r="W16" s="11" t="s">
        <v>1</v>
      </c>
      <c r="X16" s="12" t="str">
        <f>VLOOKUP(LOWER(Z15),experiments_specs!$A:$J,2,FALSE)</f>
        <v>NN,JJ</v>
      </c>
      <c r="Y16" s="15" t="str">
        <f>"{"&amp;LOWER(Z15)&amp;".csv}"</f>
        <v>{test_80.csv}</v>
      </c>
      <c r="Z16" s="8" t="s">
        <v>118</v>
      </c>
      <c r="AA16" s="3" t="s">
        <v>119</v>
      </c>
      <c r="AB16" s="3" t="s">
        <v>182</v>
      </c>
      <c r="AC16" s="3" t="s">
        <v>120</v>
      </c>
      <c r="AD16" s="3" t="s">
        <v>182</v>
      </c>
      <c r="AE16" s="3" t="s">
        <v>121</v>
      </c>
      <c r="AF16" s="4" t="s">
        <v>122</v>
      </c>
      <c r="AG16" s="4" t="s">
        <v>182</v>
      </c>
      <c r="AH16" s="4" t="s">
        <v>120</v>
      </c>
      <c r="AI16" s="4" t="s">
        <v>182</v>
      </c>
      <c r="AJ16" s="4" t="s">
        <v>121</v>
      </c>
      <c r="AL16" s="16"/>
      <c r="AN16" s="16"/>
      <c r="AP16" s="11" t="s">
        <v>1</v>
      </c>
      <c r="AQ16" s="12" t="str">
        <f>VLOOKUP(LOWER(AS15),experiments_specs!$A:$J,2,FALSE)</f>
        <v>NN,JJ</v>
      </c>
      <c r="AR16" s="15" t="str">
        <f>"{"&amp;LOWER(AS15)&amp;".csv}"</f>
        <v>{test_86.csv}</v>
      </c>
      <c r="AS16" s="8" t="s">
        <v>118</v>
      </c>
      <c r="AT16" s="3" t="s">
        <v>119</v>
      </c>
      <c r="AU16" s="3" t="s">
        <v>182</v>
      </c>
      <c r="AV16" s="3" t="s">
        <v>120</v>
      </c>
      <c r="AW16" s="3" t="s">
        <v>182</v>
      </c>
      <c r="AX16" s="3" t="s">
        <v>121</v>
      </c>
      <c r="AY16" s="4" t="s">
        <v>122</v>
      </c>
      <c r="AZ16" s="4" t="s">
        <v>182</v>
      </c>
      <c r="BA16" s="4" t="s">
        <v>120</v>
      </c>
      <c r="BB16" s="4" t="s">
        <v>182</v>
      </c>
      <c r="BC16" s="4" t="s">
        <v>121</v>
      </c>
      <c r="BE16" s="16"/>
    </row>
    <row r="17" spans="2:57" x14ac:dyDescent="0.2">
      <c r="B17" s="16"/>
      <c r="D17" s="11" t="s">
        <v>2</v>
      </c>
      <c r="E17" s="12">
        <f>VLOOKUP(LOWER(G15),experiments_specs!$A:$J,3,FALSE)</f>
        <v>1</v>
      </c>
      <c r="F17" s="15" t="s">
        <v>101</v>
      </c>
      <c r="G17" s="5"/>
      <c r="H17" s="17"/>
      <c r="I17" s="17"/>
      <c r="J17" s="17"/>
      <c r="K17" s="17"/>
      <c r="L17" s="30"/>
      <c r="M17" s="21"/>
      <c r="N17" s="21"/>
      <c r="O17" s="21"/>
      <c r="P17" s="21"/>
      <c r="Q17" s="33"/>
      <c r="S17" s="16"/>
      <c r="U17" s="16"/>
      <c r="W17" s="11" t="s">
        <v>2</v>
      </c>
      <c r="X17" s="12">
        <f>VLOOKUP(LOWER(Z15),experiments_specs!$A:$J,3,FALSE)</f>
        <v>1</v>
      </c>
      <c r="Y17" s="15" t="s">
        <v>107</v>
      </c>
      <c r="Z17" s="5" t="s">
        <v>19</v>
      </c>
      <c r="AA17" s="17"/>
      <c r="AB17" s="17"/>
      <c r="AC17" s="17"/>
      <c r="AD17" s="17"/>
      <c r="AE17" s="30"/>
      <c r="AF17" s="21"/>
      <c r="AG17" s="21"/>
      <c r="AH17" s="21"/>
      <c r="AI17" s="21"/>
      <c r="AJ17" s="33"/>
      <c r="AL17" s="16"/>
      <c r="AN17" s="16"/>
      <c r="AP17" s="11" t="s">
        <v>2</v>
      </c>
      <c r="AQ17" s="12">
        <f>VLOOKUP(LOWER(AS15),experiments_specs!$A:$J,3,FALSE)</f>
        <v>1</v>
      </c>
      <c r="AR17" s="15" t="s">
        <v>113</v>
      </c>
      <c r="AS17" s="5"/>
      <c r="AT17" s="17"/>
      <c r="AU17" s="17"/>
      <c r="AV17" s="17"/>
      <c r="AW17" s="17"/>
      <c r="AX17" s="30"/>
      <c r="AY17" s="21"/>
      <c r="AZ17" s="21"/>
      <c r="BA17" s="21"/>
      <c r="BB17" s="21"/>
      <c r="BC17" s="33"/>
      <c r="BE17" s="16"/>
    </row>
    <row r="18" spans="2:57" x14ac:dyDescent="0.2">
      <c r="B18" s="16"/>
      <c r="D18" s="11" t="s">
        <v>3</v>
      </c>
      <c r="E18" s="12">
        <f>VLOOKUP(LOWER(G15),experiments_specs!$A:$J,4,FALSE)</f>
        <v>2</v>
      </c>
      <c r="F18" s="15" t="s">
        <v>101</v>
      </c>
      <c r="G18" s="6"/>
      <c r="H18" s="18"/>
      <c r="I18" s="18"/>
      <c r="J18" s="18"/>
      <c r="K18" s="18"/>
      <c r="L18" s="31"/>
      <c r="M18" s="22"/>
      <c r="N18" s="22"/>
      <c r="O18" s="22"/>
      <c r="P18" s="22"/>
      <c r="Q18" s="34"/>
      <c r="S18" s="16"/>
      <c r="U18" s="16"/>
      <c r="W18" s="11" t="s">
        <v>3</v>
      </c>
      <c r="X18" s="12">
        <f>VLOOKUP(LOWER(Z15),experiments_specs!$A:$J,4,FALSE)</f>
        <v>2</v>
      </c>
      <c r="Y18" s="15" t="s">
        <v>107</v>
      </c>
      <c r="Z18" s="6" t="s">
        <v>12</v>
      </c>
      <c r="AA18" s="18"/>
      <c r="AB18" s="18"/>
      <c r="AC18" s="18"/>
      <c r="AD18" s="18"/>
      <c r="AE18" s="31"/>
      <c r="AF18" s="23"/>
      <c r="AG18" s="23"/>
      <c r="AH18" s="23"/>
      <c r="AI18" s="23"/>
      <c r="AJ18" s="34"/>
      <c r="AL18" s="16"/>
      <c r="AN18" s="16"/>
      <c r="AP18" s="11" t="s">
        <v>3</v>
      </c>
      <c r="AQ18" s="12">
        <f>VLOOKUP(LOWER(AS15),experiments_specs!$A:$J,4,FALSE)</f>
        <v>2</v>
      </c>
      <c r="AR18" s="15" t="s">
        <v>113</v>
      </c>
      <c r="AS18" s="6"/>
      <c r="AT18" s="18"/>
      <c r="AU18" s="18"/>
      <c r="AV18" s="18"/>
      <c r="AW18" s="18"/>
      <c r="AX18" s="31"/>
      <c r="AY18" s="23"/>
      <c r="AZ18" s="23"/>
      <c r="BA18" s="23"/>
      <c r="BB18" s="23"/>
      <c r="BC18" s="34"/>
      <c r="BE18" s="16"/>
    </row>
    <row r="19" spans="2:57" x14ac:dyDescent="0.2">
      <c r="B19" s="16"/>
      <c r="D19" s="11" t="s">
        <v>4</v>
      </c>
      <c r="E19" s="12" t="str">
        <f>VLOOKUP(LOWER(G15),experiments_specs!$A:$J,5,FALSE)</f>
        <v>False</v>
      </c>
      <c r="F19" s="15" t="s">
        <v>101</v>
      </c>
      <c r="G19" s="6"/>
      <c r="H19" s="19"/>
      <c r="I19" s="19"/>
      <c r="J19" s="19"/>
      <c r="K19" s="19"/>
      <c r="L19" s="31"/>
      <c r="M19" s="22"/>
      <c r="N19" s="22"/>
      <c r="O19" s="22"/>
      <c r="P19" s="22"/>
      <c r="Q19" s="34"/>
      <c r="S19" s="16"/>
      <c r="U19" s="16"/>
      <c r="W19" s="11" t="s">
        <v>4</v>
      </c>
      <c r="X19" s="12" t="str">
        <f>VLOOKUP(LOWER(Z15),experiments_specs!$A:$J,5,FALSE)</f>
        <v>True</v>
      </c>
      <c r="Y19" s="15" t="s">
        <v>107</v>
      </c>
      <c r="Z19" s="6" t="s">
        <v>13</v>
      </c>
      <c r="AA19" s="19"/>
      <c r="AB19" s="19"/>
      <c r="AC19" s="19"/>
      <c r="AD19" s="19"/>
      <c r="AE19" s="31"/>
      <c r="AF19" s="22"/>
      <c r="AG19" s="22"/>
      <c r="AH19" s="22"/>
      <c r="AI19" s="22"/>
      <c r="AJ19" s="34"/>
      <c r="AL19" s="16"/>
      <c r="AN19" s="16"/>
      <c r="AP19" s="11" t="s">
        <v>4</v>
      </c>
      <c r="AQ19" s="12" t="str">
        <f>VLOOKUP(LOWER(AS15),experiments_specs!$A:$J,5,FALSE)</f>
        <v>True</v>
      </c>
      <c r="AR19" s="15" t="s">
        <v>113</v>
      </c>
      <c r="AS19" s="6"/>
      <c r="AT19" s="19"/>
      <c r="AU19" s="19"/>
      <c r="AV19" s="19"/>
      <c r="AW19" s="19"/>
      <c r="AX19" s="31"/>
      <c r="AY19" s="22"/>
      <c r="AZ19" s="22"/>
      <c r="BA19" s="22"/>
      <c r="BB19" s="22"/>
      <c r="BC19" s="34"/>
      <c r="BE19" s="16"/>
    </row>
    <row r="20" spans="2:57" x14ac:dyDescent="0.2">
      <c r="B20" s="16"/>
      <c r="D20" s="11" t="s">
        <v>5</v>
      </c>
      <c r="E20" s="12" t="str">
        <f>VLOOKUP(LOWER(G15),experiments_specs!$A:$J,6,FALSE)</f>
        <v>False</v>
      </c>
      <c r="F20" s="15" t="s">
        <v>101</v>
      </c>
      <c r="G20" s="6"/>
      <c r="H20" s="19"/>
      <c r="I20" s="19"/>
      <c r="J20" s="19"/>
      <c r="K20" s="19"/>
      <c r="L20" s="31"/>
      <c r="M20" s="22"/>
      <c r="N20" s="22"/>
      <c r="O20" s="22"/>
      <c r="P20" s="22"/>
      <c r="Q20" s="34"/>
      <c r="S20" s="16"/>
      <c r="U20" s="16"/>
      <c r="W20" s="11" t="s">
        <v>5</v>
      </c>
      <c r="X20" s="12" t="str">
        <f>VLOOKUP(LOWER(Z15),experiments_specs!$A:$J,6,FALSE)</f>
        <v>False</v>
      </c>
      <c r="Y20" s="15" t="s">
        <v>107</v>
      </c>
      <c r="Z20" s="6" t="s">
        <v>14</v>
      </c>
      <c r="AA20" s="18"/>
      <c r="AB20" s="18"/>
      <c r="AC20" s="18"/>
      <c r="AD20" s="18"/>
      <c r="AE20" s="31"/>
      <c r="AF20" s="23"/>
      <c r="AG20" s="23"/>
      <c r="AH20" s="23"/>
      <c r="AI20" s="23"/>
      <c r="AJ20" s="34"/>
      <c r="AL20" s="16"/>
      <c r="AN20" s="16"/>
      <c r="AP20" s="11" t="s">
        <v>5</v>
      </c>
      <c r="AQ20" s="12" t="str">
        <f>VLOOKUP(LOWER(AS15),experiments_specs!$A:$J,6,FALSE)</f>
        <v>False</v>
      </c>
      <c r="AR20" s="15" t="s">
        <v>113</v>
      </c>
      <c r="AS20" s="6"/>
      <c r="AT20" s="18"/>
      <c r="AU20" s="18"/>
      <c r="AV20" s="18"/>
      <c r="AW20" s="18"/>
      <c r="AX20" s="31"/>
      <c r="AY20" s="23"/>
      <c r="AZ20" s="23"/>
      <c r="BA20" s="23"/>
      <c r="BB20" s="23"/>
      <c r="BC20" s="34"/>
      <c r="BE20" s="16"/>
    </row>
    <row r="21" spans="2:57" x14ac:dyDescent="0.2">
      <c r="B21" s="16"/>
      <c r="D21" s="11" t="s">
        <v>6</v>
      </c>
      <c r="E21" s="12" t="str">
        <f>VLOOKUP(LOWER(G15),experiments_specs!$A:$J,7,FALSE)</f>
        <v>False</v>
      </c>
      <c r="F21" s="15" t="s">
        <v>101</v>
      </c>
      <c r="G21" s="6"/>
      <c r="H21" s="19"/>
      <c r="I21" s="19"/>
      <c r="J21" s="19"/>
      <c r="K21" s="19"/>
      <c r="L21" s="31"/>
      <c r="M21" s="23"/>
      <c r="N21" s="23"/>
      <c r="O21" s="23"/>
      <c r="P21" s="23"/>
      <c r="Q21" s="34"/>
      <c r="S21" s="16"/>
      <c r="U21" s="16"/>
      <c r="W21" s="11" t="s">
        <v>6</v>
      </c>
      <c r="X21" s="12" t="str">
        <f>VLOOKUP(LOWER(Z15),experiments_specs!$A:$J,7,FALSE)</f>
        <v>False</v>
      </c>
      <c r="Y21" s="15" t="s">
        <v>107</v>
      </c>
      <c r="Z21" s="6" t="s">
        <v>15</v>
      </c>
      <c r="AA21" s="19"/>
      <c r="AB21" s="19"/>
      <c r="AC21" s="19"/>
      <c r="AD21" s="19"/>
      <c r="AE21" s="31"/>
      <c r="AF21" s="23"/>
      <c r="AG21" s="23"/>
      <c r="AH21" s="23"/>
      <c r="AI21" s="23"/>
      <c r="AJ21" s="34"/>
      <c r="AL21" s="16"/>
      <c r="AN21" s="16"/>
      <c r="AP21" s="11" t="s">
        <v>6</v>
      </c>
      <c r="AQ21" s="12" t="str">
        <f>VLOOKUP(LOWER(AS15),experiments_specs!$A:$J,7,FALSE)</f>
        <v>False</v>
      </c>
      <c r="AR21" s="15" t="s">
        <v>113</v>
      </c>
      <c r="AS21" s="6"/>
      <c r="AT21" s="19"/>
      <c r="AU21" s="19"/>
      <c r="AV21" s="19"/>
      <c r="AW21" s="19"/>
      <c r="AX21" s="31"/>
      <c r="AY21" s="23"/>
      <c r="AZ21" s="23"/>
      <c r="BA21" s="23"/>
      <c r="BB21" s="23"/>
      <c r="BC21" s="34"/>
      <c r="BE21" s="16"/>
    </row>
    <row r="22" spans="2:57" x14ac:dyDescent="0.2">
      <c r="B22" s="16"/>
      <c r="D22" s="11" t="s">
        <v>7</v>
      </c>
      <c r="E22" s="12" t="str">
        <f>VLOOKUP(LOWER(G15),experiments_specs!$A:$J,8,FALSE)</f>
        <v>True</v>
      </c>
      <c r="F22" s="15" t="s">
        <v>101</v>
      </c>
      <c r="G22" s="6"/>
      <c r="H22" s="19"/>
      <c r="I22" s="19"/>
      <c r="J22" s="19"/>
      <c r="K22" s="19"/>
      <c r="L22" s="31"/>
      <c r="M22" s="23"/>
      <c r="N22" s="23"/>
      <c r="O22" s="23"/>
      <c r="P22" s="23"/>
      <c r="Q22" s="34"/>
      <c r="S22" s="16"/>
      <c r="U22" s="16"/>
      <c r="W22" s="11" t="s">
        <v>7</v>
      </c>
      <c r="X22" s="12" t="str">
        <f>VLOOKUP(LOWER(Z15),experiments_specs!$A:$J,8,FALSE)</f>
        <v>True</v>
      </c>
      <c r="Y22" s="15" t="s">
        <v>107</v>
      </c>
      <c r="Z22" s="6" t="s">
        <v>16</v>
      </c>
      <c r="AA22" s="19"/>
      <c r="AB22" s="19"/>
      <c r="AC22" s="19"/>
      <c r="AD22" s="19"/>
      <c r="AE22" s="31"/>
      <c r="AF22" s="23"/>
      <c r="AG22" s="23"/>
      <c r="AH22" s="23"/>
      <c r="AI22" s="23"/>
      <c r="AJ22" s="34"/>
      <c r="AL22" s="16"/>
      <c r="AN22" s="16"/>
      <c r="AP22" s="11" t="s">
        <v>7</v>
      </c>
      <c r="AQ22" s="12" t="str">
        <f>VLOOKUP(LOWER(AS15),experiments_specs!$A:$J,8,FALSE)</f>
        <v>True</v>
      </c>
      <c r="AR22" s="15" t="s">
        <v>113</v>
      </c>
      <c r="AS22" s="6"/>
      <c r="AT22" s="19"/>
      <c r="AU22" s="19"/>
      <c r="AV22" s="19"/>
      <c r="AW22" s="19"/>
      <c r="AX22" s="31"/>
      <c r="AY22" s="23"/>
      <c r="AZ22" s="23"/>
      <c r="BA22" s="23"/>
      <c r="BB22" s="23"/>
      <c r="BC22" s="34"/>
      <c r="BE22" s="16"/>
    </row>
    <row r="23" spans="2:57" x14ac:dyDescent="0.2">
      <c r="B23" s="16"/>
      <c r="D23" s="11" t="s">
        <v>8</v>
      </c>
      <c r="E23" s="12" t="str">
        <f>VLOOKUP(LOWER(G15),experiments_specs!$A:$J,9,FALSE)</f>
        <v>wup_similarity</v>
      </c>
      <c r="F23" s="15" t="s">
        <v>101</v>
      </c>
      <c r="G23" s="6"/>
      <c r="H23" s="19"/>
      <c r="I23" s="19"/>
      <c r="J23" s="19"/>
      <c r="K23" s="19"/>
      <c r="L23" s="31"/>
      <c r="M23" s="22"/>
      <c r="N23" s="22"/>
      <c r="O23" s="22"/>
      <c r="P23" s="22"/>
      <c r="Q23" s="34"/>
      <c r="S23" s="16"/>
      <c r="U23" s="16"/>
      <c r="W23" s="11" t="s">
        <v>8</v>
      </c>
      <c r="X23" s="12" t="str">
        <f>VLOOKUP(LOWER(Z15),experiments_specs!$A:$J,9,FALSE)</f>
        <v>wup_similarity</v>
      </c>
      <c r="Y23" s="15" t="s">
        <v>107</v>
      </c>
      <c r="Z23" s="6" t="s">
        <v>17</v>
      </c>
      <c r="AA23" s="18"/>
      <c r="AB23" s="18"/>
      <c r="AC23" s="18"/>
      <c r="AD23" s="18"/>
      <c r="AE23" s="31"/>
      <c r="AF23" s="23"/>
      <c r="AG23" s="23"/>
      <c r="AH23" s="23"/>
      <c r="AI23" s="23"/>
      <c r="AJ23" s="34"/>
      <c r="AL23" s="16"/>
      <c r="AN23" s="16"/>
      <c r="AP23" s="11" t="s">
        <v>8</v>
      </c>
      <c r="AQ23" s="12" t="str">
        <f>VLOOKUP(LOWER(AS15),experiments_specs!$A:$J,9,FALSE)</f>
        <v>wup_similarity</v>
      </c>
      <c r="AR23" s="15" t="s">
        <v>113</v>
      </c>
      <c r="AS23" s="6"/>
      <c r="AT23" s="18"/>
      <c r="AU23" s="18"/>
      <c r="AV23" s="18"/>
      <c r="AW23" s="18"/>
      <c r="AX23" s="31"/>
      <c r="AY23" s="23"/>
      <c r="AZ23" s="23"/>
      <c r="BA23" s="23"/>
      <c r="BB23" s="23"/>
      <c r="BC23" s="34"/>
      <c r="BE23" s="16"/>
    </row>
    <row r="24" spans="2:57" x14ac:dyDescent="0.2">
      <c r="B24" s="16"/>
      <c r="D24" s="11" t="s">
        <v>9</v>
      </c>
      <c r="E24" s="12" t="str">
        <f>VLOOKUP(LOWER(G15),experiments_specs!$A:$J,10,FALSE)</f>
        <v>False</v>
      </c>
      <c r="F24" s="15" t="s">
        <v>101</v>
      </c>
      <c r="G24" s="7"/>
      <c r="H24" s="20"/>
      <c r="I24" s="20"/>
      <c r="J24" s="20"/>
      <c r="K24" s="20"/>
      <c r="L24" s="32"/>
      <c r="M24" s="24"/>
      <c r="N24" s="24"/>
      <c r="O24" s="24"/>
      <c r="P24" s="24"/>
      <c r="Q24" s="35"/>
      <c r="S24" s="16"/>
      <c r="U24" s="16"/>
      <c r="W24" s="11" t="s">
        <v>9</v>
      </c>
      <c r="X24" s="12" t="str">
        <f>VLOOKUP(LOWER(Z15),experiments_specs!$A:$J,10,FALSE)</f>
        <v>False</v>
      </c>
      <c r="Y24" s="15" t="s">
        <v>107</v>
      </c>
      <c r="Z24" s="7" t="s">
        <v>18</v>
      </c>
      <c r="AA24" s="20"/>
      <c r="AB24" s="20"/>
      <c r="AC24" s="20"/>
      <c r="AD24" s="20"/>
      <c r="AE24" s="32"/>
      <c r="AF24" s="24"/>
      <c r="AG24" s="24"/>
      <c r="AH24" s="24"/>
      <c r="AI24" s="24"/>
      <c r="AJ24" s="35"/>
      <c r="AL24" s="16"/>
      <c r="AN24" s="16"/>
      <c r="AP24" s="11" t="s">
        <v>9</v>
      </c>
      <c r="AQ24" s="12" t="str">
        <f>VLOOKUP(LOWER(AS15),experiments_specs!$A:$J,10,FALSE)</f>
        <v>True</v>
      </c>
      <c r="AR24" s="15" t="s">
        <v>113</v>
      </c>
      <c r="AS24" s="7"/>
      <c r="AT24" s="20"/>
      <c r="AU24" s="20"/>
      <c r="AV24" s="20"/>
      <c r="AW24" s="20"/>
      <c r="AX24" s="32"/>
      <c r="AY24" s="24"/>
      <c r="AZ24" s="24"/>
      <c r="BA24" s="24"/>
      <c r="BB24" s="24"/>
      <c r="BC24" s="35"/>
      <c r="BE24" s="16"/>
    </row>
    <row r="25" spans="2:57" ht="17" thickBot="1" x14ac:dyDescent="0.25">
      <c r="B25" s="16"/>
      <c r="S25" s="16"/>
      <c r="U25" s="16"/>
      <c r="AL25" s="16"/>
      <c r="AN25" s="16"/>
      <c r="BE25" s="16"/>
    </row>
    <row r="26" spans="2:57" ht="20" thickBot="1" x14ac:dyDescent="0.3">
      <c r="B26" s="16"/>
      <c r="D26" s="13" t="s">
        <v>126</v>
      </c>
      <c r="E26" s="14"/>
      <c r="F26" s="9"/>
      <c r="G26" s="10" t="str">
        <f>"TEST_"&amp;TEXT(RIGHT(G15,2)+1, "00")</f>
        <v>TEST_75</v>
      </c>
      <c r="H26" s="36" t="s">
        <v>124</v>
      </c>
      <c r="I26" s="36"/>
      <c r="J26" s="36"/>
      <c r="K26" s="36"/>
      <c r="L26" s="36"/>
      <c r="M26" s="37" t="s">
        <v>123</v>
      </c>
      <c r="N26" s="37"/>
      <c r="O26" s="37"/>
      <c r="P26" s="37"/>
      <c r="Q26" s="37"/>
      <c r="R26" s="2"/>
      <c r="S26" s="16"/>
      <c r="U26" s="16"/>
      <c r="W26" s="13" t="s">
        <v>126</v>
      </c>
      <c r="X26" s="14"/>
      <c r="Y26" s="9"/>
      <c r="Z26" s="10" t="str">
        <f>"TEST_"&amp;TEXT(RIGHT(Z15,2)+1, "00")</f>
        <v>TEST_81</v>
      </c>
      <c r="AA26" s="36" t="s">
        <v>124</v>
      </c>
      <c r="AB26" s="36"/>
      <c r="AC26" s="36"/>
      <c r="AD26" s="36"/>
      <c r="AE26" s="36"/>
      <c r="AF26" s="37" t="s">
        <v>123</v>
      </c>
      <c r="AG26" s="37"/>
      <c r="AH26" s="37"/>
      <c r="AI26" s="37"/>
      <c r="AJ26" s="37"/>
      <c r="AK26" s="2"/>
      <c r="AL26" s="16"/>
      <c r="AN26" s="16"/>
      <c r="AP26" s="13" t="s">
        <v>126</v>
      </c>
      <c r="AQ26" s="14"/>
      <c r="AR26" s="9"/>
      <c r="AS26" s="10" t="str">
        <f>"TEST_"&amp;TEXT(RIGHT(AS15,2)+1, "00")</f>
        <v>TEST_87</v>
      </c>
      <c r="AT26" s="36" t="s">
        <v>124</v>
      </c>
      <c r="AU26" s="36"/>
      <c r="AV26" s="36"/>
      <c r="AW26" s="36"/>
      <c r="AX26" s="36"/>
      <c r="AY26" s="37" t="s">
        <v>123</v>
      </c>
      <c r="AZ26" s="37"/>
      <c r="BA26" s="37"/>
      <c r="BB26" s="37"/>
      <c r="BC26" s="37"/>
      <c r="BD26" s="2"/>
      <c r="BE26" s="16"/>
    </row>
    <row r="27" spans="2:57" x14ac:dyDescent="0.2">
      <c r="B27" s="16"/>
      <c r="D27" s="11" t="s">
        <v>1</v>
      </c>
      <c r="E27" s="12" t="str">
        <f>VLOOKUP(LOWER(G26),experiments_specs!$A:$J,2,FALSE)</f>
        <v>NN,VB</v>
      </c>
      <c r="F27" s="15" t="str">
        <f>"{"&amp;LOWER(G26)&amp;".csv}"</f>
        <v>{test_75.csv}</v>
      </c>
      <c r="G27" s="8" t="s">
        <v>118</v>
      </c>
      <c r="H27" s="3" t="s">
        <v>119</v>
      </c>
      <c r="I27" s="3" t="s">
        <v>182</v>
      </c>
      <c r="J27" s="3" t="s">
        <v>120</v>
      </c>
      <c r="K27" s="3" t="s">
        <v>182</v>
      </c>
      <c r="L27" s="3" t="s">
        <v>121</v>
      </c>
      <c r="M27" s="4" t="s">
        <v>122</v>
      </c>
      <c r="N27" s="4" t="s">
        <v>182</v>
      </c>
      <c r="O27" s="4" t="s">
        <v>120</v>
      </c>
      <c r="P27" s="4" t="s">
        <v>182</v>
      </c>
      <c r="Q27" s="4" t="s">
        <v>121</v>
      </c>
      <c r="S27" s="16"/>
      <c r="U27" s="16"/>
      <c r="W27" s="11" t="s">
        <v>1</v>
      </c>
      <c r="X27" s="12" t="str">
        <f>VLOOKUP(LOWER(Z26),experiments_specs!$A:$J,2,FALSE)</f>
        <v>NN,VB</v>
      </c>
      <c r="Y27" s="15" t="str">
        <f>"{"&amp;LOWER(Z26)&amp;".csv}"</f>
        <v>{test_81.csv}</v>
      </c>
      <c r="Z27" s="8" t="s">
        <v>118</v>
      </c>
      <c r="AA27" s="3" t="s">
        <v>119</v>
      </c>
      <c r="AB27" s="3" t="s">
        <v>182</v>
      </c>
      <c r="AC27" s="3" t="s">
        <v>120</v>
      </c>
      <c r="AD27" s="3" t="s">
        <v>182</v>
      </c>
      <c r="AE27" s="3" t="s">
        <v>121</v>
      </c>
      <c r="AF27" s="4" t="s">
        <v>122</v>
      </c>
      <c r="AG27" s="4" t="s">
        <v>182</v>
      </c>
      <c r="AH27" s="4" t="s">
        <v>120</v>
      </c>
      <c r="AI27" s="4" t="s">
        <v>182</v>
      </c>
      <c r="AJ27" s="4" t="s">
        <v>121</v>
      </c>
      <c r="AL27" s="16"/>
      <c r="AN27" s="16"/>
      <c r="AP27" s="11" t="s">
        <v>1</v>
      </c>
      <c r="AQ27" s="12" t="str">
        <f>VLOOKUP(LOWER(AS26),experiments_specs!$A:$J,2,FALSE)</f>
        <v>NN,VB</v>
      </c>
      <c r="AR27" s="15" t="str">
        <f>"{"&amp;LOWER(AS26)&amp;".csv}"</f>
        <v>{test_87.csv}</v>
      </c>
      <c r="AS27" s="8" t="s">
        <v>118</v>
      </c>
      <c r="AT27" s="3" t="s">
        <v>119</v>
      </c>
      <c r="AU27" s="3" t="s">
        <v>182</v>
      </c>
      <c r="AV27" s="3" t="s">
        <v>120</v>
      </c>
      <c r="AW27" s="3" t="s">
        <v>182</v>
      </c>
      <c r="AX27" s="3" t="s">
        <v>121</v>
      </c>
      <c r="AY27" s="4" t="s">
        <v>122</v>
      </c>
      <c r="AZ27" s="4" t="s">
        <v>182</v>
      </c>
      <c r="BA27" s="4" t="s">
        <v>120</v>
      </c>
      <c r="BB27" s="4" t="s">
        <v>182</v>
      </c>
      <c r="BC27" s="4" t="s">
        <v>121</v>
      </c>
      <c r="BE27" s="16"/>
    </row>
    <row r="28" spans="2:57" x14ac:dyDescent="0.2">
      <c r="B28" s="16"/>
      <c r="D28" s="11" t="s">
        <v>2</v>
      </c>
      <c r="E28" s="12">
        <f>VLOOKUP(LOWER(G26),experiments_specs!$A:$J,3,FALSE)</f>
        <v>1</v>
      </c>
      <c r="F28" s="15" t="s">
        <v>102</v>
      </c>
      <c r="G28" s="5"/>
      <c r="H28" s="17"/>
      <c r="I28" s="17"/>
      <c r="J28" s="17"/>
      <c r="K28" s="17"/>
      <c r="L28" s="30"/>
      <c r="M28" s="21"/>
      <c r="N28" s="21"/>
      <c r="O28" s="21"/>
      <c r="P28" s="21"/>
      <c r="Q28" s="33"/>
      <c r="S28" s="16"/>
      <c r="U28" s="16"/>
      <c r="W28" s="11" t="s">
        <v>2</v>
      </c>
      <c r="X28" s="12">
        <f>VLOOKUP(LOWER(Z26),experiments_specs!$A:$J,3,FALSE)</f>
        <v>1</v>
      </c>
      <c r="Y28" s="15" t="s">
        <v>108</v>
      </c>
      <c r="Z28" s="5" t="s">
        <v>19</v>
      </c>
      <c r="AA28" s="17"/>
      <c r="AB28" s="17"/>
      <c r="AC28" s="17"/>
      <c r="AD28" s="17"/>
      <c r="AE28" s="30"/>
      <c r="AF28" s="21"/>
      <c r="AG28" s="21"/>
      <c r="AH28" s="21"/>
      <c r="AI28" s="21"/>
      <c r="AJ28" s="33"/>
      <c r="AL28" s="16"/>
      <c r="AN28" s="16"/>
      <c r="AP28" s="11" t="s">
        <v>2</v>
      </c>
      <c r="AQ28" s="12">
        <f>VLOOKUP(LOWER(AS26),experiments_specs!$A:$J,3,FALSE)</f>
        <v>1</v>
      </c>
      <c r="AR28" s="15" t="s">
        <v>114</v>
      </c>
      <c r="AS28" s="5"/>
      <c r="AT28" s="17"/>
      <c r="AU28" s="17"/>
      <c r="AV28" s="17"/>
      <c r="AW28" s="17"/>
      <c r="AX28" s="30"/>
      <c r="AY28" s="21"/>
      <c r="AZ28" s="21"/>
      <c r="BA28" s="21"/>
      <c r="BB28" s="21"/>
      <c r="BC28" s="33"/>
      <c r="BE28" s="16"/>
    </row>
    <row r="29" spans="2:57" x14ac:dyDescent="0.2">
      <c r="B29" s="16"/>
      <c r="D29" s="11" t="s">
        <v>3</v>
      </c>
      <c r="E29" s="12">
        <f>VLOOKUP(LOWER(G26),experiments_specs!$A:$J,4,FALSE)</f>
        <v>2</v>
      </c>
      <c r="F29" s="15" t="s">
        <v>102</v>
      </c>
      <c r="G29" s="6"/>
      <c r="H29" s="18"/>
      <c r="I29" s="18"/>
      <c r="J29" s="18"/>
      <c r="K29" s="18"/>
      <c r="L29" s="31"/>
      <c r="M29" s="22"/>
      <c r="N29" s="22"/>
      <c r="O29" s="22"/>
      <c r="P29" s="22"/>
      <c r="Q29" s="34"/>
      <c r="S29" s="16"/>
      <c r="U29" s="16"/>
      <c r="W29" s="11" t="s">
        <v>3</v>
      </c>
      <c r="X29" s="12">
        <f>VLOOKUP(LOWER(Z26),experiments_specs!$A:$J,4,FALSE)</f>
        <v>2</v>
      </c>
      <c r="Y29" s="15" t="s">
        <v>108</v>
      </c>
      <c r="Z29" s="6" t="s">
        <v>12</v>
      </c>
      <c r="AA29" s="18"/>
      <c r="AB29" s="18"/>
      <c r="AC29" s="18"/>
      <c r="AD29" s="18"/>
      <c r="AE29" s="31"/>
      <c r="AF29" s="23"/>
      <c r="AG29" s="23"/>
      <c r="AH29" s="23"/>
      <c r="AI29" s="23"/>
      <c r="AJ29" s="34"/>
      <c r="AL29" s="16"/>
      <c r="AN29" s="16"/>
      <c r="AP29" s="11" t="s">
        <v>3</v>
      </c>
      <c r="AQ29" s="12">
        <f>VLOOKUP(LOWER(AS26),experiments_specs!$A:$J,4,FALSE)</f>
        <v>2</v>
      </c>
      <c r="AR29" s="15" t="s">
        <v>114</v>
      </c>
      <c r="AS29" s="6"/>
      <c r="AT29" s="18"/>
      <c r="AU29" s="18"/>
      <c r="AV29" s="18"/>
      <c r="AW29" s="18"/>
      <c r="AX29" s="31"/>
      <c r="AY29" s="23"/>
      <c r="AZ29" s="23"/>
      <c r="BA29" s="23"/>
      <c r="BB29" s="23"/>
      <c r="BC29" s="34"/>
      <c r="BE29" s="16"/>
    </row>
    <row r="30" spans="2:57" x14ac:dyDescent="0.2">
      <c r="B30" s="16"/>
      <c r="D30" s="11" t="s">
        <v>4</v>
      </c>
      <c r="E30" s="12" t="str">
        <f>VLOOKUP(LOWER(G26),experiments_specs!$A:$J,5,FALSE)</f>
        <v>False</v>
      </c>
      <c r="F30" s="15" t="s">
        <v>102</v>
      </c>
      <c r="G30" s="6"/>
      <c r="H30" s="19"/>
      <c r="I30" s="19"/>
      <c r="J30" s="19"/>
      <c r="K30" s="19"/>
      <c r="L30" s="31"/>
      <c r="M30" s="22"/>
      <c r="N30" s="22"/>
      <c r="O30" s="22"/>
      <c r="P30" s="22"/>
      <c r="Q30" s="34"/>
      <c r="S30" s="16"/>
      <c r="U30" s="16"/>
      <c r="W30" s="11" t="s">
        <v>4</v>
      </c>
      <c r="X30" s="12" t="str">
        <f>VLOOKUP(LOWER(Z26),experiments_specs!$A:$J,5,FALSE)</f>
        <v>True</v>
      </c>
      <c r="Y30" s="15" t="s">
        <v>108</v>
      </c>
      <c r="Z30" s="6" t="s">
        <v>13</v>
      </c>
      <c r="AA30" s="19"/>
      <c r="AB30" s="19"/>
      <c r="AC30" s="19"/>
      <c r="AD30" s="19"/>
      <c r="AE30" s="31"/>
      <c r="AF30" s="22"/>
      <c r="AG30" s="22"/>
      <c r="AH30" s="22"/>
      <c r="AI30" s="22"/>
      <c r="AJ30" s="34"/>
      <c r="AL30" s="16"/>
      <c r="AN30" s="16"/>
      <c r="AP30" s="11" t="s">
        <v>4</v>
      </c>
      <c r="AQ30" s="12" t="str">
        <f>VLOOKUP(LOWER(AS26),experiments_specs!$A:$J,5,FALSE)</f>
        <v>True</v>
      </c>
      <c r="AR30" s="15" t="s">
        <v>114</v>
      </c>
      <c r="AS30" s="6"/>
      <c r="AT30" s="19"/>
      <c r="AU30" s="19"/>
      <c r="AV30" s="19"/>
      <c r="AW30" s="19"/>
      <c r="AX30" s="31"/>
      <c r="AY30" s="22"/>
      <c r="AZ30" s="22"/>
      <c r="BA30" s="22"/>
      <c r="BB30" s="22"/>
      <c r="BC30" s="34"/>
      <c r="BE30" s="16"/>
    </row>
    <row r="31" spans="2:57" x14ac:dyDescent="0.2">
      <c r="B31" s="16"/>
      <c r="D31" s="11" t="s">
        <v>5</v>
      </c>
      <c r="E31" s="12" t="str">
        <f>VLOOKUP(LOWER(G26),experiments_specs!$A:$J,6,FALSE)</f>
        <v>False</v>
      </c>
      <c r="F31" s="15" t="s">
        <v>102</v>
      </c>
      <c r="G31" s="6"/>
      <c r="H31" s="19"/>
      <c r="I31" s="19"/>
      <c r="J31" s="19"/>
      <c r="K31" s="19"/>
      <c r="L31" s="31"/>
      <c r="M31" s="22"/>
      <c r="N31" s="22"/>
      <c r="O31" s="22"/>
      <c r="P31" s="22"/>
      <c r="Q31" s="34"/>
      <c r="S31" s="16"/>
      <c r="U31" s="16"/>
      <c r="W31" s="11" t="s">
        <v>5</v>
      </c>
      <c r="X31" s="12" t="str">
        <f>VLOOKUP(LOWER(Z26),experiments_specs!$A:$J,6,FALSE)</f>
        <v>False</v>
      </c>
      <c r="Y31" s="15" t="s">
        <v>108</v>
      </c>
      <c r="Z31" s="6" t="s">
        <v>14</v>
      </c>
      <c r="AA31" s="18"/>
      <c r="AB31" s="18"/>
      <c r="AC31" s="18"/>
      <c r="AD31" s="18"/>
      <c r="AE31" s="31"/>
      <c r="AF31" s="23"/>
      <c r="AG31" s="23"/>
      <c r="AH31" s="23"/>
      <c r="AI31" s="23"/>
      <c r="AJ31" s="34"/>
      <c r="AL31" s="16"/>
      <c r="AN31" s="16"/>
      <c r="AP31" s="11" t="s">
        <v>5</v>
      </c>
      <c r="AQ31" s="12" t="str">
        <f>VLOOKUP(LOWER(AS26),experiments_specs!$A:$J,6,FALSE)</f>
        <v>False</v>
      </c>
      <c r="AR31" s="15" t="s">
        <v>114</v>
      </c>
      <c r="AS31" s="6"/>
      <c r="AT31" s="18"/>
      <c r="AU31" s="18"/>
      <c r="AV31" s="18"/>
      <c r="AW31" s="18"/>
      <c r="AX31" s="31"/>
      <c r="AY31" s="23"/>
      <c r="AZ31" s="23"/>
      <c r="BA31" s="23"/>
      <c r="BB31" s="23"/>
      <c r="BC31" s="34"/>
      <c r="BE31" s="16"/>
    </row>
    <row r="32" spans="2:57" x14ac:dyDescent="0.2">
      <c r="B32" s="16"/>
      <c r="D32" s="11" t="s">
        <v>6</v>
      </c>
      <c r="E32" s="12" t="str">
        <f>VLOOKUP(LOWER(G26),experiments_specs!$A:$J,7,FALSE)</f>
        <v>False</v>
      </c>
      <c r="F32" s="15" t="s">
        <v>102</v>
      </c>
      <c r="G32" s="6"/>
      <c r="H32" s="19"/>
      <c r="I32" s="19"/>
      <c r="J32" s="19"/>
      <c r="K32" s="19"/>
      <c r="L32" s="31"/>
      <c r="M32" s="23"/>
      <c r="N32" s="23"/>
      <c r="O32" s="23"/>
      <c r="P32" s="23"/>
      <c r="Q32" s="34"/>
      <c r="S32" s="16"/>
      <c r="U32" s="16"/>
      <c r="W32" s="11" t="s">
        <v>6</v>
      </c>
      <c r="X32" s="12" t="str">
        <f>VLOOKUP(LOWER(Z26),experiments_specs!$A:$J,7,FALSE)</f>
        <v>False</v>
      </c>
      <c r="Y32" s="15" t="s">
        <v>108</v>
      </c>
      <c r="Z32" s="6" t="s">
        <v>15</v>
      </c>
      <c r="AA32" s="19"/>
      <c r="AB32" s="19"/>
      <c r="AC32" s="19"/>
      <c r="AD32" s="19"/>
      <c r="AE32" s="31"/>
      <c r="AF32" s="23"/>
      <c r="AG32" s="23"/>
      <c r="AH32" s="23"/>
      <c r="AI32" s="23"/>
      <c r="AJ32" s="34"/>
      <c r="AL32" s="16"/>
      <c r="AN32" s="16"/>
      <c r="AP32" s="11" t="s">
        <v>6</v>
      </c>
      <c r="AQ32" s="12" t="str">
        <f>VLOOKUP(LOWER(AS26),experiments_specs!$A:$J,7,FALSE)</f>
        <v>False</v>
      </c>
      <c r="AR32" s="15" t="s">
        <v>114</v>
      </c>
      <c r="AS32" s="6"/>
      <c r="AT32" s="19"/>
      <c r="AU32" s="19"/>
      <c r="AV32" s="19"/>
      <c r="AW32" s="19"/>
      <c r="AX32" s="31"/>
      <c r="AY32" s="23"/>
      <c r="AZ32" s="23"/>
      <c r="BA32" s="23"/>
      <c r="BB32" s="23"/>
      <c r="BC32" s="34"/>
      <c r="BE32" s="16"/>
    </row>
    <row r="33" spans="2:57" x14ac:dyDescent="0.2">
      <c r="B33" s="16"/>
      <c r="D33" s="11" t="s">
        <v>7</v>
      </c>
      <c r="E33" s="12" t="str">
        <f>VLOOKUP(LOWER(G26),experiments_specs!$A:$J,8,FALSE)</f>
        <v>True</v>
      </c>
      <c r="F33" s="15" t="s">
        <v>102</v>
      </c>
      <c r="G33" s="6"/>
      <c r="H33" s="19"/>
      <c r="I33" s="19"/>
      <c r="J33" s="19"/>
      <c r="K33" s="19"/>
      <c r="L33" s="31"/>
      <c r="M33" s="23"/>
      <c r="N33" s="23"/>
      <c r="O33" s="23"/>
      <c r="P33" s="23"/>
      <c r="Q33" s="34"/>
      <c r="S33" s="16"/>
      <c r="U33" s="16"/>
      <c r="W33" s="11" t="s">
        <v>7</v>
      </c>
      <c r="X33" s="12" t="str">
        <f>VLOOKUP(LOWER(Z26),experiments_specs!$A:$J,8,FALSE)</f>
        <v>True</v>
      </c>
      <c r="Y33" s="15" t="s">
        <v>108</v>
      </c>
      <c r="Z33" s="6" t="s">
        <v>16</v>
      </c>
      <c r="AA33" s="19"/>
      <c r="AB33" s="19"/>
      <c r="AC33" s="19"/>
      <c r="AD33" s="19"/>
      <c r="AE33" s="31"/>
      <c r="AF33" s="23"/>
      <c r="AG33" s="23"/>
      <c r="AH33" s="23"/>
      <c r="AI33" s="23"/>
      <c r="AJ33" s="34"/>
      <c r="AL33" s="16"/>
      <c r="AN33" s="16"/>
      <c r="AP33" s="11" t="s">
        <v>7</v>
      </c>
      <c r="AQ33" s="12" t="str">
        <f>VLOOKUP(LOWER(AS26),experiments_specs!$A:$J,8,FALSE)</f>
        <v>True</v>
      </c>
      <c r="AR33" s="15" t="s">
        <v>114</v>
      </c>
      <c r="AS33" s="6"/>
      <c r="AT33" s="19"/>
      <c r="AU33" s="19"/>
      <c r="AV33" s="19"/>
      <c r="AW33" s="19"/>
      <c r="AX33" s="31"/>
      <c r="AY33" s="23"/>
      <c r="AZ33" s="23"/>
      <c r="BA33" s="23"/>
      <c r="BB33" s="23"/>
      <c r="BC33" s="34"/>
      <c r="BE33" s="16"/>
    </row>
    <row r="34" spans="2:57" x14ac:dyDescent="0.2">
      <c r="B34" s="16"/>
      <c r="D34" s="11" t="s">
        <v>8</v>
      </c>
      <c r="E34" s="12" t="str">
        <f>VLOOKUP(LOWER(G26),experiments_specs!$A:$J,9,FALSE)</f>
        <v>wup_similarity</v>
      </c>
      <c r="F34" s="15" t="s">
        <v>102</v>
      </c>
      <c r="G34" s="6"/>
      <c r="H34" s="19"/>
      <c r="I34" s="19"/>
      <c r="J34" s="19"/>
      <c r="K34" s="19"/>
      <c r="L34" s="31"/>
      <c r="M34" s="22"/>
      <c r="N34" s="22"/>
      <c r="O34" s="22"/>
      <c r="P34" s="22"/>
      <c r="Q34" s="34"/>
      <c r="S34" s="16"/>
      <c r="U34" s="16"/>
      <c r="W34" s="11" t="s">
        <v>8</v>
      </c>
      <c r="X34" s="12" t="str">
        <f>VLOOKUP(LOWER(Z26),experiments_specs!$A:$J,9,FALSE)</f>
        <v>wup_similarity</v>
      </c>
      <c r="Y34" s="15" t="s">
        <v>108</v>
      </c>
      <c r="Z34" s="6" t="s">
        <v>17</v>
      </c>
      <c r="AA34" s="19"/>
      <c r="AB34" s="19"/>
      <c r="AC34" s="19"/>
      <c r="AD34" s="19"/>
      <c r="AE34" s="31"/>
      <c r="AF34" s="23"/>
      <c r="AG34" s="23"/>
      <c r="AH34" s="23"/>
      <c r="AI34" s="23"/>
      <c r="AJ34" s="34"/>
      <c r="AL34" s="16"/>
      <c r="AN34" s="16"/>
      <c r="AP34" s="11" t="s">
        <v>8</v>
      </c>
      <c r="AQ34" s="12" t="str">
        <f>VLOOKUP(LOWER(AS26),experiments_specs!$A:$J,9,FALSE)</f>
        <v>wup_similarity</v>
      </c>
      <c r="AR34" s="15" t="s">
        <v>114</v>
      </c>
      <c r="AS34" s="6"/>
      <c r="AT34" s="18"/>
      <c r="AU34" s="18"/>
      <c r="AV34" s="18"/>
      <c r="AW34" s="18"/>
      <c r="AX34" s="31"/>
      <c r="AY34" s="23"/>
      <c r="AZ34" s="23"/>
      <c r="BA34" s="23"/>
      <c r="BB34" s="23"/>
      <c r="BC34" s="34"/>
      <c r="BE34" s="16"/>
    </row>
    <row r="35" spans="2:57" x14ac:dyDescent="0.2">
      <c r="B35" s="16"/>
      <c r="D35" s="11" t="s">
        <v>9</v>
      </c>
      <c r="E35" s="12" t="str">
        <f>VLOOKUP(LOWER(G26),experiments_specs!$A:$J,10,FALSE)</f>
        <v>False</v>
      </c>
      <c r="F35" s="15" t="s">
        <v>102</v>
      </c>
      <c r="G35" s="7"/>
      <c r="H35" s="20"/>
      <c r="I35" s="20"/>
      <c r="J35" s="20"/>
      <c r="K35" s="20"/>
      <c r="L35" s="32"/>
      <c r="M35" s="24"/>
      <c r="N35" s="24"/>
      <c r="O35" s="24"/>
      <c r="P35" s="24"/>
      <c r="Q35" s="35"/>
      <c r="S35" s="16"/>
      <c r="U35" s="16"/>
      <c r="W35" s="11" t="s">
        <v>9</v>
      </c>
      <c r="X35" s="12" t="str">
        <f>VLOOKUP(LOWER(Z26),experiments_specs!$A:$J,10,FALSE)</f>
        <v>False</v>
      </c>
      <c r="Y35" s="15" t="s">
        <v>108</v>
      </c>
      <c r="Z35" s="7" t="s">
        <v>18</v>
      </c>
      <c r="AA35" s="20"/>
      <c r="AB35" s="20"/>
      <c r="AC35" s="20"/>
      <c r="AD35" s="20"/>
      <c r="AE35" s="32"/>
      <c r="AF35" s="24"/>
      <c r="AG35" s="24"/>
      <c r="AH35" s="24"/>
      <c r="AI35" s="24"/>
      <c r="AJ35" s="35"/>
      <c r="AL35" s="16"/>
      <c r="AN35" s="16"/>
      <c r="AP35" s="11" t="s">
        <v>9</v>
      </c>
      <c r="AQ35" s="12" t="str">
        <f>VLOOKUP(LOWER(AS26),experiments_specs!$A:$J,10,FALSE)</f>
        <v>True</v>
      </c>
      <c r="AR35" s="15" t="s">
        <v>114</v>
      </c>
      <c r="AS35" s="7"/>
      <c r="AT35" s="20"/>
      <c r="AU35" s="20"/>
      <c r="AV35" s="20"/>
      <c r="AW35" s="20"/>
      <c r="AX35" s="32"/>
      <c r="AY35" s="24"/>
      <c r="AZ35" s="24"/>
      <c r="BA35" s="24"/>
      <c r="BB35" s="24"/>
      <c r="BC35" s="35"/>
      <c r="BE35" s="16"/>
    </row>
    <row r="36" spans="2:57" ht="17" thickBot="1" x14ac:dyDescent="0.25">
      <c r="B36" s="16"/>
      <c r="S36" s="16"/>
      <c r="U36" s="16"/>
      <c r="AL36" s="16"/>
      <c r="AN36" s="16"/>
      <c r="BE36" s="16"/>
    </row>
    <row r="37" spans="2:57" ht="20" thickBot="1" x14ac:dyDescent="0.3">
      <c r="B37" s="16"/>
      <c r="D37" s="13" t="s">
        <v>126</v>
      </c>
      <c r="E37" s="14"/>
      <c r="F37" s="9"/>
      <c r="G37" s="10" t="str">
        <f>"TEST_"&amp;TEXT(RIGHT(G26,2)+1, "00")</f>
        <v>TEST_76</v>
      </c>
      <c r="H37" s="36" t="s">
        <v>124</v>
      </c>
      <c r="I37" s="36"/>
      <c r="J37" s="36"/>
      <c r="K37" s="36"/>
      <c r="L37" s="36"/>
      <c r="M37" s="37" t="s">
        <v>123</v>
      </c>
      <c r="N37" s="37"/>
      <c r="O37" s="37"/>
      <c r="P37" s="37"/>
      <c r="Q37" s="37"/>
      <c r="R37" s="2"/>
      <c r="S37" s="16"/>
      <c r="U37" s="16"/>
      <c r="W37" s="13" t="s">
        <v>126</v>
      </c>
      <c r="X37" s="14"/>
      <c r="Y37" s="9"/>
      <c r="Z37" s="10" t="str">
        <f>"TEST_"&amp;TEXT(RIGHT(Z26,2)+1, "00")</f>
        <v>TEST_82</v>
      </c>
      <c r="AA37" s="36" t="s">
        <v>124</v>
      </c>
      <c r="AB37" s="36"/>
      <c r="AC37" s="36"/>
      <c r="AD37" s="36"/>
      <c r="AE37" s="36"/>
      <c r="AF37" s="37" t="s">
        <v>123</v>
      </c>
      <c r="AG37" s="37"/>
      <c r="AH37" s="37"/>
      <c r="AI37" s="37"/>
      <c r="AJ37" s="37"/>
      <c r="AK37" s="2"/>
      <c r="AL37" s="16"/>
      <c r="AN37" s="16"/>
      <c r="AP37" s="13" t="s">
        <v>126</v>
      </c>
      <c r="AQ37" s="14"/>
      <c r="AR37" s="9"/>
      <c r="AS37" s="10" t="str">
        <f>"TEST_"&amp;TEXT(RIGHT(AS26,2)+1, "00")</f>
        <v>TEST_88</v>
      </c>
      <c r="AT37" s="36" t="s">
        <v>124</v>
      </c>
      <c r="AU37" s="36"/>
      <c r="AV37" s="36"/>
      <c r="AW37" s="36"/>
      <c r="AX37" s="36"/>
      <c r="AY37" s="37" t="s">
        <v>123</v>
      </c>
      <c r="AZ37" s="37"/>
      <c r="BA37" s="37"/>
      <c r="BB37" s="37"/>
      <c r="BC37" s="37"/>
      <c r="BD37" s="2"/>
      <c r="BE37" s="16"/>
    </row>
    <row r="38" spans="2:57" x14ac:dyDescent="0.2">
      <c r="B38" s="16"/>
      <c r="D38" s="11" t="s">
        <v>1</v>
      </c>
      <c r="E38" s="12" t="str">
        <f>VLOOKUP(LOWER(G37),experiments_specs!$A:$J,2,FALSE)</f>
        <v>NN,VB,VBD,VBG,VBN,VBP,VBZ</v>
      </c>
      <c r="F38" s="15" t="str">
        <f>"{"&amp;LOWER(G37)&amp;".csv}"</f>
        <v>{test_76.csv}</v>
      </c>
      <c r="G38" s="8" t="s">
        <v>118</v>
      </c>
      <c r="H38" s="3" t="s">
        <v>119</v>
      </c>
      <c r="I38" s="3" t="s">
        <v>182</v>
      </c>
      <c r="J38" s="3" t="s">
        <v>120</v>
      </c>
      <c r="K38" s="3" t="s">
        <v>182</v>
      </c>
      <c r="L38" s="3" t="s">
        <v>121</v>
      </c>
      <c r="M38" s="4" t="s">
        <v>122</v>
      </c>
      <c r="N38" s="4" t="s">
        <v>182</v>
      </c>
      <c r="O38" s="4" t="s">
        <v>120</v>
      </c>
      <c r="P38" s="4" t="s">
        <v>182</v>
      </c>
      <c r="Q38" s="4" t="s">
        <v>121</v>
      </c>
      <c r="S38" s="16"/>
      <c r="U38" s="16"/>
      <c r="W38" s="11" t="s">
        <v>1</v>
      </c>
      <c r="X38" s="12" t="str">
        <f>VLOOKUP(LOWER(Z37),experiments_specs!$A:$J,2,FALSE)</f>
        <v>NN,VB,VBD,VBG,VBN,VBP,VBZ</v>
      </c>
      <c r="Y38" s="15" t="str">
        <f>"{"&amp;LOWER(Z37)&amp;".csv}"</f>
        <v>{test_82.csv}</v>
      </c>
      <c r="Z38" s="8" t="s">
        <v>118</v>
      </c>
      <c r="AA38" s="3" t="s">
        <v>119</v>
      </c>
      <c r="AB38" s="3" t="s">
        <v>182</v>
      </c>
      <c r="AC38" s="3" t="s">
        <v>120</v>
      </c>
      <c r="AD38" s="3" t="s">
        <v>182</v>
      </c>
      <c r="AE38" s="3" t="s">
        <v>121</v>
      </c>
      <c r="AF38" s="4" t="s">
        <v>122</v>
      </c>
      <c r="AG38" s="4" t="s">
        <v>182</v>
      </c>
      <c r="AH38" s="4" t="s">
        <v>120</v>
      </c>
      <c r="AI38" s="4" t="s">
        <v>182</v>
      </c>
      <c r="AJ38" s="4" t="s">
        <v>121</v>
      </c>
      <c r="AL38" s="16"/>
      <c r="AN38" s="16"/>
      <c r="AP38" s="11" t="s">
        <v>1</v>
      </c>
      <c r="AQ38" s="12" t="str">
        <f>VLOOKUP(LOWER(AS37),experiments_specs!$A:$J,2,FALSE)</f>
        <v>NN,VB,VBD,VBG,VBN,VBP,VBZ</v>
      </c>
      <c r="AR38" s="15" t="str">
        <f>"{"&amp;LOWER(AS37)&amp;".csv}"</f>
        <v>{test_88.csv}</v>
      </c>
      <c r="AS38" s="8" t="s">
        <v>118</v>
      </c>
      <c r="AT38" s="3" t="s">
        <v>119</v>
      </c>
      <c r="AU38" s="3" t="s">
        <v>182</v>
      </c>
      <c r="AV38" s="3" t="s">
        <v>120</v>
      </c>
      <c r="AW38" s="3" t="s">
        <v>182</v>
      </c>
      <c r="AX38" s="3" t="s">
        <v>121</v>
      </c>
      <c r="AY38" s="4" t="s">
        <v>122</v>
      </c>
      <c r="AZ38" s="4" t="s">
        <v>182</v>
      </c>
      <c r="BA38" s="4" t="s">
        <v>120</v>
      </c>
      <c r="BB38" s="4" t="s">
        <v>182</v>
      </c>
      <c r="BC38" s="4" t="s">
        <v>121</v>
      </c>
      <c r="BE38" s="16"/>
    </row>
    <row r="39" spans="2:57" x14ac:dyDescent="0.2">
      <c r="B39" s="16"/>
      <c r="D39" s="11" t="s">
        <v>2</v>
      </c>
      <c r="E39" s="12">
        <f>VLOOKUP(LOWER(G37),experiments_specs!$A:$J,3,FALSE)</f>
        <v>1</v>
      </c>
      <c r="F39" s="15" t="s">
        <v>103</v>
      </c>
      <c r="G39" s="5"/>
      <c r="H39" s="17"/>
      <c r="I39" s="17"/>
      <c r="J39" s="17"/>
      <c r="K39" s="17"/>
      <c r="L39" s="30"/>
      <c r="M39" s="21"/>
      <c r="N39" s="21"/>
      <c r="O39" s="21"/>
      <c r="P39" s="21"/>
      <c r="Q39" s="33"/>
      <c r="S39" s="16"/>
      <c r="U39" s="16"/>
      <c r="W39" s="11" t="s">
        <v>2</v>
      </c>
      <c r="X39" s="12">
        <f>VLOOKUP(LOWER(Z37),experiments_specs!$A:$J,3,FALSE)</f>
        <v>1</v>
      </c>
      <c r="Y39" s="15" t="s">
        <v>109</v>
      </c>
      <c r="Z39" s="5" t="s">
        <v>19</v>
      </c>
      <c r="AA39" s="17"/>
      <c r="AB39" s="17"/>
      <c r="AC39" s="17"/>
      <c r="AD39" s="17"/>
      <c r="AE39" s="30"/>
      <c r="AF39" s="21"/>
      <c r="AG39" s="21"/>
      <c r="AH39" s="21"/>
      <c r="AI39" s="21"/>
      <c r="AJ39" s="33"/>
      <c r="AL39" s="16"/>
      <c r="AN39" s="16"/>
      <c r="AP39" s="11" t="s">
        <v>2</v>
      </c>
      <c r="AQ39" s="12">
        <f>VLOOKUP(LOWER(AS37),experiments_specs!$A:$J,3,FALSE)</f>
        <v>1</v>
      </c>
      <c r="AR39" s="15" t="s">
        <v>115</v>
      </c>
      <c r="AS39" s="5"/>
      <c r="AT39" s="17"/>
      <c r="AU39" s="17"/>
      <c r="AV39" s="17"/>
      <c r="AW39" s="17"/>
      <c r="AX39" s="30"/>
      <c r="AY39" s="21"/>
      <c r="AZ39" s="21"/>
      <c r="BA39" s="21"/>
      <c r="BB39" s="21"/>
      <c r="BC39" s="33"/>
      <c r="BE39" s="16"/>
    </row>
    <row r="40" spans="2:57" x14ac:dyDescent="0.2">
      <c r="B40" s="16"/>
      <c r="D40" s="11" t="s">
        <v>3</v>
      </c>
      <c r="E40" s="12">
        <f>VLOOKUP(LOWER(G37),experiments_specs!$A:$J,4,FALSE)</f>
        <v>2</v>
      </c>
      <c r="F40" s="15" t="s">
        <v>103</v>
      </c>
      <c r="G40" s="6"/>
      <c r="H40" s="18"/>
      <c r="I40" s="18"/>
      <c r="J40" s="18"/>
      <c r="K40" s="18"/>
      <c r="L40" s="31"/>
      <c r="M40" s="22"/>
      <c r="N40" s="22"/>
      <c r="O40" s="22"/>
      <c r="P40" s="22"/>
      <c r="Q40" s="34"/>
      <c r="S40" s="16"/>
      <c r="U40" s="16"/>
      <c r="W40" s="11" t="s">
        <v>3</v>
      </c>
      <c r="X40" s="12">
        <f>VLOOKUP(LOWER(Z37),experiments_specs!$A:$J,4,FALSE)</f>
        <v>2</v>
      </c>
      <c r="Y40" s="15" t="s">
        <v>109</v>
      </c>
      <c r="Z40" s="6" t="s">
        <v>12</v>
      </c>
      <c r="AA40" s="18"/>
      <c r="AB40" s="18"/>
      <c r="AC40" s="18"/>
      <c r="AD40" s="18"/>
      <c r="AE40" s="31"/>
      <c r="AF40" s="23"/>
      <c r="AG40" s="23"/>
      <c r="AH40" s="23"/>
      <c r="AI40" s="23"/>
      <c r="AJ40" s="34"/>
      <c r="AL40" s="16"/>
      <c r="AN40" s="16"/>
      <c r="AP40" s="11" t="s">
        <v>3</v>
      </c>
      <c r="AQ40" s="12">
        <f>VLOOKUP(LOWER(AS37),experiments_specs!$A:$J,4,FALSE)</f>
        <v>2</v>
      </c>
      <c r="AR40" s="15" t="s">
        <v>115</v>
      </c>
      <c r="AS40" s="6"/>
      <c r="AT40" s="18"/>
      <c r="AU40" s="18"/>
      <c r="AV40" s="18"/>
      <c r="AW40" s="18"/>
      <c r="AX40" s="31"/>
      <c r="AY40" s="23"/>
      <c r="AZ40" s="23"/>
      <c r="BA40" s="23"/>
      <c r="BB40" s="23"/>
      <c r="BC40" s="34"/>
      <c r="BE40" s="16"/>
    </row>
    <row r="41" spans="2:57" x14ac:dyDescent="0.2">
      <c r="B41" s="16"/>
      <c r="D41" s="11" t="s">
        <v>4</v>
      </c>
      <c r="E41" s="12" t="str">
        <f>VLOOKUP(LOWER(G37),experiments_specs!$A:$J,5,FALSE)</f>
        <v>False</v>
      </c>
      <c r="F41" s="15" t="s">
        <v>103</v>
      </c>
      <c r="G41" s="6"/>
      <c r="H41" s="19"/>
      <c r="I41" s="19"/>
      <c r="J41" s="19"/>
      <c r="K41" s="19"/>
      <c r="L41" s="31"/>
      <c r="M41" s="22"/>
      <c r="N41" s="22"/>
      <c r="O41" s="22"/>
      <c r="P41" s="22"/>
      <c r="Q41" s="34"/>
      <c r="S41" s="16"/>
      <c r="U41" s="16"/>
      <c r="W41" s="11" t="s">
        <v>4</v>
      </c>
      <c r="X41" s="12" t="str">
        <f>VLOOKUP(LOWER(Z37),experiments_specs!$A:$J,5,FALSE)</f>
        <v>True</v>
      </c>
      <c r="Y41" s="15" t="s">
        <v>109</v>
      </c>
      <c r="Z41" s="6" t="s">
        <v>13</v>
      </c>
      <c r="AA41" s="19"/>
      <c r="AB41" s="19"/>
      <c r="AC41" s="19"/>
      <c r="AD41" s="19"/>
      <c r="AE41" s="31"/>
      <c r="AF41" s="22"/>
      <c r="AG41" s="22"/>
      <c r="AH41" s="22"/>
      <c r="AI41" s="22"/>
      <c r="AJ41" s="34"/>
      <c r="AL41" s="16"/>
      <c r="AN41" s="16"/>
      <c r="AP41" s="11" t="s">
        <v>4</v>
      </c>
      <c r="AQ41" s="12" t="str">
        <f>VLOOKUP(LOWER(AS37),experiments_specs!$A:$J,5,FALSE)</f>
        <v>True</v>
      </c>
      <c r="AR41" s="15" t="s">
        <v>115</v>
      </c>
      <c r="AS41" s="6"/>
      <c r="AT41" s="19"/>
      <c r="AU41" s="19"/>
      <c r="AV41" s="19"/>
      <c r="AW41" s="19"/>
      <c r="AX41" s="31"/>
      <c r="AY41" s="22"/>
      <c r="AZ41" s="22"/>
      <c r="BA41" s="22"/>
      <c r="BB41" s="22"/>
      <c r="BC41" s="34"/>
      <c r="BE41" s="16"/>
    </row>
    <row r="42" spans="2:57" x14ac:dyDescent="0.2">
      <c r="B42" s="16"/>
      <c r="D42" s="11" t="s">
        <v>5</v>
      </c>
      <c r="E42" s="12" t="str">
        <f>VLOOKUP(LOWER(G37),experiments_specs!$A:$J,6,FALSE)</f>
        <v>False</v>
      </c>
      <c r="F42" s="15" t="s">
        <v>103</v>
      </c>
      <c r="G42" s="6"/>
      <c r="H42" s="19"/>
      <c r="I42" s="19"/>
      <c r="J42" s="19"/>
      <c r="K42" s="19"/>
      <c r="L42" s="31"/>
      <c r="M42" s="22"/>
      <c r="N42" s="22"/>
      <c r="O42" s="22"/>
      <c r="P42" s="22"/>
      <c r="Q42" s="34"/>
      <c r="S42" s="16"/>
      <c r="U42" s="16"/>
      <c r="W42" s="11" t="s">
        <v>5</v>
      </c>
      <c r="X42" s="12" t="str">
        <f>VLOOKUP(LOWER(Z37),experiments_specs!$A:$J,6,FALSE)</f>
        <v>False</v>
      </c>
      <c r="Y42" s="15" t="s">
        <v>109</v>
      </c>
      <c r="Z42" s="6" t="s">
        <v>14</v>
      </c>
      <c r="AA42" s="18"/>
      <c r="AB42" s="18"/>
      <c r="AC42" s="18"/>
      <c r="AD42" s="18"/>
      <c r="AE42" s="31"/>
      <c r="AF42" s="23"/>
      <c r="AG42" s="23"/>
      <c r="AH42" s="23"/>
      <c r="AI42" s="23"/>
      <c r="AJ42" s="34"/>
      <c r="AL42" s="16"/>
      <c r="AN42" s="16"/>
      <c r="AP42" s="11" t="s">
        <v>5</v>
      </c>
      <c r="AQ42" s="12" t="str">
        <f>VLOOKUP(LOWER(AS37),experiments_specs!$A:$J,6,FALSE)</f>
        <v>False</v>
      </c>
      <c r="AR42" s="15" t="s">
        <v>115</v>
      </c>
      <c r="AS42" s="6"/>
      <c r="AT42" s="18"/>
      <c r="AU42" s="18"/>
      <c r="AV42" s="18"/>
      <c r="AW42" s="18"/>
      <c r="AX42" s="31"/>
      <c r="AY42" s="23"/>
      <c r="AZ42" s="23"/>
      <c r="BA42" s="23"/>
      <c r="BB42" s="23"/>
      <c r="BC42" s="34"/>
      <c r="BE42" s="16"/>
    </row>
    <row r="43" spans="2:57" x14ac:dyDescent="0.2">
      <c r="B43" s="16"/>
      <c r="D43" s="11" t="s">
        <v>6</v>
      </c>
      <c r="E43" s="12" t="str">
        <f>VLOOKUP(LOWER(G37),experiments_specs!$A:$J,7,FALSE)</f>
        <v>False</v>
      </c>
      <c r="F43" s="15" t="s">
        <v>103</v>
      </c>
      <c r="G43" s="6"/>
      <c r="H43" s="19"/>
      <c r="I43" s="19"/>
      <c r="J43" s="19"/>
      <c r="K43" s="19"/>
      <c r="L43" s="31"/>
      <c r="M43" s="23"/>
      <c r="N43" s="23"/>
      <c r="O43" s="23"/>
      <c r="P43" s="23"/>
      <c r="Q43" s="34"/>
      <c r="S43" s="16"/>
      <c r="U43" s="16"/>
      <c r="W43" s="11" t="s">
        <v>6</v>
      </c>
      <c r="X43" s="12" t="str">
        <f>VLOOKUP(LOWER(Z37),experiments_specs!$A:$J,7,FALSE)</f>
        <v>False</v>
      </c>
      <c r="Y43" s="15" t="s">
        <v>109</v>
      </c>
      <c r="Z43" s="6" t="s">
        <v>15</v>
      </c>
      <c r="AA43" s="19"/>
      <c r="AB43" s="19"/>
      <c r="AC43" s="19"/>
      <c r="AD43" s="19"/>
      <c r="AE43" s="31"/>
      <c r="AF43" s="23"/>
      <c r="AG43" s="23"/>
      <c r="AH43" s="23"/>
      <c r="AI43" s="23"/>
      <c r="AJ43" s="34"/>
      <c r="AL43" s="16"/>
      <c r="AN43" s="16"/>
      <c r="AP43" s="11" t="s">
        <v>6</v>
      </c>
      <c r="AQ43" s="12" t="str">
        <f>VLOOKUP(LOWER(AS37),experiments_specs!$A:$J,7,FALSE)</f>
        <v>False</v>
      </c>
      <c r="AR43" s="15" t="s">
        <v>115</v>
      </c>
      <c r="AS43" s="6"/>
      <c r="AT43" s="19"/>
      <c r="AU43" s="19"/>
      <c r="AV43" s="19"/>
      <c r="AW43" s="19"/>
      <c r="AX43" s="31"/>
      <c r="AY43" s="23"/>
      <c r="AZ43" s="23"/>
      <c r="BA43" s="23"/>
      <c r="BB43" s="23"/>
      <c r="BC43" s="34"/>
      <c r="BE43" s="16"/>
    </row>
    <row r="44" spans="2:57" x14ac:dyDescent="0.2">
      <c r="B44" s="16"/>
      <c r="D44" s="11" t="s">
        <v>7</v>
      </c>
      <c r="E44" s="12" t="str">
        <f>VLOOKUP(LOWER(G37),experiments_specs!$A:$J,8,FALSE)</f>
        <v>True</v>
      </c>
      <c r="F44" s="15" t="s">
        <v>103</v>
      </c>
      <c r="G44" s="6"/>
      <c r="H44" s="19"/>
      <c r="I44" s="19"/>
      <c r="J44" s="19"/>
      <c r="K44" s="19"/>
      <c r="L44" s="31"/>
      <c r="M44" s="23"/>
      <c r="N44" s="23"/>
      <c r="O44" s="23"/>
      <c r="P44" s="23"/>
      <c r="Q44" s="34"/>
      <c r="S44" s="16"/>
      <c r="U44" s="16"/>
      <c r="W44" s="11" t="s">
        <v>7</v>
      </c>
      <c r="X44" s="12" t="str">
        <f>VLOOKUP(LOWER(Z37),experiments_specs!$A:$J,8,FALSE)</f>
        <v>True</v>
      </c>
      <c r="Y44" s="15" t="s">
        <v>109</v>
      </c>
      <c r="Z44" s="6" t="s">
        <v>16</v>
      </c>
      <c r="AA44" s="19"/>
      <c r="AB44" s="19"/>
      <c r="AC44" s="19"/>
      <c r="AD44" s="19"/>
      <c r="AE44" s="31"/>
      <c r="AF44" s="23"/>
      <c r="AG44" s="23"/>
      <c r="AH44" s="23"/>
      <c r="AI44" s="23"/>
      <c r="AJ44" s="34"/>
      <c r="AL44" s="16"/>
      <c r="AN44" s="16"/>
      <c r="AP44" s="11" t="s">
        <v>7</v>
      </c>
      <c r="AQ44" s="12" t="str">
        <f>VLOOKUP(LOWER(AS37),experiments_specs!$A:$J,8,FALSE)</f>
        <v>True</v>
      </c>
      <c r="AR44" s="15" t="s">
        <v>115</v>
      </c>
      <c r="AS44" s="6"/>
      <c r="AT44" s="19"/>
      <c r="AU44" s="19"/>
      <c r="AV44" s="19"/>
      <c r="AW44" s="19"/>
      <c r="AX44" s="31"/>
      <c r="AY44" s="23"/>
      <c r="AZ44" s="23"/>
      <c r="BA44" s="23"/>
      <c r="BB44" s="23"/>
      <c r="BC44" s="34"/>
      <c r="BE44" s="16"/>
    </row>
    <row r="45" spans="2:57" x14ac:dyDescent="0.2">
      <c r="B45" s="16"/>
      <c r="D45" s="11" t="s">
        <v>8</v>
      </c>
      <c r="E45" s="12" t="str">
        <f>VLOOKUP(LOWER(G37),experiments_specs!$A:$J,9,FALSE)</f>
        <v>wup_similarity</v>
      </c>
      <c r="F45" s="15" t="s">
        <v>103</v>
      </c>
      <c r="G45" s="6"/>
      <c r="H45" s="19"/>
      <c r="I45" s="19"/>
      <c r="J45" s="19"/>
      <c r="K45" s="19"/>
      <c r="L45" s="31"/>
      <c r="M45" s="22"/>
      <c r="N45" s="22"/>
      <c r="O45" s="22"/>
      <c r="P45" s="22"/>
      <c r="Q45" s="34"/>
      <c r="S45" s="16"/>
      <c r="U45" s="16"/>
      <c r="W45" s="11" t="s">
        <v>8</v>
      </c>
      <c r="X45" s="12" t="str">
        <f>VLOOKUP(LOWER(Z37),experiments_specs!$A:$J,9,FALSE)</f>
        <v>wup_similarity</v>
      </c>
      <c r="Y45" s="15" t="s">
        <v>109</v>
      </c>
      <c r="Z45" s="6" t="s">
        <v>17</v>
      </c>
      <c r="AA45" s="19"/>
      <c r="AB45" s="19"/>
      <c r="AC45" s="19"/>
      <c r="AD45" s="19"/>
      <c r="AE45" s="31"/>
      <c r="AF45" s="22"/>
      <c r="AG45" s="22"/>
      <c r="AH45" s="22"/>
      <c r="AI45" s="22"/>
      <c r="AJ45" s="34"/>
      <c r="AL45" s="16"/>
      <c r="AN45" s="16"/>
      <c r="AP45" s="11" t="s">
        <v>8</v>
      </c>
      <c r="AQ45" s="12" t="str">
        <f>VLOOKUP(LOWER(AS37),experiments_specs!$A:$J,9,FALSE)</f>
        <v>wup_similarity</v>
      </c>
      <c r="AR45" s="15" t="s">
        <v>115</v>
      </c>
      <c r="AS45" s="6"/>
      <c r="AT45" s="18"/>
      <c r="AU45" s="18"/>
      <c r="AV45" s="18"/>
      <c r="AW45" s="18"/>
      <c r="AX45" s="31"/>
      <c r="AY45" s="23"/>
      <c r="AZ45" s="23"/>
      <c r="BA45" s="23"/>
      <c r="BB45" s="23"/>
      <c r="BC45" s="34"/>
      <c r="BE45" s="16"/>
    </row>
    <row r="46" spans="2:57" x14ac:dyDescent="0.2">
      <c r="B46" s="16"/>
      <c r="D46" s="11" t="s">
        <v>9</v>
      </c>
      <c r="E46" s="12" t="str">
        <f>VLOOKUP(LOWER(G37),experiments_specs!$A:$J,10,FALSE)</f>
        <v>False</v>
      </c>
      <c r="F46" s="15" t="s">
        <v>103</v>
      </c>
      <c r="G46" s="7"/>
      <c r="H46" s="20"/>
      <c r="I46" s="20"/>
      <c r="J46" s="20"/>
      <c r="K46" s="20"/>
      <c r="L46" s="32"/>
      <c r="M46" s="24"/>
      <c r="N46" s="24"/>
      <c r="O46" s="24"/>
      <c r="P46" s="24"/>
      <c r="Q46" s="35"/>
      <c r="S46" s="16"/>
      <c r="U46" s="16"/>
      <c r="W46" s="11" t="s">
        <v>9</v>
      </c>
      <c r="X46" s="12" t="str">
        <f>VLOOKUP(LOWER(Z37),experiments_specs!$A:$J,10,FALSE)</f>
        <v>False</v>
      </c>
      <c r="Y46" s="15" t="s">
        <v>109</v>
      </c>
      <c r="Z46" s="7" t="s">
        <v>18</v>
      </c>
      <c r="AA46" s="20"/>
      <c r="AB46" s="20"/>
      <c r="AC46" s="20"/>
      <c r="AD46" s="20"/>
      <c r="AE46" s="32"/>
      <c r="AF46" s="24"/>
      <c r="AG46" s="24"/>
      <c r="AH46" s="24"/>
      <c r="AI46" s="24"/>
      <c r="AJ46" s="35"/>
      <c r="AL46" s="16"/>
      <c r="AN46" s="16"/>
      <c r="AP46" s="11" t="s">
        <v>9</v>
      </c>
      <c r="AQ46" s="12" t="str">
        <f>VLOOKUP(LOWER(AS37),experiments_specs!$A:$J,10,FALSE)</f>
        <v>True</v>
      </c>
      <c r="AR46" s="15" t="s">
        <v>115</v>
      </c>
      <c r="AS46" s="7"/>
      <c r="AT46" s="20"/>
      <c r="AU46" s="20"/>
      <c r="AV46" s="20"/>
      <c r="AW46" s="20"/>
      <c r="AX46" s="32"/>
      <c r="AY46" s="24"/>
      <c r="AZ46" s="24"/>
      <c r="BA46" s="24"/>
      <c r="BB46" s="24"/>
      <c r="BC46" s="35"/>
      <c r="BE46" s="16"/>
    </row>
    <row r="47" spans="2:57" ht="17" thickBot="1" x14ac:dyDescent="0.25">
      <c r="B47" s="16"/>
      <c r="S47" s="16"/>
      <c r="U47" s="16"/>
      <c r="AL47" s="16"/>
      <c r="AN47" s="16"/>
      <c r="BE47" s="16"/>
    </row>
    <row r="48" spans="2:57" ht="20" thickBot="1" x14ac:dyDescent="0.3">
      <c r="B48" s="16"/>
      <c r="D48" s="13" t="s">
        <v>126</v>
      </c>
      <c r="E48" s="14"/>
      <c r="F48" s="9"/>
      <c r="G48" s="10" t="str">
        <f>"TEST_"&amp;TEXT(RIGHT(G37,2)+1, "00")</f>
        <v>TEST_77</v>
      </c>
      <c r="H48" s="36" t="s">
        <v>124</v>
      </c>
      <c r="I48" s="36"/>
      <c r="J48" s="36"/>
      <c r="K48" s="36"/>
      <c r="L48" s="36"/>
      <c r="M48" s="37" t="s">
        <v>123</v>
      </c>
      <c r="N48" s="37"/>
      <c r="O48" s="37"/>
      <c r="P48" s="37"/>
      <c r="Q48" s="37"/>
      <c r="R48" s="2"/>
      <c r="S48" s="16"/>
      <c r="U48" s="16"/>
      <c r="W48" s="13" t="s">
        <v>126</v>
      </c>
      <c r="X48" s="14"/>
      <c r="Y48" s="9"/>
      <c r="Z48" s="10" t="str">
        <f>"TEST_"&amp;TEXT(RIGHT(Z37,2)+1, "00")</f>
        <v>TEST_83</v>
      </c>
      <c r="AA48" s="36" t="s">
        <v>124</v>
      </c>
      <c r="AB48" s="36"/>
      <c r="AC48" s="36"/>
      <c r="AD48" s="36"/>
      <c r="AE48" s="36"/>
      <c r="AF48" s="37" t="s">
        <v>123</v>
      </c>
      <c r="AG48" s="37"/>
      <c r="AH48" s="37"/>
      <c r="AI48" s="37"/>
      <c r="AJ48" s="37"/>
      <c r="AK48" s="2"/>
      <c r="AL48" s="16"/>
      <c r="AN48" s="16"/>
      <c r="AP48" s="13" t="s">
        <v>126</v>
      </c>
      <c r="AQ48" s="14"/>
      <c r="AR48" s="9"/>
      <c r="AS48" s="10" t="str">
        <f>"TEST_"&amp;TEXT(RIGHT(AS37,2)+1, "00")</f>
        <v>TEST_89</v>
      </c>
      <c r="AT48" s="36" t="s">
        <v>124</v>
      </c>
      <c r="AU48" s="36"/>
      <c r="AV48" s="36"/>
      <c r="AW48" s="36"/>
      <c r="AX48" s="36"/>
      <c r="AY48" s="37" t="s">
        <v>123</v>
      </c>
      <c r="AZ48" s="37"/>
      <c r="BA48" s="37"/>
      <c r="BB48" s="37"/>
      <c r="BC48" s="37"/>
      <c r="BD48" s="2"/>
      <c r="BE48" s="16"/>
    </row>
    <row r="49" spans="2:57" x14ac:dyDescent="0.2">
      <c r="B49" s="16"/>
      <c r="D49" s="11" t="s">
        <v>1</v>
      </c>
      <c r="E49" s="12" t="str">
        <f>VLOOKUP(LOWER(G48),experiments_specs!$A:$J,2,FALSE)</f>
        <v>NN,RB</v>
      </c>
      <c r="F49" s="15" t="str">
        <f>"{"&amp;LOWER(G48)&amp;".csv}"</f>
        <v>{test_77.csv}</v>
      </c>
      <c r="G49" s="8" t="s">
        <v>118</v>
      </c>
      <c r="H49" s="3" t="s">
        <v>119</v>
      </c>
      <c r="I49" s="3" t="s">
        <v>182</v>
      </c>
      <c r="J49" s="3" t="s">
        <v>120</v>
      </c>
      <c r="K49" s="3" t="s">
        <v>182</v>
      </c>
      <c r="L49" s="3" t="s">
        <v>121</v>
      </c>
      <c r="M49" s="4" t="s">
        <v>122</v>
      </c>
      <c r="N49" s="4" t="s">
        <v>182</v>
      </c>
      <c r="O49" s="4" t="s">
        <v>120</v>
      </c>
      <c r="P49" s="4" t="s">
        <v>182</v>
      </c>
      <c r="Q49" s="4" t="s">
        <v>121</v>
      </c>
      <c r="S49" s="16"/>
      <c r="U49" s="16"/>
      <c r="W49" s="11" t="s">
        <v>1</v>
      </c>
      <c r="X49" s="12" t="str">
        <f>VLOOKUP(LOWER(Z48),experiments_specs!$A:$J,2,FALSE)</f>
        <v>NN,RB</v>
      </c>
      <c r="Y49" s="15" t="str">
        <f>"{"&amp;LOWER(Z48)&amp;".csv}"</f>
        <v>{test_83.csv}</v>
      </c>
      <c r="Z49" s="8" t="s">
        <v>118</v>
      </c>
      <c r="AA49" s="3" t="s">
        <v>119</v>
      </c>
      <c r="AB49" s="3" t="s">
        <v>182</v>
      </c>
      <c r="AC49" s="3" t="s">
        <v>120</v>
      </c>
      <c r="AD49" s="3" t="s">
        <v>182</v>
      </c>
      <c r="AE49" s="3" t="s">
        <v>121</v>
      </c>
      <c r="AF49" s="4" t="s">
        <v>122</v>
      </c>
      <c r="AG49" s="4" t="s">
        <v>182</v>
      </c>
      <c r="AH49" s="4" t="s">
        <v>120</v>
      </c>
      <c r="AI49" s="4" t="s">
        <v>182</v>
      </c>
      <c r="AJ49" s="4" t="s">
        <v>121</v>
      </c>
      <c r="AL49" s="16"/>
      <c r="AN49" s="16"/>
      <c r="AP49" s="11" t="s">
        <v>1</v>
      </c>
      <c r="AQ49" s="12" t="str">
        <f>VLOOKUP(LOWER(AS48),experiments_specs!$A:$J,2,FALSE)</f>
        <v>NN,RB</v>
      </c>
      <c r="AR49" s="15" t="str">
        <f>"{"&amp;LOWER(AS48)&amp;".csv}"</f>
        <v>{test_89.csv}</v>
      </c>
      <c r="AS49" s="8" t="s">
        <v>118</v>
      </c>
      <c r="AT49" s="3" t="s">
        <v>119</v>
      </c>
      <c r="AU49" s="3" t="s">
        <v>182</v>
      </c>
      <c r="AV49" s="3" t="s">
        <v>120</v>
      </c>
      <c r="AW49" s="3" t="s">
        <v>182</v>
      </c>
      <c r="AX49" s="3" t="s">
        <v>121</v>
      </c>
      <c r="AY49" s="4" t="s">
        <v>122</v>
      </c>
      <c r="AZ49" s="4" t="s">
        <v>182</v>
      </c>
      <c r="BA49" s="4" t="s">
        <v>120</v>
      </c>
      <c r="BB49" s="4" t="s">
        <v>182</v>
      </c>
      <c r="BC49" s="4" t="s">
        <v>121</v>
      </c>
      <c r="BE49" s="16"/>
    </row>
    <row r="50" spans="2:57" x14ac:dyDescent="0.2">
      <c r="B50" s="16"/>
      <c r="D50" s="11" t="s">
        <v>2</v>
      </c>
      <c r="E50" s="12">
        <f>VLOOKUP(LOWER(G48),experiments_specs!$A:$J,3,FALSE)</f>
        <v>1</v>
      </c>
      <c r="F50" s="15" t="s">
        <v>104</v>
      </c>
      <c r="G50" s="5"/>
      <c r="H50" s="17"/>
      <c r="I50" s="17"/>
      <c r="J50" s="17"/>
      <c r="K50" s="17"/>
      <c r="L50" s="30"/>
      <c r="M50" s="21"/>
      <c r="N50" s="21"/>
      <c r="O50" s="21"/>
      <c r="P50" s="21"/>
      <c r="Q50" s="33"/>
      <c r="S50" s="16"/>
      <c r="U50" s="16"/>
      <c r="W50" s="11" t="s">
        <v>2</v>
      </c>
      <c r="X50" s="12">
        <f>VLOOKUP(LOWER(Z48),experiments_specs!$A:$J,3,FALSE)</f>
        <v>1</v>
      </c>
      <c r="Y50" s="15" t="s">
        <v>110</v>
      </c>
      <c r="Z50" s="5" t="s">
        <v>19</v>
      </c>
      <c r="AA50" s="17"/>
      <c r="AB50" s="17"/>
      <c r="AC50" s="17"/>
      <c r="AD50" s="17"/>
      <c r="AE50" s="30"/>
      <c r="AF50" s="21"/>
      <c r="AG50" s="21"/>
      <c r="AH50" s="21"/>
      <c r="AI50" s="21"/>
      <c r="AJ50" s="33"/>
      <c r="AL50" s="16"/>
      <c r="AN50" s="16"/>
      <c r="AP50" s="11" t="s">
        <v>2</v>
      </c>
      <c r="AQ50" s="12">
        <f>VLOOKUP(LOWER(AS48),experiments_specs!$A:$J,3,FALSE)</f>
        <v>1</v>
      </c>
      <c r="AR50" s="15" t="s">
        <v>116</v>
      </c>
      <c r="AS50" s="5"/>
      <c r="AT50" s="17"/>
      <c r="AU50" s="17"/>
      <c r="AV50" s="17"/>
      <c r="AW50" s="17"/>
      <c r="AX50" s="30"/>
      <c r="AY50" s="21"/>
      <c r="AZ50" s="21"/>
      <c r="BA50" s="21"/>
      <c r="BB50" s="21"/>
      <c r="BC50" s="33"/>
      <c r="BE50" s="16"/>
    </row>
    <row r="51" spans="2:57" x14ac:dyDescent="0.2">
      <c r="B51" s="16"/>
      <c r="D51" s="11" t="s">
        <v>3</v>
      </c>
      <c r="E51" s="12">
        <f>VLOOKUP(LOWER(G48),experiments_specs!$A:$J,4,FALSE)</f>
        <v>2</v>
      </c>
      <c r="F51" s="15" t="s">
        <v>104</v>
      </c>
      <c r="G51" s="6"/>
      <c r="H51" s="18"/>
      <c r="I51" s="18"/>
      <c r="J51" s="18"/>
      <c r="K51" s="18"/>
      <c r="L51" s="31"/>
      <c r="M51" s="22"/>
      <c r="N51" s="22"/>
      <c r="O51" s="22"/>
      <c r="P51" s="22"/>
      <c r="Q51" s="34"/>
      <c r="S51" s="16"/>
      <c r="U51" s="16"/>
      <c r="W51" s="11" t="s">
        <v>3</v>
      </c>
      <c r="X51" s="12">
        <f>VLOOKUP(LOWER(Z48),experiments_specs!$A:$J,4,FALSE)</f>
        <v>2</v>
      </c>
      <c r="Y51" s="15" t="s">
        <v>110</v>
      </c>
      <c r="Z51" s="6" t="s">
        <v>12</v>
      </c>
      <c r="AA51" s="18"/>
      <c r="AB51" s="18"/>
      <c r="AC51" s="18"/>
      <c r="AD51" s="18"/>
      <c r="AE51" s="31"/>
      <c r="AF51" s="23"/>
      <c r="AG51" s="23"/>
      <c r="AH51" s="23"/>
      <c r="AI51" s="23"/>
      <c r="AJ51" s="34"/>
      <c r="AL51" s="16"/>
      <c r="AN51" s="16"/>
      <c r="AP51" s="11" t="s">
        <v>3</v>
      </c>
      <c r="AQ51" s="12">
        <f>VLOOKUP(LOWER(AS48),experiments_specs!$A:$J,4,FALSE)</f>
        <v>2</v>
      </c>
      <c r="AR51" s="15" t="s">
        <v>116</v>
      </c>
      <c r="AS51" s="6"/>
      <c r="AT51" s="18"/>
      <c r="AU51" s="18"/>
      <c r="AV51" s="18"/>
      <c r="AW51" s="18"/>
      <c r="AX51" s="31"/>
      <c r="AY51" s="23"/>
      <c r="AZ51" s="23"/>
      <c r="BA51" s="23"/>
      <c r="BB51" s="23"/>
      <c r="BC51" s="34"/>
      <c r="BE51" s="16"/>
    </row>
    <row r="52" spans="2:57" x14ac:dyDescent="0.2">
      <c r="B52" s="16"/>
      <c r="D52" s="11" t="s">
        <v>4</v>
      </c>
      <c r="E52" s="12" t="str">
        <f>VLOOKUP(LOWER(G48),experiments_specs!$A:$J,5,FALSE)</f>
        <v>False</v>
      </c>
      <c r="F52" s="15" t="s">
        <v>104</v>
      </c>
      <c r="G52" s="6"/>
      <c r="H52" s="19"/>
      <c r="I52" s="19"/>
      <c r="J52" s="19"/>
      <c r="K52" s="19"/>
      <c r="L52" s="31"/>
      <c r="M52" s="22"/>
      <c r="N52" s="22"/>
      <c r="O52" s="22"/>
      <c r="P52" s="22"/>
      <c r="Q52" s="34"/>
      <c r="S52" s="16"/>
      <c r="U52" s="16"/>
      <c r="W52" s="11" t="s">
        <v>4</v>
      </c>
      <c r="X52" s="12" t="str">
        <f>VLOOKUP(LOWER(Z48),experiments_specs!$A:$J,5,FALSE)</f>
        <v>True</v>
      </c>
      <c r="Y52" s="15" t="s">
        <v>110</v>
      </c>
      <c r="Z52" s="6" t="s">
        <v>13</v>
      </c>
      <c r="AA52" s="19"/>
      <c r="AB52" s="19"/>
      <c r="AC52" s="19"/>
      <c r="AD52" s="19"/>
      <c r="AE52" s="31"/>
      <c r="AF52" s="22"/>
      <c r="AG52" s="22"/>
      <c r="AH52" s="22"/>
      <c r="AI52" s="22"/>
      <c r="AJ52" s="34"/>
      <c r="AL52" s="16"/>
      <c r="AN52" s="16"/>
      <c r="AP52" s="11" t="s">
        <v>4</v>
      </c>
      <c r="AQ52" s="12" t="str">
        <f>VLOOKUP(LOWER(AS48),experiments_specs!$A:$J,5,FALSE)</f>
        <v>True</v>
      </c>
      <c r="AR52" s="15" t="s">
        <v>116</v>
      </c>
      <c r="AS52" s="6"/>
      <c r="AT52" s="19"/>
      <c r="AU52" s="19"/>
      <c r="AV52" s="19"/>
      <c r="AW52" s="19"/>
      <c r="AX52" s="31"/>
      <c r="AY52" s="22"/>
      <c r="AZ52" s="22"/>
      <c r="BA52" s="22"/>
      <c r="BB52" s="22"/>
      <c r="BC52" s="34"/>
      <c r="BE52" s="16"/>
    </row>
    <row r="53" spans="2:57" x14ac:dyDescent="0.2">
      <c r="B53" s="16"/>
      <c r="D53" s="11" t="s">
        <v>5</v>
      </c>
      <c r="E53" s="12" t="str">
        <f>VLOOKUP(LOWER(G48),experiments_specs!$A:$J,6,FALSE)</f>
        <v>False</v>
      </c>
      <c r="F53" s="15" t="s">
        <v>104</v>
      </c>
      <c r="G53" s="6"/>
      <c r="H53" s="19"/>
      <c r="I53" s="19"/>
      <c r="J53" s="19"/>
      <c r="K53" s="19"/>
      <c r="L53" s="31"/>
      <c r="M53" s="22"/>
      <c r="N53" s="22"/>
      <c r="O53" s="22"/>
      <c r="P53" s="22"/>
      <c r="Q53" s="34"/>
      <c r="S53" s="16"/>
      <c r="U53" s="16"/>
      <c r="W53" s="11" t="s">
        <v>5</v>
      </c>
      <c r="X53" s="12" t="str">
        <f>VLOOKUP(LOWER(Z48),experiments_specs!$A:$J,6,FALSE)</f>
        <v>False</v>
      </c>
      <c r="Y53" s="15" t="s">
        <v>110</v>
      </c>
      <c r="Z53" s="6" t="s">
        <v>14</v>
      </c>
      <c r="AA53" s="18"/>
      <c r="AB53" s="18"/>
      <c r="AC53" s="18"/>
      <c r="AD53" s="18"/>
      <c r="AE53" s="31"/>
      <c r="AF53" s="23"/>
      <c r="AG53" s="23"/>
      <c r="AH53" s="23"/>
      <c r="AI53" s="23"/>
      <c r="AJ53" s="34"/>
      <c r="AL53" s="16"/>
      <c r="AN53" s="16"/>
      <c r="AP53" s="11" t="s">
        <v>5</v>
      </c>
      <c r="AQ53" s="12" t="str">
        <f>VLOOKUP(LOWER(AS48),experiments_specs!$A:$J,6,FALSE)</f>
        <v>False</v>
      </c>
      <c r="AR53" s="15" t="s">
        <v>116</v>
      </c>
      <c r="AS53" s="6"/>
      <c r="AT53" s="18"/>
      <c r="AU53" s="18"/>
      <c r="AV53" s="18"/>
      <c r="AW53" s="18"/>
      <c r="AX53" s="31"/>
      <c r="AY53" s="23"/>
      <c r="AZ53" s="23"/>
      <c r="BA53" s="23"/>
      <c r="BB53" s="23"/>
      <c r="BC53" s="34"/>
      <c r="BE53" s="16"/>
    </row>
    <row r="54" spans="2:57" x14ac:dyDescent="0.2">
      <c r="B54" s="16"/>
      <c r="D54" s="11" t="s">
        <v>6</v>
      </c>
      <c r="E54" s="12" t="str">
        <f>VLOOKUP(LOWER(G48),experiments_specs!$A:$J,7,FALSE)</f>
        <v>False</v>
      </c>
      <c r="F54" s="15" t="s">
        <v>104</v>
      </c>
      <c r="G54" s="6"/>
      <c r="H54" s="19"/>
      <c r="I54" s="19"/>
      <c r="J54" s="19"/>
      <c r="K54" s="19"/>
      <c r="L54" s="31"/>
      <c r="M54" s="23"/>
      <c r="N54" s="23"/>
      <c r="O54" s="23"/>
      <c r="P54" s="23"/>
      <c r="Q54" s="34"/>
      <c r="S54" s="16"/>
      <c r="U54" s="16"/>
      <c r="W54" s="11" t="s">
        <v>6</v>
      </c>
      <c r="X54" s="12" t="str">
        <f>VLOOKUP(LOWER(Z48),experiments_specs!$A:$J,7,FALSE)</f>
        <v>False</v>
      </c>
      <c r="Y54" s="15" t="s">
        <v>110</v>
      </c>
      <c r="Z54" s="6" t="s">
        <v>15</v>
      </c>
      <c r="AA54" s="19"/>
      <c r="AB54" s="19"/>
      <c r="AC54" s="19"/>
      <c r="AD54" s="19"/>
      <c r="AE54" s="31"/>
      <c r="AF54" s="23"/>
      <c r="AG54" s="23"/>
      <c r="AH54" s="23"/>
      <c r="AI54" s="23"/>
      <c r="AJ54" s="34"/>
      <c r="AL54" s="16"/>
      <c r="AN54" s="16"/>
      <c r="AP54" s="11" t="s">
        <v>6</v>
      </c>
      <c r="AQ54" s="12" t="str">
        <f>VLOOKUP(LOWER(AS48),experiments_specs!$A:$J,7,FALSE)</f>
        <v>False</v>
      </c>
      <c r="AR54" s="15" t="s">
        <v>116</v>
      </c>
      <c r="AS54" s="6"/>
      <c r="AT54" s="19"/>
      <c r="AU54" s="19"/>
      <c r="AV54" s="19"/>
      <c r="AW54" s="19"/>
      <c r="AX54" s="31"/>
      <c r="AY54" s="23"/>
      <c r="AZ54" s="23"/>
      <c r="BA54" s="23"/>
      <c r="BB54" s="23"/>
      <c r="BC54" s="34"/>
      <c r="BE54" s="16"/>
    </row>
    <row r="55" spans="2:57" x14ac:dyDescent="0.2">
      <c r="B55" s="16"/>
      <c r="D55" s="11" t="s">
        <v>7</v>
      </c>
      <c r="E55" s="12" t="str">
        <f>VLOOKUP(LOWER(G48),experiments_specs!$A:$J,8,FALSE)</f>
        <v>True</v>
      </c>
      <c r="F55" s="15" t="s">
        <v>104</v>
      </c>
      <c r="G55" s="6"/>
      <c r="H55" s="19"/>
      <c r="I55" s="19"/>
      <c r="J55" s="19"/>
      <c r="K55" s="19"/>
      <c r="L55" s="31"/>
      <c r="M55" s="23"/>
      <c r="N55" s="23"/>
      <c r="O55" s="23"/>
      <c r="P55" s="23"/>
      <c r="Q55" s="34"/>
      <c r="S55" s="16"/>
      <c r="U55" s="16"/>
      <c r="W55" s="11" t="s">
        <v>7</v>
      </c>
      <c r="X55" s="12" t="str">
        <f>VLOOKUP(LOWER(Z48),experiments_specs!$A:$J,8,FALSE)</f>
        <v>True</v>
      </c>
      <c r="Y55" s="15" t="s">
        <v>110</v>
      </c>
      <c r="Z55" s="6" t="s">
        <v>16</v>
      </c>
      <c r="AA55" s="19"/>
      <c r="AB55" s="19"/>
      <c r="AC55" s="19"/>
      <c r="AD55" s="19"/>
      <c r="AE55" s="31"/>
      <c r="AF55" s="23"/>
      <c r="AG55" s="23"/>
      <c r="AH55" s="23"/>
      <c r="AI55" s="23"/>
      <c r="AJ55" s="34"/>
      <c r="AL55" s="16"/>
      <c r="AN55" s="16"/>
      <c r="AP55" s="11" t="s">
        <v>7</v>
      </c>
      <c r="AQ55" s="12" t="str">
        <f>VLOOKUP(LOWER(AS48),experiments_specs!$A:$J,8,FALSE)</f>
        <v>True</v>
      </c>
      <c r="AR55" s="15" t="s">
        <v>116</v>
      </c>
      <c r="AS55" s="6"/>
      <c r="AT55" s="19"/>
      <c r="AU55" s="19"/>
      <c r="AV55" s="19"/>
      <c r="AW55" s="19"/>
      <c r="AX55" s="31"/>
      <c r="AY55" s="23"/>
      <c r="AZ55" s="23"/>
      <c r="BA55" s="23"/>
      <c r="BB55" s="23"/>
      <c r="BC55" s="34"/>
      <c r="BE55" s="16"/>
    </row>
    <row r="56" spans="2:57" x14ac:dyDescent="0.2">
      <c r="B56" s="16"/>
      <c r="D56" s="11" t="s">
        <v>8</v>
      </c>
      <c r="E56" s="12" t="str">
        <f>VLOOKUP(LOWER(G48),experiments_specs!$A:$J,9,FALSE)</f>
        <v>wup_similarity</v>
      </c>
      <c r="F56" s="15" t="s">
        <v>104</v>
      </c>
      <c r="G56" s="6"/>
      <c r="H56" s="19"/>
      <c r="I56" s="19"/>
      <c r="J56" s="19"/>
      <c r="K56" s="19"/>
      <c r="L56" s="31"/>
      <c r="M56" s="22"/>
      <c r="N56" s="22"/>
      <c r="O56" s="22"/>
      <c r="P56" s="22"/>
      <c r="Q56" s="34"/>
      <c r="S56" s="16"/>
      <c r="U56" s="16"/>
      <c r="W56" s="11" t="s">
        <v>8</v>
      </c>
      <c r="X56" s="12" t="str">
        <f>VLOOKUP(LOWER(Z48),experiments_specs!$A:$J,9,FALSE)</f>
        <v>wup_similarity</v>
      </c>
      <c r="Y56" s="15" t="s">
        <v>110</v>
      </c>
      <c r="Z56" s="6" t="s">
        <v>17</v>
      </c>
      <c r="AA56" s="18"/>
      <c r="AB56" s="18"/>
      <c r="AC56" s="18"/>
      <c r="AD56" s="18"/>
      <c r="AE56" s="31"/>
      <c r="AF56" s="23"/>
      <c r="AG56" s="23"/>
      <c r="AH56" s="23"/>
      <c r="AI56" s="23"/>
      <c r="AJ56" s="34"/>
      <c r="AL56" s="16"/>
      <c r="AN56" s="16"/>
      <c r="AP56" s="11" t="s">
        <v>8</v>
      </c>
      <c r="AQ56" s="12" t="str">
        <f>VLOOKUP(LOWER(AS48),experiments_specs!$A:$J,9,FALSE)</f>
        <v>wup_similarity</v>
      </c>
      <c r="AR56" s="15" t="s">
        <v>116</v>
      </c>
      <c r="AS56" s="6"/>
      <c r="AT56" s="18"/>
      <c r="AU56" s="18"/>
      <c r="AV56" s="18"/>
      <c r="AW56" s="18"/>
      <c r="AX56" s="31"/>
      <c r="AY56" s="23"/>
      <c r="AZ56" s="23"/>
      <c r="BA56" s="23"/>
      <c r="BB56" s="23"/>
      <c r="BC56" s="34"/>
      <c r="BE56" s="16"/>
    </row>
    <row r="57" spans="2:57" x14ac:dyDescent="0.2">
      <c r="B57" s="16"/>
      <c r="D57" s="11" t="s">
        <v>9</v>
      </c>
      <c r="E57" s="12" t="str">
        <f>VLOOKUP(LOWER(G48),experiments_specs!$A:$J,10,FALSE)</f>
        <v>False</v>
      </c>
      <c r="F57" s="15" t="s">
        <v>104</v>
      </c>
      <c r="G57" s="7"/>
      <c r="H57" s="20"/>
      <c r="I57" s="20"/>
      <c r="J57" s="20"/>
      <c r="K57" s="20"/>
      <c r="L57" s="32"/>
      <c r="M57" s="24"/>
      <c r="N57" s="24"/>
      <c r="O57" s="24"/>
      <c r="P57" s="24"/>
      <c r="Q57" s="35"/>
      <c r="S57" s="16"/>
      <c r="U57" s="16"/>
      <c r="W57" s="11" t="s">
        <v>9</v>
      </c>
      <c r="X57" s="12" t="str">
        <f>VLOOKUP(LOWER(Z48),experiments_specs!$A:$J,10,FALSE)</f>
        <v>False</v>
      </c>
      <c r="Y57" s="15" t="s">
        <v>110</v>
      </c>
      <c r="Z57" s="7" t="s">
        <v>18</v>
      </c>
      <c r="AA57" s="20"/>
      <c r="AB57" s="20"/>
      <c r="AC57" s="20"/>
      <c r="AD57" s="20"/>
      <c r="AE57" s="32"/>
      <c r="AF57" s="24"/>
      <c r="AG57" s="24"/>
      <c r="AH57" s="24"/>
      <c r="AI57" s="24"/>
      <c r="AJ57" s="35"/>
      <c r="AL57" s="16"/>
      <c r="AN57" s="16"/>
      <c r="AP57" s="11" t="s">
        <v>9</v>
      </c>
      <c r="AQ57" s="12" t="str">
        <f>VLOOKUP(LOWER(AS48),experiments_specs!$A:$J,10,FALSE)</f>
        <v>True</v>
      </c>
      <c r="AR57" s="15" t="s">
        <v>116</v>
      </c>
      <c r="AS57" s="7"/>
      <c r="AT57" s="20"/>
      <c r="AU57" s="20"/>
      <c r="AV57" s="20"/>
      <c r="AW57" s="20"/>
      <c r="AX57" s="32"/>
      <c r="AY57" s="24"/>
      <c r="AZ57" s="24"/>
      <c r="BA57" s="24"/>
      <c r="BB57" s="24"/>
      <c r="BC57" s="35"/>
      <c r="BE57" s="16"/>
    </row>
    <row r="58" spans="2:57" ht="17" thickBot="1" x14ac:dyDescent="0.25">
      <c r="B58" s="16"/>
      <c r="S58" s="16"/>
      <c r="U58" s="16"/>
      <c r="AL58" s="16"/>
      <c r="AN58" s="16"/>
      <c r="BE58" s="16"/>
    </row>
    <row r="59" spans="2:57" ht="20" thickBot="1" x14ac:dyDescent="0.3">
      <c r="B59" s="16"/>
      <c r="D59" s="13" t="s">
        <v>126</v>
      </c>
      <c r="E59" s="14"/>
      <c r="F59" s="9"/>
      <c r="G59" s="10" t="str">
        <f>"TEST_"&amp;TEXT(RIGHT(G48,2)+1, "00")</f>
        <v>TEST_78</v>
      </c>
      <c r="H59" s="36" t="s">
        <v>124</v>
      </c>
      <c r="I59" s="36"/>
      <c r="J59" s="36"/>
      <c r="K59" s="36"/>
      <c r="L59" s="36"/>
      <c r="M59" s="37" t="s">
        <v>123</v>
      </c>
      <c r="N59" s="37"/>
      <c r="O59" s="37"/>
      <c r="P59" s="37"/>
      <c r="Q59" s="37"/>
      <c r="R59" s="2"/>
      <c r="S59" s="16"/>
      <c r="U59" s="16"/>
      <c r="W59" s="13" t="s">
        <v>126</v>
      </c>
      <c r="X59" s="14"/>
      <c r="Y59" s="9"/>
      <c r="Z59" s="10" t="str">
        <f>"TEST_"&amp;TEXT(RIGHT(Z48,2)+1, "00")</f>
        <v>TEST_84</v>
      </c>
      <c r="AA59" s="36" t="s">
        <v>124</v>
      </c>
      <c r="AB59" s="36"/>
      <c r="AC59" s="36"/>
      <c r="AD59" s="36"/>
      <c r="AE59" s="36"/>
      <c r="AF59" s="37" t="s">
        <v>123</v>
      </c>
      <c r="AG59" s="37"/>
      <c r="AH59" s="37"/>
      <c r="AI59" s="37"/>
      <c r="AJ59" s="37"/>
      <c r="AK59" s="2"/>
      <c r="AL59" s="16"/>
      <c r="AN59" s="16"/>
      <c r="AP59" s="13" t="s">
        <v>126</v>
      </c>
      <c r="AQ59" s="14"/>
      <c r="AR59" s="9"/>
      <c r="AS59" s="10" t="str">
        <f>"TEST_"&amp;TEXT(RIGHT(AS48,2)+1, "00")</f>
        <v>TEST_90</v>
      </c>
      <c r="AT59" s="36" t="s">
        <v>124</v>
      </c>
      <c r="AU59" s="36"/>
      <c r="AV59" s="36"/>
      <c r="AW59" s="36"/>
      <c r="AX59" s="36"/>
      <c r="AY59" s="37" t="s">
        <v>123</v>
      </c>
      <c r="AZ59" s="37"/>
      <c r="BA59" s="37"/>
      <c r="BB59" s="37"/>
      <c r="BC59" s="37"/>
      <c r="BD59" s="2"/>
      <c r="BE59" s="16"/>
    </row>
    <row r="60" spans="2:57" x14ac:dyDescent="0.2">
      <c r="B60" s="16"/>
      <c r="D60" s="11" t="s">
        <v>1</v>
      </c>
      <c r="E60" s="12" t="str">
        <f>VLOOKUP(LOWER(G59),experiments_specs!$A:$J,2,FALSE)</f>
        <v>NN,JJ,VB,VBD,VBG,VBN,VBP,VBZ</v>
      </c>
      <c r="F60" s="15" t="str">
        <f>"{"&amp;LOWER(G59)&amp;".csv}"</f>
        <v>{test_78.csv}</v>
      </c>
      <c r="G60" s="8" t="s">
        <v>118</v>
      </c>
      <c r="H60" s="3" t="s">
        <v>119</v>
      </c>
      <c r="I60" s="3" t="s">
        <v>182</v>
      </c>
      <c r="J60" s="3" t="s">
        <v>120</v>
      </c>
      <c r="K60" s="3" t="s">
        <v>182</v>
      </c>
      <c r="L60" s="3" t="s">
        <v>121</v>
      </c>
      <c r="M60" s="4" t="s">
        <v>122</v>
      </c>
      <c r="N60" s="4" t="s">
        <v>182</v>
      </c>
      <c r="O60" s="4" t="s">
        <v>120</v>
      </c>
      <c r="P60" s="4" t="s">
        <v>182</v>
      </c>
      <c r="Q60" s="4" t="s">
        <v>121</v>
      </c>
      <c r="S60" s="16"/>
      <c r="U60" s="16"/>
      <c r="W60" s="11" t="s">
        <v>1</v>
      </c>
      <c r="X60" s="12" t="str">
        <f>VLOOKUP(LOWER(Z59),experiments_specs!$A:$J,2,FALSE)</f>
        <v>NN,JJ,VB,VBD,VBG,VBN,VBP,VBZ</v>
      </c>
      <c r="Y60" s="15" t="str">
        <f>"{"&amp;LOWER(Z59)&amp;".csv}"</f>
        <v>{test_84.csv}</v>
      </c>
      <c r="Z60" s="8" t="s">
        <v>118</v>
      </c>
      <c r="AA60" s="3" t="s">
        <v>119</v>
      </c>
      <c r="AB60" s="3" t="s">
        <v>182</v>
      </c>
      <c r="AC60" s="3" t="s">
        <v>120</v>
      </c>
      <c r="AD60" s="3" t="s">
        <v>182</v>
      </c>
      <c r="AE60" s="3" t="s">
        <v>121</v>
      </c>
      <c r="AF60" s="4" t="s">
        <v>122</v>
      </c>
      <c r="AG60" s="4" t="s">
        <v>182</v>
      </c>
      <c r="AH60" s="4" t="s">
        <v>120</v>
      </c>
      <c r="AI60" s="4" t="s">
        <v>182</v>
      </c>
      <c r="AJ60" s="4" t="s">
        <v>121</v>
      </c>
      <c r="AL60" s="16"/>
      <c r="AN60" s="16"/>
      <c r="AP60" s="11" t="s">
        <v>1</v>
      </c>
      <c r="AQ60" s="12" t="str">
        <f>VLOOKUP(LOWER(AS59),experiments_specs!$A:$J,2,FALSE)</f>
        <v>NN,JJ,VB,VBD,VBG,VBN,VBP,VBZ</v>
      </c>
      <c r="AR60" s="15" t="str">
        <f>"{"&amp;LOWER(AS59)&amp;".csv}"</f>
        <v>{test_90.csv}</v>
      </c>
      <c r="AS60" s="8" t="s">
        <v>118</v>
      </c>
      <c r="AT60" s="3" t="s">
        <v>119</v>
      </c>
      <c r="AU60" s="3" t="s">
        <v>182</v>
      </c>
      <c r="AV60" s="3" t="s">
        <v>120</v>
      </c>
      <c r="AW60" s="3" t="s">
        <v>182</v>
      </c>
      <c r="AX60" s="3" t="s">
        <v>121</v>
      </c>
      <c r="AY60" s="4" t="s">
        <v>122</v>
      </c>
      <c r="AZ60" s="4" t="s">
        <v>182</v>
      </c>
      <c r="BA60" s="4" t="s">
        <v>120</v>
      </c>
      <c r="BB60" s="4" t="s">
        <v>182</v>
      </c>
      <c r="BC60" s="4" t="s">
        <v>121</v>
      </c>
      <c r="BE60" s="16"/>
    </row>
    <row r="61" spans="2:57" x14ac:dyDescent="0.2">
      <c r="B61" s="16"/>
      <c r="D61" s="11" t="s">
        <v>2</v>
      </c>
      <c r="E61" s="12">
        <f>VLOOKUP(LOWER(G59),experiments_specs!$A:$J,3,FALSE)</f>
        <v>1</v>
      </c>
      <c r="F61" s="15" t="s">
        <v>105</v>
      </c>
      <c r="G61" s="5"/>
      <c r="H61" s="17"/>
      <c r="I61" s="17"/>
      <c r="J61" s="17"/>
      <c r="K61" s="17"/>
      <c r="L61" s="30"/>
      <c r="M61" s="21"/>
      <c r="N61" s="21"/>
      <c r="O61" s="21"/>
      <c r="P61" s="21"/>
      <c r="Q61" s="33"/>
      <c r="S61" s="16"/>
      <c r="U61" s="16"/>
      <c r="W61" s="11" t="s">
        <v>2</v>
      </c>
      <c r="X61" s="12">
        <f>VLOOKUP(LOWER(Z59),experiments_specs!$A:$J,3,FALSE)</f>
        <v>1</v>
      </c>
      <c r="Y61" s="15" t="s">
        <v>111</v>
      </c>
      <c r="Z61" s="5" t="s">
        <v>19</v>
      </c>
      <c r="AA61" s="17"/>
      <c r="AB61" s="17"/>
      <c r="AC61" s="17"/>
      <c r="AD61" s="17"/>
      <c r="AE61" s="30"/>
      <c r="AF61" s="21"/>
      <c r="AG61" s="21"/>
      <c r="AH61" s="21"/>
      <c r="AI61" s="21"/>
      <c r="AJ61" s="33"/>
      <c r="AL61" s="16"/>
      <c r="AN61" s="16"/>
      <c r="AP61" s="11" t="s">
        <v>2</v>
      </c>
      <c r="AQ61" s="12">
        <f>VLOOKUP(LOWER(AS59),experiments_specs!$A:$J,3,FALSE)</f>
        <v>1</v>
      </c>
      <c r="AR61" s="15" t="s">
        <v>117</v>
      </c>
      <c r="AS61" s="5"/>
      <c r="AT61" s="17"/>
      <c r="AU61" s="17"/>
      <c r="AV61" s="17"/>
      <c r="AW61" s="17"/>
      <c r="AX61" s="30"/>
      <c r="AY61" s="21"/>
      <c r="AZ61" s="21"/>
      <c r="BA61" s="21"/>
      <c r="BB61" s="21"/>
      <c r="BC61" s="33"/>
      <c r="BE61" s="16"/>
    </row>
    <row r="62" spans="2:57" x14ac:dyDescent="0.2">
      <c r="B62" s="16"/>
      <c r="D62" s="11" t="s">
        <v>3</v>
      </c>
      <c r="E62" s="12">
        <f>VLOOKUP(LOWER(G59),experiments_specs!$A:$J,4,FALSE)</f>
        <v>2</v>
      </c>
      <c r="F62" s="15" t="s">
        <v>105</v>
      </c>
      <c r="G62" s="6"/>
      <c r="H62" s="18"/>
      <c r="I62" s="18"/>
      <c r="J62" s="18"/>
      <c r="K62" s="18"/>
      <c r="L62" s="31"/>
      <c r="M62" s="22"/>
      <c r="N62" s="22"/>
      <c r="O62" s="22"/>
      <c r="P62" s="22"/>
      <c r="Q62" s="34"/>
      <c r="S62" s="16"/>
      <c r="U62" s="16"/>
      <c r="W62" s="11" t="s">
        <v>3</v>
      </c>
      <c r="X62" s="12">
        <f>VLOOKUP(LOWER(Z59),experiments_specs!$A:$J,4,FALSE)</f>
        <v>2</v>
      </c>
      <c r="Y62" s="15" t="s">
        <v>111</v>
      </c>
      <c r="Z62" s="6" t="s">
        <v>12</v>
      </c>
      <c r="AA62" s="18"/>
      <c r="AB62" s="18"/>
      <c r="AC62" s="18"/>
      <c r="AD62" s="18"/>
      <c r="AE62" s="31"/>
      <c r="AF62" s="23"/>
      <c r="AG62" s="23"/>
      <c r="AH62" s="23"/>
      <c r="AI62" s="23"/>
      <c r="AJ62" s="34"/>
      <c r="AL62" s="16"/>
      <c r="AN62" s="16"/>
      <c r="AP62" s="11" t="s">
        <v>3</v>
      </c>
      <c r="AQ62" s="12">
        <f>VLOOKUP(LOWER(AS59),experiments_specs!$A:$J,4,FALSE)</f>
        <v>2</v>
      </c>
      <c r="AR62" s="15" t="s">
        <v>117</v>
      </c>
      <c r="AS62" s="6"/>
      <c r="AT62" s="18"/>
      <c r="AU62" s="18"/>
      <c r="AV62" s="18"/>
      <c r="AW62" s="18"/>
      <c r="AX62" s="31"/>
      <c r="AY62" s="23"/>
      <c r="AZ62" s="23"/>
      <c r="BA62" s="23"/>
      <c r="BB62" s="23"/>
      <c r="BC62" s="34"/>
      <c r="BE62" s="16"/>
    </row>
    <row r="63" spans="2:57" x14ac:dyDescent="0.2">
      <c r="B63" s="16"/>
      <c r="D63" s="11" t="s">
        <v>4</v>
      </c>
      <c r="E63" s="12" t="str">
        <f>VLOOKUP(LOWER(G59),experiments_specs!$A:$J,5,FALSE)</f>
        <v>False</v>
      </c>
      <c r="F63" s="15" t="s">
        <v>105</v>
      </c>
      <c r="G63" s="6"/>
      <c r="H63" s="19"/>
      <c r="I63" s="19"/>
      <c r="J63" s="19"/>
      <c r="K63" s="19"/>
      <c r="L63" s="31"/>
      <c r="M63" s="22"/>
      <c r="N63" s="22"/>
      <c r="O63" s="22"/>
      <c r="P63" s="22"/>
      <c r="Q63" s="34"/>
      <c r="S63" s="16"/>
      <c r="U63" s="16"/>
      <c r="W63" s="11" t="s">
        <v>4</v>
      </c>
      <c r="X63" s="12" t="str">
        <f>VLOOKUP(LOWER(Z59),experiments_specs!$A:$J,5,FALSE)</f>
        <v>True</v>
      </c>
      <c r="Y63" s="15" t="s">
        <v>111</v>
      </c>
      <c r="Z63" s="6" t="s">
        <v>13</v>
      </c>
      <c r="AA63" s="19"/>
      <c r="AB63" s="19"/>
      <c r="AC63" s="19"/>
      <c r="AD63" s="19"/>
      <c r="AE63" s="31"/>
      <c r="AF63" s="22"/>
      <c r="AG63" s="22"/>
      <c r="AH63" s="22"/>
      <c r="AI63" s="22"/>
      <c r="AJ63" s="34"/>
      <c r="AL63" s="16"/>
      <c r="AN63" s="16"/>
      <c r="AP63" s="11" t="s">
        <v>4</v>
      </c>
      <c r="AQ63" s="12" t="str">
        <f>VLOOKUP(LOWER(AS59),experiments_specs!$A:$J,5,FALSE)</f>
        <v>True</v>
      </c>
      <c r="AR63" s="15" t="s">
        <v>117</v>
      </c>
      <c r="AS63" s="6"/>
      <c r="AT63" s="19"/>
      <c r="AU63" s="19"/>
      <c r="AV63" s="19"/>
      <c r="AW63" s="19"/>
      <c r="AX63" s="31"/>
      <c r="AY63" s="22"/>
      <c r="AZ63" s="22"/>
      <c r="BA63" s="22"/>
      <c r="BB63" s="22"/>
      <c r="BC63" s="34"/>
      <c r="BE63" s="16"/>
    </row>
    <row r="64" spans="2:57" x14ac:dyDescent="0.2">
      <c r="B64" s="16"/>
      <c r="D64" s="11" t="s">
        <v>5</v>
      </c>
      <c r="E64" s="12" t="str">
        <f>VLOOKUP(LOWER(G59),experiments_specs!$A:$J,6,FALSE)</f>
        <v>False</v>
      </c>
      <c r="F64" s="15" t="s">
        <v>105</v>
      </c>
      <c r="G64" s="6"/>
      <c r="H64" s="19"/>
      <c r="I64" s="19"/>
      <c r="J64" s="19"/>
      <c r="K64" s="19"/>
      <c r="L64" s="31"/>
      <c r="M64" s="22"/>
      <c r="N64" s="22"/>
      <c r="O64" s="22"/>
      <c r="P64" s="22"/>
      <c r="Q64" s="34"/>
      <c r="S64" s="16"/>
      <c r="U64" s="16"/>
      <c r="W64" s="11" t="s">
        <v>5</v>
      </c>
      <c r="X64" s="12" t="str">
        <f>VLOOKUP(LOWER(Z59),experiments_specs!$A:$J,6,FALSE)</f>
        <v>False</v>
      </c>
      <c r="Y64" s="15" t="s">
        <v>111</v>
      </c>
      <c r="Z64" s="6" t="s">
        <v>14</v>
      </c>
      <c r="AA64" s="18"/>
      <c r="AB64" s="18"/>
      <c r="AC64" s="18"/>
      <c r="AD64" s="18"/>
      <c r="AE64" s="31"/>
      <c r="AF64" s="23"/>
      <c r="AG64" s="23"/>
      <c r="AH64" s="23"/>
      <c r="AI64" s="23"/>
      <c r="AJ64" s="34"/>
      <c r="AL64" s="16"/>
      <c r="AN64" s="16"/>
      <c r="AP64" s="11" t="s">
        <v>5</v>
      </c>
      <c r="AQ64" s="12" t="str">
        <f>VLOOKUP(LOWER(AS59),experiments_specs!$A:$J,6,FALSE)</f>
        <v>False</v>
      </c>
      <c r="AR64" s="15" t="s">
        <v>117</v>
      </c>
      <c r="AS64" s="6"/>
      <c r="AT64" s="18"/>
      <c r="AU64" s="18"/>
      <c r="AV64" s="18"/>
      <c r="AW64" s="18"/>
      <c r="AX64" s="31"/>
      <c r="AY64" s="23"/>
      <c r="AZ64" s="23"/>
      <c r="BA64" s="23"/>
      <c r="BB64" s="23"/>
      <c r="BC64" s="34"/>
      <c r="BE64" s="16"/>
    </row>
    <row r="65" spans="2:57" x14ac:dyDescent="0.2">
      <c r="B65" s="16"/>
      <c r="D65" s="11" t="s">
        <v>6</v>
      </c>
      <c r="E65" s="12" t="str">
        <f>VLOOKUP(LOWER(G59),experiments_specs!$A:$J,7,FALSE)</f>
        <v>False</v>
      </c>
      <c r="F65" s="15" t="s">
        <v>105</v>
      </c>
      <c r="G65" s="6"/>
      <c r="H65" s="19"/>
      <c r="I65" s="19"/>
      <c r="J65" s="19"/>
      <c r="K65" s="19"/>
      <c r="L65" s="31"/>
      <c r="M65" s="23"/>
      <c r="N65" s="23"/>
      <c r="O65" s="23"/>
      <c r="P65" s="23"/>
      <c r="Q65" s="34"/>
      <c r="S65" s="16"/>
      <c r="U65" s="16"/>
      <c r="W65" s="11" t="s">
        <v>6</v>
      </c>
      <c r="X65" s="12" t="str">
        <f>VLOOKUP(LOWER(Z59),experiments_specs!$A:$J,7,FALSE)</f>
        <v>False</v>
      </c>
      <c r="Y65" s="15" t="s">
        <v>111</v>
      </c>
      <c r="Z65" s="6" t="s">
        <v>15</v>
      </c>
      <c r="AA65" s="19"/>
      <c r="AB65" s="19"/>
      <c r="AC65" s="19"/>
      <c r="AD65" s="19"/>
      <c r="AE65" s="31"/>
      <c r="AF65" s="23"/>
      <c r="AG65" s="23"/>
      <c r="AH65" s="23"/>
      <c r="AI65" s="23"/>
      <c r="AJ65" s="34"/>
      <c r="AL65" s="16"/>
      <c r="AN65" s="16"/>
      <c r="AP65" s="11" t="s">
        <v>6</v>
      </c>
      <c r="AQ65" s="12" t="str">
        <f>VLOOKUP(LOWER(AS59),experiments_specs!$A:$J,7,FALSE)</f>
        <v>False</v>
      </c>
      <c r="AR65" s="15" t="s">
        <v>117</v>
      </c>
      <c r="AS65" s="6"/>
      <c r="AT65" s="19"/>
      <c r="AU65" s="19"/>
      <c r="AV65" s="19"/>
      <c r="AW65" s="19"/>
      <c r="AX65" s="31"/>
      <c r="AY65" s="23"/>
      <c r="AZ65" s="23"/>
      <c r="BA65" s="23"/>
      <c r="BB65" s="23"/>
      <c r="BC65" s="34"/>
      <c r="BE65" s="16"/>
    </row>
    <row r="66" spans="2:57" x14ac:dyDescent="0.2">
      <c r="B66" s="16"/>
      <c r="D66" s="11" t="s">
        <v>7</v>
      </c>
      <c r="E66" s="12" t="str">
        <f>VLOOKUP(LOWER(G59),experiments_specs!$A:$J,8,FALSE)</f>
        <v>True</v>
      </c>
      <c r="F66" s="15" t="s">
        <v>105</v>
      </c>
      <c r="G66" s="6"/>
      <c r="H66" s="19"/>
      <c r="I66" s="19"/>
      <c r="J66" s="19"/>
      <c r="K66" s="19"/>
      <c r="L66" s="31"/>
      <c r="M66" s="23"/>
      <c r="N66" s="23"/>
      <c r="O66" s="23"/>
      <c r="P66" s="23"/>
      <c r="Q66" s="34"/>
      <c r="S66" s="16"/>
      <c r="U66" s="16"/>
      <c r="W66" s="11" t="s">
        <v>7</v>
      </c>
      <c r="X66" s="12" t="str">
        <f>VLOOKUP(LOWER(Z59),experiments_specs!$A:$J,8,FALSE)</f>
        <v>True</v>
      </c>
      <c r="Y66" s="15" t="s">
        <v>111</v>
      </c>
      <c r="Z66" s="6" t="s">
        <v>16</v>
      </c>
      <c r="AA66" s="19"/>
      <c r="AB66" s="19"/>
      <c r="AC66" s="19"/>
      <c r="AD66" s="19"/>
      <c r="AE66" s="31"/>
      <c r="AF66" s="23"/>
      <c r="AG66" s="23"/>
      <c r="AH66" s="23"/>
      <c r="AI66" s="23"/>
      <c r="AJ66" s="34"/>
      <c r="AL66" s="16"/>
      <c r="AN66" s="16"/>
      <c r="AP66" s="11" t="s">
        <v>7</v>
      </c>
      <c r="AQ66" s="12" t="str">
        <f>VLOOKUP(LOWER(AS59),experiments_specs!$A:$J,8,FALSE)</f>
        <v>True</v>
      </c>
      <c r="AR66" s="15" t="s">
        <v>117</v>
      </c>
      <c r="AS66" s="6"/>
      <c r="AT66" s="19"/>
      <c r="AU66" s="19"/>
      <c r="AV66" s="19"/>
      <c r="AW66" s="19"/>
      <c r="AX66" s="31"/>
      <c r="AY66" s="23"/>
      <c r="AZ66" s="23"/>
      <c r="BA66" s="23"/>
      <c r="BB66" s="23"/>
      <c r="BC66" s="34"/>
      <c r="BE66" s="16"/>
    </row>
    <row r="67" spans="2:57" x14ac:dyDescent="0.2">
      <c r="B67" s="16"/>
      <c r="D67" s="11" t="s">
        <v>8</v>
      </c>
      <c r="E67" s="12" t="str">
        <f>VLOOKUP(LOWER(G59),experiments_specs!$A:$J,9,FALSE)</f>
        <v>wup_similarity</v>
      </c>
      <c r="F67" s="15" t="s">
        <v>105</v>
      </c>
      <c r="G67" s="6"/>
      <c r="H67" s="19"/>
      <c r="I67" s="19"/>
      <c r="J67" s="19"/>
      <c r="K67" s="19"/>
      <c r="L67" s="31"/>
      <c r="M67" s="22"/>
      <c r="N67" s="22"/>
      <c r="O67" s="22"/>
      <c r="P67" s="22"/>
      <c r="Q67" s="34"/>
      <c r="S67" s="16"/>
      <c r="U67" s="16"/>
      <c r="W67" s="11" t="s">
        <v>8</v>
      </c>
      <c r="X67" s="12" t="str">
        <f>VLOOKUP(LOWER(Z59),experiments_specs!$A:$J,9,FALSE)</f>
        <v>wup_similarity</v>
      </c>
      <c r="Y67" s="15" t="s">
        <v>111</v>
      </c>
      <c r="Z67" s="6" t="s">
        <v>17</v>
      </c>
      <c r="AA67" s="19"/>
      <c r="AB67" s="19"/>
      <c r="AC67" s="19"/>
      <c r="AD67" s="19"/>
      <c r="AE67" s="31"/>
      <c r="AF67" s="22"/>
      <c r="AG67" s="22"/>
      <c r="AH67" s="22"/>
      <c r="AI67" s="22"/>
      <c r="AJ67" s="34"/>
      <c r="AL67" s="16"/>
      <c r="AN67" s="16"/>
      <c r="AP67" s="11" t="s">
        <v>8</v>
      </c>
      <c r="AQ67" s="12" t="str">
        <f>VLOOKUP(LOWER(AS59),experiments_specs!$A:$J,9,FALSE)</f>
        <v>wup_similarity</v>
      </c>
      <c r="AR67" s="15" t="s">
        <v>117</v>
      </c>
      <c r="AS67" s="6"/>
      <c r="AT67" s="18"/>
      <c r="AU67" s="18"/>
      <c r="AV67" s="18"/>
      <c r="AW67" s="18"/>
      <c r="AX67" s="31"/>
      <c r="AY67" s="23"/>
      <c r="AZ67" s="23"/>
      <c r="BA67" s="23"/>
      <c r="BB67" s="23"/>
      <c r="BC67" s="34"/>
      <c r="BE67" s="16"/>
    </row>
    <row r="68" spans="2:57" x14ac:dyDescent="0.2">
      <c r="B68" s="16"/>
      <c r="D68" s="11" t="s">
        <v>9</v>
      </c>
      <c r="E68" s="12" t="str">
        <f>VLOOKUP(LOWER(G59),experiments_specs!$A:$J,10,FALSE)</f>
        <v>False</v>
      </c>
      <c r="F68" s="15" t="s">
        <v>105</v>
      </c>
      <c r="G68" s="7"/>
      <c r="H68" s="20"/>
      <c r="I68" s="20"/>
      <c r="J68" s="20"/>
      <c r="K68" s="20"/>
      <c r="L68" s="32"/>
      <c r="M68" s="24"/>
      <c r="N68" s="24"/>
      <c r="O68" s="24"/>
      <c r="P68" s="24"/>
      <c r="Q68" s="35"/>
      <c r="S68" s="16"/>
      <c r="U68" s="16"/>
      <c r="W68" s="11" t="s">
        <v>9</v>
      </c>
      <c r="X68" s="12" t="str">
        <f>VLOOKUP(LOWER(Z59),experiments_specs!$A:$J,10,FALSE)</f>
        <v>False</v>
      </c>
      <c r="Y68" s="15" t="s">
        <v>111</v>
      </c>
      <c r="Z68" s="7" t="s">
        <v>18</v>
      </c>
      <c r="AA68" s="20"/>
      <c r="AB68" s="20"/>
      <c r="AC68" s="20"/>
      <c r="AD68" s="20"/>
      <c r="AE68" s="32"/>
      <c r="AF68" s="24"/>
      <c r="AG68" s="24"/>
      <c r="AH68" s="24"/>
      <c r="AI68" s="24"/>
      <c r="AJ68" s="35"/>
      <c r="AL68" s="16"/>
      <c r="AN68" s="16"/>
      <c r="AP68" s="11" t="s">
        <v>9</v>
      </c>
      <c r="AQ68" s="12" t="str">
        <f>VLOOKUP(LOWER(AS59),experiments_specs!$A:$J,10,FALSE)</f>
        <v>True</v>
      </c>
      <c r="AR68" s="15" t="s">
        <v>117</v>
      </c>
      <c r="AS68" s="7"/>
      <c r="AT68" s="20"/>
      <c r="AU68" s="20"/>
      <c r="AV68" s="20"/>
      <c r="AW68" s="20"/>
      <c r="AX68" s="32"/>
      <c r="AY68" s="24"/>
      <c r="AZ68" s="24"/>
      <c r="BA68" s="24"/>
      <c r="BB68" s="24"/>
      <c r="BC68" s="35"/>
      <c r="BE68" s="16"/>
    </row>
    <row r="69" spans="2:57" x14ac:dyDescent="0.2">
      <c r="B69" s="16"/>
      <c r="S69" s="16"/>
      <c r="U69" s="16"/>
      <c r="AL69" s="16"/>
      <c r="AN69" s="16"/>
      <c r="BE69" s="16"/>
    </row>
    <row r="70" spans="2:57" x14ac:dyDescent="0.2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</row>
  </sheetData>
  <mergeCells count="39">
    <mergeCell ref="AY15:BC15"/>
    <mergeCell ref="D2:Q2"/>
    <mergeCell ref="W2:AJ2"/>
    <mergeCell ref="AP2:BC2"/>
    <mergeCell ref="H4:L4"/>
    <mergeCell ref="M4:Q4"/>
    <mergeCell ref="AA4:AE4"/>
    <mergeCell ref="AF4:AJ4"/>
    <mergeCell ref="AT4:AX4"/>
    <mergeCell ref="AY4:BC4"/>
    <mergeCell ref="H15:L15"/>
    <mergeCell ref="M15:Q15"/>
    <mergeCell ref="AA15:AE15"/>
    <mergeCell ref="AF15:AJ15"/>
    <mergeCell ref="AT15:AX15"/>
    <mergeCell ref="AY37:BC37"/>
    <mergeCell ref="H26:L26"/>
    <mergeCell ref="M26:Q26"/>
    <mergeCell ref="AA26:AE26"/>
    <mergeCell ref="AF26:AJ26"/>
    <mergeCell ref="AT26:AX26"/>
    <mergeCell ref="AY26:BC26"/>
    <mergeCell ref="H37:L37"/>
    <mergeCell ref="M37:Q37"/>
    <mergeCell ref="AA37:AE37"/>
    <mergeCell ref="AF37:AJ37"/>
    <mergeCell ref="AT37:AX37"/>
    <mergeCell ref="AY59:BC59"/>
    <mergeCell ref="H48:L48"/>
    <mergeCell ref="M48:Q48"/>
    <mergeCell ref="AA48:AE48"/>
    <mergeCell ref="AF48:AJ48"/>
    <mergeCell ref="AT48:AX48"/>
    <mergeCell ref="AY48:BC48"/>
    <mergeCell ref="H59:L59"/>
    <mergeCell ref="M59:Q59"/>
    <mergeCell ref="AA59:AE59"/>
    <mergeCell ref="AF59:AJ59"/>
    <mergeCell ref="AT59:AX5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A7348-3735-E746-801B-610D87A806D8}">
  <sheetPr codeName="Foglio2"/>
  <dimension ref="A1:V298"/>
  <sheetViews>
    <sheetView workbookViewId="0">
      <selection activeCell="M1" sqref="M1"/>
    </sheetView>
  </sheetViews>
  <sheetFormatPr baseColWidth="10" defaultRowHeight="17" customHeight="1" x14ac:dyDescent="0.2"/>
  <cols>
    <col min="1" max="1" width="8.33203125" customWidth="1"/>
    <col min="2" max="2" width="6.5" customWidth="1"/>
    <col min="3" max="3" width="6.6640625" customWidth="1"/>
    <col min="4" max="4" width="6.5" customWidth="1"/>
    <col min="5" max="5" width="7.6640625" customWidth="1"/>
    <col min="6" max="6" width="10" customWidth="1"/>
    <col min="7" max="7" width="10.33203125" customWidth="1"/>
    <col min="8" max="8" width="9" customWidth="1"/>
    <col min="9" max="9" width="13.33203125" bestFit="1" customWidth="1"/>
    <col min="10" max="10" width="5.83203125" customWidth="1"/>
    <col min="11" max="11" width="17.33203125" customWidth="1"/>
    <col min="12" max="12" width="20" customWidth="1"/>
    <col min="13" max="13" width="11.83203125" customWidth="1"/>
    <col min="14" max="14" width="21.5" customWidth="1"/>
    <col min="15" max="15" width="11.83203125" customWidth="1"/>
    <col min="16" max="16" width="12.83203125" customWidth="1"/>
    <col min="17" max="17" width="20.33203125" bestFit="1" customWidth="1"/>
    <col min="18" max="18" width="11.83203125" customWidth="1"/>
    <col min="19" max="19" width="28.5" bestFit="1" customWidth="1"/>
    <col min="20" max="20" width="11.83203125" customWidth="1"/>
    <col min="21" max="21" width="11.83203125" style="26" customWidth="1"/>
    <col min="22" max="22" width="19.83203125" style="26" customWidth="1"/>
  </cols>
  <sheetData>
    <row r="1" spans="1:22" s="1" customFormat="1" ht="76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49</v>
      </c>
      <c r="L1" s="1" t="s">
        <v>50</v>
      </c>
      <c r="M1" s="1" t="s">
        <v>212</v>
      </c>
      <c r="N1" s="1" t="s">
        <v>51</v>
      </c>
      <c r="O1" s="43" t="s">
        <v>213</v>
      </c>
      <c r="P1" s="1" t="s">
        <v>54</v>
      </c>
      <c r="Q1" s="1" t="s">
        <v>52</v>
      </c>
      <c r="R1" s="1" t="s">
        <v>214</v>
      </c>
      <c r="S1" s="1" t="s">
        <v>53</v>
      </c>
      <c r="T1" s="1" t="s">
        <v>181</v>
      </c>
      <c r="U1" s="25" t="s">
        <v>55</v>
      </c>
      <c r="V1" s="25"/>
    </row>
    <row r="2" spans="1:22" ht="16" x14ac:dyDescent="0.2">
      <c r="A2" s="40"/>
      <c r="B2" s="40" t="e">
        <f>VLOOKUP(Tabella1[[#This Row],[test_id]],experiments_specs!A:J,2,FALSE)</f>
        <v>#N/A</v>
      </c>
      <c r="C2" s="40" t="e">
        <f>VLOOKUP(Tabella1[[#This Row],[test_id]],experiments_specs!A:J,3,FALSE)</f>
        <v>#N/A</v>
      </c>
      <c r="D2" s="40" t="e">
        <f>VLOOKUP(Tabella1[[#This Row],[test_id]],experiments_specs!A:J,4,FALSE)</f>
        <v>#N/A</v>
      </c>
      <c r="E2" s="40" t="e">
        <f>VLOOKUP(Tabella1[[#This Row],[test_id]],experiments_specs!A:J,5,FALSE)</f>
        <v>#N/A</v>
      </c>
      <c r="F2" s="40" t="e">
        <f>VLOOKUP(Tabella1[[#This Row],[test_id]],experiments_specs!A:J,6,FALSE)</f>
        <v>#N/A</v>
      </c>
      <c r="G2" s="40" t="e">
        <f>VLOOKUP(Tabella1[[#This Row],[test_id]],experiments_specs!A:J,7,FALSE)</f>
        <v>#N/A</v>
      </c>
      <c r="H2" s="40" t="e">
        <f>VLOOKUP(Tabella1[[#This Row],[test_id]],experiments_specs!A:J,8,FALSE)</f>
        <v>#N/A</v>
      </c>
      <c r="I2" s="40" t="e">
        <f>VLOOKUP(Tabella1[[#This Row],[test_id]],experiments_specs!A:J,9,FALSE)</f>
        <v>#N/A</v>
      </c>
      <c r="J2" s="40" t="e">
        <f>VLOOKUP(Tabella1[[#This Row],[test_id]],experiments_specs!A:J,10,FALSE)</f>
        <v>#N/A</v>
      </c>
      <c r="K2" s="44"/>
      <c r="L2" s="40"/>
      <c r="M2" s="40"/>
      <c r="N2" s="40"/>
      <c r="O2" s="40"/>
      <c r="P2" s="40"/>
      <c r="Q2" s="40"/>
      <c r="R2" s="40"/>
      <c r="S2" s="40"/>
      <c r="T2" s="40"/>
      <c r="U2" s="41"/>
    </row>
    <row r="3" spans="1:22" ht="34" x14ac:dyDescent="0.2">
      <c r="A3" s="40" t="s">
        <v>72</v>
      </c>
      <c r="B3" s="42" t="str">
        <f>VLOOKUP(Tabella1[[#This Row],[test_id]],experiments_specs!A:J,2,FALSE)</f>
        <v>NN,VB</v>
      </c>
      <c r="C3" s="42">
        <f>VLOOKUP(Tabella1[[#This Row],[test_id]],experiments_specs!A:J,3,FALSE)</f>
        <v>1</v>
      </c>
      <c r="D3" s="42">
        <f>VLOOKUP(Tabella1[[#This Row],[test_id]],experiments_specs!A:J,4,FALSE)</f>
        <v>2</v>
      </c>
      <c r="E3" s="42" t="str">
        <f>VLOOKUP(Tabella1[[#This Row],[test_id]],experiments_specs!A:J,5,FALSE)</f>
        <v>True</v>
      </c>
      <c r="F3" s="42" t="str">
        <f>VLOOKUP(Tabella1[[#This Row],[test_id]],experiments_specs!A:J,6,FALSE)</f>
        <v>True</v>
      </c>
      <c r="G3" s="42" t="str">
        <f>VLOOKUP(Tabella1[[#This Row],[test_id]],experiments_specs!A:J,7,FALSE)</f>
        <v>False</v>
      </c>
      <c r="H3" s="42" t="str">
        <f>VLOOKUP(Tabella1[[#This Row],[test_id]],experiments_specs!A:J,8,FALSE)</f>
        <v>False</v>
      </c>
      <c r="I3" s="42" t="str">
        <f>VLOOKUP(Tabella1[[#This Row],[test_id]],experiments_specs!A:J,9,FALSE)</f>
        <v>wup_similarity</v>
      </c>
      <c r="J3" s="42" t="str">
        <f>VLOOKUP(Tabella1[[#This Row],[test_id]],experiments_specs!A:J,10,FALSE)</f>
        <v>False</v>
      </c>
      <c r="K3" s="44" t="s">
        <v>19</v>
      </c>
      <c r="L3" s="40" t="s">
        <v>20</v>
      </c>
      <c r="M3" s="40" t="s">
        <v>185</v>
      </c>
      <c r="N3" s="40" t="s">
        <v>21</v>
      </c>
      <c r="O3" s="40" t="s">
        <v>188</v>
      </c>
      <c r="P3" s="40">
        <v>0.19047619047619047</v>
      </c>
      <c r="Q3" s="40" t="s">
        <v>47</v>
      </c>
      <c r="R3" s="40">
        <v>0</v>
      </c>
      <c r="S3" s="40" t="s">
        <v>48</v>
      </c>
      <c r="T3" s="40">
        <v>2.3426064E-2</v>
      </c>
      <c r="U3" s="41">
        <v>0.2</v>
      </c>
    </row>
    <row r="4" spans="1:22" ht="34" x14ac:dyDescent="0.2">
      <c r="A4" s="40" t="s">
        <v>72</v>
      </c>
      <c r="B4" s="42" t="str">
        <f>VLOOKUP(Tabella1[[#This Row],[test_id]],experiments_specs!A:J,2,FALSE)</f>
        <v>NN,VB</v>
      </c>
      <c r="C4" s="42">
        <f>VLOOKUP(Tabella1[[#This Row],[test_id]],experiments_specs!A:J,3,FALSE)</f>
        <v>1</v>
      </c>
      <c r="D4" s="42">
        <f>VLOOKUP(Tabella1[[#This Row],[test_id]],experiments_specs!A:J,4,FALSE)</f>
        <v>2</v>
      </c>
      <c r="E4" s="42" t="str">
        <f>VLOOKUP(Tabella1[[#This Row],[test_id]],experiments_specs!A:J,5,FALSE)</f>
        <v>True</v>
      </c>
      <c r="F4" s="42" t="str">
        <f>VLOOKUP(Tabella1[[#This Row],[test_id]],experiments_specs!A:J,6,FALSE)</f>
        <v>True</v>
      </c>
      <c r="G4" s="42" t="str">
        <f>VLOOKUP(Tabella1[[#This Row],[test_id]],experiments_specs!A:J,7,FALSE)</f>
        <v>False</v>
      </c>
      <c r="H4" s="42" t="str">
        <f>VLOOKUP(Tabella1[[#This Row],[test_id]],experiments_specs!A:J,8,FALSE)</f>
        <v>False</v>
      </c>
      <c r="I4" s="42" t="str">
        <f>VLOOKUP(Tabella1[[#This Row],[test_id]],experiments_specs!A:J,9,FALSE)</f>
        <v>wup_similarity</v>
      </c>
      <c r="J4" s="42" t="str">
        <f>VLOOKUP(Tabella1[[#This Row],[test_id]],experiments_specs!A:J,10,FALSE)</f>
        <v>False</v>
      </c>
      <c r="K4" s="44" t="s">
        <v>12</v>
      </c>
      <c r="L4" s="40" t="s">
        <v>22</v>
      </c>
      <c r="M4" s="40">
        <v>0.11026356900000001</v>
      </c>
      <c r="N4" s="40" t="s">
        <v>23</v>
      </c>
      <c r="O4" s="40">
        <v>3.6466247E-2</v>
      </c>
      <c r="P4" s="40">
        <v>0.42857142857142855</v>
      </c>
      <c r="Q4" s="40" t="s">
        <v>24</v>
      </c>
      <c r="R4" s="40">
        <v>5.5131784000000003E-2</v>
      </c>
      <c r="S4" s="40" t="s">
        <v>23</v>
      </c>
      <c r="T4" s="40">
        <v>4.0518052999999998E-2</v>
      </c>
      <c r="U4" s="41">
        <v>0.42857142857142855</v>
      </c>
    </row>
    <row r="5" spans="1:22" ht="34" x14ac:dyDescent="0.2">
      <c r="A5" s="40" t="s">
        <v>72</v>
      </c>
      <c r="B5" s="42" t="str">
        <f>VLOOKUP(Tabella1[[#This Row],[test_id]],experiments_specs!A:J,2,FALSE)</f>
        <v>NN,VB</v>
      </c>
      <c r="C5" s="42">
        <f>VLOOKUP(Tabella1[[#This Row],[test_id]],experiments_specs!A:J,3,FALSE)</f>
        <v>1</v>
      </c>
      <c r="D5" s="42">
        <f>VLOOKUP(Tabella1[[#This Row],[test_id]],experiments_specs!A:J,4,FALSE)</f>
        <v>2</v>
      </c>
      <c r="E5" s="42" t="str">
        <f>VLOOKUP(Tabella1[[#This Row],[test_id]],experiments_specs!A:J,5,FALSE)</f>
        <v>True</v>
      </c>
      <c r="F5" s="42" t="str">
        <f>VLOOKUP(Tabella1[[#This Row],[test_id]],experiments_specs!A:J,6,FALSE)</f>
        <v>True</v>
      </c>
      <c r="G5" s="42" t="str">
        <f>VLOOKUP(Tabella1[[#This Row],[test_id]],experiments_specs!A:J,7,FALSE)</f>
        <v>False</v>
      </c>
      <c r="H5" s="42" t="str">
        <f>VLOOKUP(Tabella1[[#This Row],[test_id]],experiments_specs!A:J,8,FALSE)</f>
        <v>False</v>
      </c>
      <c r="I5" s="42" t="str">
        <f>VLOOKUP(Tabella1[[#This Row],[test_id]],experiments_specs!A:J,9,FALSE)</f>
        <v>wup_similarity</v>
      </c>
      <c r="J5" s="42" t="str">
        <f>VLOOKUP(Tabella1[[#This Row],[test_id]],experiments_specs!A:J,10,FALSE)</f>
        <v>False</v>
      </c>
      <c r="K5" s="44" t="s">
        <v>13</v>
      </c>
      <c r="L5" s="40" t="s">
        <v>32</v>
      </c>
      <c r="M5" s="40">
        <v>0.14744195600000001</v>
      </c>
      <c r="N5" s="40" t="s">
        <v>33</v>
      </c>
      <c r="O5" s="40">
        <v>3.3509535E-2</v>
      </c>
      <c r="P5" s="40">
        <v>0.4</v>
      </c>
      <c r="Q5" s="40" t="s">
        <v>34</v>
      </c>
      <c r="R5" s="40">
        <v>0</v>
      </c>
      <c r="S5" s="40" t="s">
        <v>35</v>
      </c>
      <c r="T5" s="40">
        <v>2.8354221999999998E-2</v>
      </c>
      <c r="U5" s="41" t="s">
        <v>25</v>
      </c>
    </row>
    <row r="6" spans="1:22" ht="34" x14ac:dyDescent="0.2">
      <c r="A6" s="40" t="s">
        <v>72</v>
      </c>
      <c r="B6" s="42" t="str">
        <f>VLOOKUP(Tabella1[[#This Row],[test_id]],experiments_specs!A:J,2,FALSE)</f>
        <v>NN,VB</v>
      </c>
      <c r="C6" s="42">
        <f>VLOOKUP(Tabella1[[#This Row],[test_id]],experiments_specs!A:J,3,FALSE)</f>
        <v>1</v>
      </c>
      <c r="D6" s="42">
        <f>VLOOKUP(Tabella1[[#This Row],[test_id]],experiments_specs!A:J,4,FALSE)</f>
        <v>2</v>
      </c>
      <c r="E6" s="42" t="str">
        <f>VLOOKUP(Tabella1[[#This Row],[test_id]],experiments_specs!A:J,5,FALSE)</f>
        <v>True</v>
      </c>
      <c r="F6" s="42" t="str">
        <f>VLOOKUP(Tabella1[[#This Row],[test_id]],experiments_specs!A:J,6,FALSE)</f>
        <v>True</v>
      </c>
      <c r="G6" s="42" t="str">
        <f>VLOOKUP(Tabella1[[#This Row],[test_id]],experiments_specs!A:J,7,FALSE)</f>
        <v>False</v>
      </c>
      <c r="H6" s="42" t="str">
        <f>VLOOKUP(Tabella1[[#This Row],[test_id]],experiments_specs!A:J,8,FALSE)</f>
        <v>False</v>
      </c>
      <c r="I6" s="42" t="str">
        <f>VLOOKUP(Tabella1[[#This Row],[test_id]],experiments_specs!A:J,9,FALSE)</f>
        <v>wup_similarity</v>
      </c>
      <c r="J6" s="42" t="str">
        <f>VLOOKUP(Tabella1[[#This Row],[test_id]],experiments_specs!A:J,10,FALSE)</f>
        <v>False</v>
      </c>
      <c r="K6" s="44" t="s">
        <v>14</v>
      </c>
      <c r="L6" s="40" t="s">
        <v>36</v>
      </c>
      <c r="M6" s="40" t="s">
        <v>191</v>
      </c>
      <c r="N6" s="40" t="s">
        <v>37</v>
      </c>
      <c r="O6" s="40" t="s">
        <v>194</v>
      </c>
      <c r="P6" s="40">
        <v>0.33333333333333331</v>
      </c>
      <c r="Q6" s="40" t="s">
        <v>38</v>
      </c>
      <c r="R6" s="40" t="s">
        <v>197</v>
      </c>
      <c r="S6" s="40" t="s">
        <v>37</v>
      </c>
      <c r="T6" s="40" t="s">
        <v>199</v>
      </c>
      <c r="U6" s="41">
        <v>0.33333333333333331</v>
      </c>
    </row>
    <row r="7" spans="1:22" ht="34" x14ac:dyDescent="0.2">
      <c r="A7" s="40" t="s">
        <v>72</v>
      </c>
      <c r="B7" s="42" t="str">
        <f>VLOOKUP(Tabella1[[#This Row],[test_id]],experiments_specs!A:J,2,FALSE)</f>
        <v>NN,VB</v>
      </c>
      <c r="C7" s="42">
        <f>VLOOKUP(Tabella1[[#This Row],[test_id]],experiments_specs!A:J,3,FALSE)</f>
        <v>1</v>
      </c>
      <c r="D7" s="42">
        <f>VLOOKUP(Tabella1[[#This Row],[test_id]],experiments_specs!A:J,4,FALSE)</f>
        <v>2</v>
      </c>
      <c r="E7" s="42" t="str">
        <f>VLOOKUP(Tabella1[[#This Row],[test_id]],experiments_specs!A:J,5,FALSE)</f>
        <v>True</v>
      </c>
      <c r="F7" s="42" t="str">
        <f>VLOOKUP(Tabella1[[#This Row],[test_id]],experiments_specs!A:J,6,FALSE)</f>
        <v>True</v>
      </c>
      <c r="G7" s="42" t="str">
        <f>VLOOKUP(Tabella1[[#This Row],[test_id]],experiments_specs!A:J,7,FALSE)</f>
        <v>False</v>
      </c>
      <c r="H7" s="42" t="str">
        <f>VLOOKUP(Tabella1[[#This Row],[test_id]],experiments_specs!A:J,8,FALSE)</f>
        <v>False</v>
      </c>
      <c r="I7" s="42" t="str">
        <f>VLOOKUP(Tabella1[[#This Row],[test_id]],experiments_specs!A:J,9,FALSE)</f>
        <v>wup_similarity</v>
      </c>
      <c r="J7" s="42" t="str">
        <f>VLOOKUP(Tabella1[[#This Row],[test_id]],experiments_specs!A:J,10,FALSE)</f>
        <v>False</v>
      </c>
      <c r="K7" s="44" t="s">
        <v>15</v>
      </c>
      <c r="L7" s="40" t="s">
        <v>26</v>
      </c>
      <c r="M7" s="40">
        <v>0.15617376099999999</v>
      </c>
      <c r="N7" s="40" t="s">
        <v>27</v>
      </c>
      <c r="O7" s="40">
        <v>1.5617376000000001E-2</v>
      </c>
      <c r="P7" s="40">
        <v>0.16666666666666666</v>
      </c>
      <c r="Q7" s="40" t="s">
        <v>28</v>
      </c>
      <c r="R7" s="40" t="s">
        <v>202</v>
      </c>
      <c r="S7" s="40" t="s">
        <v>29</v>
      </c>
      <c r="T7" s="40" t="s">
        <v>205</v>
      </c>
      <c r="U7" s="41">
        <v>0.18181818181818182</v>
      </c>
    </row>
    <row r="8" spans="1:22" ht="34" x14ac:dyDescent="0.2">
      <c r="A8" s="40" t="s">
        <v>72</v>
      </c>
      <c r="B8" s="42" t="str">
        <f>VLOOKUP(Tabella1[[#This Row],[test_id]],experiments_specs!A:J,2,FALSE)</f>
        <v>NN,VB</v>
      </c>
      <c r="C8" s="42">
        <f>VLOOKUP(Tabella1[[#This Row],[test_id]],experiments_specs!A:J,3,FALSE)</f>
        <v>1</v>
      </c>
      <c r="D8" s="42">
        <f>VLOOKUP(Tabella1[[#This Row],[test_id]],experiments_specs!A:J,4,FALSE)</f>
        <v>2</v>
      </c>
      <c r="E8" s="42" t="str">
        <f>VLOOKUP(Tabella1[[#This Row],[test_id]],experiments_specs!A:J,5,FALSE)</f>
        <v>True</v>
      </c>
      <c r="F8" s="42" t="str">
        <f>VLOOKUP(Tabella1[[#This Row],[test_id]],experiments_specs!A:J,6,FALSE)</f>
        <v>True</v>
      </c>
      <c r="G8" s="42" t="str">
        <f>VLOOKUP(Tabella1[[#This Row],[test_id]],experiments_specs!A:J,7,FALSE)</f>
        <v>False</v>
      </c>
      <c r="H8" s="42" t="str">
        <f>VLOOKUP(Tabella1[[#This Row],[test_id]],experiments_specs!A:J,8,FALSE)</f>
        <v>False</v>
      </c>
      <c r="I8" s="42" t="str">
        <f>VLOOKUP(Tabella1[[#This Row],[test_id]],experiments_specs!A:J,9,FALSE)</f>
        <v>wup_similarity</v>
      </c>
      <c r="J8" s="42" t="str">
        <f>VLOOKUP(Tabella1[[#This Row],[test_id]],experiments_specs!A:J,10,FALSE)</f>
        <v>False</v>
      </c>
      <c r="K8" s="44" t="s">
        <v>16</v>
      </c>
      <c r="L8" s="40" t="s">
        <v>39</v>
      </c>
      <c r="M8" s="40">
        <v>6.4549722000000004E-2</v>
      </c>
      <c r="N8" s="40" t="s">
        <v>40</v>
      </c>
      <c r="O8" s="40">
        <v>2.0143830000000001E-2</v>
      </c>
      <c r="P8" s="40">
        <v>0.22222222222222221</v>
      </c>
      <c r="Q8" s="40" t="s">
        <v>41</v>
      </c>
      <c r="R8" s="40">
        <v>4.1666665999999998E-2</v>
      </c>
      <c r="S8" s="40" t="s">
        <v>40</v>
      </c>
      <c r="T8" s="40">
        <v>2.0143830000000001E-2</v>
      </c>
      <c r="U8" s="41">
        <v>0.22222222222222221</v>
      </c>
    </row>
    <row r="9" spans="1:22" ht="34" x14ac:dyDescent="0.2">
      <c r="A9" s="40" t="s">
        <v>72</v>
      </c>
      <c r="B9" s="42" t="str">
        <f>VLOOKUP(Tabella1[[#This Row],[test_id]],experiments_specs!A:J,2,FALSE)</f>
        <v>NN,VB</v>
      </c>
      <c r="C9" s="42">
        <f>VLOOKUP(Tabella1[[#This Row],[test_id]],experiments_specs!A:J,3,FALSE)</f>
        <v>1</v>
      </c>
      <c r="D9" s="42">
        <f>VLOOKUP(Tabella1[[#This Row],[test_id]],experiments_specs!A:J,4,FALSE)</f>
        <v>2</v>
      </c>
      <c r="E9" s="42" t="str">
        <f>VLOOKUP(Tabella1[[#This Row],[test_id]],experiments_specs!A:J,5,FALSE)</f>
        <v>True</v>
      </c>
      <c r="F9" s="42" t="str">
        <f>VLOOKUP(Tabella1[[#This Row],[test_id]],experiments_specs!A:J,6,FALSE)</f>
        <v>True</v>
      </c>
      <c r="G9" s="42" t="str">
        <f>VLOOKUP(Tabella1[[#This Row],[test_id]],experiments_specs!A:J,7,FALSE)</f>
        <v>False</v>
      </c>
      <c r="H9" s="42" t="str">
        <f>VLOOKUP(Tabella1[[#This Row],[test_id]],experiments_specs!A:J,8,FALSE)</f>
        <v>False</v>
      </c>
      <c r="I9" s="42" t="str">
        <f>VLOOKUP(Tabella1[[#This Row],[test_id]],experiments_specs!A:J,9,FALSE)</f>
        <v>wup_similarity</v>
      </c>
      <c r="J9" s="42" t="str">
        <f>VLOOKUP(Tabella1[[#This Row],[test_id]],experiments_specs!A:J,10,FALSE)</f>
        <v>False</v>
      </c>
      <c r="K9" s="44" t="s">
        <v>17</v>
      </c>
      <c r="L9" s="40" t="s">
        <v>30</v>
      </c>
      <c r="M9" s="40">
        <v>0.102868899</v>
      </c>
      <c r="N9" s="40" t="s">
        <v>31</v>
      </c>
      <c r="O9" s="40">
        <v>3.0860669E-2</v>
      </c>
      <c r="P9" s="40">
        <v>0.22222222222222221</v>
      </c>
      <c r="Q9" s="40" t="s">
        <v>43</v>
      </c>
      <c r="R9" s="40" t="s">
        <v>208</v>
      </c>
      <c r="S9" s="40" t="s">
        <v>42</v>
      </c>
      <c r="T9" s="40" t="s">
        <v>211</v>
      </c>
      <c r="U9" s="41">
        <v>0.30769230769230771</v>
      </c>
    </row>
    <row r="10" spans="1:22" ht="34" x14ac:dyDescent="0.2">
      <c r="A10" s="40" t="s">
        <v>72</v>
      </c>
      <c r="B10" s="42" t="str">
        <f>VLOOKUP(Tabella1[[#This Row],[test_id]],experiments_specs!A:J,2,FALSE)</f>
        <v>NN,VB</v>
      </c>
      <c r="C10" s="42">
        <f>VLOOKUP(Tabella1[[#This Row],[test_id]],experiments_specs!A:J,3,FALSE)</f>
        <v>1</v>
      </c>
      <c r="D10" s="42">
        <f>VLOOKUP(Tabella1[[#This Row],[test_id]],experiments_specs!A:J,4,FALSE)</f>
        <v>2</v>
      </c>
      <c r="E10" s="42" t="str">
        <f>VLOOKUP(Tabella1[[#This Row],[test_id]],experiments_specs!A:J,5,FALSE)</f>
        <v>True</v>
      </c>
      <c r="F10" s="42" t="str">
        <f>VLOOKUP(Tabella1[[#This Row],[test_id]],experiments_specs!A:J,6,FALSE)</f>
        <v>True</v>
      </c>
      <c r="G10" s="42" t="str">
        <f>VLOOKUP(Tabella1[[#This Row],[test_id]],experiments_specs!A:J,7,FALSE)</f>
        <v>False</v>
      </c>
      <c r="H10" s="42" t="str">
        <f>VLOOKUP(Tabella1[[#This Row],[test_id]],experiments_specs!A:J,8,FALSE)</f>
        <v>False</v>
      </c>
      <c r="I10" s="42" t="str">
        <f>VLOOKUP(Tabella1[[#This Row],[test_id]],experiments_specs!A:J,9,FALSE)</f>
        <v>wup_similarity</v>
      </c>
      <c r="J10" s="42" t="str">
        <f>VLOOKUP(Tabella1[[#This Row],[test_id]],experiments_specs!A:J,10,FALSE)</f>
        <v>False</v>
      </c>
      <c r="K10" s="44" t="s">
        <v>18</v>
      </c>
      <c r="L10" s="40" t="s">
        <v>44</v>
      </c>
      <c r="M10" s="40">
        <v>3.5267279999999998E-2</v>
      </c>
      <c r="N10" s="40" t="s">
        <v>45</v>
      </c>
      <c r="O10" s="40">
        <v>1.4253101000000001E-2</v>
      </c>
      <c r="P10" s="40">
        <v>0.21052631578947367</v>
      </c>
      <c r="Q10" s="40" t="s">
        <v>46</v>
      </c>
      <c r="R10" s="40">
        <v>0</v>
      </c>
      <c r="S10" s="40" t="s">
        <v>45</v>
      </c>
      <c r="T10" s="40">
        <v>1.4253101000000001E-2</v>
      </c>
      <c r="U10" s="41">
        <v>0.21052631578947367</v>
      </c>
    </row>
    <row r="11" spans="1:22" ht="16" x14ac:dyDescent="0.2"/>
    <row r="12" spans="1:22" ht="16" x14ac:dyDescent="0.2"/>
    <row r="13" spans="1:22" ht="16" x14ac:dyDescent="0.2"/>
    <row r="14" spans="1:22" ht="16" x14ac:dyDescent="0.2"/>
    <row r="15" spans="1:22" ht="16" x14ac:dyDescent="0.2"/>
    <row r="16" spans="1:22" ht="16" x14ac:dyDescent="0.2"/>
    <row r="17" ht="16" x14ac:dyDescent="0.2"/>
    <row r="18" ht="16" x14ac:dyDescent="0.2"/>
    <row r="19" ht="16" x14ac:dyDescent="0.2"/>
    <row r="20" ht="16" x14ac:dyDescent="0.2"/>
    <row r="21" ht="16" x14ac:dyDescent="0.2"/>
    <row r="22" ht="16" x14ac:dyDescent="0.2"/>
    <row r="23" ht="16" x14ac:dyDescent="0.2"/>
    <row r="24" ht="16" x14ac:dyDescent="0.2"/>
    <row r="25" ht="16" x14ac:dyDescent="0.2"/>
    <row r="26" ht="16" x14ac:dyDescent="0.2"/>
    <row r="27" ht="16" x14ac:dyDescent="0.2"/>
    <row r="28" ht="16" x14ac:dyDescent="0.2"/>
    <row r="29" ht="16" x14ac:dyDescent="0.2"/>
    <row r="30" ht="16" x14ac:dyDescent="0.2"/>
    <row r="31" ht="16" x14ac:dyDescent="0.2"/>
    <row r="32" ht="16" x14ac:dyDescent="0.2"/>
    <row r="33" ht="16" x14ac:dyDescent="0.2"/>
    <row r="34" ht="16" x14ac:dyDescent="0.2"/>
    <row r="35" ht="16" x14ac:dyDescent="0.2"/>
    <row r="36" ht="16" x14ac:dyDescent="0.2"/>
    <row r="37" ht="16" x14ac:dyDescent="0.2"/>
    <row r="38" ht="16" x14ac:dyDescent="0.2"/>
    <row r="39" ht="16" x14ac:dyDescent="0.2"/>
    <row r="40" ht="16" x14ac:dyDescent="0.2"/>
    <row r="41" ht="16" x14ac:dyDescent="0.2"/>
    <row r="42" ht="16" x14ac:dyDescent="0.2"/>
    <row r="43" ht="16" x14ac:dyDescent="0.2"/>
    <row r="44" ht="16" x14ac:dyDescent="0.2"/>
    <row r="45" ht="16" x14ac:dyDescent="0.2"/>
    <row r="46" ht="16" x14ac:dyDescent="0.2"/>
    <row r="47" ht="16" x14ac:dyDescent="0.2"/>
    <row r="48" ht="16" x14ac:dyDescent="0.2"/>
    <row r="49" ht="16" x14ac:dyDescent="0.2"/>
    <row r="50" ht="16" x14ac:dyDescent="0.2"/>
    <row r="51" ht="16" x14ac:dyDescent="0.2"/>
    <row r="52" ht="16" x14ac:dyDescent="0.2"/>
    <row r="53" ht="16" x14ac:dyDescent="0.2"/>
    <row r="54" ht="16" x14ac:dyDescent="0.2"/>
    <row r="55" ht="16" x14ac:dyDescent="0.2"/>
    <row r="56" ht="16" x14ac:dyDescent="0.2"/>
    <row r="57" ht="16" x14ac:dyDescent="0.2"/>
    <row r="58" ht="16" x14ac:dyDescent="0.2"/>
    <row r="59" ht="16" x14ac:dyDescent="0.2"/>
    <row r="60" ht="16" x14ac:dyDescent="0.2"/>
    <row r="61" ht="16" x14ac:dyDescent="0.2"/>
    <row r="62" ht="16" x14ac:dyDescent="0.2"/>
    <row r="63" ht="16" x14ac:dyDescent="0.2"/>
    <row r="64" ht="16" x14ac:dyDescent="0.2"/>
    <row r="65" ht="16" x14ac:dyDescent="0.2"/>
    <row r="66" ht="16" x14ac:dyDescent="0.2"/>
    <row r="67" ht="16" x14ac:dyDescent="0.2"/>
    <row r="68" ht="16" x14ac:dyDescent="0.2"/>
    <row r="69" ht="16" x14ac:dyDescent="0.2"/>
    <row r="70" ht="16" x14ac:dyDescent="0.2"/>
    <row r="71" ht="16" x14ac:dyDescent="0.2"/>
    <row r="72" ht="16" x14ac:dyDescent="0.2"/>
    <row r="73" ht="16" x14ac:dyDescent="0.2"/>
    <row r="74" ht="16" x14ac:dyDescent="0.2"/>
    <row r="75" ht="16" x14ac:dyDescent="0.2"/>
    <row r="76" ht="16" x14ac:dyDescent="0.2"/>
    <row r="77" ht="16" x14ac:dyDescent="0.2"/>
    <row r="78" ht="16" x14ac:dyDescent="0.2"/>
    <row r="79" ht="16" x14ac:dyDescent="0.2"/>
    <row r="80" ht="16" x14ac:dyDescent="0.2"/>
    <row r="81" ht="16" x14ac:dyDescent="0.2"/>
    <row r="82" ht="16" x14ac:dyDescent="0.2"/>
    <row r="83" ht="16" x14ac:dyDescent="0.2"/>
    <row r="84" ht="16" x14ac:dyDescent="0.2"/>
    <row r="85" ht="16" x14ac:dyDescent="0.2"/>
    <row r="86" ht="16" x14ac:dyDescent="0.2"/>
    <row r="87" ht="16" x14ac:dyDescent="0.2"/>
    <row r="88" ht="16" x14ac:dyDescent="0.2"/>
    <row r="89" ht="16" x14ac:dyDescent="0.2"/>
    <row r="90" ht="16" x14ac:dyDescent="0.2"/>
    <row r="91" ht="16" x14ac:dyDescent="0.2"/>
    <row r="92" ht="16" x14ac:dyDescent="0.2"/>
    <row r="93" ht="16" x14ac:dyDescent="0.2"/>
    <row r="94" ht="16" x14ac:dyDescent="0.2"/>
    <row r="95" ht="16" x14ac:dyDescent="0.2"/>
    <row r="96" ht="16" x14ac:dyDescent="0.2"/>
    <row r="97" ht="16" x14ac:dyDescent="0.2"/>
    <row r="98" ht="16" x14ac:dyDescent="0.2"/>
    <row r="99" ht="16" x14ac:dyDescent="0.2"/>
    <row r="100" ht="16" x14ac:dyDescent="0.2"/>
    <row r="101" ht="16" x14ac:dyDescent="0.2"/>
    <row r="102" ht="16" x14ac:dyDescent="0.2"/>
    <row r="103" ht="16" x14ac:dyDescent="0.2"/>
    <row r="104" ht="16" x14ac:dyDescent="0.2"/>
    <row r="105" ht="16" x14ac:dyDescent="0.2"/>
    <row r="106" ht="16" x14ac:dyDescent="0.2"/>
    <row r="107" ht="16" x14ac:dyDescent="0.2"/>
    <row r="108" ht="16" x14ac:dyDescent="0.2"/>
    <row r="109" ht="16" x14ac:dyDescent="0.2"/>
    <row r="110" ht="16" x14ac:dyDescent="0.2"/>
    <row r="111" ht="16" x14ac:dyDescent="0.2"/>
    <row r="112" ht="16" x14ac:dyDescent="0.2"/>
    <row r="113" ht="16" x14ac:dyDescent="0.2"/>
    <row r="114" ht="16" x14ac:dyDescent="0.2"/>
    <row r="115" ht="16" x14ac:dyDescent="0.2"/>
    <row r="116" ht="16" x14ac:dyDescent="0.2"/>
    <row r="117" ht="16" x14ac:dyDescent="0.2"/>
    <row r="118" ht="16" x14ac:dyDescent="0.2"/>
    <row r="119" ht="16" x14ac:dyDescent="0.2"/>
    <row r="120" ht="16" x14ac:dyDescent="0.2"/>
    <row r="121" ht="16" x14ac:dyDescent="0.2"/>
    <row r="122" ht="16" x14ac:dyDescent="0.2"/>
    <row r="123" ht="16" x14ac:dyDescent="0.2"/>
    <row r="124" ht="16" x14ac:dyDescent="0.2"/>
    <row r="125" ht="16" x14ac:dyDescent="0.2"/>
    <row r="126" ht="16" x14ac:dyDescent="0.2"/>
    <row r="127" ht="16" x14ac:dyDescent="0.2"/>
    <row r="128" ht="16" x14ac:dyDescent="0.2"/>
    <row r="129" ht="16" x14ac:dyDescent="0.2"/>
    <row r="130" ht="16" x14ac:dyDescent="0.2"/>
    <row r="131" ht="16" x14ac:dyDescent="0.2"/>
    <row r="132" ht="16" x14ac:dyDescent="0.2"/>
    <row r="133" ht="16" x14ac:dyDescent="0.2"/>
    <row r="134" ht="16" x14ac:dyDescent="0.2"/>
    <row r="135" ht="16" x14ac:dyDescent="0.2"/>
    <row r="136" ht="16" x14ac:dyDescent="0.2"/>
    <row r="137" ht="16" x14ac:dyDescent="0.2"/>
    <row r="138" ht="16" x14ac:dyDescent="0.2"/>
    <row r="139" ht="16" x14ac:dyDescent="0.2"/>
    <row r="140" ht="16" x14ac:dyDescent="0.2"/>
    <row r="141" ht="16" x14ac:dyDescent="0.2"/>
    <row r="142" ht="16" x14ac:dyDescent="0.2"/>
    <row r="143" ht="16" x14ac:dyDescent="0.2"/>
    <row r="144" ht="16" x14ac:dyDescent="0.2"/>
    <row r="145" ht="16" x14ac:dyDescent="0.2"/>
    <row r="146" ht="16" x14ac:dyDescent="0.2"/>
    <row r="147" ht="16" x14ac:dyDescent="0.2"/>
    <row r="148" ht="16" x14ac:dyDescent="0.2"/>
    <row r="149" ht="16" x14ac:dyDescent="0.2"/>
    <row r="150" ht="16" x14ac:dyDescent="0.2"/>
    <row r="151" ht="16" x14ac:dyDescent="0.2"/>
    <row r="152" ht="16" x14ac:dyDescent="0.2"/>
    <row r="153" ht="16" x14ac:dyDescent="0.2"/>
    <row r="154" ht="16" x14ac:dyDescent="0.2"/>
    <row r="155" ht="16" x14ac:dyDescent="0.2"/>
    <row r="156" ht="16" x14ac:dyDescent="0.2"/>
    <row r="157" ht="16" x14ac:dyDescent="0.2"/>
    <row r="158" ht="16" x14ac:dyDescent="0.2"/>
    <row r="159" ht="16" x14ac:dyDescent="0.2"/>
    <row r="160" ht="16" x14ac:dyDescent="0.2"/>
    <row r="161" ht="16" x14ac:dyDescent="0.2"/>
    <row r="162" ht="16" x14ac:dyDescent="0.2"/>
    <row r="163" ht="16" x14ac:dyDescent="0.2"/>
    <row r="164" ht="16" x14ac:dyDescent="0.2"/>
    <row r="165" ht="16" x14ac:dyDescent="0.2"/>
    <row r="166" ht="16" x14ac:dyDescent="0.2"/>
    <row r="167" ht="16" x14ac:dyDescent="0.2"/>
    <row r="168" ht="16" x14ac:dyDescent="0.2"/>
    <row r="169" ht="16" x14ac:dyDescent="0.2"/>
    <row r="170" ht="16" x14ac:dyDescent="0.2"/>
    <row r="171" ht="16" x14ac:dyDescent="0.2"/>
    <row r="172" ht="16" x14ac:dyDescent="0.2"/>
    <row r="173" ht="16" x14ac:dyDescent="0.2"/>
    <row r="174" ht="16" x14ac:dyDescent="0.2"/>
    <row r="175" ht="16" x14ac:dyDescent="0.2"/>
    <row r="176" ht="16" x14ac:dyDescent="0.2"/>
    <row r="177" ht="16" x14ac:dyDescent="0.2"/>
    <row r="178" ht="16" x14ac:dyDescent="0.2"/>
    <row r="179" ht="16" x14ac:dyDescent="0.2"/>
    <row r="180" ht="16" x14ac:dyDescent="0.2"/>
    <row r="181" ht="16" x14ac:dyDescent="0.2"/>
    <row r="182" ht="16" x14ac:dyDescent="0.2"/>
    <row r="183" ht="16" x14ac:dyDescent="0.2"/>
    <row r="184" ht="16" x14ac:dyDescent="0.2"/>
    <row r="185" ht="16" x14ac:dyDescent="0.2"/>
    <row r="186" ht="16" x14ac:dyDescent="0.2"/>
    <row r="187" ht="16" x14ac:dyDescent="0.2"/>
    <row r="188" ht="16" x14ac:dyDescent="0.2"/>
    <row r="189" ht="16" x14ac:dyDescent="0.2"/>
    <row r="190" ht="16" x14ac:dyDescent="0.2"/>
    <row r="191" ht="16" x14ac:dyDescent="0.2"/>
    <row r="192" ht="16" x14ac:dyDescent="0.2"/>
    <row r="193" ht="16" x14ac:dyDescent="0.2"/>
    <row r="194" ht="16" x14ac:dyDescent="0.2"/>
    <row r="195" ht="16" x14ac:dyDescent="0.2"/>
    <row r="196" ht="16" x14ac:dyDescent="0.2"/>
    <row r="197" ht="16" x14ac:dyDescent="0.2"/>
    <row r="198" ht="16" x14ac:dyDescent="0.2"/>
    <row r="199" ht="16" x14ac:dyDescent="0.2"/>
    <row r="200" ht="16" x14ac:dyDescent="0.2"/>
    <row r="201" ht="16" x14ac:dyDescent="0.2"/>
    <row r="202" ht="16" x14ac:dyDescent="0.2"/>
    <row r="203" ht="16" x14ac:dyDescent="0.2"/>
    <row r="204" ht="16" x14ac:dyDescent="0.2"/>
    <row r="205" ht="16" x14ac:dyDescent="0.2"/>
    <row r="206" ht="16" x14ac:dyDescent="0.2"/>
    <row r="207" ht="16" x14ac:dyDescent="0.2"/>
    <row r="208" ht="16" x14ac:dyDescent="0.2"/>
    <row r="209" ht="16" x14ac:dyDescent="0.2"/>
    <row r="210" ht="16" x14ac:dyDescent="0.2"/>
    <row r="211" ht="16" x14ac:dyDescent="0.2"/>
    <row r="212" ht="16" x14ac:dyDescent="0.2"/>
    <row r="213" ht="16" x14ac:dyDescent="0.2"/>
    <row r="214" ht="16" x14ac:dyDescent="0.2"/>
    <row r="215" ht="16" x14ac:dyDescent="0.2"/>
    <row r="216" ht="16" x14ac:dyDescent="0.2"/>
    <row r="217" ht="16" x14ac:dyDescent="0.2"/>
    <row r="218" ht="16" x14ac:dyDescent="0.2"/>
    <row r="219" ht="16" x14ac:dyDescent="0.2"/>
    <row r="220" ht="16" x14ac:dyDescent="0.2"/>
    <row r="221" ht="16" x14ac:dyDescent="0.2"/>
    <row r="222" ht="16" x14ac:dyDescent="0.2"/>
    <row r="223" ht="16" x14ac:dyDescent="0.2"/>
    <row r="224" ht="16" x14ac:dyDescent="0.2"/>
    <row r="225" ht="16" x14ac:dyDescent="0.2"/>
    <row r="226" ht="16" x14ac:dyDescent="0.2"/>
    <row r="227" ht="16" x14ac:dyDescent="0.2"/>
    <row r="228" ht="16" x14ac:dyDescent="0.2"/>
    <row r="229" ht="16" x14ac:dyDescent="0.2"/>
    <row r="230" ht="16" x14ac:dyDescent="0.2"/>
    <row r="231" ht="16" x14ac:dyDescent="0.2"/>
    <row r="232" ht="16" x14ac:dyDescent="0.2"/>
    <row r="233" ht="16" x14ac:dyDescent="0.2"/>
    <row r="234" ht="16" x14ac:dyDescent="0.2"/>
    <row r="235" ht="16" x14ac:dyDescent="0.2"/>
    <row r="236" ht="16" x14ac:dyDescent="0.2"/>
    <row r="237" ht="16" x14ac:dyDescent="0.2"/>
    <row r="238" ht="16" x14ac:dyDescent="0.2"/>
    <row r="239" ht="16" x14ac:dyDescent="0.2"/>
    <row r="240" ht="16" x14ac:dyDescent="0.2"/>
    <row r="241" ht="16" x14ac:dyDescent="0.2"/>
    <row r="242" ht="16" x14ac:dyDescent="0.2"/>
    <row r="243" ht="16" x14ac:dyDescent="0.2"/>
    <row r="244" ht="16" x14ac:dyDescent="0.2"/>
    <row r="245" ht="16" x14ac:dyDescent="0.2"/>
    <row r="246" ht="16" x14ac:dyDescent="0.2"/>
    <row r="247" ht="16" x14ac:dyDescent="0.2"/>
    <row r="248" ht="16" x14ac:dyDescent="0.2"/>
    <row r="249" ht="16" x14ac:dyDescent="0.2"/>
    <row r="250" ht="16" x14ac:dyDescent="0.2"/>
    <row r="251" ht="16" x14ac:dyDescent="0.2"/>
    <row r="252" ht="16" x14ac:dyDescent="0.2"/>
    <row r="253" ht="16" x14ac:dyDescent="0.2"/>
    <row r="254" ht="16" x14ac:dyDescent="0.2"/>
    <row r="255" ht="16" x14ac:dyDescent="0.2"/>
    <row r="256" ht="16" x14ac:dyDescent="0.2"/>
    <row r="257" ht="16" x14ac:dyDescent="0.2"/>
    <row r="258" ht="16" x14ac:dyDescent="0.2"/>
    <row r="259" ht="16" x14ac:dyDescent="0.2"/>
    <row r="260" ht="16" x14ac:dyDescent="0.2"/>
    <row r="261" ht="16" x14ac:dyDescent="0.2"/>
    <row r="262" ht="16" x14ac:dyDescent="0.2"/>
    <row r="263" ht="16" x14ac:dyDescent="0.2"/>
    <row r="264" ht="16" x14ac:dyDescent="0.2"/>
    <row r="265" ht="16" x14ac:dyDescent="0.2"/>
    <row r="266" ht="16" x14ac:dyDescent="0.2"/>
    <row r="267" ht="16" x14ac:dyDescent="0.2"/>
    <row r="268" ht="16" x14ac:dyDescent="0.2"/>
    <row r="269" ht="16" x14ac:dyDescent="0.2"/>
    <row r="270" ht="16" x14ac:dyDescent="0.2"/>
    <row r="271" ht="16" x14ac:dyDescent="0.2"/>
    <row r="272" ht="16" x14ac:dyDescent="0.2"/>
    <row r="273" ht="16" x14ac:dyDescent="0.2"/>
    <row r="274" ht="16" x14ac:dyDescent="0.2"/>
    <row r="275" ht="16" x14ac:dyDescent="0.2"/>
    <row r="276" ht="16" x14ac:dyDescent="0.2"/>
    <row r="277" ht="16" x14ac:dyDescent="0.2"/>
    <row r="278" ht="16" x14ac:dyDescent="0.2"/>
    <row r="279" ht="16" x14ac:dyDescent="0.2"/>
    <row r="280" ht="16" x14ac:dyDescent="0.2"/>
    <row r="281" ht="16" x14ac:dyDescent="0.2"/>
    <row r="282" ht="16" x14ac:dyDescent="0.2"/>
    <row r="283" ht="16" x14ac:dyDescent="0.2"/>
    <row r="284" ht="16" x14ac:dyDescent="0.2"/>
    <row r="285" ht="16" x14ac:dyDescent="0.2"/>
    <row r="286" ht="16" x14ac:dyDescent="0.2"/>
    <row r="287" ht="16" x14ac:dyDescent="0.2"/>
    <row r="288" ht="16" x14ac:dyDescent="0.2"/>
    <row r="289" ht="16" x14ac:dyDescent="0.2"/>
    <row r="290" ht="16" x14ac:dyDescent="0.2"/>
    <row r="291" ht="16" x14ac:dyDescent="0.2"/>
    <row r="292" ht="16" x14ac:dyDescent="0.2"/>
    <row r="293" ht="16" x14ac:dyDescent="0.2"/>
    <row r="294" ht="16" x14ac:dyDescent="0.2"/>
    <row r="295" ht="16" x14ac:dyDescent="0.2"/>
    <row r="296" ht="16" x14ac:dyDescent="0.2"/>
    <row r="297" ht="16" x14ac:dyDescent="0.2"/>
    <row r="298" ht="16" x14ac:dyDescent="0.2"/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649B-52C6-5A49-A1F4-AE9CD23A3CE1}">
  <sheetPr codeName="Foglio9"/>
  <dimension ref="B1:L39"/>
  <sheetViews>
    <sheetView workbookViewId="0">
      <selection activeCell="L10" sqref="B10:L10"/>
    </sheetView>
  </sheetViews>
  <sheetFormatPr baseColWidth="10" defaultRowHeight="16" x14ac:dyDescent="0.2"/>
  <cols>
    <col min="2" max="2" width="8.33203125" customWidth="1"/>
    <col min="3" max="3" width="12" customWidth="1"/>
    <col min="4" max="10" width="8.33203125" customWidth="1"/>
    <col min="11" max="12" width="12.1640625" bestFit="1" customWidth="1"/>
  </cols>
  <sheetData>
    <row r="1" spans="2:12" x14ac:dyDescent="0.2">
      <c r="B1" s="39" t="s">
        <v>173</v>
      </c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2:12" ht="17" x14ac:dyDescent="0.2">
      <c r="B2" s="1" t="s">
        <v>0</v>
      </c>
      <c r="C2" s="28" t="s">
        <v>1</v>
      </c>
      <c r="D2" s="28" t="s">
        <v>177</v>
      </c>
      <c r="E2" s="28" t="s">
        <v>178</v>
      </c>
      <c r="F2" s="28" t="s">
        <v>179</v>
      </c>
      <c r="G2" s="28" t="s">
        <v>174</v>
      </c>
      <c r="H2" s="28" t="s">
        <v>175</v>
      </c>
      <c r="I2" s="28" t="s">
        <v>176</v>
      </c>
      <c r="J2" s="28" t="s">
        <v>180</v>
      </c>
      <c r="K2" t="s">
        <v>171</v>
      </c>
      <c r="L2" t="s">
        <v>172</v>
      </c>
    </row>
    <row r="3" spans="2:12" x14ac:dyDescent="0.2">
      <c r="B3" t="s">
        <v>10</v>
      </c>
      <c r="C3" t="str">
        <f>VLOOKUP($B3,experiments_specs!$A:$J,2,FALSE)</f>
        <v>NN</v>
      </c>
      <c r="D3">
        <f>VLOOKUP($B3,experiments_specs!$A:$J,3,FALSE)</f>
        <v>1</v>
      </c>
      <c r="E3">
        <f>VLOOKUP($B3,experiments_specs!$A:$J,4,FALSE)</f>
        <v>2</v>
      </c>
      <c r="F3" t="str">
        <f>VLOOKUP($B3,experiments_specs!$A:$J,5,FALSE)</f>
        <v>False</v>
      </c>
      <c r="G3" t="str">
        <f>VLOOKUP($B3,experiments_specs!$A:$J,6,FALSE)</f>
        <v>True</v>
      </c>
      <c r="H3" t="str">
        <f>VLOOKUP($B3,experiments_specs!$A:$J,7,FALSE)</f>
        <v>False</v>
      </c>
      <c r="I3" t="str">
        <f>VLOOKUP($B3,experiments_specs!$A:$J,8,FALSE)</f>
        <v>False</v>
      </c>
      <c r="J3" t="str">
        <f>VLOOKUP($B3,experiments_specs!$A:$J,10,FALSE)</f>
        <v>False</v>
      </c>
      <c r="K3" s="27">
        <f>SUMIF(Dataset!$A:$A,scores_results!$B3,Dataset!P:P)</f>
        <v>0</v>
      </c>
      <c r="L3" s="27">
        <f>SUMIF(Dataset!$A:$A,scores_results!$B3,Dataset!U:U)</f>
        <v>0</v>
      </c>
    </row>
    <row r="4" spans="2:12" x14ac:dyDescent="0.2">
      <c r="B4" t="s">
        <v>60</v>
      </c>
      <c r="C4" t="str">
        <f>VLOOKUP($B4,experiments_specs!$A:$J,2,FALSE)</f>
        <v>NN,JJ</v>
      </c>
      <c r="D4">
        <f>VLOOKUP($B4,experiments_specs!$A:$J,3,FALSE)</f>
        <v>1</v>
      </c>
      <c r="E4">
        <f>VLOOKUP($B4,experiments_specs!$A:$J,4,FALSE)</f>
        <v>2</v>
      </c>
      <c r="F4" t="str">
        <f>VLOOKUP($B4,experiments_specs!$A:$J,5,FALSE)</f>
        <v>False</v>
      </c>
      <c r="G4" t="str">
        <f>VLOOKUP($B4,experiments_specs!$A:$J,6,FALSE)</f>
        <v>True</v>
      </c>
      <c r="H4" t="str">
        <f>VLOOKUP($B4,experiments_specs!$A:$J,7,FALSE)</f>
        <v>False</v>
      </c>
      <c r="I4" t="str">
        <f>VLOOKUP($B4,experiments_specs!$A:$J,8,FALSE)</f>
        <v>False</v>
      </c>
      <c r="J4" t="str">
        <f>VLOOKUP($B4,experiments_specs!$A:$J,10,FALSE)</f>
        <v>False</v>
      </c>
      <c r="K4" s="27">
        <f>SUMIF(Dataset!A:A,scores_results!B4,Dataset!P:P)</f>
        <v>0</v>
      </c>
      <c r="L4" s="27">
        <f>SUMIF(Dataset!$A:$A,scores_results!$B4,Dataset!U:U)</f>
        <v>0</v>
      </c>
    </row>
    <row r="5" spans="2:12" x14ac:dyDescent="0.2">
      <c r="B5" t="s">
        <v>62</v>
      </c>
      <c r="C5" t="str">
        <f>VLOOKUP($B5,experiments_specs!$A:$J,2,FALSE)</f>
        <v>NN,VB</v>
      </c>
      <c r="D5">
        <f>VLOOKUP($B5,experiments_specs!$A:$J,3,FALSE)</f>
        <v>1</v>
      </c>
      <c r="E5">
        <f>VLOOKUP($B5,experiments_specs!$A:$J,4,FALSE)</f>
        <v>2</v>
      </c>
      <c r="F5" t="str">
        <f>VLOOKUP($B5,experiments_specs!$A:$J,5,FALSE)</f>
        <v>False</v>
      </c>
      <c r="G5" t="str">
        <f>VLOOKUP($B5,experiments_specs!$A:$J,6,FALSE)</f>
        <v>True</v>
      </c>
      <c r="H5" t="str">
        <f>VLOOKUP($B5,experiments_specs!$A:$J,7,FALSE)</f>
        <v>False</v>
      </c>
      <c r="I5" t="str">
        <f>VLOOKUP($B5,experiments_specs!$A:$J,8,FALSE)</f>
        <v>False</v>
      </c>
      <c r="J5" t="str">
        <f>VLOOKUP($B5,experiments_specs!$A:$J,10,FALSE)</f>
        <v>False</v>
      </c>
      <c r="K5" s="27">
        <f>SUMIF(Dataset!A:A,scores_results!B5,Dataset!P:P)</f>
        <v>0</v>
      </c>
      <c r="L5" s="27">
        <f>SUMIF(Dataset!$A:$A,scores_results!$B5,Dataset!U:U)</f>
        <v>0</v>
      </c>
    </row>
    <row r="6" spans="2:12" x14ac:dyDescent="0.2">
      <c r="B6" t="s">
        <v>64</v>
      </c>
      <c r="C6" t="str">
        <f>VLOOKUP($B6,experiments_specs!$A:$J,2,FALSE)</f>
        <v>NN,VB,VBD,VBG,VBN,VBP,VBZ</v>
      </c>
      <c r="D6">
        <f>VLOOKUP($B6,experiments_specs!$A:$J,3,FALSE)</f>
        <v>1</v>
      </c>
      <c r="E6">
        <f>VLOOKUP($B6,experiments_specs!$A:$J,4,FALSE)</f>
        <v>2</v>
      </c>
      <c r="F6" t="str">
        <f>VLOOKUP($B6,experiments_specs!$A:$J,5,FALSE)</f>
        <v>False</v>
      </c>
      <c r="G6" t="str">
        <f>VLOOKUP($B6,experiments_specs!$A:$J,6,FALSE)</f>
        <v>True</v>
      </c>
      <c r="H6" t="str">
        <f>VLOOKUP($B6,experiments_specs!$A:$J,7,FALSE)</f>
        <v>False</v>
      </c>
      <c r="I6" t="str">
        <f>VLOOKUP($B6,experiments_specs!$A:$J,8,FALSE)</f>
        <v>False</v>
      </c>
      <c r="J6" t="str">
        <f>VLOOKUP($B6,experiments_specs!$A:$J,10,FALSE)</f>
        <v>False</v>
      </c>
      <c r="K6" s="27">
        <f>SUMIF(Dataset!A:A,scores_results!B6,Dataset!P:P)</f>
        <v>0</v>
      </c>
      <c r="L6" s="27">
        <f>SUMIF(Dataset!$A:$A,scores_results!$B6,Dataset!U:U)</f>
        <v>0</v>
      </c>
    </row>
    <row r="7" spans="2:12" x14ac:dyDescent="0.2">
      <c r="B7" t="s">
        <v>66</v>
      </c>
      <c r="C7" t="str">
        <f>VLOOKUP($B7,experiments_specs!$A:$J,2,FALSE)</f>
        <v>NN,RB</v>
      </c>
      <c r="D7">
        <f>VLOOKUP($B7,experiments_specs!$A:$J,3,FALSE)</f>
        <v>1</v>
      </c>
      <c r="E7">
        <f>VLOOKUP($B7,experiments_specs!$A:$J,4,FALSE)</f>
        <v>2</v>
      </c>
      <c r="F7" t="str">
        <f>VLOOKUP($B7,experiments_specs!$A:$J,5,FALSE)</f>
        <v>False</v>
      </c>
      <c r="G7" t="str">
        <f>VLOOKUP($B7,experiments_specs!$A:$J,6,FALSE)</f>
        <v>True</v>
      </c>
      <c r="H7" t="str">
        <f>VLOOKUP($B7,experiments_specs!$A:$J,7,FALSE)</f>
        <v>False</v>
      </c>
      <c r="I7" t="str">
        <f>VLOOKUP($B7,experiments_specs!$A:$J,8,FALSE)</f>
        <v>False</v>
      </c>
      <c r="J7" t="str">
        <f>VLOOKUP($B7,experiments_specs!$A:$J,10,FALSE)</f>
        <v>False</v>
      </c>
      <c r="K7" s="27">
        <f>SUMIF(Dataset!A:A,scores_results!B7,Dataset!P:P)</f>
        <v>0</v>
      </c>
      <c r="L7" s="27">
        <f>SUMIF(Dataset!$A:$A,scores_results!$B7,Dataset!U:U)</f>
        <v>0</v>
      </c>
    </row>
    <row r="8" spans="2:12" x14ac:dyDescent="0.2">
      <c r="B8" t="s">
        <v>68</v>
      </c>
      <c r="C8" t="str">
        <f>VLOOKUP($B8,experiments_specs!$A:$J,2,FALSE)</f>
        <v>NN,JJ,VB,VBD,VBG,VBN,VBP,VBZ</v>
      </c>
      <c r="D8">
        <f>VLOOKUP($B8,experiments_specs!$A:$J,3,FALSE)</f>
        <v>1</v>
      </c>
      <c r="E8">
        <f>VLOOKUP($B8,experiments_specs!$A:$J,4,FALSE)</f>
        <v>2</v>
      </c>
      <c r="F8" t="str">
        <f>VLOOKUP($B8,experiments_specs!$A:$J,5,FALSE)</f>
        <v>False</v>
      </c>
      <c r="G8" t="str">
        <f>VLOOKUP($B8,experiments_specs!$A:$J,6,FALSE)</f>
        <v>True</v>
      </c>
      <c r="H8" t="str">
        <f>VLOOKUP($B8,experiments_specs!$A:$J,7,FALSE)</f>
        <v>False</v>
      </c>
      <c r="I8" t="str">
        <f>VLOOKUP($B8,experiments_specs!$A:$J,8,FALSE)</f>
        <v>False</v>
      </c>
      <c r="J8" t="str">
        <f>VLOOKUP($B8,experiments_specs!$A:$J,10,FALSE)</f>
        <v>False</v>
      </c>
      <c r="K8" s="27">
        <f>SUMIF(Dataset!A:A,scores_results!B8,Dataset!P:P)</f>
        <v>0</v>
      </c>
      <c r="L8" s="27">
        <f>SUMIF(Dataset!$A:$A,scores_results!$B8,Dataset!U:U)</f>
        <v>0</v>
      </c>
    </row>
    <row r="9" spans="2:12" x14ac:dyDescent="0.2">
      <c r="B9" t="s">
        <v>70</v>
      </c>
      <c r="C9" t="str">
        <f>VLOOKUP($B9,experiments_specs!$A:$J,2,FALSE)</f>
        <v>NN</v>
      </c>
      <c r="D9">
        <f>VLOOKUP($B9,experiments_specs!$A:$J,3,FALSE)</f>
        <v>1</v>
      </c>
      <c r="E9">
        <f>VLOOKUP($B9,experiments_specs!$A:$J,4,FALSE)</f>
        <v>2</v>
      </c>
      <c r="F9" t="str">
        <f>VLOOKUP($B9,experiments_specs!$A:$J,5,FALSE)</f>
        <v>True</v>
      </c>
      <c r="G9" t="str">
        <f>VLOOKUP($B9,experiments_specs!$A:$J,6,FALSE)</f>
        <v>True</v>
      </c>
      <c r="H9" t="str">
        <f>VLOOKUP($B9,experiments_specs!$A:$J,7,FALSE)</f>
        <v>False</v>
      </c>
      <c r="I9" t="str">
        <f>VLOOKUP($B9,experiments_specs!$A:$J,8,FALSE)</f>
        <v>False</v>
      </c>
      <c r="J9" t="str">
        <f>VLOOKUP($B9,experiments_specs!$A:$J,10,FALSE)</f>
        <v>False</v>
      </c>
      <c r="K9" s="27">
        <f>SUMIF(Dataset!A:A,scores_results!B9,Dataset!P:P)</f>
        <v>0</v>
      </c>
      <c r="L9" s="27">
        <f>SUMIF(Dataset!$A:$A,scores_results!$B9,Dataset!U:U)</f>
        <v>0</v>
      </c>
    </row>
    <row r="10" spans="2:12" x14ac:dyDescent="0.2">
      <c r="B10" t="s">
        <v>71</v>
      </c>
      <c r="C10" t="str">
        <f>VLOOKUP($B10,experiments_specs!$A:$J,2,FALSE)</f>
        <v>NN,JJ</v>
      </c>
      <c r="D10">
        <f>VLOOKUP($B10,experiments_specs!$A:$J,3,FALSE)</f>
        <v>1</v>
      </c>
      <c r="E10">
        <f>VLOOKUP($B10,experiments_specs!$A:$J,4,FALSE)</f>
        <v>2</v>
      </c>
      <c r="F10" t="str">
        <f>VLOOKUP($B10,experiments_specs!$A:$J,5,FALSE)</f>
        <v>True</v>
      </c>
      <c r="G10" t="str">
        <f>VLOOKUP($B10,experiments_specs!$A:$J,6,FALSE)</f>
        <v>True</v>
      </c>
      <c r="H10" t="str">
        <f>VLOOKUP($B10,experiments_specs!$A:$J,7,FALSE)</f>
        <v>False</v>
      </c>
      <c r="I10" t="str">
        <f>VLOOKUP($B10,experiments_specs!$A:$J,8,FALSE)</f>
        <v>False</v>
      </c>
      <c r="J10" t="str">
        <f>VLOOKUP($B10,experiments_specs!$A:$J,10,FALSE)</f>
        <v>False</v>
      </c>
      <c r="K10" s="27">
        <f>SUMIF(Dataset!A:A,scores_results!B10,Dataset!P:P)</f>
        <v>0</v>
      </c>
      <c r="L10" s="27">
        <f>SUMIF(Dataset!$A:$A,scores_results!$B10,Dataset!U:U)</f>
        <v>0</v>
      </c>
    </row>
    <row r="11" spans="2:12" x14ac:dyDescent="0.2">
      <c r="B11" t="s">
        <v>72</v>
      </c>
      <c r="C11" t="str">
        <f>VLOOKUP($B11,experiments_specs!$A:$J,2,FALSE)</f>
        <v>NN,VB</v>
      </c>
      <c r="D11">
        <f>VLOOKUP($B11,experiments_specs!$A:$J,3,FALSE)</f>
        <v>1</v>
      </c>
      <c r="E11">
        <f>VLOOKUP($B11,experiments_specs!$A:$J,4,FALSE)</f>
        <v>2</v>
      </c>
      <c r="F11" t="str">
        <f>VLOOKUP($B11,experiments_specs!$A:$J,5,FALSE)</f>
        <v>True</v>
      </c>
      <c r="G11" t="str">
        <f>VLOOKUP($B11,experiments_specs!$A:$J,6,FALSE)</f>
        <v>True</v>
      </c>
      <c r="H11" t="str">
        <f>VLOOKUP($B11,experiments_specs!$A:$J,7,FALSE)</f>
        <v>False</v>
      </c>
      <c r="I11" t="str">
        <f>VLOOKUP($B11,experiments_specs!$A:$J,8,FALSE)</f>
        <v>False</v>
      </c>
      <c r="J11" t="str">
        <f>VLOOKUP($B11,experiments_specs!$A:$J,10,FALSE)</f>
        <v>False</v>
      </c>
      <c r="K11" s="27">
        <f>SUMIF(Dataset!A:A,scores_results!B11,Dataset!P:P)</f>
        <v>2.1740183792815371</v>
      </c>
      <c r="L11" s="27">
        <f>SUMIF(Dataset!$A:$A,scores_results!$B11,Dataset!U:U)</f>
        <v>1.8841637894269474</v>
      </c>
    </row>
    <row r="12" spans="2:12" x14ac:dyDescent="0.2">
      <c r="B12" t="s">
        <v>73</v>
      </c>
      <c r="C12" t="str">
        <f>VLOOKUP($B12,experiments_specs!$A:$J,2,FALSE)</f>
        <v>NN,VB,VBD,VBG,VBN,VBP,VBZ</v>
      </c>
      <c r="D12">
        <f>VLOOKUP($B12,experiments_specs!$A:$J,3,FALSE)</f>
        <v>1</v>
      </c>
      <c r="E12">
        <f>VLOOKUP($B12,experiments_specs!$A:$J,4,FALSE)</f>
        <v>2</v>
      </c>
      <c r="F12" t="str">
        <f>VLOOKUP($B12,experiments_specs!$A:$J,5,FALSE)</f>
        <v>True</v>
      </c>
      <c r="G12" t="str">
        <f>VLOOKUP($B12,experiments_specs!$A:$J,6,FALSE)</f>
        <v>True</v>
      </c>
      <c r="H12" t="str">
        <f>VLOOKUP($B12,experiments_specs!$A:$J,7,FALSE)</f>
        <v>False</v>
      </c>
      <c r="I12" t="str">
        <f>VLOOKUP($B12,experiments_specs!$A:$J,8,FALSE)</f>
        <v>False</v>
      </c>
      <c r="J12" t="str">
        <f>VLOOKUP($B12,experiments_specs!$A:$J,10,FALSE)</f>
        <v>False</v>
      </c>
      <c r="K12" s="27">
        <f>SUMIF(Dataset!A:A,scores_results!B12,Dataset!P:P)</f>
        <v>0</v>
      </c>
      <c r="L12" s="27">
        <f>SUMIF(Dataset!$A:$A,scores_results!$B12,Dataset!U:U)</f>
        <v>0</v>
      </c>
    </row>
    <row r="13" spans="2:12" x14ac:dyDescent="0.2">
      <c r="B13" t="s">
        <v>74</v>
      </c>
      <c r="C13" t="str">
        <f>VLOOKUP($B13,experiments_specs!$A:$J,2,FALSE)</f>
        <v>NN,RB</v>
      </c>
      <c r="D13">
        <f>VLOOKUP($B13,experiments_specs!$A:$J,3,FALSE)</f>
        <v>1</v>
      </c>
      <c r="E13">
        <f>VLOOKUP($B13,experiments_specs!$A:$J,4,FALSE)</f>
        <v>2</v>
      </c>
      <c r="F13" t="str">
        <f>VLOOKUP($B13,experiments_specs!$A:$J,5,FALSE)</f>
        <v>True</v>
      </c>
      <c r="G13" t="str">
        <f>VLOOKUP($B13,experiments_specs!$A:$J,6,FALSE)</f>
        <v>True</v>
      </c>
      <c r="H13" t="str">
        <f>VLOOKUP($B13,experiments_specs!$A:$J,7,FALSE)</f>
        <v>False</v>
      </c>
      <c r="I13" t="str">
        <f>VLOOKUP($B13,experiments_specs!$A:$J,8,FALSE)</f>
        <v>False</v>
      </c>
      <c r="J13" t="str">
        <f>VLOOKUP($B13,experiments_specs!$A:$J,10,FALSE)</f>
        <v>False</v>
      </c>
      <c r="K13" s="27">
        <f>SUMIF(Dataset!A:A,scores_results!B13,Dataset!P:P)</f>
        <v>0</v>
      </c>
      <c r="L13" s="27">
        <f>SUMIF(Dataset!$A:$A,scores_results!$B13,Dataset!U:U)</f>
        <v>0</v>
      </c>
    </row>
    <row r="14" spans="2:12" x14ac:dyDescent="0.2">
      <c r="B14" t="s">
        <v>75</v>
      </c>
      <c r="C14" t="str">
        <f>VLOOKUP($B14,experiments_specs!$A:$J,2,FALSE)</f>
        <v>NN,JJ,VB,VBD,VBG,VBN,VBP,VBZ</v>
      </c>
      <c r="D14">
        <f>VLOOKUP($B14,experiments_specs!$A:$J,3,FALSE)</f>
        <v>1</v>
      </c>
      <c r="E14">
        <f>VLOOKUP($B14,experiments_specs!$A:$J,4,FALSE)</f>
        <v>2</v>
      </c>
      <c r="F14" t="str">
        <f>VLOOKUP($B14,experiments_specs!$A:$J,5,FALSE)</f>
        <v>True</v>
      </c>
      <c r="G14" t="str">
        <f>VLOOKUP($B14,experiments_specs!$A:$J,6,FALSE)</f>
        <v>True</v>
      </c>
      <c r="H14" t="str">
        <f>VLOOKUP($B14,experiments_specs!$A:$J,7,FALSE)</f>
        <v>False</v>
      </c>
      <c r="I14" t="str">
        <f>VLOOKUP($B14,experiments_specs!$A:$J,8,FALSE)</f>
        <v>False</v>
      </c>
      <c r="J14" t="str">
        <f>VLOOKUP($B14,experiments_specs!$A:$J,10,FALSE)</f>
        <v>False</v>
      </c>
      <c r="K14" s="27">
        <f>SUMIF(Dataset!A:A,scores_results!B14,Dataset!P:P)</f>
        <v>0</v>
      </c>
      <c r="L14" s="27">
        <f>SUMIF(Dataset!$A:$A,scores_results!$B14,Dataset!U:U)</f>
        <v>0</v>
      </c>
    </row>
    <row r="15" spans="2:12" x14ac:dyDescent="0.2">
      <c r="B15" t="s">
        <v>76</v>
      </c>
      <c r="C15" t="str">
        <f>VLOOKUP($B15,experiments_specs!$A:$J,2,FALSE)</f>
        <v>NN</v>
      </c>
      <c r="D15">
        <f>VLOOKUP($B15,experiments_specs!$A:$J,3,FALSE)</f>
        <v>1</v>
      </c>
      <c r="E15">
        <f>VLOOKUP($B15,experiments_specs!$A:$J,4,FALSE)</f>
        <v>2</v>
      </c>
      <c r="F15" t="str">
        <f>VLOOKUP($B15,experiments_specs!$A:$J,5,FALSE)</f>
        <v>False</v>
      </c>
      <c r="G15" t="str">
        <f>VLOOKUP($B15,experiments_specs!$A:$J,6,FALSE)</f>
        <v>True</v>
      </c>
      <c r="H15" t="str">
        <f>VLOOKUP($B15,experiments_specs!$A:$J,7,FALSE)</f>
        <v>False</v>
      </c>
      <c r="I15" t="str">
        <f>VLOOKUP($B15,experiments_specs!$A:$J,8,FALSE)</f>
        <v>False</v>
      </c>
      <c r="J15" t="str">
        <f>VLOOKUP($B15,experiments_specs!$A:$J,10,FALSE)</f>
        <v>True</v>
      </c>
      <c r="K15" s="27">
        <f>SUMIF(Dataset!A:A,scores_results!B15,Dataset!P:P)</f>
        <v>0</v>
      </c>
      <c r="L15" s="27">
        <f>SUMIF(Dataset!$A:$A,scores_results!$B15,Dataset!U:U)</f>
        <v>0</v>
      </c>
    </row>
    <row r="16" spans="2:12" x14ac:dyDescent="0.2">
      <c r="B16" t="s">
        <v>77</v>
      </c>
      <c r="C16" t="str">
        <f>VLOOKUP($B16,experiments_specs!$A:$J,2,FALSE)</f>
        <v>NN,JJ</v>
      </c>
      <c r="D16">
        <f>VLOOKUP($B16,experiments_specs!$A:$J,3,FALSE)</f>
        <v>1</v>
      </c>
      <c r="E16">
        <f>VLOOKUP($B16,experiments_specs!$A:$J,4,FALSE)</f>
        <v>2</v>
      </c>
      <c r="F16" t="str">
        <f>VLOOKUP($B16,experiments_specs!$A:$J,5,FALSE)</f>
        <v>True</v>
      </c>
      <c r="G16" t="str">
        <f>VLOOKUP($B16,experiments_specs!$A:$J,6,FALSE)</f>
        <v>True</v>
      </c>
      <c r="H16" t="str">
        <f>VLOOKUP($B16,experiments_specs!$A:$J,7,FALSE)</f>
        <v>False</v>
      </c>
      <c r="I16" t="str">
        <f>VLOOKUP($B16,experiments_specs!$A:$J,8,FALSE)</f>
        <v>False</v>
      </c>
      <c r="J16" t="str">
        <f>VLOOKUP($B16,experiments_specs!$A:$J,10,FALSE)</f>
        <v>True</v>
      </c>
      <c r="K16" s="27">
        <f>SUMIF(Dataset!A:A,scores_results!B16,Dataset!P:P)</f>
        <v>0</v>
      </c>
      <c r="L16" s="27">
        <f>SUMIF(Dataset!$A:$A,scores_results!$B16,Dataset!U:U)</f>
        <v>0</v>
      </c>
    </row>
    <row r="17" spans="2:12" x14ac:dyDescent="0.2">
      <c r="B17" t="s">
        <v>78</v>
      </c>
      <c r="C17" t="str">
        <f>VLOOKUP($B17,experiments_specs!$A:$J,2,FALSE)</f>
        <v>NN,VB</v>
      </c>
      <c r="D17">
        <f>VLOOKUP($B17,experiments_specs!$A:$J,3,FALSE)</f>
        <v>1</v>
      </c>
      <c r="E17">
        <f>VLOOKUP($B17,experiments_specs!$A:$J,4,FALSE)</f>
        <v>2</v>
      </c>
      <c r="F17" t="str">
        <f>VLOOKUP($B17,experiments_specs!$A:$J,5,FALSE)</f>
        <v>True</v>
      </c>
      <c r="G17" t="str">
        <f>VLOOKUP($B17,experiments_specs!$A:$J,6,FALSE)</f>
        <v>True</v>
      </c>
      <c r="H17" t="str">
        <f>VLOOKUP($B17,experiments_specs!$A:$J,7,FALSE)</f>
        <v>False</v>
      </c>
      <c r="I17" t="str">
        <f>VLOOKUP($B17,experiments_specs!$A:$J,8,FALSE)</f>
        <v>False</v>
      </c>
      <c r="J17" t="str">
        <f>VLOOKUP($B17,experiments_specs!$A:$J,10,FALSE)</f>
        <v>True</v>
      </c>
      <c r="K17" s="27">
        <f>SUMIF(Dataset!A:A,scores_results!B17,Dataset!P:P)</f>
        <v>0</v>
      </c>
      <c r="L17" s="27">
        <f>SUMIF(Dataset!$A:$A,scores_results!$B17,Dataset!U:U)</f>
        <v>0</v>
      </c>
    </row>
    <row r="18" spans="2:12" x14ac:dyDescent="0.2">
      <c r="B18" t="s">
        <v>79</v>
      </c>
      <c r="C18" t="str">
        <f>VLOOKUP($B18,experiments_specs!$A:$J,2,FALSE)</f>
        <v>NN,VB,VBD,VBG,VBN,VBP,VBZ</v>
      </c>
      <c r="D18">
        <f>VLOOKUP($B18,experiments_specs!$A:$J,3,FALSE)</f>
        <v>1</v>
      </c>
      <c r="E18">
        <f>VLOOKUP($B18,experiments_specs!$A:$J,4,FALSE)</f>
        <v>2</v>
      </c>
      <c r="F18" t="str">
        <f>VLOOKUP($B18,experiments_specs!$A:$J,5,FALSE)</f>
        <v>True</v>
      </c>
      <c r="G18" t="str">
        <f>VLOOKUP($B18,experiments_specs!$A:$J,6,FALSE)</f>
        <v>True</v>
      </c>
      <c r="H18" t="str">
        <f>VLOOKUP($B18,experiments_specs!$A:$J,7,FALSE)</f>
        <v>False</v>
      </c>
      <c r="I18" t="str">
        <f>VLOOKUP($B18,experiments_specs!$A:$J,8,FALSE)</f>
        <v>False</v>
      </c>
      <c r="J18" t="str">
        <f>VLOOKUP($B18,experiments_specs!$A:$J,10,FALSE)</f>
        <v>True</v>
      </c>
      <c r="K18" s="27">
        <f>SUMIF(Dataset!A:A,scores_results!B18,Dataset!P:P)</f>
        <v>0</v>
      </c>
      <c r="L18" s="27">
        <f>SUMIF(Dataset!$A:$A,scores_results!$B18,Dataset!U:U)</f>
        <v>0</v>
      </c>
    </row>
    <row r="19" spans="2:12" x14ac:dyDescent="0.2">
      <c r="B19" t="s">
        <v>80</v>
      </c>
      <c r="C19" t="str">
        <f>VLOOKUP($B19,experiments_specs!$A:$J,2,FALSE)</f>
        <v>NN,RB</v>
      </c>
      <c r="D19">
        <f>VLOOKUP($B19,experiments_specs!$A:$J,3,FALSE)</f>
        <v>1</v>
      </c>
      <c r="E19">
        <f>VLOOKUP($B19,experiments_specs!$A:$J,4,FALSE)</f>
        <v>2</v>
      </c>
      <c r="F19" t="str">
        <f>VLOOKUP($B19,experiments_specs!$A:$J,5,FALSE)</f>
        <v>True</v>
      </c>
      <c r="G19" t="str">
        <f>VLOOKUP($B19,experiments_specs!$A:$J,6,FALSE)</f>
        <v>True</v>
      </c>
      <c r="H19" t="str">
        <f>VLOOKUP($B19,experiments_specs!$A:$J,7,FALSE)</f>
        <v>False</v>
      </c>
      <c r="I19" t="str">
        <f>VLOOKUP($B19,experiments_specs!$A:$J,8,FALSE)</f>
        <v>False</v>
      </c>
      <c r="J19" t="str">
        <f>VLOOKUP($B19,experiments_specs!$A:$J,10,FALSE)</f>
        <v>True</v>
      </c>
      <c r="K19" s="27">
        <f>SUMIF(Dataset!A:A,scores_results!B19,Dataset!P:P)</f>
        <v>0</v>
      </c>
      <c r="L19" s="27">
        <f>SUMIF(Dataset!$A:$A,scores_results!$B19,Dataset!U:U)</f>
        <v>0</v>
      </c>
    </row>
    <row r="20" spans="2:12" x14ac:dyDescent="0.2">
      <c r="B20" t="s">
        <v>81</v>
      </c>
      <c r="C20" t="str">
        <f>VLOOKUP($B20,experiments_specs!$A:$J,2,FALSE)</f>
        <v>NN,JJ,VB,VBD,VBG,VBN,VBP,VBZ</v>
      </c>
      <c r="D20">
        <f>VLOOKUP($B20,experiments_specs!$A:$J,3,FALSE)</f>
        <v>1</v>
      </c>
      <c r="E20">
        <f>VLOOKUP($B20,experiments_specs!$A:$J,4,FALSE)</f>
        <v>2</v>
      </c>
      <c r="F20" t="str">
        <f>VLOOKUP($B20,experiments_specs!$A:$J,5,FALSE)</f>
        <v>True</v>
      </c>
      <c r="G20" t="str">
        <f>VLOOKUP($B20,experiments_specs!$A:$J,6,FALSE)</f>
        <v>True</v>
      </c>
      <c r="H20" t="str">
        <f>VLOOKUP($B20,experiments_specs!$A:$J,7,FALSE)</f>
        <v>False</v>
      </c>
      <c r="I20" t="str">
        <f>VLOOKUP($B20,experiments_specs!$A:$J,8,FALSE)</f>
        <v>False</v>
      </c>
      <c r="J20" t="str">
        <f>VLOOKUP($B20,experiments_specs!$A:$J,10,FALSE)</f>
        <v>True</v>
      </c>
      <c r="K20" s="27">
        <f>SUMIF(Dataset!A:A,scores_results!B20,Dataset!P:P)</f>
        <v>0</v>
      </c>
      <c r="L20" s="27">
        <f>SUMIF(Dataset!$A:$A,scores_results!$B20,Dataset!U:U)</f>
        <v>0</v>
      </c>
    </row>
    <row r="21" spans="2:12" x14ac:dyDescent="0.2">
      <c r="B21" t="s">
        <v>82</v>
      </c>
      <c r="C21" t="str">
        <f>VLOOKUP($B21,experiments_specs!$A:$J,2,FALSE)</f>
        <v>NN</v>
      </c>
      <c r="D21">
        <f>VLOOKUP($B21,experiments_specs!$A:$J,3,FALSE)</f>
        <v>1</v>
      </c>
      <c r="E21">
        <f>VLOOKUP($B21,experiments_specs!$A:$J,4,FALSE)</f>
        <v>2</v>
      </c>
      <c r="F21" t="str">
        <f>VLOOKUP($B21,experiments_specs!$A:$J,5,FALSE)</f>
        <v>False</v>
      </c>
      <c r="G21" t="str">
        <f>VLOOKUP($B21,experiments_specs!$A:$J,6,FALSE)</f>
        <v>True</v>
      </c>
      <c r="H21" t="str">
        <f>VLOOKUP($B21,experiments_specs!$A:$J,7,FALSE)</f>
        <v>True</v>
      </c>
      <c r="I21" t="str">
        <f>VLOOKUP($B21,experiments_specs!$A:$J,8,FALSE)</f>
        <v>False</v>
      </c>
      <c r="J21" t="str">
        <f>VLOOKUP($B21,experiments_specs!$A:$J,10,FALSE)</f>
        <v>False</v>
      </c>
      <c r="K21" s="27">
        <f>SUMIF(Dataset!A:A,scores_results!B21,Dataset!P:P)</f>
        <v>0</v>
      </c>
      <c r="L21" s="27">
        <f>SUMIF(Dataset!$A:$A,scores_results!$B21,Dataset!U:U)</f>
        <v>0</v>
      </c>
    </row>
    <row r="22" spans="2:12" x14ac:dyDescent="0.2">
      <c r="B22" t="s">
        <v>83</v>
      </c>
      <c r="C22" t="str">
        <f>VLOOKUP($B22,experiments_specs!$A:$J,2,FALSE)</f>
        <v>NN,JJ</v>
      </c>
      <c r="D22">
        <f>VLOOKUP($B22,experiments_specs!$A:$J,3,FALSE)</f>
        <v>1</v>
      </c>
      <c r="E22">
        <f>VLOOKUP($B22,experiments_specs!$A:$J,4,FALSE)</f>
        <v>2</v>
      </c>
      <c r="F22" t="str">
        <f>VLOOKUP($B22,experiments_specs!$A:$J,5,FALSE)</f>
        <v>False</v>
      </c>
      <c r="G22" t="str">
        <f>VLOOKUP($B22,experiments_specs!$A:$J,6,FALSE)</f>
        <v>True</v>
      </c>
      <c r="H22" t="str">
        <f>VLOOKUP($B22,experiments_specs!$A:$J,7,FALSE)</f>
        <v>True</v>
      </c>
      <c r="I22" t="str">
        <f>VLOOKUP($B22,experiments_specs!$A:$J,8,FALSE)</f>
        <v>False</v>
      </c>
      <c r="J22" t="str">
        <f>VLOOKUP($B22,experiments_specs!$A:$J,10,FALSE)</f>
        <v>False</v>
      </c>
      <c r="K22" s="27">
        <f>SUMIF(Dataset!A:A,scores_results!B22,Dataset!P:P)</f>
        <v>0</v>
      </c>
      <c r="L22" s="27">
        <f>SUMIF(Dataset!$A:$A,scores_results!$B22,Dataset!U:U)</f>
        <v>0</v>
      </c>
    </row>
    <row r="23" spans="2:12" x14ac:dyDescent="0.2">
      <c r="B23" t="s">
        <v>84</v>
      </c>
      <c r="C23" t="str">
        <f>VLOOKUP($B23,experiments_specs!$A:$J,2,FALSE)</f>
        <v>NN,VB</v>
      </c>
      <c r="D23">
        <f>VLOOKUP($B23,experiments_specs!$A:$J,3,FALSE)</f>
        <v>1</v>
      </c>
      <c r="E23">
        <f>VLOOKUP($B23,experiments_specs!$A:$J,4,FALSE)</f>
        <v>2</v>
      </c>
      <c r="F23" t="str">
        <f>VLOOKUP($B23,experiments_specs!$A:$J,5,FALSE)</f>
        <v>False</v>
      </c>
      <c r="G23" t="str">
        <f>VLOOKUP($B23,experiments_specs!$A:$J,6,FALSE)</f>
        <v>True</v>
      </c>
      <c r="H23" t="str">
        <f>VLOOKUP($B23,experiments_specs!$A:$J,7,FALSE)</f>
        <v>True</v>
      </c>
      <c r="I23" t="str">
        <f>VLOOKUP($B23,experiments_specs!$A:$J,8,FALSE)</f>
        <v>False</v>
      </c>
      <c r="J23" t="str">
        <f>VLOOKUP($B23,experiments_specs!$A:$J,10,FALSE)</f>
        <v>False</v>
      </c>
      <c r="K23" s="27">
        <f>SUMIF(Dataset!A:A,scores_results!B23,Dataset!P:P)</f>
        <v>0</v>
      </c>
      <c r="L23" s="27">
        <f>SUMIF(Dataset!$A:$A,scores_results!$B23,Dataset!U:U)</f>
        <v>0</v>
      </c>
    </row>
    <row r="24" spans="2:12" x14ac:dyDescent="0.2">
      <c r="B24" t="s">
        <v>85</v>
      </c>
      <c r="C24" t="str">
        <f>VLOOKUP($B24,experiments_specs!$A:$J,2,FALSE)</f>
        <v>NN,VB,VBD,VBG,VBN,VBP,VBZ</v>
      </c>
      <c r="D24">
        <f>VLOOKUP($B24,experiments_specs!$A:$J,3,FALSE)</f>
        <v>1</v>
      </c>
      <c r="E24">
        <f>VLOOKUP($B24,experiments_specs!$A:$J,4,FALSE)</f>
        <v>2</v>
      </c>
      <c r="F24" t="str">
        <f>VLOOKUP($B24,experiments_specs!$A:$J,5,FALSE)</f>
        <v>False</v>
      </c>
      <c r="G24" t="str">
        <f>VLOOKUP($B24,experiments_specs!$A:$J,6,FALSE)</f>
        <v>True</v>
      </c>
      <c r="H24" t="str">
        <f>VLOOKUP($B24,experiments_specs!$A:$J,7,FALSE)</f>
        <v>True</v>
      </c>
      <c r="I24" t="str">
        <f>VLOOKUP($B24,experiments_specs!$A:$J,8,FALSE)</f>
        <v>False</v>
      </c>
      <c r="J24" t="str">
        <f>VLOOKUP($B24,experiments_specs!$A:$J,10,FALSE)</f>
        <v>False</v>
      </c>
      <c r="K24" s="27">
        <f>SUMIF(Dataset!A:A,scores_results!B24,Dataset!P:P)</f>
        <v>0</v>
      </c>
      <c r="L24" s="27">
        <f>SUMIF(Dataset!$A:$A,scores_results!$B24,Dataset!U:U)</f>
        <v>0</v>
      </c>
    </row>
    <row r="25" spans="2:12" x14ac:dyDescent="0.2">
      <c r="B25" t="s">
        <v>86</v>
      </c>
      <c r="C25" t="str">
        <f>VLOOKUP($B25,experiments_specs!$A:$J,2,FALSE)</f>
        <v>NN,RB</v>
      </c>
      <c r="D25">
        <f>VLOOKUP($B25,experiments_specs!$A:$J,3,FALSE)</f>
        <v>1</v>
      </c>
      <c r="E25">
        <f>VLOOKUP($B25,experiments_specs!$A:$J,4,FALSE)</f>
        <v>2</v>
      </c>
      <c r="F25" t="str">
        <f>VLOOKUP($B25,experiments_specs!$A:$J,5,FALSE)</f>
        <v>False</v>
      </c>
      <c r="G25" t="str">
        <f>VLOOKUP($B25,experiments_specs!$A:$J,6,FALSE)</f>
        <v>True</v>
      </c>
      <c r="H25" t="str">
        <f>VLOOKUP($B25,experiments_specs!$A:$J,7,FALSE)</f>
        <v>True</v>
      </c>
      <c r="I25" t="str">
        <f>VLOOKUP($B25,experiments_specs!$A:$J,8,FALSE)</f>
        <v>False</v>
      </c>
      <c r="J25" t="str">
        <f>VLOOKUP($B25,experiments_specs!$A:$J,10,FALSE)</f>
        <v>False</v>
      </c>
      <c r="K25" s="27">
        <f>SUMIF(Dataset!A:A,scores_results!B25,Dataset!P:P)</f>
        <v>0</v>
      </c>
      <c r="L25" s="27">
        <f>SUMIF(Dataset!$A:$A,scores_results!$B25,Dataset!U:U)</f>
        <v>0</v>
      </c>
    </row>
    <row r="26" spans="2:12" x14ac:dyDescent="0.2">
      <c r="B26" t="s">
        <v>87</v>
      </c>
      <c r="C26" t="str">
        <f>VLOOKUP($B26,experiments_specs!$A:$J,2,FALSE)</f>
        <v>NN,JJ,VB,VBD,VBG,VBN,VBP,VBZ</v>
      </c>
      <c r="D26">
        <f>VLOOKUP($B26,experiments_specs!$A:$J,3,FALSE)</f>
        <v>1</v>
      </c>
      <c r="E26">
        <f>VLOOKUP($B26,experiments_specs!$A:$J,4,FALSE)</f>
        <v>2</v>
      </c>
      <c r="F26" t="str">
        <f>VLOOKUP($B26,experiments_specs!$A:$J,5,FALSE)</f>
        <v>False</v>
      </c>
      <c r="G26" t="str">
        <f>VLOOKUP($B26,experiments_specs!$A:$J,6,FALSE)</f>
        <v>True</v>
      </c>
      <c r="H26" t="str">
        <f>VLOOKUP($B26,experiments_specs!$A:$J,7,FALSE)</f>
        <v>True</v>
      </c>
      <c r="I26" t="str">
        <f>VLOOKUP($B26,experiments_specs!$A:$J,8,FALSE)</f>
        <v>False</v>
      </c>
      <c r="J26" t="str">
        <f>VLOOKUP($B26,experiments_specs!$A:$J,10,FALSE)</f>
        <v>False</v>
      </c>
      <c r="K26" s="27">
        <f>SUMIF(Dataset!A:A,scores_results!B26,Dataset!P:P)</f>
        <v>0</v>
      </c>
      <c r="L26" s="27">
        <f>SUMIF(Dataset!$A:$A,scores_results!$B26,Dataset!U:U)</f>
        <v>0</v>
      </c>
    </row>
    <row r="27" spans="2:12" x14ac:dyDescent="0.2">
      <c r="B27" t="s">
        <v>88</v>
      </c>
      <c r="C27" t="str">
        <f>VLOOKUP($B27,experiments_specs!$A:$J,2,FALSE)</f>
        <v>NN</v>
      </c>
      <c r="D27">
        <f>VLOOKUP($B27,experiments_specs!$A:$J,3,FALSE)</f>
        <v>1</v>
      </c>
      <c r="E27">
        <f>VLOOKUP($B27,experiments_specs!$A:$J,4,FALSE)</f>
        <v>2</v>
      </c>
      <c r="F27" t="str">
        <f>VLOOKUP($B27,experiments_specs!$A:$J,5,FALSE)</f>
        <v>True</v>
      </c>
      <c r="G27" t="str">
        <f>VLOOKUP($B27,experiments_specs!$A:$J,6,FALSE)</f>
        <v>True</v>
      </c>
      <c r="H27" t="str">
        <f>VLOOKUP($B27,experiments_specs!$A:$J,7,FALSE)</f>
        <v>True</v>
      </c>
      <c r="I27" t="str">
        <f>VLOOKUP($B27,experiments_specs!$A:$J,8,FALSE)</f>
        <v>False</v>
      </c>
      <c r="J27" t="str">
        <f>VLOOKUP($B27,experiments_specs!$A:$J,10,FALSE)</f>
        <v>False</v>
      </c>
      <c r="K27" s="27">
        <f>SUMIF(Dataset!A:A,scores_results!B27,Dataset!P:P)</f>
        <v>0</v>
      </c>
      <c r="L27" s="27">
        <f>SUMIF(Dataset!$A:$A,scores_results!$B27,Dataset!U:U)</f>
        <v>0</v>
      </c>
    </row>
    <row r="28" spans="2:12" x14ac:dyDescent="0.2">
      <c r="B28" t="s">
        <v>89</v>
      </c>
      <c r="C28" t="str">
        <f>VLOOKUP($B28,experiments_specs!$A:$J,2,FALSE)</f>
        <v>NN,JJ</v>
      </c>
      <c r="D28">
        <f>VLOOKUP($B28,experiments_specs!$A:$J,3,FALSE)</f>
        <v>1</v>
      </c>
      <c r="E28">
        <f>VLOOKUP($B28,experiments_specs!$A:$J,4,FALSE)</f>
        <v>2</v>
      </c>
      <c r="F28" t="str">
        <f>VLOOKUP($B28,experiments_specs!$A:$J,5,FALSE)</f>
        <v>True</v>
      </c>
      <c r="G28" t="str">
        <f>VLOOKUP($B28,experiments_specs!$A:$J,6,FALSE)</f>
        <v>True</v>
      </c>
      <c r="H28" t="str">
        <f>VLOOKUP($B28,experiments_specs!$A:$J,7,FALSE)</f>
        <v>True</v>
      </c>
      <c r="I28" t="str">
        <f>VLOOKUP($B28,experiments_specs!$A:$J,8,FALSE)</f>
        <v>False</v>
      </c>
      <c r="J28" t="str">
        <f>VLOOKUP($B28,experiments_specs!$A:$J,10,FALSE)</f>
        <v>False</v>
      </c>
      <c r="K28" s="27">
        <f>SUMIF(Dataset!A:A,scores_results!B28,Dataset!P:P)</f>
        <v>0</v>
      </c>
      <c r="L28" s="27">
        <f>SUMIF(Dataset!$A:$A,scores_results!$B28,Dataset!U:U)</f>
        <v>0</v>
      </c>
    </row>
    <row r="29" spans="2:12" x14ac:dyDescent="0.2">
      <c r="B29" t="s">
        <v>90</v>
      </c>
      <c r="C29" t="str">
        <f>VLOOKUP($B29,experiments_specs!$A:$J,2,FALSE)</f>
        <v>NN,VB</v>
      </c>
      <c r="D29">
        <f>VLOOKUP($B29,experiments_specs!$A:$J,3,FALSE)</f>
        <v>1</v>
      </c>
      <c r="E29">
        <f>VLOOKUP($B29,experiments_specs!$A:$J,4,FALSE)</f>
        <v>2</v>
      </c>
      <c r="F29" t="str">
        <f>VLOOKUP($B29,experiments_specs!$A:$J,5,FALSE)</f>
        <v>True</v>
      </c>
      <c r="G29" t="str">
        <f>VLOOKUP($B29,experiments_specs!$A:$J,6,FALSE)</f>
        <v>True</v>
      </c>
      <c r="H29" t="str">
        <f>VLOOKUP($B29,experiments_specs!$A:$J,7,FALSE)</f>
        <v>True</v>
      </c>
      <c r="I29" t="str">
        <f>VLOOKUP($B29,experiments_specs!$A:$J,8,FALSE)</f>
        <v>False</v>
      </c>
      <c r="J29" t="str">
        <f>VLOOKUP($B29,experiments_specs!$A:$J,10,FALSE)</f>
        <v>False</v>
      </c>
      <c r="K29" s="27">
        <f>SUMIF(Dataset!A:A,scores_results!B29,Dataset!P:P)</f>
        <v>0</v>
      </c>
      <c r="L29" s="27">
        <f>SUMIF(Dataset!$A:$A,scores_results!$B29,Dataset!U:U)</f>
        <v>0</v>
      </c>
    </row>
    <row r="30" spans="2:12" x14ac:dyDescent="0.2">
      <c r="B30" t="s">
        <v>91</v>
      </c>
      <c r="C30" t="str">
        <f>VLOOKUP($B30,experiments_specs!$A:$J,2,FALSE)</f>
        <v>NN,VB,VBD,VBG,VBN,VBP,VBZ</v>
      </c>
      <c r="D30">
        <f>VLOOKUP($B30,experiments_specs!$A:$J,3,FALSE)</f>
        <v>1</v>
      </c>
      <c r="E30">
        <f>VLOOKUP($B30,experiments_specs!$A:$J,4,FALSE)</f>
        <v>2</v>
      </c>
      <c r="F30" t="str">
        <f>VLOOKUP($B30,experiments_specs!$A:$J,5,FALSE)</f>
        <v>True</v>
      </c>
      <c r="G30" t="str">
        <f>VLOOKUP($B30,experiments_specs!$A:$J,6,FALSE)</f>
        <v>True</v>
      </c>
      <c r="H30" t="str">
        <f>VLOOKUP($B30,experiments_specs!$A:$J,7,FALSE)</f>
        <v>True</v>
      </c>
      <c r="I30" t="str">
        <f>VLOOKUP($B30,experiments_specs!$A:$J,8,FALSE)</f>
        <v>False</v>
      </c>
      <c r="J30" t="str">
        <f>VLOOKUP($B30,experiments_specs!$A:$J,10,FALSE)</f>
        <v>False</v>
      </c>
      <c r="K30" s="27">
        <f>SUMIF(Dataset!A:A,scores_results!B30,Dataset!P:P)</f>
        <v>0</v>
      </c>
      <c r="L30" s="27">
        <f>SUMIF(Dataset!$A:$A,scores_results!$B30,Dataset!U:U)</f>
        <v>0</v>
      </c>
    </row>
    <row r="31" spans="2:12" x14ac:dyDescent="0.2">
      <c r="B31" t="s">
        <v>92</v>
      </c>
      <c r="C31" t="str">
        <f>VLOOKUP($B31,experiments_specs!$A:$J,2,FALSE)</f>
        <v>NN,RB</v>
      </c>
      <c r="D31">
        <f>VLOOKUP($B31,experiments_specs!$A:$J,3,FALSE)</f>
        <v>1</v>
      </c>
      <c r="E31">
        <f>VLOOKUP($B31,experiments_specs!$A:$J,4,FALSE)</f>
        <v>2</v>
      </c>
      <c r="F31" t="str">
        <f>VLOOKUP($B31,experiments_specs!$A:$J,5,FALSE)</f>
        <v>True</v>
      </c>
      <c r="G31" t="str">
        <f>VLOOKUP($B31,experiments_specs!$A:$J,6,FALSE)</f>
        <v>True</v>
      </c>
      <c r="H31" t="str">
        <f>VLOOKUP($B31,experiments_specs!$A:$J,7,FALSE)</f>
        <v>True</v>
      </c>
      <c r="I31" t="str">
        <f>VLOOKUP($B31,experiments_specs!$A:$J,8,FALSE)</f>
        <v>False</v>
      </c>
      <c r="J31" t="str">
        <f>VLOOKUP($B31,experiments_specs!$A:$J,10,FALSE)</f>
        <v>False</v>
      </c>
      <c r="K31" s="27">
        <f>SUMIF(Dataset!A:A,scores_results!B31,Dataset!P:P)</f>
        <v>0</v>
      </c>
      <c r="L31" s="27">
        <f>SUMIF(Dataset!$A:$A,scores_results!$B31,Dataset!U:U)</f>
        <v>0</v>
      </c>
    </row>
    <row r="32" spans="2:12" x14ac:dyDescent="0.2">
      <c r="B32" t="s">
        <v>93</v>
      </c>
      <c r="C32" t="str">
        <f>VLOOKUP($B32,experiments_specs!$A:$J,2,FALSE)</f>
        <v>NN,JJ,VB,VBD,VBG,VBN,VBP,VBZ</v>
      </c>
      <c r="D32">
        <f>VLOOKUP($B32,experiments_specs!$A:$J,3,FALSE)</f>
        <v>1</v>
      </c>
      <c r="E32">
        <f>VLOOKUP($B32,experiments_specs!$A:$J,4,FALSE)</f>
        <v>2</v>
      </c>
      <c r="F32" t="str">
        <f>VLOOKUP($B32,experiments_specs!$A:$J,5,FALSE)</f>
        <v>True</v>
      </c>
      <c r="G32" t="str">
        <f>VLOOKUP($B32,experiments_specs!$A:$J,6,FALSE)</f>
        <v>True</v>
      </c>
      <c r="H32" t="str">
        <f>VLOOKUP($B32,experiments_specs!$A:$J,7,FALSE)</f>
        <v>True</v>
      </c>
      <c r="I32" t="str">
        <f>VLOOKUP($B32,experiments_specs!$A:$J,8,FALSE)</f>
        <v>False</v>
      </c>
      <c r="J32" t="str">
        <f>VLOOKUP($B32,experiments_specs!$A:$J,10,FALSE)</f>
        <v>False</v>
      </c>
      <c r="K32" s="27">
        <f>SUMIF(Dataset!A:A,scores_results!B32,Dataset!P:P)</f>
        <v>0</v>
      </c>
      <c r="L32" s="27">
        <f>SUMIF(Dataset!$A:$A,scores_results!$B32,Dataset!U:U)</f>
        <v>0</v>
      </c>
    </row>
    <row r="33" spans="2:12" x14ac:dyDescent="0.2">
      <c r="B33" t="s">
        <v>94</v>
      </c>
      <c r="C33" t="str">
        <f>VLOOKUP($B33,experiments_specs!$A:$J,2,FALSE)</f>
        <v>NN</v>
      </c>
      <c r="D33">
        <f>VLOOKUP($B33,experiments_specs!$A:$J,3,FALSE)</f>
        <v>1</v>
      </c>
      <c r="E33">
        <f>VLOOKUP($B33,experiments_specs!$A:$J,4,FALSE)</f>
        <v>2</v>
      </c>
      <c r="F33" t="str">
        <f>VLOOKUP($B33,experiments_specs!$A:$J,5,FALSE)</f>
        <v>False</v>
      </c>
      <c r="G33" t="str">
        <f>VLOOKUP($B33,experiments_specs!$A:$J,6,FALSE)</f>
        <v>True</v>
      </c>
      <c r="H33" t="str">
        <f>VLOOKUP($B33,experiments_specs!$A:$J,7,FALSE)</f>
        <v>True</v>
      </c>
      <c r="I33" t="str">
        <f>VLOOKUP($B33,experiments_specs!$A:$J,8,FALSE)</f>
        <v>False</v>
      </c>
      <c r="J33" t="str">
        <f>VLOOKUP($B33,experiments_specs!$A:$J,10,FALSE)</f>
        <v>True</v>
      </c>
      <c r="K33" s="27">
        <f>SUMIF(Dataset!A:A,scores_results!B33,Dataset!P:P)</f>
        <v>0</v>
      </c>
      <c r="L33" s="27">
        <f>SUMIF(Dataset!$A:$A,scores_results!$B33,Dataset!U:U)</f>
        <v>0</v>
      </c>
    </row>
    <row r="34" spans="2:12" x14ac:dyDescent="0.2">
      <c r="B34" t="s">
        <v>95</v>
      </c>
      <c r="C34" t="str">
        <f>VLOOKUP($B34,experiments_specs!$A:$J,2,FALSE)</f>
        <v>NN,JJ</v>
      </c>
      <c r="D34">
        <f>VLOOKUP($B34,experiments_specs!$A:$J,3,FALSE)</f>
        <v>1</v>
      </c>
      <c r="E34">
        <f>VLOOKUP($B34,experiments_specs!$A:$J,4,FALSE)</f>
        <v>2</v>
      </c>
      <c r="F34" t="str">
        <f>VLOOKUP($B34,experiments_specs!$A:$J,5,FALSE)</f>
        <v>True</v>
      </c>
      <c r="G34" t="str">
        <f>VLOOKUP($B34,experiments_specs!$A:$J,6,FALSE)</f>
        <v>True</v>
      </c>
      <c r="H34" t="str">
        <f>VLOOKUP($B34,experiments_specs!$A:$J,7,FALSE)</f>
        <v>True</v>
      </c>
      <c r="I34" t="str">
        <f>VLOOKUP($B34,experiments_specs!$A:$J,8,FALSE)</f>
        <v>False</v>
      </c>
      <c r="J34" t="str">
        <f>VLOOKUP($B34,experiments_specs!$A:$J,10,FALSE)</f>
        <v>True</v>
      </c>
      <c r="K34" s="27">
        <f>SUMIF(Dataset!A:A,scores_results!B34,Dataset!P:P)</f>
        <v>0</v>
      </c>
      <c r="L34" s="27">
        <f>SUMIF(Dataset!$A:$A,scores_results!$B34,Dataset!U:U)</f>
        <v>0</v>
      </c>
    </row>
    <row r="35" spans="2:12" x14ac:dyDescent="0.2">
      <c r="B35" t="s">
        <v>96</v>
      </c>
      <c r="C35" t="str">
        <f>VLOOKUP($B35,experiments_specs!$A:$J,2,FALSE)</f>
        <v>NN,VB</v>
      </c>
      <c r="D35">
        <f>VLOOKUP($B35,experiments_specs!$A:$J,3,FALSE)</f>
        <v>1</v>
      </c>
      <c r="E35">
        <f>VLOOKUP($B35,experiments_specs!$A:$J,4,FALSE)</f>
        <v>2</v>
      </c>
      <c r="F35" t="str">
        <f>VLOOKUP($B35,experiments_specs!$A:$J,5,FALSE)</f>
        <v>True</v>
      </c>
      <c r="G35" t="str">
        <f>VLOOKUP($B35,experiments_specs!$A:$J,6,FALSE)</f>
        <v>True</v>
      </c>
      <c r="H35" t="str">
        <f>VLOOKUP($B35,experiments_specs!$A:$J,7,FALSE)</f>
        <v>True</v>
      </c>
      <c r="I35" t="str">
        <f>VLOOKUP($B35,experiments_specs!$A:$J,8,FALSE)</f>
        <v>False</v>
      </c>
      <c r="J35" t="str">
        <f>VLOOKUP($B35,experiments_specs!$A:$J,10,FALSE)</f>
        <v>True</v>
      </c>
      <c r="K35" s="27">
        <f>SUMIF(Dataset!A:A,scores_results!B35,Dataset!P:P)</f>
        <v>0</v>
      </c>
      <c r="L35" s="27">
        <f>SUMIF(Dataset!$A:$A,scores_results!$B35,Dataset!U:U)</f>
        <v>0</v>
      </c>
    </row>
    <row r="36" spans="2:12" x14ac:dyDescent="0.2">
      <c r="B36" t="s">
        <v>97</v>
      </c>
      <c r="C36" t="str">
        <f>VLOOKUP($B36,experiments_specs!$A:$J,2,FALSE)</f>
        <v>NN,VB,VBD,VBG,VBN,VBP,VBZ</v>
      </c>
      <c r="D36">
        <f>VLOOKUP($B36,experiments_specs!$A:$J,3,FALSE)</f>
        <v>1</v>
      </c>
      <c r="E36">
        <f>VLOOKUP($B36,experiments_specs!$A:$J,4,FALSE)</f>
        <v>2</v>
      </c>
      <c r="F36" t="str">
        <f>VLOOKUP($B36,experiments_specs!$A:$J,5,FALSE)</f>
        <v>True</v>
      </c>
      <c r="G36" t="str">
        <f>VLOOKUP($B36,experiments_specs!$A:$J,6,FALSE)</f>
        <v>True</v>
      </c>
      <c r="H36" t="str">
        <f>VLOOKUP($B36,experiments_specs!$A:$J,7,FALSE)</f>
        <v>True</v>
      </c>
      <c r="I36" t="str">
        <f>VLOOKUP($B36,experiments_specs!$A:$J,8,FALSE)</f>
        <v>False</v>
      </c>
      <c r="J36" t="str">
        <f>VLOOKUP($B36,experiments_specs!$A:$J,10,FALSE)</f>
        <v>True</v>
      </c>
      <c r="K36" s="27">
        <f>SUMIF(Dataset!A:A,scores_results!B36,Dataset!P:P)</f>
        <v>0</v>
      </c>
      <c r="L36" s="27">
        <f>SUMIF(Dataset!$A:$A,scores_results!$B36,Dataset!U:U)</f>
        <v>0</v>
      </c>
    </row>
    <row r="37" spans="2:12" x14ac:dyDescent="0.2">
      <c r="B37" t="s">
        <v>98</v>
      </c>
      <c r="C37" t="str">
        <f>VLOOKUP($B37,experiments_specs!$A:$J,2,FALSE)</f>
        <v>NN,RB</v>
      </c>
      <c r="D37">
        <f>VLOOKUP($B37,experiments_specs!$A:$J,3,FALSE)</f>
        <v>1</v>
      </c>
      <c r="E37">
        <f>VLOOKUP($B37,experiments_specs!$A:$J,4,FALSE)</f>
        <v>2</v>
      </c>
      <c r="F37" t="str">
        <f>VLOOKUP($B37,experiments_specs!$A:$J,5,FALSE)</f>
        <v>True</v>
      </c>
      <c r="G37" t="str">
        <f>VLOOKUP($B37,experiments_specs!$A:$J,6,FALSE)</f>
        <v>True</v>
      </c>
      <c r="H37" t="str">
        <f>VLOOKUP($B37,experiments_specs!$A:$J,7,FALSE)</f>
        <v>True</v>
      </c>
      <c r="I37" t="str">
        <f>VLOOKUP($B37,experiments_specs!$A:$J,8,FALSE)</f>
        <v>False</v>
      </c>
      <c r="J37" t="str">
        <f>VLOOKUP($B37,experiments_specs!$A:$J,10,FALSE)</f>
        <v>True</v>
      </c>
      <c r="K37" s="27">
        <f>SUMIF(Dataset!A:A,scores_results!B37,Dataset!P:P)</f>
        <v>0</v>
      </c>
      <c r="L37" s="27">
        <f>SUMIF(Dataset!$A:$A,scores_results!$B37,Dataset!U:U)</f>
        <v>0</v>
      </c>
    </row>
    <row r="38" spans="2:12" x14ac:dyDescent="0.2">
      <c r="B38" t="s">
        <v>99</v>
      </c>
      <c r="C38" t="str">
        <f>VLOOKUP($B38,experiments_specs!$A:$J,2,FALSE)</f>
        <v>NN,JJ,VB,VBD,VBG,VBN,VBP,VBZ</v>
      </c>
      <c r="D38">
        <f>VLOOKUP($B38,experiments_specs!$A:$J,3,FALSE)</f>
        <v>1</v>
      </c>
      <c r="E38">
        <f>VLOOKUP($B38,experiments_specs!$A:$J,4,FALSE)</f>
        <v>2</v>
      </c>
      <c r="F38" t="str">
        <f>VLOOKUP($B38,experiments_specs!$A:$J,5,FALSE)</f>
        <v>True</v>
      </c>
      <c r="G38" t="str">
        <f>VLOOKUP($B38,experiments_specs!$A:$J,6,FALSE)</f>
        <v>True</v>
      </c>
      <c r="H38" t="str">
        <f>VLOOKUP($B38,experiments_specs!$A:$J,7,FALSE)</f>
        <v>True</v>
      </c>
      <c r="I38" t="str">
        <f>VLOOKUP($B38,experiments_specs!$A:$J,8,FALSE)</f>
        <v>False</v>
      </c>
      <c r="J38" t="str">
        <f>VLOOKUP($B38,experiments_specs!$A:$J,10,FALSE)</f>
        <v>True</v>
      </c>
      <c r="K38" s="27">
        <f>SUMIF(Dataset!A:A,scores_results!B38,Dataset!P:P)</f>
        <v>0</v>
      </c>
      <c r="L38" s="27">
        <f>SUMIF(Dataset!$A:$A,scores_results!$B38,Dataset!U:U)</f>
        <v>0</v>
      </c>
    </row>
    <row r="39" spans="2:12" x14ac:dyDescent="0.2">
      <c r="B39" t="s">
        <v>100</v>
      </c>
      <c r="C39" t="str">
        <f>VLOOKUP($B39,experiments_specs!$A:$J,2,FALSE)</f>
        <v>NN</v>
      </c>
      <c r="D39">
        <f>VLOOKUP($B39,experiments_specs!$A:$J,3,FALSE)</f>
        <v>1</v>
      </c>
      <c r="E39">
        <f>VLOOKUP($B39,experiments_specs!$A:$J,4,FALSE)</f>
        <v>2</v>
      </c>
      <c r="F39" t="str">
        <f>VLOOKUP($B39,experiments_specs!$A:$J,5,FALSE)</f>
        <v>False</v>
      </c>
      <c r="G39" t="str">
        <f>VLOOKUP($B39,experiments_specs!$A:$J,6,FALSE)</f>
        <v>True</v>
      </c>
      <c r="H39" t="str">
        <f>VLOOKUP($B39,experiments_specs!$A:$J,7,FALSE)</f>
        <v>True</v>
      </c>
      <c r="I39" t="str">
        <f>VLOOKUP($B39,experiments_specs!$A:$J,8,FALSE)</f>
        <v>True</v>
      </c>
      <c r="J39" t="str">
        <f>VLOOKUP($B39,experiments_specs!$A:$J,10,FALSE)</f>
        <v>False</v>
      </c>
      <c r="K39" s="27">
        <f>SUMIF(Dataset!A:A,scores_results!B39,Dataset!P:P)</f>
        <v>0</v>
      </c>
      <c r="L39" s="27">
        <f>SUMIF(Dataset!$A:$A,scores_results!$B39,Dataset!U:U)</f>
        <v>0</v>
      </c>
    </row>
  </sheetData>
  <mergeCells count="1">
    <mergeCell ref="B1:L1"/>
  </mergeCells>
  <conditionalFormatting sqref="K3:L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1A37-CB6C-E146-9199-2AF9A418B054}">
  <sheetPr codeName="Foglio8"/>
  <dimension ref="A1:L6"/>
  <sheetViews>
    <sheetView workbookViewId="0">
      <selection activeCell="F11" sqref="F11"/>
    </sheetView>
  </sheetViews>
  <sheetFormatPr baseColWidth="10" defaultRowHeight="16" x14ac:dyDescent="0.2"/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</row>
    <row r="2" spans="1:12" x14ac:dyDescent="0.2">
      <c r="A2" s="16" t="s">
        <v>70</v>
      </c>
      <c r="B2" t="s">
        <v>56</v>
      </c>
      <c r="C2">
        <v>1</v>
      </c>
      <c r="D2">
        <v>2</v>
      </c>
      <c r="E2" t="s">
        <v>57</v>
      </c>
      <c r="F2" t="s">
        <v>58</v>
      </c>
      <c r="G2" t="s">
        <v>57</v>
      </c>
      <c r="H2" t="s">
        <v>57</v>
      </c>
      <c r="I2" t="s">
        <v>59</v>
      </c>
      <c r="J2" t="s">
        <v>57</v>
      </c>
      <c r="K2" t="str">
        <f>_xlfn.CONCAT(B2:J2)</f>
        <v>NN12FalseTrueFalseFalsewup_similarityFalse</v>
      </c>
      <c r="L2">
        <f>COUNTIFS(K:K,K2)</f>
        <v>1</v>
      </c>
    </row>
    <row r="3" spans="1:12" x14ac:dyDescent="0.2">
      <c r="A3" s="16" t="s">
        <v>88</v>
      </c>
      <c r="B3" t="s">
        <v>56</v>
      </c>
      <c r="C3">
        <v>1</v>
      </c>
      <c r="D3">
        <v>2</v>
      </c>
      <c r="E3" t="s">
        <v>57</v>
      </c>
      <c r="F3" t="s">
        <v>58</v>
      </c>
      <c r="G3" t="s">
        <v>58</v>
      </c>
      <c r="H3" t="s">
        <v>57</v>
      </c>
      <c r="I3" t="s">
        <v>59</v>
      </c>
      <c r="J3" t="s">
        <v>57</v>
      </c>
      <c r="K3" t="str">
        <f>_xlfn.CONCAT(B3:J3)</f>
        <v>NN12FalseTrueTrueFalsewup_similarityFalse</v>
      </c>
      <c r="L3">
        <f>COUNTIFS(K:K,K3)</f>
        <v>1</v>
      </c>
    </row>
    <row r="4" spans="1:12" x14ac:dyDescent="0.2">
      <c r="A4" s="16" t="s">
        <v>106</v>
      </c>
      <c r="B4" t="s">
        <v>56</v>
      </c>
      <c r="C4">
        <v>1</v>
      </c>
      <c r="D4">
        <v>2</v>
      </c>
      <c r="E4" t="s">
        <v>57</v>
      </c>
      <c r="F4" t="s">
        <v>58</v>
      </c>
      <c r="G4" t="s">
        <v>58</v>
      </c>
      <c r="H4" t="s">
        <v>58</v>
      </c>
      <c r="I4" t="s">
        <v>59</v>
      </c>
      <c r="J4" t="s">
        <v>57</v>
      </c>
      <c r="K4" t="str">
        <f>_xlfn.CONCAT(B4:J4)</f>
        <v>NN12FalseTrueTrueTruewup_similarityFalse</v>
      </c>
      <c r="L4">
        <f>COUNTIFS(K:K,K4)</f>
        <v>1</v>
      </c>
    </row>
    <row r="5" spans="1:12" x14ac:dyDescent="0.2">
      <c r="A5" s="16" t="s">
        <v>140</v>
      </c>
      <c r="B5" t="s">
        <v>56</v>
      </c>
      <c r="C5">
        <v>1</v>
      </c>
      <c r="D5">
        <v>2</v>
      </c>
      <c r="E5" t="s">
        <v>57</v>
      </c>
      <c r="F5" t="s">
        <v>57</v>
      </c>
      <c r="G5" t="s">
        <v>58</v>
      </c>
      <c r="H5" t="s">
        <v>57</v>
      </c>
      <c r="I5" t="s">
        <v>59</v>
      </c>
      <c r="J5" t="s">
        <v>57</v>
      </c>
      <c r="K5" t="str">
        <f>_xlfn.CONCAT(B5:J5)</f>
        <v>NN12FalseFalseTrueFalsewup_similarityFalse</v>
      </c>
      <c r="L5">
        <f>COUNTIFS(K:K,K5)</f>
        <v>1</v>
      </c>
    </row>
    <row r="6" spans="1:12" x14ac:dyDescent="0.2">
      <c r="A6" s="16" t="s">
        <v>158</v>
      </c>
      <c r="B6" t="s">
        <v>56</v>
      </c>
      <c r="C6">
        <v>1</v>
      </c>
      <c r="D6">
        <v>2</v>
      </c>
      <c r="E6" t="s">
        <v>57</v>
      </c>
      <c r="F6" t="s">
        <v>57</v>
      </c>
      <c r="G6" t="s">
        <v>57</v>
      </c>
      <c r="H6" t="s">
        <v>58</v>
      </c>
      <c r="I6" t="s">
        <v>59</v>
      </c>
      <c r="J6" t="s">
        <v>57</v>
      </c>
      <c r="K6" t="str">
        <f>_xlfn.CONCAT(B6:J6)</f>
        <v>NN12FalseFalseFalseTruewup_similarityFalse</v>
      </c>
      <c r="L6">
        <f>COUNTIFS(K:K,K6)</f>
        <v>1</v>
      </c>
    </row>
  </sheetData>
  <autoFilter ref="A1:L6" xr:uid="{577C9AB2-5967-0F4A-9BA8-8D7A7C590D74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9077-1D3F-1F4E-B061-853A1DE151FD}">
  <sheetPr codeName="Foglio3"/>
  <dimension ref="A1:Q91"/>
  <sheetViews>
    <sheetView workbookViewId="0">
      <pane ySplit="1" topLeftCell="A2" activePane="bottomLeft" state="frozen"/>
      <selection pane="bottomLeft" activeCell="L1" sqref="L1"/>
    </sheetView>
  </sheetViews>
  <sheetFormatPr baseColWidth="10" defaultRowHeight="16" x14ac:dyDescent="0.2"/>
  <cols>
    <col min="1" max="1" width="7.33203125" bestFit="1" customWidth="1"/>
    <col min="2" max="2" width="29" bestFit="1" customWidth="1"/>
    <col min="3" max="3" width="16.6640625" bestFit="1" customWidth="1"/>
    <col min="4" max="4" width="22.33203125" bestFit="1" customWidth="1"/>
    <col min="5" max="5" width="13.1640625" bestFit="1" customWidth="1"/>
    <col min="6" max="7" width="17.83203125" bestFit="1" customWidth="1"/>
    <col min="8" max="8" width="16.6640625" bestFit="1" customWidth="1"/>
    <col min="9" max="9" width="13.33203125" bestFit="1" customWidth="1"/>
    <col min="10" max="10" width="10.6640625" bestFit="1" customWidth="1"/>
    <col min="11" max="11" width="26.33203125" customWidth="1"/>
    <col min="12" max="12" width="27.33203125" bestFit="1" customWidth="1"/>
    <col min="13" max="13" width="20.33203125" bestFit="1" customWidth="1"/>
    <col min="14" max="14" width="24.33203125" bestFit="1" customWidth="1"/>
    <col min="15" max="15" width="8.83203125" customWidth="1"/>
    <col min="16" max="16" width="23.83203125" bestFit="1" customWidth="1"/>
    <col min="17" max="17" width="25.1640625" bestFit="1" customWidth="1"/>
    <col min="18" max="18" width="17.83203125" bestFit="1" customWidth="1"/>
    <col min="19" max="19" width="48.83203125" bestFit="1" customWidth="1"/>
  </cols>
  <sheetData>
    <row r="1" spans="1:1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  <c r="L1" t="str">
        <f>"["&amp;_xlfn.CONCAT(K2:L55)&amp;"]"</f>
        <v>[{"test_id":"test_01", "genus_tags":["NN"], "genus_hypo_depth":1,"genus_hyper_hypo_depth":2,"lesk_on_genus":False,"definition_similarity":True,"examples_similarity":False,"lemmas_similarity":False,"score_type":"wup_similarity","lesk_only_n":False},{"test_id":"test_02", "genus_tags":["NN","JJ"], "genus_hypo_depth":1,"genus_hyper_hypo_depth":2,"lesk_on_genus":False,"definition_similarity":True,"examples_similarity":False,"lemmas_similarity":False,"score_type":"wup_similarity","lesk_only_n":False},{"test_id":"test_03", "genus_tags":["NN","VB"], "genus_hypo_depth":1,"genus_hyper_hypo_depth":2,"lesk_on_genus":False,"definition_similarity":True,"examples_similarity":False,"lemmas_similarity":False,"score_type":"wup_similarity","lesk_only_n":False},{"test_id":"test_04", "genus_tags":["NN","VB","VBD","VBG","VBN","VBP","VBZ"], "genus_hypo_depth":1,"genus_hyper_hypo_depth":2,"lesk_on_genus":False,"definition_similarity":True,"examples_similarity":False,"lemmas_similarity":False,"score_type":"wup_similarity","lesk_only_n":False},{"test_id":"test_05", "genus_tags":["NN","RB"], "genus_hypo_depth":1,"genus_hyper_hypo_depth":2,"lesk_on_genus":False,"definition_similarity":True,"examples_similarity":False,"lemmas_similarity":False,"score_type":"wup_similarity","lesk_only_n":False},{"test_id":"test_06", "genus_tags":["NN","JJ","VB","VBD","VBG","VBN","VBP","VBZ"], "genus_hypo_depth":1,"genus_hyper_hypo_depth":2,"lesk_on_genus":False,"definition_similarity":True,"examples_similarity":False,"lemmas_similarity":False,"score_type":"wup_similarity","lesk_only_n":False},{"test_id":"test_07", "genus_tags":["NN"], "genus_hypo_depth":1,"genus_hyper_hypo_depth":2,"lesk_on_genus":True,"definition_similarity":True,"examples_similarity":False,"lemmas_similarity":False,"score_type":"wup_similarity","lesk_only_n":False},{"test_id":"test_08", "genus_tags":["NN","JJ"], "genus_hypo_depth":1,"genus_hyper_hypo_depth":2,"lesk_on_genus":True,"definition_similarity":True,"examples_similarity":False,"lemmas_similarity":False,"score_type":"wup_similarity","lesk_only_n":False},{"test_id":"test_09", "genus_tags":["NN","VB"], "genus_hypo_depth":1,"genus_hyper_hypo_depth":2,"lesk_on_genus":True,"definition_similarity":True,"examples_similarity":False,"lemmas_similarity":False,"score_type":"wup_similarity","lesk_only_n":False},{"test_id":"test_10", "genus_tags":["NN","VB","VBD","VBG","VBN","VBP","VBZ"], "genus_hypo_depth":1,"genus_hyper_hypo_depth":2,"lesk_on_genus":True,"definition_similarity":True,"examples_similarity":False,"lemmas_similarity":False,"score_type":"wup_similarity","lesk_only_n":False},{"test_id":"test_11", "genus_tags":["NN","RB"], "genus_hypo_depth":1,"genus_hyper_hypo_depth":2,"lesk_on_genus":True,"definition_similarity":True,"examples_similarity":False,"lemmas_similarity":False,"score_type":"wup_similarity","lesk_only_n":False},{"test_id":"test_12", "genus_tags":["NN","JJ","VB","VBD","VBG","VBN","VBP","VBZ"], "genus_hypo_depth":1,"genus_hyper_hypo_depth":2,"lesk_on_genus":True,"definition_similarity":True,"examples_similarity":False,"lemmas_similarity":False,"score_type":"wup_similarity","lesk_only_n":False},{"test_id":"test_13", "genus_tags":["NN"], "genus_hypo_depth":1,"genus_hyper_hypo_depth":2,"lesk_on_genus":False,"definition_similarity":True,"examples_similarity":False,"lemmas_similarity":False,"score_type":"wup_similarity","lesk_only_n":True},{"test_id":"test_14", "genus_tags":["NN","JJ"], "genus_hypo_depth":1,"genus_hyper_hypo_depth":2,"lesk_on_genus":True,"definition_similarity":True,"examples_similarity":False,"lemmas_similarity":False,"score_type":"wup_similarity","lesk_only_n":True},{"test_id":"test_15", "genus_tags":["NN","VB"], "genus_hypo_depth":1,"genus_hyper_hypo_depth":2,"lesk_on_genus":True,"definition_similarity":True,"examples_similarity":False,"lemmas_similarity":False,"score_type":"wup_similarity","lesk_only_n":True},{"test_id":"test_16", "genus_tags":["NN","VB","VBD","VBG","VBN","VBP","VBZ"], "genus_hypo_depth":1,"genus_hyper_hypo_depth":2,"lesk_on_genus":True,"definition_similarity":True,"examples_similarity":False,"lemmas_similarity":False,"score_type":"wup_similarity","lesk_only_n":True},{"test_id":"test_17", "genus_tags":["NN","RB"], "genus_hypo_depth":1,"genus_hyper_hypo_depth":2,"lesk_on_genus":True,"definition_similarity":True,"examples_similarity":False,"lemmas_similarity":False,"score_type":"wup_similarity","lesk_only_n":True},{"test_id":"test_18", "genus_tags":["NN","JJ","VB","VBD","VBG","VBN","VBP","VBZ"], "genus_hypo_depth":1,"genus_hyper_hypo_depth":2,"lesk_on_genus":True,"definition_similarity":True,"examples_similarity":False,"lemmas_similarity":False,"score_type":"wup_similarity","lesk_only_n":True},{"test_id":"test_19", "genus_tags":["NN"], "genus_hypo_depth":1,"genus_hyper_hypo_depth":2,"lesk_on_genus":False,"definition_similarity":True,"examples_similarity":True,"lemmas_similarity":False,"score_type":"wup_similarity","lesk_only_n":False},{"test_id":"test_20", "genus_tags":["NN","JJ"], "genus_hypo_depth":1,"genus_hyper_hypo_depth":2,"lesk_on_genus":False,"definition_similarity":True,"examples_similarity":True,"lemmas_similarity":False,"score_type":"wup_similarity","lesk_only_n":False},{"test_id":"test_21", "genus_tags":["NN","VB"], "genus_hypo_depth":1,"genus_hyper_hypo_depth":2,"lesk_on_genus":False,"definition_similarity":True,"examples_similarity":True,"lemmas_similarity":False,"score_type":"wup_similarity","lesk_only_n":False},{"test_id":"test_22", "genus_tags":["NN","VB","VBD","VBG","VBN","VBP","VBZ"], "genus_hypo_depth":1,"genus_hyper_hypo_depth":2,"lesk_on_genus":False,"definition_similarity":True,"examples_similarity":True,"lemmas_similarity":False,"score_type":"wup_similarity","lesk_only_n":False},{"test_id":"test_23", "genus_tags":["NN","RB"], "genus_hypo_depth":1,"genus_hyper_hypo_depth":2,"lesk_on_genus":False,"definition_similarity":True,"examples_similarity":True,"lemmas_similarity":False,"score_type":"wup_similarity","lesk_only_n":False},{"test_id":"test_24", "genus_tags":["NN","JJ","VB","VBD","VBG","VBN","VBP","VBZ"], "genus_hypo_depth":1,"genus_hyper_hypo_depth":2,"lesk_on_genus":False,"definition_similarity":True,"examples_similarity":True,"lemmas_similarity":False,"score_type":"wup_similarity","lesk_only_n":False},{"test_id":"test_25", "genus_tags":["NN"], "genus_hypo_depth":1,"genus_hyper_hypo_depth":2,"lesk_on_genus":True,"definition_similarity":True,"examples_similarity":True,"lemmas_similarity":False,"score_type":"wup_similarity","lesk_only_n":False},{"test_id":"test_26", "genus_tags":["NN","JJ"], "genus_hypo_depth":1,"genus_hyper_hypo_depth":2,"lesk_on_genus":True,"definition_similarity":True,"examples_similarity":True,"lemmas_similarity":False,"score_type":"wup_similarity","lesk_only_n":False},{"test_id":"test_27", "genus_tags":["NN","VB"], "genus_hypo_depth":1,"genus_hyper_hypo_depth":2,"lesk_on_genus":True,"definition_similarity":True,"examples_similarity":True,"lemmas_similarity":False,"score_type":"wup_similarity","lesk_only_n":False},{"test_id":"test_28", "genus_tags":["NN","VB","VBD","VBG","VBN","VBP","VBZ"], "genus_hypo_depth":1,"genus_hyper_hypo_depth":2,"lesk_on_genus":True,"definition_similarity":True,"examples_similarity":True,"lemmas_similarity":False,"score_type":"wup_similarity","lesk_only_n":False},{"test_id":"test_29", "genus_tags":["NN","RB"], "genus_hypo_depth":1,"genus_hyper_hypo_depth":2,"lesk_on_genus":True,"definition_similarity":True,"examples_similarity":True,"lemmas_similarity":False,"score_type":"wup_similarity","lesk_only_n":False},{"test_id":"test_30", "genus_tags":["NN","JJ","VB","VBD","VBG","VBN","VBP","VBZ"], "genus_hypo_depth":1,"genus_hyper_hypo_depth":2,"lesk_on_genus":True,"definition_similarity":True,"examples_similarity":True,"lemmas_similarity":False,"score_type":"wup_similarity","lesk_only_n":False},{"test_id":"test_31", "genus_tags":["NN"], "genus_hypo_depth":1,"genus_hyper_hypo_depth":2,"lesk_on_genus":False,"definition_similarity":True,"examples_similarity":True,"lemmas_similarity":False,"score_type":"wup_similarity","lesk_only_n":True},{"test_id":"test_32", "genus_tags":["NN","JJ"], "genus_hypo_depth":1,"genus_hyper_hypo_depth":2,"lesk_on_genus":True,"definition_similarity":True,"examples_similarity":True,"lemmas_similarity":False,"score_type":"wup_similarity","lesk_only_n":True},{"test_id":"test_33", "genus_tags":["NN","VB"], "genus_hypo_depth":1,"genus_hyper_hypo_depth":2,"lesk_on_genus":True,"definition_similarity":True,"examples_similarity":True,"lemmas_similarity":False,"score_type":"wup_similarity","lesk_only_n":True},{"test_id":"test_34", "genus_tags":["NN","VB","VBD","VBG","VBN","VBP","VBZ"], "genus_hypo_depth":1,"genus_hyper_hypo_depth":2,"lesk_on_genus":True,"definition_similarity":True,"examples_similarity":True,"lemmas_similarity":False,"score_type":"wup_similarity","lesk_only_n":True},{"test_id":"test_35", "genus_tags":["NN","RB"], "genus_hypo_depth":1,"genus_hyper_hypo_depth":2,"lesk_on_genus":True,"definition_similarity":True,"examples_similarity":True,"lemmas_similarity":False,"score_type":"wup_similarity","lesk_only_n":True},{"test_id":"test_36", "genus_tags":["NN","JJ","VB","VBD","VBG","VBN","VBP","VBZ"], "genus_hypo_depth":1,"genus_hyper_hypo_depth":2,"lesk_on_genus":True,"definition_similarity":True,"examples_similarity":True,"lemmas_similarity":False,"score_type":"wup_similarity","lesk_only_n":True},{"test_id":"test_37", "genus_tags":["NN"], "genus_hypo_depth":1,"genus_hyper_hypo_depth":2,"lesk_on_genus":False,"definition_similarity":True,"examples_similarity":True,"lemmas_similarity":True,"score_type":"wup_similarity","lesk_only_n":False},{"test_id":"test_38", "genus_tags":["NN","JJ"], "genus_hypo_depth":1,"genus_hyper_hypo_depth":2,"lesk_on_genus":False,"definition_similarity":True,"examples_similarity":True,"lemmas_similarity":True,"score_type":"wup_similarity","lesk_only_n":False},{"test_id":"test_39", "genus_tags":["NN","VB"], "genus_hypo_depth":1,"genus_hyper_hypo_depth":2,"lesk_on_genus":False,"definition_similarity":True,"examples_similarity":True,"lemmas_similarity":True,"score_type":"wup_similarity","lesk_only_n":False},{"test_id":"test_40", "genus_tags":["NN","VB","VBD","VBG","VBN","VBP","VBZ"], "genus_hypo_depth":1,"genus_hyper_hypo_depth":2,"lesk_on_genus":False,"definition_similarity":True,"examples_similarity":True,"lemmas_similarity":True,"score_type":"wup_similarity","lesk_only_n":False},{"test_id":"test_41", "genus_tags":["NN","RB"], "genus_hypo_depth":1,"genus_hyper_hypo_depth":2,"lesk_on_genus":False,"definition_similarity":True,"examples_similarity":True,"lemmas_similarity":True,"score_type":"wup_similarity","lesk_only_n":False},{"test_id":"test_42", "genus_tags":["NN","JJ","VB","VBD","VBG","VBN","VBP","VBZ"], "genus_hypo_depth":1,"genus_hyper_hypo_depth":2,"lesk_on_genus":False,"definition_similarity":True,"examples_similarity":True,"lemmas_similarity":True,"score_type":"wup_similarity","lesk_only_n":False},{"test_id":"test_43", "genus_tags":["NN"], "genus_hypo_depth":1,"genus_hyper_hypo_depth":2,"lesk_on_genus":True,"definition_similarity":True,"examples_similarity":True,"lemmas_similarity":True,"score_type":"wup_similarity","lesk_only_n":False},{"test_id":"test_44", "genus_tags":["NN","JJ"], "genus_hypo_depth":1,"genus_hyper_hypo_depth":2,"lesk_on_genus":True,"definition_similarity":True,"examples_similarity":True,"lemmas_similarity":True,"score_type":"wup_similarity","lesk_only_n":False},{"test_id":"test_45", "genus_tags":["NN","VB"], "genus_hypo_depth":1,"genus_hyper_hypo_depth":2,"lesk_on_genus":True,"definition_similarity":True,"examples_similarity":True,"lemmas_similarity":True,"score_type":"wup_similarity","lesk_only_n":False},{"test_id":"test_46", "genus_tags":["NN","VB","VBD","VBG","VBN","VBP","VBZ"], "genus_hypo_depth":1,"genus_hyper_hypo_depth":2,"lesk_on_genus":True,"definition_similarity":True,"examples_similarity":True,"lemmas_similarity":True,"score_type":"wup_similarity","lesk_only_n":False},{"test_id":"test_47", "genus_tags":["NN","RB"], "genus_hypo_depth":1,"genus_hyper_hypo_depth":2,"lesk_on_genus":True,"definition_similarity":True,"examples_similarity":True,"lemmas_similarity":True,"score_type":"wup_similarity","lesk_only_n":False},{"test_id":"test_48", "genus_tags":["NN","JJ","VB","VBD","VBG","VBN","VBP","VBZ"], "genus_hypo_depth":1,"genus_hyper_hypo_depth":2,"lesk_on_genus":True,"definition_similarity":True,"examples_similarity":True,"lemmas_similarity":True,"score_type":"wup_similarity","lesk_only_n":False},{"test_id":"test_49", "genus_tags":["NN"], "genus_hypo_depth":1,"genus_hyper_hypo_depth":2,"lesk_on_genus":False,"definition_similarity":True,"examples_similarity":True,"lemmas_similarity":True,"score_type":"wup_similarity","lesk_only_n":True},{"test_id":"test_50", "genus_tags":["NN","JJ"], "genus_hypo_depth":1,"genus_hyper_hypo_depth":2,"lesk_on_genus":True,"definition_similarity":True,"examples_similarity":True,"lemmas_similarity":True,"score_type":"wup_similarity","lesk_only_n":True},{"test_id":"test_51", "genus_tags":["NN","VB"], "genus_hypo_depth":1,"genus_hyper_hypo_depth":2,"lesk_on_genus":True,"definition_similarity":True,"examples_similarity":True,"lemmas_similarity":True,"score_type":"wup_similarity","lesk_only_n":True},{"test_id":"test_52", "genus_tags":["NN","VB","VBD","VBG","VBN","VBP","VBZ"], "genus_hypo_depth":1,"genus_hyper_hypo_depth":2,"lesk_on_genus":True,"definition_similarity":True,"examples_similarity":True,"lemmas_similarity":True,"score_type":"wup_similarity","lesk_only_n":True},{"test_id":"test_53", "genus_tags":["NN","RB"], "genus_hypo_depth":1,"genus_hyper_hypo_depth":2,"lesk_on_genus":True,"definition_similarity":True,"examples_similarity":True,"lemmas_similarity":True,"score_type":"wup_similarity","lesk_only_n":True},{"test_id":"test_54", "genus_tags":["NN","JJ","VB","VBD","VBG","VBN","VBP","VBZ"], "genus_hypo_depth":1,"genus_hyper_hypo_depth":2,"lesk_on_genus":True,"definition_similarity":True,"examples_similarity":True,"lemmas_similarity":True,"score_type":"wup_similarity","lesk_only_n":True},]</v>
      </c>
    </row>
    <row r="2" spans="1:17" x14ac:dyDescent="0.2">
      <c r="A2" t="s">
        <v>10</v>
      </c>
      <c r="B2" t="s">
        <v>56</v>
      </c>
      <c r="C2">
        <v>1</v>
      </c>
      <c r="D2">
        <v>2</v>
      </c>
      <c r="E2" t="s">
        <v>57</v>
      </c>
      <c r="F2" t="s">
        <v>58</v>
      </c>
      <c r="G2" t="s">
        <v>57</v>
      </c>
      <c r="H2" t="s">
        <v>57</v>
      </c>
      <c r="I2" t="s">
        <v>59</v>
      </c>
      <c r="J2" t="s">
        <v>57</v>
      </c>
      <c r="K2" t="str">
        <f>"{"""&amp;A$1&amp;""""&amp;":"""&amp;A2&amp;""", "&amp;SUBSTITUTE( """"&amp;B$1&amp;""""&amp;":["""&amp;B2&amp;"""]",",",""",""")&amp;", "&amp;""""&amp;C$1&amp;""""&amp;":"&amp;C2&amp;","&amp;""""&amp;D$1&amp;""""&amp;":"&amp;D2&amp;","&amp;""""&amp;E$1&amp;""""&amp;":"&amp;E2&amp;","&amp;""""&amp;F$1&amp;""""&amp;":"&amp;F2&amp;","&amp;""""&amp;G$1&amp;""""&amp;":"&amp;G2&amp;","&amp;""""&amp;H$1&amp;""""&amp;":"&amp;H2&amp;","&amp;""""&amp;I$1&amp;""""&amp;":"""&amp;I2&amp;""","&amp;""""&amp;J$1&amp;""""&amp;":"&amp;J2&amp;"}"</f>
        <v>{"test_id":"test_01", "genus_tags":["NN"], "genus_hypo_depth":1,"genus_hyper_hypo_depth":2,"lesk_on_genus":False,"definition_similarity":True,"examples_similarity":False,"lemmas_similarity":False,"score_type":"wup_similarity","lesk_only_n":False}</v>
      </c>
      <c r="L2" t="s">
        <v>132</v>
      </c>
      <c r="Q2" t="str">
        <f>""""&amp;I$1&amp;""""&amp;":"""&amp;I2&amp;""","</f>
        <v>"score_type":"wup_similarity",</v>
      </c>
    </row>
    <row r="3" spans="1:17" x14ac:dyDescent="0.2">
      <c r="A3" t="s">
        <v>60</v>
      </c>
      <c r="B3" t="s">
        <v>61</v>
      </c>
      <c r="C3">
        <v>1</v>
      </c>
      <c r="D3">
        <v>2</v>
      </c>
      <c r="E3" t="s">
        <v>57</v>
      </c>
      <c r="F3" t="s">
        <v>58</v>
      </c>
      <c r="G3" t="s">
        <v>57</v>
      </c>
      <c r="H3" t="s">
        <v>57</v>
      </c>
      <c r="I3" t="s">
        <v>59</v>
      </c>
      <c r="J3" t="s">
        <v>57</v>
      </c>
      <c r="K3" t="str">
        <f t="shared" ref="K3:K55" si="0">"{"""&amp;A$1&amp;""""&amp;":"""&amp;A3&amp;""", "&amp;SUBSTITUTE( """"&amp;B$1&amp;""""&amp;":["""&amp;B3&amp;"""]",",",""",""")&amp;", "&amp;""""&amp;C$1&amp;""""&amp;":"&amp;C3&amp;","&amp;""""&amp;D$1&amp;""""&amp;":"&amp;D3&amp;","&amp;""""&amp;E$1&amp;""""&amp;":"&amp;E3&amp;","&amp;""""&amp;F$1&amp;""""&amp;":"&amp;F3&amp;","&amp;""""&amp;G$1&amp;""""&amp;":"&amp;G3&amp;","&amp;""""&amp;H$1&amp;""""&amp;":"&amp;H3&amp;","&amp;""""&amp;I$1&amp;""""&amp;":"""&amp;I3&amp;""","&amp;""""&amp;J$1&amp;""""&amp;":"&amp;J3&amp;"}"</f>
        <v>{"test_id":"test_02", "genus_tags":["NN","JJ"], "genus_hypo_depth":1,"genus_hyper_hypo_depth":2,"lesk_on_genus":False,"definition_similarity":True,"examples_similarity":False,"lemmas_similarity":False,"score_type":"wup_similarity","lesk_only_n":False}</v>
      </c>
      <c r="L3" t="s">
        <v>132</v>
      </c>
    </row>
    <row r="4" spans="1:17" x14ac:dyDescent="0.2">
      <c r="A4" t="s">
        <v>62</v>
      </c>
      <c r="B4" t="s">
        <v>63</v>
      </c>
      <c r="C4">
        <v>1</v>
      </c>
      <c r="D4">
        <v>2</v>
      </c>
      <c r="E4" t="s">
        <v>57</v>
      </c>
      <c r="F4" t="s">
        <v>58</v>
      </c>
      <c r="G4" t="s">
        <v>57</v>
      </c>
      <c r="H4" t="s">
        <v>57</v>
      </c>
      <c r="I4" t="s">
        <v>59</v>
      </c>
      <c r="J4" t="s">
        <v>57</v>
      </c>
      <c r="K4" t="str">
        <f t="shared" si="0"/>
        <v>{"test_id":"test_03", "genus_tags":["NN","VB"], "genus_hypo_depth":1,"genus_hyper_hypo_depth":2,"lesk_on_genus":False,"definition_similarity":True,"examples_similarity":False,"lemmas_similarity":False,"score_type":"wup_similarity","lesk_only_n":False}</v>
      </c>
      <c r="L4" t="s">
        <v>132</v>
      </c>
    </row>
    <row r="5" spans="1:17" x14ac:dyDescent="0.2">
      <c r="A5" t="s">
        <v>64</v>
      </c>
      <c r="B5" t="s">
        <v>65</v>
      </c>
      <c r="C5">
        <v>1</v>
      </c>
      <c r="D5">
        <v>2</v>
      </c>
      <c r="E5" t="s">
        <v>57</v>
      </c>
      <c r="F5" t="s">
        <v>58</v>
      </c>
      <c r="G5" t="s">
        <v>57</v>
      </c>
      <c r="H5" t="s">
        <v>57</v>
      </c>
      <c r="I5" t="s">
        <v>59</v>
      </c>
      <c r="J5" t="s">
        <v>57</v>
      </c>
      <c r="K5" t="str">
        <f t="shared" si="0"/>
        <v>{"test_id":"test_04", "genus_tags":["NN","VB","VBD","VBG","VBN","VBP","VBZ"], "genus_hypo_depth":1,"genus_hyper_hypo_depth":2,"lesk_on_genus":False,"definition_similarity":True,"examples_similarity":False,"lemmas_similarity":False,"score_type":"wup_similarity","lesk_only_n":False}</v>
      </c>
      <c r="L5" t="s">
        <v>132</v>
      </c>
    </row>
    <row r="6" spans="1:17" x14ac:dyDescent="0.2">
      <c r="A6" t="s">
        <v>66</v>
      </c>
      <c r="B6" t="s">
        <v>67</v>
      </c>
      <c r="C6">
        <v>1</v>
      </c>
      <c r="D6">
        <v>2</v>
      </c>
      <c r="E6" t="s">
        <v>57</v>
      </c>
      <c r="F6" t="s">
        <v>58</v>
      </c>
      <c r="G6" t="s">
        <v>57</v>
      </c>
      <c r="H6" t="s">
        <v>57</v>
      </c>
      <c r="I6" t="s">
        <v>59</v>
      </c>
      <c r="J6" t="s">
        <v>57</v>
      </c>
      <c r="K6" t="str">
        <f t="shared" si="0"/>
        <v>{"test_id":"test_05", "genus_tags":["NN","RB"], "genus_hypo_depth":1,"genus_hyper_hypo_depth":2,"lesk_on_genus":False,"definition_similarity":True,"examples_similarity":False,"lemmas_similarity":False,"score_type":"wup_similarity","lesk_only_n":False}</v>
      </c>
      <c r="L6" t="s">
        <v>132</v>
      </c>
    </row>
    <row r="7" spans="1:17" x14ac:dyDescent="0.2">
      <c r="A7" t="s">
        <v>68</v>
      </c>
      <c r="B7" t="s">
        <v>69</v>
      </c>
      <c r="C7">
        <v>1</v>
      </c>
      <c r="D7">
        <v>2</v>
      </c>
      <c r="E7" t="s">
        <v>57</v>
      </c>
      <c r="F7" t="s">
        <v>58</v>
      </c>
      <c r="G7" t="s">
        <v>57</v>
      </c>
      <c r="H7" t="s">
        <v>57</v>
      </c>
      <c r="I7" t="s">
        <v>59</v>
      </c>
      <c r="J7" t="s">
        <v>57</v>
      </c>
      <c r="K7" t="str">
        <f t="shared" si="0"/>
        <v>{"test_id":"test_06", "genus_tags":["NN","JJ","VB","VBD","VBG","VBN","VBP","VBZ"], "genus_hypo_depth":1,"genus_hyper_hypo_depth":2,"lesk_on_genus":False,"definition_similarity":True,"examples_similarity":False,"lemmas_similarity":False,"score_type":"wup_similarity","lesk_only_n":False}</v>
      </c>
      <c r="L7" t="s">
        <v>132</v>
      </c>
    </row>
    <row r="8" spans="1:17" x14ac:dyDescent="0.2">
      <c r="A8" t="s">
        <v>70</v>
      </c>
      <c r="B8" t="s">
        <v>56</v>
      </c>
      <c r="C8">
        <v>1</v>
      </c>
      <c r="D8">
        <v>2</v>
      </c>
      <c r="E8" t="s">
        <v>58</v>
      </c>
      <c r="F8" t="s">
        <v>58</v>
      </c>
      <c r="G8" t="s">
        <v>57</v>
      </c>
      <c r="H8" t="s">
        <v>57</v>
      </c>
      <c r="I8" t="s">
        <v>59</v>
      </c>
      <c r="J8" t="s">
        <v>57</v>
      </c>
      <c r="K8" t="str">
        <f t="shared" si="0"/>
        <v>{"test_id":"test_07", "genus_tags":["NN"], "genus_hypo_depth":1,"genus_hyper_hypo_depth":2,"lesk_on_genus":True,"definition_similarity":True,"examples_similarity":False,"lemmas_similarity":False,"score_type":"wup_similarity","lesk_only_n":False}</v>
      </c>
      <c r="L8" t="s">
        <v>132</v>
      </c>
    </row>
    <row r="9" spans="1:17" x14ac:dyDescent="0.2">
      <c r="A9" t="s">
        <v>71</v>
      </c>
      <c r="B9" t="s">
        <v>61</v>
      </c>
      <c r="C9">
        <v>1</v>
      </c>
      <c r="D9">
        <v>2</v>
      </c>
      <c r="E9" t="s">
        <v>58</v>
      </c>
      <c r="F9" t="s">
        <v>58</v>
      </c>
      <c r="G9" t="s">
        <v>57</v>
      </c>
      <c r="H9" t="s">
        <v>57</v>
      </c>
      <c r="I9" t="s">
        <v>59</v>
      </c>
      <c r="J9" t="s">
        <v>57</v>
      </c>
      <c r="K9" t="str">
        <f t="shared" si="0"/>
        <v>{"test_id":"test_08", "genus_tags":["NN","JJ"], "genus_hypo_depth":1,"genus_hyper_hypo_depth":2,"lesk_on_genus":True,"definition_similarity":True,"examples_similarity":False,"lemmas_similarity":False,"score_type":"wup_similarity","lesk_only_n":False}</v>
      </c>
      <c r="L9" t="s">
        <v>132</v>
      </c>
    </row>
    <row r="10" spans="1:17" x14ac:dyDescent="0.2">
      <c r="A10" t="s">
        <v>72</v>
      </c>
      <c r="B10" t="s">
        <v>63</v>
      </c>
      <c r="C10">
        <v>1</v>
      </c>
      <c r="D10">
        <v>2</v>
      </c>
      <c r="E10" t="s">
        <v>58</v>
      </c>
      <c r="F10" t="s">
        <v>58</v>
      </c>
      <c r="G10" t="s">
        <v>57</v>
      </c>
      <c r="H10" t="s">
        <v>57</v>
      </c>
      <c r="I10" t="s">
        <v>59</v>
      </c>
      <c r="J10" t="s">
        <v>57</v>
      </c>
      <c r="K10" t="str">
        <f t="shared" si="0"/>
        <v>{"test_id":"test_09", "genus_tags":["NN","VB"], "genus_hypo_depth":1,"genus_hyper_hypo_depth":2,"lesk_on_genus":True,"definition_similarity":True,"examples_similarity":False,"lemmas_similarity":False,"score_type":"wup_similarity","lesk_only_n":False}</v>
      </c>
      <c r="L10" t="s">
        <v>132</v>
      </c>
    </row>
    <row r="11" spans="1:17" x14ac:dyDescent="0.2">
      <c r="A11" t="s">
        <v>73</v>
      </c>
      <c r="B11" t="s">
        <v>65</v>
      </c>
      <c r="C11">
        <v>1</v>
      </c>
      <c r="D11">
        <v>2</v>
      </c>
      <c r="E11" t="s">
        <v>58</v>
      </c>
      <c r="F11" t="s">
        <v>58</v>
      </c>
      <c r="G11" t="s">
        <v>57</v>
      </c>
      <c r="H11" t="s">
        <v>57</v>
      </c>
      <c r="I11" t="s">
        <v>59</v>
      </c>
      <c r="J11" t="s">
        <v>57</v>
      </c>
      <c r="K11" t="str">
        <f t="shared" si="0"/>
        <v>{"test_id":"test_10", "genus_tags":["NN","VB","VBD","VBG","VBN","VBP","VBZ"], "genus_hypo_depth":1,"genus_hyper_hypo_depth":2,"lesk_on_genus":True,"definition_similarity":True,"examples_similarity":False,"lemmas_similarity":False,"score_type":"wup_similarity","lesk_only_n":False}</v>
      </c>
      <c r="L11" t="s">
        <v>132</v>
      </c>
    </row>
    <row r="12" spans="1:17" x14ac:dyDescent="0.2">
      <c r="A12" t="s">
        <v>74</v>
      </c>
      <c r="B12" t="s">
        <v>67</v>
      </c>
      <c r="C12">
        <v>1</v>
      </c>
      <c r="D12">
        <v>2</v>
      </c>
      <c r="E12" t="s">
        <v>58</v>
      </c>
      <c r="F12" t="s">
        <v>58</v>
      </c>
      <c r="G12" t="s">
        <v>57</v>
      </c>
      <c r="H12" t="s">
        <v>57</v>
      </c>
      <c r="I12" t="s">
        <v>59</v>
      </c>
      <c r="J12" t="s">
        <v>57</v>
      </c>
      <c r="K12" t="str">
        <f t="shared" si="0"/>
        <v>{"test_id":"test_11", "genus_tags":["NN","RB"], "genus_hypo_depth":1,"genus_hyper_hypo_depth":2,"lesk_on_genus":True,"definition_similarity":True,"examples_similarity":False,"lemmas_similarity":False,"score_type":"wup_similarity","lesk_only_n":False}</v>
      </c>
      <c r="L12" t="s">
        <v>132</v>
      </c>
    </row>
    <row r="13" spans="1:17" x14ac:dyDescent="0.2">
      <c r="A13" t="s">
        <v>75</v>
      </c>
      <c r="B13" t="s">
        <v>69</v>
      </c>
      <c r="C13">
        <v>1</v>
      </c>
      <c r="D13">
        <v>2</v>
      </c>
      <c r="E13" t="s">
        <v>58</v>
      </c>
      <c r="F13" t="s">
        <v>58</v>
      </c>
      <c r="G13" t="s">
        <v>57</v>
      </c>
      <c r="H13" t="s">
        <v>57</v>
      </c>
      <c r="I13" t="s">
        <v>59</v>
      </c>
      <c r="J13" t="s">
        <v>57</v>
      </c>
      <c r="K13" t="str">
        <f t="shared" si="0"/>
        <v>{"test_id":"test_12", "genus_tags":["NN","JJ","VB","VBD","VBG","VBN","VBP","VBZ"], "genus_hypo_depth":1,"genus_hyper_hypo_depth":2,"lesk_on_genus":True,"definition_similarity":True,"examples_similarity":False,"lemmas_similarity":False,"score_type":"wup_similarity","lesk_only_n":False}</v>
      </c>
      <c r="L13" t="s">
        <v>132</v>
      </c>
    </row>
    <row r="14" spans="1:17" x14ac:dyDescent="0.2">
      <c r="A14" t="s">
        <v>76</v>
      </c>
      <c r="B14" t="s">
        <v>56</v>
      </c>
      <c r="C14">
        <v>1</v>
      </c>
      <c r="D14">
        <v>2</v>
      </c>
      <c r="E14" t="s">
        <v>57</v>
      </c>
      <c r="F14" t="s">
        <v>58</v>
      </c>
      <c r="G14" t="s">
        <v>57</v>
      </c>
      <c r="H14" t="s">
        <v>57</v>
      </c>
      <c r="I14" t="s">
        <v>59</v>
      </c>
      <c r="J14" t="s">
        <v>58</v>
      </c>
      <c r="K14" t="str">
        <f t="shared" si="0"/>
        <v>{"test_id":"test_13", "genus_tags":["NN"], "genus_hypo_depth":1,"genus_hyper_hypo_depth":2,"lesk_on_genus":False,"definition_similarity":True,"examples_similarity":False,"lemmas_similarity":False,"score_type":"wup_similarity","lesk_only_n":True}</v>
      </c>
      <c r="L14" t="s">
        <v>132</v>
      </c>
    </row>
    <row r="15" spans="1:17" x14ac:dyDescent="0.2">
      <c r="A15" t="s">
        <v>77</v>
      </c>
      <c r="B15" t="s">
        <v>61</v>
      </c>
      <c r="C15">
        <v>1</v>
      </c>
      <c r="D15">
        <v>2</v>
      </c>
      <c r="E15" t="s">
        <v>58</v>
      </c>
      <c r="F15" t="s">
        <v>58</v>
      </c>
      <c r="G15" t="s">
        <v>57</v>
      </c>
      <c r="H15" t="s">
        <v>57</v>
      </c>
      <c r="I15" t="s">
        <v>59</v>
      </c>
      <c r="J15" t="s">
        <v>58</v>
      </c>
      <c r="K15" t="str">
        <f t="shared" si="0"/>
        <v>{"test_id":"test_14", "genus_tags":["NN","JJ"], "genus_hypo_depth":1,"genus_hyper_hypo_depth":2,"lesk_on_genus":True,"definition_similarity":True,"examples_similarity":False,"lemmas_similarity":False,"score_type":"wup_similarity","lesk_only_n":True}</v>
      </c>
      <c r="L15" t="s">
        <v>132</v>
      </c>
    </row>
    <row r="16" spans="1:17" x14ac:dyDescent="0.2">
      <c r="A16" t="s">
        <v>78</v>
      </c>
      <c r="B16" t="s">
        <v>63</v>
      </c>
      <c r="C16">
        <v>1</v>
      </c>
      <c r="D16">
        <v>2</v>
      </c>
      <c r="E16" t="s">
        <v>58</v>
      </c>
      <c r="F16" t="s">
        <v>58</v>
      </c>
      <c r="G16" t="s">
        <v>57</v>
      </c>
      <c r="H16" t="s">
        <v>57</v>
      </c>
      <c r="I16" t="s">
        <v>59</v>
      </c>
      <c r="J16" t="s">
        <v>58</v>
      </c>
      <c r="K16" t="str">
        <f t="shared" si="0"/>
        <v>{"test_id":"test_15", "genus_tags":["NN","VB"], "genus_hypo_depth":1,"genus_hyper_hypo_depth":2,"lesk_on_genus":True,"definition_similarity":True,"examples_similarity":False,"lemmas_similarity":False,"score_type":"wup_similarity","lesk_only_n":True}</v>
      </c>
      <c r="L16" t="s">
        <v>132</v>
      </c>
    </row>
    <row r="17" spans="1:12" x14ac:dyDescent="0.2">
      <c r="A17" t="s">
        <v>79</v>
      </c>
      <c r="B17" t="s">
        <v>65</v>
      </c>
      <c r="C17">
        <v>1</v>
      </c>
      <c r="D17">
        <v>2</v>
      </c>
      <c r="E17" t="s">
        <v>58</v>
      </c>
      <c r="F17" t="s">
        <v>58</v>
      </c>
      <c r="G17" t="s">
        <v>57</v>
      </c>
      <c r="H17" t="s">
        <v>57</v>
      </c>
      <c r="I17" t="s">
        <v>59</v>
      </c>
      <c r="J17" t="s">
        <v>58</v>
      </c>
      <c r="K17" t="str">
        <f t="shared" si="0"/>
        <v>{"test_id":"test_16", "genus_tags":["NN","VB","VBD","VBG","VBN","VBP","VBZ"], "genus_hypo_depth":1,"genus_hyper_hypo_depth":2,"lesk_on_genus":True,"definition_similarity":True,"examples_similarity":False,"lemmas_similarity":False,"score_type":"wup_similarity","lesk_only_n":True}</v>
      </c>
      <c r="L17" t="s">
        <v>132</v>
      </c>
    </row>
    <row r="18" spans="1:12" x14ac:dyDescent="0.2">
      <c r="A18" t="s">
        <v>80</v>
      </c>
      <c r="B18" t="s">
        <v>67</v>
      </c>
      <c r="C18">
        <v>1</v>
      </c>
      <c r="D18">
        <v>2</v>
      </c>
      <c r="E18" t="s">
        <v>58</v>
      </c>
      <c r="F18" t="s">
        <v>58</v>
      </c>
      <c r="G18" t="s">
        <v>57</v>
      </c>
      <c r="H18" t="s">
        <v>57</v>
      </c>
      <c r="I18" t="s">
        <v>59</v>
      </c>
      <c r="J18" t="s">
        <v>58</v>
      </c>
      <c r="K18" t="str">
        <f t="shared" si="0"/>
        <v>{"test_id":"test_17", "genus_tags":["NN","RB"], "genus_hypo_depth":1,"genus_hyper_hypo_depth":2,"lesk_on_genus":True,"definition_similarity":True,"examples_similarity":False,"lemmas_similarity":False,"score_type":"wup_similarity","lesk_only_n":True}</v>
      </c>
      <c r="L18" t="s">
        <v>132</v>
      </c>
    </row>
    <row r="19" spans="1:12" x14ac:dyDescent="0.2">
      <c r="A19" t="s">
        <v>81</v>
      </c>
      <c r="B19" t="s">
        <v>69</v>
      </c>
      <c r="C19">
        <v>1</v>
      </c>
      <c r="D19">
        <v>2</v>
      </c>
      <c r="E19" t="s">
        <v>58</v>
      </c>
      <c r="F19" t="s">
        <v>58</v>
      </c>
      <c r="G19" t="s">
        <v>57</v>
      </c>
      <c r="H19" t="s">
        <v>57</v>
      </c>
      <c r="I19" t="s">
        <v>59</v>
      </c>
      <c r="J19" t="s">
        <v>58</v>
      </c>
      <c r="K19" t="str">
        <f t="shared" si="0"/>
        <v>{"test_id":"test_18", "genus_tags":["NN","JJ","VB","VBD","VBG","VBN","VBP","VBZ"], "genus_hypo_depth":1,"genus_hyper_hypo_depth":2,"lesk_on_genus":True,"definition_similarity":True,"examples_similarity":False,"lemmas_similarity":False,"score_type":"wup_similarity","lesk_only_n":True}</v>
      </c>
      <c r="L19" t="s">
        <v>132</v>
      </c>
    </row>
    <row r="20" spans="1:12" x14ac:dyDescent="0.2">
      <c r="A20" t="s">
        <v>82</v>
      </c>
      <c r="B20" t="s">
        <v>56</v>
      </c>
      <c r="C20">
        <v>1</v>
      </c>
      <c r="D20">
        <v>2</v>
      </c>
      <c r="E20" t="s">
        <v>57</v>
      </c>
      <c r="F20" t="s">
        <v>58</v>
      </c>
      <c r="G20" t="s">
        <v>58</v>
      </c>
      <c r="H20" t="s">
        <v>57</v>
      </c>
      <c r="I20" t="s">
        <v>59</v>
      </c>
      <c r="J20" t="s">
        <v>57</v>
      </c>
      <c r="K20" t="str">
        <f t="shared" si="0"/>
        <v>{"test_id":"test_19", "genus_tags":["NN"], "genus_hypo_depth":1,"genus_hyper_hypo_depth":2,"lesk_on_genus":False,"definition_similarity":True,"examples_similarity":True,"lemmas_similarity":False,"score_type":"wup_similarity","lesk_only_n":False}</v>
      </c>
      <c r="L20" t="s">
        <v>132</v>
      </c>
    </row>
    <row r="21" spans="1:12" x14ac:dyDescent="0.2">
      <c r="A21" t="s">
        <v>83</v>
      </c>
      <c r="B21" t="s">
        <v>61</v>
      </c>
      <c r="C21">
        <v>1</v>
      </c>
      <c r="D21">
        <v>2</v>
      </c>
      <c r="E21" t="s">
        <v>57</v>
      </c>
      <c r="F21" t="s">
        <v>58</v>
      </c>
      <c r="G21" t="s">
        <v>58</v>
      </c>
      <c r="H21" t="s">
        <v>57</v>
      </c>
      <c r="I21" t="s">
        <v>59</v>
      </c>
      <c r="J21" t="s">
        <v>57</v>
      </c>
      <c r="K21" t="str">
        <f t="shared" si="0"/>
        <v>{"test_id":"test_20", "genus_tags":["NN","JJ"], "genus_hypo_depth":1,"genus_hyper_hypo_depth":2,"lesk_on_genus":False,"definition_similarity":True,"examples_similarity":True,"lemmas_similarity":False,"score_type":"wup_similarity","lesk_only_n":False}</v>
      </c>
      <c r="L21" t="s">
        <v>132</v>
      </c>
    </row>
    <row r="22" spans="1:12" x14ac:dyDescent="0.2">
      <c r="A22" t="s">
        <v>84</v>
      </c>
      <c r="B22" t="s">
        <v>63</v>
      </c>
      <c r="C22">
        <v>1</v>
      </c>
      <c r="D22">
        <v>2</v>
      </c>
      <c r="E22" t="s">
        <v>57</v>
      </c>
      <c r="F22" t="s">
        <v>58</v>
      </c>
      <c r="G22" t="s">
        <v>58</v>
      </c>
      <c r="H22" t="s">
        <v>57</v>
      </c>
      <c r="I22" t="s">
        <v>59</v>
      </c>
      <c r="J22" t="s">
        <v>57</v>
      </c>
      <c r="K22" t="str">
        <f t="shared" si="0"/>
        <v>{"test_id":"test_21", "genus_tags":["NN","VB"], "genus_hypo_depth":1,"genus_hyper_hypo_depth":2,"lesk_on_genus":False,"definition_similarity":True,"examples_similarity":True,"lemmas_similarity":False,"score_type":"wup_similarity","lesk_only_n":False}</v>
      </c>
      <c r="L22" t="s">
        <v>132</v>
      </c>
    </row>
    <row r="23" spans="1:12" x14ac:dyDescent="0.2">
      <c r="A23" t="s">
        <v>85</v>
      </c>
      <c r="B23" t="s">
        <v>65</v>
      </c>
      <c r="C23">
        <v>1</v>
      </c>
      <c r="D23">
        <v>2</v>
      </c>
      <c r="E23" t="s">
        <v>57</v>
      </c>
      <c r="F23" t="s">
        <v>58</v>
      </c>
      <c r="G23" t="s">
        <v>58</v>
      </c>
      <c r="H23" t="s">
        <v>57</v>
      </c>
      <c r="I23" t="s">
        <v>59</v>
      </c>
      <c r="J23" t="s">
        <v>57</v>
      </c>
      <c r="K23" t="str">
        <f t="shared" si="0"/>
        <v>{"test_id":"test_22", "genus_tags":["NN","VB","VBD","VBG","VBN","VBP","VBZ"], "genus_hypo_depth":1,"genus_hyper_hypo_depth":2,"lesk_on_genus":False,"definition_similarity":True,"examples_similarity":True,"lemmas_similarity":False,"score_type":"wup_similarity","lesk_only_n":False}</v>
      </c>
      <c r="L23" t="s">
        <v>132</v>
      </c>
    </row>
    <row r="24" spans="1:12" x14ac:dyDescent="0.2">
      <c r="A24" t="s">
        <v>86</v>
      </c>
      <c r="B24" t="s">
        <v>67</v>
      </c>
      <c r="C24">
        <v>1</v>
      </c>
      <c r="D24">
        <v>2</v>
      </c>
      <c r="E24" t="s">
        <v>57</v>
      </c>
      <c r="F24" t="s">
        <v>58</v>
      </c>
      <c r="G24" t="s">
        <v>58</v>
      </c>
      <c r="H24" t="s">
        <v>57</v>
      </c>
      <c r="I24" t="s">
        <v>59</v>
      </c>
      <c r="J24" t="s">
        <v>57</v>
      </c>
      <c r="K24" t="str">
        <f t="shared" si="0"/>
        <v>{"test_id":"test_23", "genus_tags":["NN","RB"], "genus_hypo_depth":1,"genus_hyper_hypo_depth":2,"lesk_on_genus":False,"definition_similarity":True,"examples_similarity":True,"lemmas_similarity":False,"score_type":"wup_similarity","lesk_only_n":False}</v>
      </c>
      <c r="L24" t="s">
        <v>132</v>
      </c>
    </row>
    <row r="25" spans="1:12" x14ac:dyDescent="0.2">
      <c r="A25" t="s">
        <v>87</v>
      </c>
      <c r="B25" t="s">
        <v>69</v>
      </c>
      <c r="C25">
        <v>1</v>
      </c>
      <c r="D25">
        <v>2</v>
      </c>
      <c r="E25" t="s">
        <v>57</v>
      </c>
      <c r="F25" t="s">
        <v>58</v>
      </c>
      <c r="G25" t="s">
        <v>58</v>
      </c>
      <c r="H25" t="s">
        <v>57</v>
      </c>
      <c r="I25" t="s">
        <v>59</v>
      </c>
      <c r="J25" t="s">
        <v>57</v>
      </c>
      <c r="K25" t="str">
        <f t="shared" si="0"/>
        <v>{"test_id":"test_24", "genus_tags":["NN","JJ","VB","VBD","VBG","VBN","VBP","VBZ"], "genus_hypo_depth":1,"genus_hyper_hypo_depth":2,"lesk_on_genus":False,"definition_similarity":True,"examples_similarity":True,"lemmas_similarity":False,"score_type":"wup_similarity","lesk_only_n":False}</v>
      </c>
      <c r="L25" t="s">
        <v>132</v>
      </c>
    </row>
    <row r="26" spans="1:12" x14ac:dyDescent="0.2">
      <c r="A26" t="s">
        <v>88</v>
      </c>
      <c r="B26" t="s">
        <v>56</v>
      </c>
      <c r="C26">
        <v>1</v>
      </c>
      <c r="D26">
        <v>2</v>
      </c>
      <c r="E26" t="s">
        <v>58</v>
      </c>
      <c r="F26" t="s">
        <v>58</v>
      </c>
      <c r="G26" t="s">
        <v>58</v>
      </c>
      <c r="H26" t="s">
        <v>57</v>
      </c>
      <c r="I26" t="s">
        <v>59</v>
      </c>
      <c r="J26" t="s">
        <v>57</v>
      </c>
      <c r="K26" t="str">
        <f t="shared" si="0"/>
        <v>{"test_id":"test_25", "genus_tags":["NN"], "genus_hypo_depth":1,"genus_hyper_hypo_depth":2,"lesk_on_genus":True,"definition_similarity":True,"examples_similarity":True,"lemmas_similarity":False,"score_type":"wup_similarity","lesk_only_n":False}</v>
      </c>
      <c r="L26" t="s">
        <v>132</v>
      </c>
    </row>
    <row r="27" spans="1:12" x14ac:dyDescent="0.2">
      <c r="A27" t="s">
        <v>89</v>
      </c>
      <c r="B27" t="s">
        <v>61</v>
      </c>
      <c r="C27">
        <v>1</v>
      </c>
      <c r="D27">
        <v>2</v>
      </c>
      <c r="E27" t="s">
        <v>58</v>
      </c>
      <c r="F27" t="s">
        <v>58</v>
      </c>
      <c r="G27" t="s">
        <v>58</v>
      </c>
      <c r="H27" t="s">
        <v>57</v>
      </c>
      <c r="I27" t="s">
        <v>59</v>
      </c>
      <c r="J27" t="s">
        <v>57</v>
      </c>
      <c r="K27" t="str">
        <f t="shared" si="0"/>
        <v>{"test_id":"test_26", "genus_tags":["NN","JJ"], "genus_hypo_depth":1,"genus_hyper_hypo_depth":2,"lesk_on_genus":True,"definition_similarity":True,"examples_similarity":True,"lemmas_similarity":False,"score_type":"wup_similarity","lesk_only_n":False}</v>
      </c>
      <c r="L27" t="s">
        <v>132</v>
      </c>
    </row>
    <row r="28" spans="1:12" x14ac:dyDescent="0.2">
      <c r="A28" t="s">
        <v>90</v>
      </c>
      <c r="B28" t="s">
        <v>63</v>
      </c>
      <c r="C28">
        <v>1</v>
      </c>
      <c r="D28">
        <v>2</v>
      </c>
      <c r="E28" t="s">
        <v>58</v>
      </c>
      <c r="F28" t="s">
        <v>58</v>
      </c>
      <c r="G28" t="s">
        <v>58</v>
      </c>
      <c r="H28" t="s">
        <v>57</v>
      </c>
      <c r="I28" t="s">
        <v>59</v>
      </c>
      <c r="J28" t="s">
        <v>57</v>
      </c>
      <c r="K28" t="str">
        <f t="shared" si="0"/>
        <v>{"test_id":"test_27", "genus_tags":["NN","VB"], "genus_hypo_depth":1,"genus_hyper_hypo_depth":2,"lesk_on_genus":True,"definition_similarity":True,"examples_similarity":True,"lemmas_similarity":False,"score_type":"wup_similarity","lesk_only_n":False}</v>
      </c>
      <c r="L28" t="s">
        <v>132</v>
      </c>
    </row>
    <row r="29" spans="1:12" x14ac:dyDescent="0.2">
      <c r="A29" t="s">
        <v>91</v>
      </c>
      <c r="B29" t="s">
        <v>65</v>
      </c>
      <c r="C29">
        <v>1</v>
      </c>
      <c r="D29">
        <v>2</v>
      </c>
      <c r="E29" t="s">
        <v>58</v>
      </c>
      <c r="F29" t="s">
        <v>58</v>
      </c>
      <c r="G29" t="s">
        <v>58</v>
      </c>
      <c r="H29" t="s">
        <v>57</v>
      </c>
      <c r="I29" t="s">
        <v>59</v>
      </c>
      <c r="J29" t="s">
        <v>57</v>
      </c>
      <c r="K29" t="str">
        <f t="shared" si="0"/>
        <v>{"test_id":"test_28", "genus_tags":["NN","VB","VBD","VBG","VBN","VBP","VBZ"], "genus_hypo_depth":1,"genus_hyper_hypo_depth":2,"lesk_on_genus":True,"definition_similarity":True,"examples_similarity":True,"lemmas_similarity":False,"score_type":"wup_similarity","lesk_only_n":False}</v>
      </c>
      <c r="L29" t="s">
        <v>132</v>
      </c>
    </row>
    <row r="30" spans="1:12" x14ac:dyDescent="0.2">
      <c r="A30" t="s">
        <v>92</v>
      </c>
      <c r="B30" t="s">
        <v>67</v>
      </c>
      <c r="C30">
        <v>1</v>
      </c>
      <c r="D30">
        <v>2</v>
      </c>
      <c r="E30" t="s">
        <v>58</v>
      </c>
      <c r="F30" t="s">
        <v>58</v>
      </c>
      <c r="G30" t="s">
        <v>58</v>
      </c>
      <c r="H30" t="s">
        <v>57</v>
      </c>
      <c r="I30" t="s">
        <v>59</v>
      </c>
      <c r="J30" t="s">
        <v>57</v>
      </c>
      <c r="K30" t="str">
        <f t="shared" si="0"/>
        <v>{"test_id":"test_29", "genus_tags":["NN","RB"], "genus_hypo_depth":1,"genus_hyper_hypo_depth":2,"lesk_on_genus":True,"definition_similarity":True,"examples_similarity":True,"lemmas_similarity":False,"score_type":"wup_similarity","lesk_only_n":False}</v>
      </c>
      <c r="L30" t="s">
        <v>132</v>
      </c>
    </row>
    <row r="31" spans="1:12" x14ac:dyDescent="0.2">
      <c r="A31" t="s">
        <v>93</v>
      </c>
      <c r="B31" t="s">
        <v>69</v>
      </c>
      <c r="C31">
        <v>1</v>
      </c>
      <c r="D31">
        <v>2</v>
      </c>
      <c r="E31" t="s">
        <v>58</v>
      </c>
      <c r="F31" t="s">
        <v>58</v>
      </c>
      <c r="G31" t="s">
        <v>58</v>
      </c>
      <c r="H31" t="s">
        <v>57</v>
      </c>
      <c r="I31" t="s">
        <v>59</v>
      </c>
      <c r="J31" t="s">
        <v>57</v>
      </c>
      <c r="K31" t="str">
        <f t="shared" si="0"/>
        <v>{"test_id":"test_30", "genus_tags":["NN","JJ","VB","VBD","VBG","VBN","VBP","VBZ"], "genus_hypo_depth":1,"genus_hyper_hypo_depth":2,"lesk_on_genus":True,"definition_similarity":True,"examples_similarity":True,"lemmas_similarity":False,"score_type":"wup_similarity","lesk_only_n":False}</v>
      </c>
      <c r="L31" t="s">
        <v>132</v>
      </c>
    </row>
    <row r="32" spans="1:12" x14ac:dyDescent="0.2">
      <c r="A32" t="s">
        <v>94</v>
      </c>
      <c r="B32" t="s">
        <v>56</v>
      </c>
      <c r="C32">
        <v>1</v>
      </c>
      <c r="D32">
        <v>2</v>
      </c>
      <c r="E32" t="s">
        <v>57</v>
      </c>
      <c r="F32" t="s">
        <v>58</v>
      </c>
      <c r="G32" t="s">
        <v>58</v>
      </c>
      <c r="H32" t="s">
        <v>57</v>
      </c>
      <c r="I32" t="s">
        <v>59</v>
      </c>
      <c r="J32" t="s">
        <v>58</v>
      </c>
      <c r="K32" t="str">
        <f t="shared" si="0"/>
        <v>{"test_id":"test_31", "genus_tags":["NN"], "genus_hypo_depth":1,"genus_hyper_hypo_depth":2,"lesk_on_genus":False,"definition_similarity":True,"examples_similarity":True,"lemmas_similarity":False,"score_type":"wup_similarity","lesk_only_n":True}</v>
      </c>
      <c r="L32" t="s">
        <v>132</v>
      </c>
    </row>
    <row r="33" spans="1:12" x14ac:dyDescent="0.2">
      <c r="A33" t="s">
        <v>95</v>
      </c>
      <c r="B33" t="s">
        <v>61</v>
      </c>
      <c r="C33">
        <v>1</v>
      </c>
      <c r="D33">
        <v>2</v>
      </c>
      <c r="E33" t="s">
        <v>58</v>
      </c>
      <c r="F33" t="s">
        <v>58</v>
      </c>
      <c r="G33" t="s">
        <v>58</v>
      </c>
      <c r="H33" t="s">
        <v>57</v>
      </c>
      <c r="I33" t="s">
        <v>59</v>
      </c>
      <c r="J33" t="s">
        <v>58</v>
      </c>
      <c r="K33" t="str">
        <f t="shared" si="0"/>
        <v>{"test_id":"test_32", "genus_tags":["NN","JJ"], "genus_hypo_depth":1,"genus_hyper_hypo_depth":2,"lesk_on_genus":True,"definition_similarity":True,"examples_similarity":True,"lemmas_similarity":False,"score_type":"wup_similarity","lesk_only_n":True}</v>
      </c>
      <c r="L33" t="s">
        <v>132</v>
      </c>
    </row>
    <row r="34" spans="1:12" x14ac:dyDescent="0.2">
      <c r="A34" t="s">
        <v>96</v>
      </c>
      <c r="B34" t="s">
        <v>63</v>
      </c>
      <c r="C34">
        <v>1</v>
      </c>
      <c r="D34">
        <v>2</v>
      </c>
      <c r="E34" t="s">
        <v>58</v>
      </c>
      <c r="F34" t="s">
        <v>58</v>
      </c>
      <c r="G34" t="s">
        <v>58</v>
      </c>
      <c r="H34" t="s">
        <v>57</v>
      </c>
      <c r="I34" t="s">
        <v>59</v>
      </c>
      <c r="J34" t="s">
        <v>58</v>
      </c>
      <c r="K34" t="str">
        <f t="shared" si="0"/>
        <v>{"test_id":"test_33", "genus_tags":["NN","VB"], "genus_hypo_depth":1,"genus_hyper_hypo_depth":2,"lesk_on_genus":True,"definition_similarity":True,"examples_similarity":True,"lemmas_similarity":False,"score_type":"wup_similarity","lesk_only_n":True}</v>
      </c>
      <c r="L34" t="s">
        <v>132</v>
      </c>
    </row>
    <row r="35" spans="1:12" x14ac:dyDescent="0.2">
      <c r="A35" t="s">
        <v>97</v>
      </c>
      <c r="B35" t="s">
        <v>65</v>
      </c>
      <c r="C35">
        <v>1</v>
      </c>
      <c r="D35">
        <v>2</v>
      </c>
      <c r="E35" t="s">
        <v>58</v>
      </c>
      <c r="F35" t="s">
        <v>58</v>
      </c>
      <c r="G35" t="s">
        <v>58</v>
      </c>
      <c r="H35" t="s">
        <v>57</v>
      </c>
      <c r="I35" t="s">
        <v>59</v>
      </c>
      <c r="J35" t="s">
        <v>58</v>
      </c>
      <c r="K35" t="str">
        <f t="shared" si="0"/>
        <v>{"test_id":"test_34", "genus_tags":["NN","VB","VBD","VBG","VBN","VBP","VBZ"], "genus_hypo_depth":1,"genus_hyper_hypo_depth":2,"lesk_on_genus":True,"definition_similarity":True,"examples_similarity":True,"lemmas_similarity":False,"score_type":"wup_similarity","lesk_only_n":True}</v>
      </c>
      <c r="L35" t="s">
        <v>132</v>
      </c>
    </row>
    <row r="36" spans="1:12" x14ac:dyDescent="0.2">
      <c r="A36" t="s">
        <v>98</v>
      </c>
      <c r="B36" t="s">
        <v>67</v>
      </c>
      <c r="C36">
        <v>1</v>
      </c>
      <c r="D36">
        <v>2</v>
      </c>
      <c r="E36" t="s">
        <v>58</v>
      </c>
      <c r="F36" t="s">
        <v>58</v>
      </c>
      <c r="G36" t="s">
        <v>58</v>
      </c>
      <c r="H36" t="s">
        <v>57</v>
      </c>
      <c r="I36" t="s">
        <v>59</v>
      </c>
      <c r="J36" t="s">
        <v>58</v>
      </c>
      <c r="K36" t="str">
        <f t="shared" si="0"/>
        <v>{"test_id":"test_35", "genus_tags":["NN","RB"], "genus_hypo_depth":1,"genus_hyper_hypo_depth":2,"lesk_on_genus":True,"definition_similarity":True,"examples_similarity":True,"lemmas_similarity":False,"score_type":"wup_similarity","lesk_only_n":True}</v>
      </c>
      <c r="L36" t="s">
        <v>132</v>
      </c>
    </row>
    <row r="37" spans="1:12" x14ac:dyDescent="0.2">
      <c r="A37" t="s">
        <v>99</v>
      </c>
      <c r="B37" t="s">
        <v>69</v>
      </c>
      <c r="C37">
        <v>1</v>
      </c>
      <c r="D37">
        <v>2</v>
      </c>
      <c r="E37" t="s">
        <v>58</v>
      </c>
      <c r="F37" t="s">
        <v>58</v>
      </c>
      <c r="G37" t="s">
        <v>58</v>
      </c>
      <c r="H37" t="s">
        <v>57</v>
      </c>
      <c r="I37" t="s">
        <v>59</v>
      </c>
      <c r="J37" t="s">
        <v>58</v>
      </c>
      <c r="K37" t="str">
        <f t="shared" si="0"/>
        <v>{"test_id":"test_36", "genus_tags":["NN","JJ","VB","VBD","VBG","VBN","VBP","VBZ"], "genus_hypo_depth":1,"genus_hyper_hypo_depth":2,"lesk_on_genus":True,"definition_similarity":True,"examples_similarity":True,"lemmas_similarity":False,"score_type":"wup_similarity","lesk_only_n":True}</v>
      </c>
      <c r="L37" t="s">
        <v>132</v>
      </c>
    </row>
    <row r="38" spans="1:12" x14ac:dyDescent="0.2">
      <c r="A38" t="s">
        <v>100</v>
      </c>
      <c r="B38" t="s">
        <v>56</v>
      </c>
      <c r="C38">
        <v>1</v>
      </c>
      <c r="D38">
        <v>2</v>
      </c>
      <c r="E38" t="s">
        <v>57</v>
      </c>
      <c r="F38" t="s">
        <v>58</v>
      </c>
      <c r="G38" t="s">
        <v>58</v>
      </c>
      <c r="H38" t="s">
        <v>58</v>
      </c>
      <c r="I38" t="s">
        <v>59</v>
      </c>
      <c r="J38" t="s">
        <v>57</v>
      </c>
      <c r="K38" t="str">
        <f t="shared" si="0"/>
        <v>{"test_id":"test_37", "genus_tags":["NN"], "genus_hypo_depth":1,"genus_hyper_hypo_depth":2,"lesk_on_genus":False,"definition_similarity":True,"examples_similarity":True,"lemmas_similarity":True,"score_type":"wup_similarity","lesk_only_n":False}</v>
      </c>
      <c r="L38" t="s">
        <v>132</v>
      </c>
    </row>
    <row r="39" spans="1:12" x14ac:dyDescent="0.2">
      <c r="A39" t="s">
        <v>101</v>
      </c>
      <c r="B39" t="s">
        <v>61</v>
      </c>
      <c r="C39">
        <v>1</v>
      </c>
      <c r="D39">
        <v>2</v>
      </c>
      <c r="E39" t="s">
        <v>57</v>
      </c>
      <c r="F39" t="s">
        <v>58</v>
      </c>
      <c r="G39" t="s">
        <v>58</v>
      </c>
      <c r="H39" t="s">
        <v>58</v>
      </c>
      <c r="I39" t="s">
        <v>59</v>
      </c>
      <c r="J39" t="s">
        <v>57</v>
      </c>
      <c r="K39" t="str">
        <f t="shared" si="0"/>
        <v>{"test_id":"test_38", "genus_tags":["NN","JJ"], "genus_hypo_depth":1,"genus_hyper_hypo_depth":2,"lesk_on_genus":False,"definition_similarity":True,"examples_similarity":True,"lemmas_similarity":True,"score_type":"wup_similarity","lesk_only_n":False}</v>
      </c>
      <c r="L39" t="s">
        <v>132</v>
      </c>
    </row>
    <row r="40" spans="1:12" x14ac:dyDescent="0.2">
      <c r="A40" t="s">
        <v>102</v>
      </c>
      <c r="B40" t="s">
        <v>63</v>
      </c>
      <c r="C40">
        <v>1</v>
      </c>
      <c r="D40">
        <v>2</v>
      </c>
      <c r="E40" t="s">
        <v>57</v>
      </c>
      <c r="F40" t="s">
        <v>58</v>
      </c>
      <c r="G40" t="s">
        <v>58</v>
      </c>
      <c r="H40" t="s">
        <v>58</v>
      </c>
      <c r="I40" t="s">
        <v>59</v>
      </c>
      <c r="J40" t="s">
        <v>57</v>
      </c>
      <c r="K40" t="str">
        <f t="shared" si="0"/>
        <v>{"test_id":"test_39", "genus_tags":["NN","VB"], "genus_hypo_depth":1,"genus_hyper_hypo_depth":2,"lesk_on_genus":False,"definition_similarity":True,"examples_similarity":True,"lemmas_similarity":True,"score_type":"wup_similarity","lesk_only_n":False}</v>
      </c>
      <c r="L40" t="s">
        <v>132</v>
      </c>
    </row>
    <row r="41" spans="1:12" x14ac:dyDescent="0.2">
      <c r="A41" t="s">
        <v>103</v>
      </c>
      <c r="B41" t="s">
        <v>65</v>
      </c>
      <c r="C41">
        <v>1</v>
      </c>
      <c r="D41">
        <v>2</v>
      </c>
      <c r="E41" t="s">
        <v>57</v>
      </c>
      <c r="F41" t="s">
        <v>58</v>
      </c>
      <c r="G41" t="s">
        <v>58</v>
      </c>
      <c r="H41" t="s">
        <v>58</v>
      </c>
      <c r="I41" t="s">
        <v>59</v>
      </c>
      <c r="J41" t="s">
        <v>57</v>
      </c>
      <c r="K41" t="str">
        <f t="shared" si="0"/>
        <v>{"test_id":"test_40", "genus_tags":["NN","VB","VBD","VBG","VBN","VBP","VBZ"], "genus_hypo_depth":1,"genus_hyper_hypo_depth":2,"lesk_on_genus":False,"definition_similarity":True,"examples_similarity":True,"lemmas_similarity":True,"score_type":"wup_similarity","lesk_only_n":False}</v>
      </c>
      <c r="L41" t="s">
        <v>132</v>
      </c>
    </row>
    <row r="42" spans="1:12" x14ac:dyDescent="0.2">
      <c r="A42" t="s">
        <v>104</v>
      </c>
      <c r="B42" t="s">
        <v>67</v>
      </c>
      <c r="C42">
        <v>1</v>
      </c>
      <c r="D42">
        <v>2</v>
      </c>
      <c r="E42" t="s">
        <v>57</v>
      </c>
      <c r="F42" t="s">
        <v>58</v>
      </c>
      <c r="G42" t="s">
        <v>58</v>
      </c>
      <c r="H42" t="s">
        <v>58</v>
      </c>
      <c r="I42" t="s">
        <v>59</v>
      </c>
      <c r="J42" t="s">
        <v>57</v>
      </c>
      <c r="K42" t="str">
        <f t="shared" si="0"/>
        <v>{"test_id":"test_41", "genus_tags":["NN","RB"], "genus_hypo_depth":1,"genus_hyper_hypo_depth":2,"lesk_on_genus":False,"definition_similarity":True,"examples_similarity":True,"lemmas_similarity":True,"score_type":"wup_similarity","lesk_only_n":False}</v>
      </c>
      <c r="L42" t="s">
        <v>132</v>
      </c>
    </row>
    <row r="43" spans="1:12" x14ac:dyDescent="0.2">
      <c r="A43" t="s">
        <v>105</v>
      </c>
      <c r="B43" t="s">
        <v>69</v>
      </c>
      <c r="C43">
        <v>1</v>
      </c>
      <c r="D43">
        <v>2</v>
      </c>
      <c r="E43" t="s">
        <v>57</v>
      </c>
      <c r="F43" t="s">
        <v>58</v>
      </c>
      <c r="G43" t="s">
        <v>58</v>
      </c>
      <c r="H43" t="s">
        <v>58</v>
      </c>
      <c r="I43" t="s">
        <v>59</v>
      </c>
      <c r="J43" t="s">
        <v>57</v>
      </c>
      <c r="K43" t="str">
        <f t="shared" si="0"/>
        <v>{"test_id":"test_42", "genus_tags":["NN","JJ","VB","VBD","VBG","VBN","VBP","VBZ"], "genus_hypo_depth":1,"genus_hyper_hypo_depth":2,"lesk_on_genus":False,"definition_similarity":True,"examples_similarity":True,"lemmas_similarity":True,"score_type":"wup_similarity","lesk_only_n":False}</v>
      </c>
      <c r="L43" t="s">
        <v>132</v>
      </c>
    </row>
    <row r="44" spans="1:12" x14ac:dyDescent="0.2">
      <c r="A44" t="s">
        <v>106</v>
      </c>
      <c r="B44" t="s">
        <v>56</v>
      </c>
      <c r="C44">
        <v>1</v>
      </c>
      <c r="D44">
        <v>2</v>
      </c>
      <c r="E44" t="s">
        <v>58</v>
      </c>
      <c r="F44" t="s">
        <v>58</v>
      </c>
      <c r="G44" t="s">
        <v>58</v>
      </c>
      <c r="H44" t="s">
        <v>58</v>
      </c>
      <c r="I44" t="s">
        <v>59</v>
      </c>
      <c r="J44" t="s">
        <v>57</v>
      </c>
      <c r="K44" t="str">
        <f t="shared" si="0"/>
        <v>{"test_id":"test_43", "genus_tags":["NN"], "genus_hypo_depth":1,"genus_hyper_hypo_depth":2,"lesk_on_genus":True,"definition_similarity":True,"examples_similarity":True,"lemmas_similarity":True,"score_type":"wup_similarity","lesk_only_n":False}</v>
      </c>
      <c r="L44" t="s">
        <v>132</v>
      </c>
    </row>
    <row r="45" spans="1:12" x14ac:dyDescent="0.2">
      <c r="A45" t="s">
        <v>107</v>
      </c>
      <c r="B45" t="s">
        <v>61</v>
      </c>
      <c r="C45">
        <v>1</v>
      </c>
      <c r="D45">
        <v>2</v>
      </c>
      <c r="E45" t="s">
        <v>58</v>
      </c>
      <c r="F45" t="s">
        <v>58</v>
      </c>
      <c r="G45" t="s">
        <v>58</v>
      </c>
      <c r="H45" t="s">
        <v>58</v>
      </c>
      <c r="I45" t="s">
        <v>59</v>
      </c>
      <c r="J45" t="s">
        <v>57</v>
      </c>
      <c r="K45" t="str">
        <f t="shared" si="0"/>
        <v>{"test_id":"test_44", "genus_tags":["NN","JJ"], "genus_hypo_depth":1,"genus_hyper_hypo_depth":2,"lesk_on_genus":True,"definition_similarity":True,"examples_similarity":True,"lemmas_similarity":True,"score_type":"wup_similarity","lesk_only_n":False}</v>
      </c>
      <c r="L45" t="s">
        <v>132</v>
      </c>
    </row>
    <row r="46" spans="1:12" x14ac:dyDescent="0.2">
      <c r="A46" t="s">
        <v>108</v>
      </c>
      <c r="B46" t="s">
        <v>63</v>
      </c>
      <c r="C46">
        <v>1</v>
      </c>
      <c r="D46">
        <v>2</v>
      </c>
      <c r="E46" t="s">
        <v>58</v>
      </c>
      <c r="F46" t="s">
        <v>58</v>
      </c>
      <c r="G46" t="s">
        <v>58</v>
      </c>
      <c r="H46" t="s">
        <v>58</v>
      </c>
      <c r="I46" t="s">
        <v>59</v>
      </c>
      <c r="J46" t="s">
        <v>57</v>
      </c>
      <c r="K46" t="str">
        <f t="shared" si="0"/>
        <v>{"test_id":"test_45", "genus_tags":["NN","VB"], "genus_hypo_depth":1,"genus_hyper_hypo_depth":2,"lesk_on_genus":True,"definition_similarity":True,"examples_similarity":True,"lemmas_similarity":True,"score_type":"wup_similarity","lesk_only_n":False}</v>
      </c>
      <c r="L46" t="s">
        <v>132</v>
      </c>
    </row>
    <row r="47" spans="1:12" x14ac:dyDescent="0.2">
      <c r="A47" t="s">
        <v>109</v>
      </c>
      <c r="B47" t="s">
        <v>65</v>
      </c>
      <c r="C47">
        <v>1</v>
      </c>
      <c r="D47">
        <v>2</v>
      </c>
      <c r="E47" t="s">
        <v>58</v>
      </c>
      <c r="F47" t="s">
        <v>58</v>
      </c>
      <c r="G47" t="s">
        <v>58</v>
      </c>
      <c r="H47" t="s">
        <v>58</v>
      </c>
      <c r="I47" t="s">
        <v>59</v>
      </c>
      <c r="J47" t="s">
        <v>57</v>
      </c>
      <c r="K47" t="str">
        <f t="shared" si="0"/>
        <v>{"test_id":"test_46", "genus_tags":["NN","VB","VBD","VBG","VBN","VBP","VBZ"], "genus_hypo_depth":1,"genus_hyper_hypo_depth":2,"lesk_on_genus":True,"definition_similarity":True,"examples_similarity":True,"lemmas_similarity":True,"score_type":"wup_similarity","lesk_only_n":False}</v>
      </c>
      <c r="L47" t="s">
        <v>132</v>
      </c>
    </row>
    <row r="48" spans="1:12" x14ac:dyDescent="0.2">
      <c r="A48" t="s">
        <v>110</v>
      </c>
      <c r="B48" t="s">
        <v>67</v>
      </c>
      <c r="C48">
        <v>1</v>
      </c>
      <c r="D48">
        <v>2</v>
      </c>
      <c r="E48" t="s">
        <v>58</v>
      </c>
      <c r="F48" t="s">
        <v>58</v>
      </c>
      <c r="G48" t="s">
        <v>58</v>
      </c>
      <c r="H48" t="s">
        <v>58</v>
      </c>
      <c r="I48" t="s">
        <v>59</v>
      </c>
      <c r="J48" t="s">
        <v>57</v>
      </c>
      <c r="K48" t="str">
        <f t="shared" si="0"/>
        <v>{"test_id":"test_47", "genus_tags":["NN","RB"], "genus_hypo_depth":1,"genus_hyper_hypo_depth":2,"lesk_on_genus":True,"definition_similarity":True,"examples_similarity":True,"lemmas_similarity":True,"score_type":"wup_similarity","lesk_only_n":False}</v>
      </c>
      <c r="L48" t="s">
        <v>132</v>
      </c>
    </row>
    <row r="49" spans="1:12" x14ac:dyDescent="0.2">
      <c r="A49" t="s">
        <v>111</v>
      </c>
      <c r="B49" t="s">
        <v>69</v>
      </c>
      <c r="C49">
        <v>1</v>
      </c>
      <c r="D49">
        <v>2</v>
      </c>
      <c r="E49" t="s">
        <v>58</v>
      </c>
      <c r="F49" t="s">
        <v>58</v>
      </c>
      <c r="G49" t="s">
        <v>58</v>
      </c>
      <c r="H49" t="s">
        <v>58</v>
      </c>
      <c r="I49" t="s">
        <v>59</v>
      </c>
      <c r="J49" t="s">
        <v>57</v>
      </c>
      <c r="K49" t="str">
        <f t="shared" si="0"/>
        <v>{"test_id":"test_48", "genus_tags":["NN","JJ","VB","VBD","VBG","VBN","VBP","VBZ"], "genus_hypo_depth":1,"genus_hyper_hypo_depth":2,"lesk_on_genus":True,"definition_similarity":True,"examples_similarity":True,"lemmas_similarity":True,"score_type":"wup_similarity","lesk_only_n":False}</v>
      </c>
      <c r="L49" t="s">
        <v>132</v>
      </c>
    </row>
    <row r="50" spans="1:12" x14ac:dyDescent="0.2">
      <c r="A50" t="s">
        <v>112</v>
      </c>
      <c r="B50" t="s">
        <v>56</v>
      </c>
      <c r="C50">
        <v>1</v>
      </c>
      <c r="D50">
        <v>2</v>
      </c>
      <c r="E50" t="s">
        <v>57</v>
      </c>
      <c r="F50" t="s">
        <v>58</v>
      </c>
      <c r="G50" t="s">
        <v>58</v>
      </c>
      <c r="H50" t="s">
        <v>58</v>
      </c>
      <c r="I50" t="s">
        <v>59</v>
      </c>
      <c r="J50" t="s">
        <v>58</v>
      </c>
      <c r="K50" t="str">
        <f t="shared" si="0"/>
        <v>{"test_id":"test_49", "genus_tags":["NN"], "genus_hypo_depth":1,"genus_hyper_hypo_depth":2,"lesk_on_genus":False,"definition_similarity":True,"examples_similarity":True,"lemmas_similarity":True,"score_type":"wup_similarity","lesk_only_n":True}</v>
      </c>
      <c r="L50" t="s">
        <v>132</v>
      </c>
    </row>
    <row r="51" spans="1:12" x14ac:dyDescent="0.2">
      <c r="A51" t="s">
        <v>113</v>
      </c>
      <c r="B51" t="s">
        <v>61</v>
      </c>
      <c r="C51">
        <v>1</v>
      </c>
      <c r="D51">
        <v>2</v>
      </c>
      <c r="E51" t="s">
        <v>58</v>
      </c>
      <c r="F51" t="s">
        <v>58</v>
      </c>
      <c r="G51" t="s">
        <v>58</v>
      </c>
      <c r="H51" t="s">
        <v>58</v>
      </c>
      <c r="I51" t="s">
        <v>59</v>
      </c>
      <c r="J51" t="s">
        <v>58</v>
      </c>
      <c r="K51" t="str">
        <f t="shared" si="0"/>
        <v>{"test_id":"test_50", "genus_tags":["NN","JJ"], "genus_hypo_depth":1,"genus_hyper_hypo_depth":2,"lesk_on_genus":True,"definition_similarity":True,"examples_similarity":True,"lemmas_similarity":True,"score_type":"wup_similarity","lesk_only_n":True}</v>
      </c>
      <c r="L51" t="s">
        <v>132</v>
      </c>
    </row>
    <row r="52" spans="1:12" x14ac:dyDescent="0.2">
      <c r="A52" t="s">
        <v>114</v>
      </c>
      <c r="B52" t="s">
        <v>63</v>
      </c>
      <c r="C52">
        <v>1</v>
      </c>
      <c r="D52">
        <v>2</v>
      </c>
      <c r="E52" t="s">
        <v>58</v>
      </c>
      <c r="F52" t="s">
        <v>58</v>
      </c>
      <c r="G52" t="s">
        <v>58</v>
      </c>
      <c r="H52" t="s">
        <v>58</v>
      </c>
      <c r="I52" t="s">
        <v>59</v>
      </c>
      <c r="J52" t="s">
        <v>58</v>
      </c>
      <c r="K52" t="str">
        <f t="shared" si="0"/>
        <v>{"test_id":"test_51", "genus_tags":["NN","VB"], "genus_hypo_depth":1,"genus_hyper_hypo_depth":2,"lesk_on_genus":True,"definition_similarity":True,"examples_similarity":True,"lemmas_similarity":True,"score_type":"wup_similarity","lesk_only_n":True}</v>
      </c>
      <c r="L52" t="s">
        <v>132</v>
      </c>
    </row>
    <row r="53" spans="1:12" x14ac:dyDescent="0.2">
      <c r="A53" t="s">
        <v>115</v>
      </c>
      <c r="B53" t="s">
        <v>65</v>
      </c>
      <c r="C53">
        <v>1</v>
      </c>
      <c r="D53">
        <v>2</v>
      </c>
      <c r="E53" t="s">
        <v>58</v>
      </c>
      <c r="F53" t="s">
        <v>58</v>
      </c>
      <c r="G53" t="s">
        <v>58</v>
      </c>
      <c r="H53" t="s">
        <v>58</v>
      </c>
      <c r="I53" t="s">
        <v>59</v>
      </c>
      <c r="J53" t="s">
        <v>58</v>
      </c>
      <c r="K53" t="str">
        <f t="shared" si="0"/>
        <v>{"test_id":"test_52", "genus_tags":["NN","VB","VBD","VBG","VBN","VBP","VBZ"], "genus_hypo_depth":1,"genus_hyper_hypo_depth":2,"lesk_on_genus":True,"definition_similarity":True,"examples_similarity":True,"lemmas_similarity":True,"score_type":"wup_similarity","lesk_only_n":True}</v>
      </c>
      <c r="L53" t="s">
        <v>132</v>
      </c>
    </row>
    <row r="54" spans="1:12" x14ac:dyDescent="0.2">
      <c r="A54" t="s">
        <v>116</v>
      </c>
      <c r="B54" t="s">
        <v>67</v>
      </c>
      <c r="C54">
        <v>1</v>
      </c>
      <c r="D54">
        <v>2</v>
      </c>
      <c r="E54" t="s">
        <v>58</v>
      </c>
      <c r="F54" t="s">
        <v>58</v>
      </c>
      <c r="G54" t="s">
        <v>58</v>
      </c>
      <c r="H54" t="s">
        <v>58</v>
      </c>
      <c r="I54" t="s">
        <v>59</v>
      </c>
      <c r="J54" t="s">
        <v>58</v>
      </c>
      <c r="K54" t="str">
        <f t="shared" si="0"/>
        <v>{"test_id":"test_53", "genus_tags":["NN","RB"], "genus_hypo_depth":1,"genus_hyper_hypo_depth":2,"lesk_on_genus":True,"definition_similarity":True,"examples_similarity":True,"lemmas_similarity":True,"score_type":"wup_similarity","lesk_only_n":True}</v>
      </c>
      <c r="L54" t="s">
        <v>132</v>
      </c>
    </row>
    <row r="55" spans="1:12" x14ac:dyDescent="0.2">
      <c r="A55" t="s">
        <v>117</v>
      </c>
      <c r="B55" t="s">
        <v>69</v>
      </c>
      <c r="C55">
        <v>1</v>
      </c>
      <c r="D55">
        <v>2</v>
      </c>
      <c r="E55" t="s">
        <v>58</v>
      </c>
      <c r="F55" t="s">
        <v>58</v>
      </c>
      <c r="G55" t="s">
        <v>58</v>
      </c>
      <c r="H55" t="s">
        <v>58</v>
      </c>
      <c r="I55" t="s">
        <v>59</v>
      </c>
      <c r="J55" t="s">
        <v>58</v>
      </c>
      <c r="K55" t="str">
        <f t="shared" si="0"/>
        <v>{"test_id":"test_54", "genus_tags":["NN","JJ","VB","VBD","VBG","VBN","VBP","VBZ"], "genus_hypo_depth":1,"genus_hyper_hypo_depth":2,"lesk_on_genus":True,"definition_similarity":True,"examples_similarity":True,"lemmas_similarity":True,"score_type":"wup_similarity","lesk_only_n":True}</v>
      </c>
      <c r="L55" t="s">
        <v>132</v>
      </c>
    </row>
    <row r="56" spans="1:12" x14ac:dyDescent="0.2">
      <c r="A56" t="s">
        <v>134</v>
      </c>
      <c r="B56" t="s">
        <v>56</v>
      </c>
      <c r="C56">
        <v>1</v>
      </c>
      <c r="D56">
        <v>2</v>
      </c>
      <c r="E56" t="s">
        <v>57</v>
      </c>
      <c r="F56" t="s">
        <v>57</v>
      </c>
      <c r="G56" t="s">
        <v>58</v>
      </c>
      <c r="H56" t="s">
        <v>57</v>
      </c>
      <c r="I56" t="s">
        <v>59</v>
      </c>
      <c r="J56" t="s">
        <v>57</v>
      </c>
      <c r="K56" t="str">
        <f t="shared" ref="K56:K73" si="1">"{"""&amp;A$1&amp;""""&amp;":"""&amp;A56&amp;""", "&amp;SUBSTITUTE( """"&amp;B$1&amp;""""&amp;":["""&amp;B56&amp;"""]",",",""",""")&amp;", "&amp;""""&amp;C$1&amp;""""&amp;":"&amp;C56&amp;","&amp;""""&amp;D$1&amp;""""&amp;":"&amp;D56&amp;","&amp;""""&amp;E$1&amp;""""&amp;":"&amp;E56&amp;","&amp;""""&amp;F$1&amp;""""&amp;":"&amp;F56&amp;","&amp;""""&amp;G$1&amp;""""&amp;":"&amp;G56&amp;","&amp;""""&amp;H$1&amp;""""&amp;":"&amp;H56&amp;","&amp;""""&amp;I$1&amp;""""&amp;":"""&amp;I56&amp;""","&amp;""""&amp;J$1&amp;""""&amp;":"&amp;J56&amp;"}"</f>
        <v>{"test_id":"test_55", "genus_tags":["NN"], "genus_hypo_depth":1,"genus_hyper_hypo_depth":2,"lesk_on_genus":False,"definition_similarity":False,"examples_similarity":True,"lemmas_similarity":False,"score_type":"wup_similarity","lesk_only_n":False}</v>
      </c>
      <c r="L56" t="s">
        <v>132</v>
      </c>
    </row>
    <row r="57" spans="1:12" x14ac:dyDescent="0.2">
      <c r="A57" t="s">
        <v>135</v>
      </c>
      <c r="B57" t="s">
        <v>61</v>
      </c>
      <c r="C57">
        <v>1</v>
      </c>
      <c r="D57">
        <v>2</v>
      </c>
      <c r="E57" t="s">
        <v>57</v>
      </c>
      <c r="F57" t="s">
        <v>57</v>
      </c>
      <c r="G57" t="s">
        <v>58</v>
      </c>
      <c r="H57" t="s">
        <v>57</v>
      </c>
      <c r="I57" t="s">
        <v>59</v>
      </c>
      <c r="J57" t="s">
        <v>57</v>
      </c>
      <c r="K57" t="str">
        <f t="shared" si="1"/>
        <v>{"test_id":"test_56", "genus_tags":["NN","JJ"], "genus_hypo_depth":1,"genus_hyper_hypo_depth":2,"lesk_on_genus":False,"definition_similarity":False,"examples_similarity":True,"lemmas_similarity":False,"score_type":"wup_similarity","lesk_only_n":False}</v>
      </c>
      <c r="L57" t="s">
        <v>132</v>
      </c>
    </row>
    <row r="58" spans="1:12" x14ac:dyDescent="0.2">
      <c r="A58" t="s">
        <v>136</v>
      </c>
      <c r="B58" t="s">
        <v>63</v>
      </c>
      <c r="C58">
        <v>1</v>
      </c>
      <c r="D58">
        <v>2</v>
      </c>
      <c r="E58" t="s">
        <v>57</v>
      </c>
      <c r="F58" t="s">
        <v>57</v>
      </c>
      <c r="G58" t="s">
        <v>58</v>
      </c>
      <c r="H58" t="s">
        <v>57</v>
      </c>
      <c r="I58" t="s">
        <v>59</v>
      </c>
      <c r="J58" t="s">
        <v>57</v>
      </c>
      <c r="K58" t="str">
        <f t="shared" si="1"/>
        <v>{"test_id":"test_57", "genus_tags":["NN","VB"], "genus_hypo_depth":1,"genus_hyper_hypo_depth":2,"lesk_on_genus":False,"definition_similarity":False,"examples_similarity":True,"lemmas_similarity":False,"score_type":"wup_similarity","lesk_only_n":False}</v>
      </c>
      <c r="L58" t="s">
        <v>132</v>
      </c>
    </row>
    <row r="59" spans="1:12" x14ac:dyDescent="0.2">
      <c r="A59" t="s">
        <v>137</v>
      </c>
      <c r="B59" t="s">
        <v>65</v>
      </c>
      <c r="C59">
        <v>1</v>
      </c>
      <c r="D59">
        <v>2</v>
      </c>
      <c r="E59" t="s">
        <v>57</v>
      </c>
      <c r="F59" t="s">
        <v>57</v>
      </c>
      <c r="G59" t="s">
        <v>58</v>
      </c>
      <c r="H59" t="s">
        <v>57</v>
      </c>
      <c r="I59" t="s">
        <v>59</v>
      </c>
      <c r="J59" t="s">
        <v>57</v>
      </c>
      <c r="K59" t="str">
        <f t="shared" si="1"/>
        <v>{"test_id":"test_58", "genus_tags":["NN","VB","VBD","VBG","VBN","VBP","VBZ"], "genus_hypo_depth":1,"genus_hyper_hypo_depth":2,"lesk_on_genus":False,"definition_similarity":False,"examples_similarity":True,"lemmas_similarity":False,"score_type":"wup_similarity","lesk_only_n":False}</v>
      </c>
      <c r="L59" t="s">
        <v>132</v>
      </c>
    </row>
    <row r="60" spans="1:12" x14ac:dyDescent="0.2">
      <c r="A60" t="s">
        <v>138</v>
      </c>
      <c r="B60" t="s">
        <v>67</v>
      </c>
      <c r="C60">
        <v>1</v>
      </c>
      <c r="D60">
        <v>2</v>
      </c>
      <c r="E60" t="s">
        <v>57</v>
      </c>
      <c r="F60" t="s">
        <v>57</v>
      </c>
      <c r="G60" t="s">
        <v>58</v>
      </c>
      <c r="H60" t="s">
        <v>57</v>
      </c>
      <c r="I60" t="s">
        <v>59</v>
      </c>
      <c r="J60" t="s">
        <v>57</v>
      </c>
      <c r="K60" t="str">
        <f t="shared" si="1"/>
        <v>{"test_id":"test_59", "genus_tags":["NN","RB"], "genus_hypo_depth":1,"genus_hyper_hypo_depth":2,"lesk_on_genus":False,"definition_similarity":False,"examples_similarity":True,"lemmas_similarity":False,"score_type":"wup_similarity","lesk_only_n":False}</v>
      </c>
      <c r="L60" t="s">
        <v>132</v>
      </c>
    </row>
    <row r="61" spans="1:12" x14ac:dyDescent="0.2">
      <c r="A61" t="s">
        <v>139</v>
      </c>
      <c r="B61" t="s">
        <v>69</v>
      </c>
      <c r="C61">
        <v>1</v>
      </c>
      <c r="D61">
        <v>2</v>
      </c>
      <c r="E61" t="s">
        <v>57</v>
      </c>
      <c r="F61" t="s">
        <v>57</v>
      </c>
      <c r="G61" t="s">
        <v>58</v>
      </c>
      <c r="H61" t="s">
        <v>57</v>
      </c>
      <c r="I61" t="s">
        <v>59</v>
      </c>
      <c r="J61" t="s">
        <v>57</v>
      </c>
      <c r="K61" t="str">
        <f t="shared" si="1"/>
        <v>{"test_id":"test_60", "genus_tags":["NN","JJ","VB","VBD","VBG","VBN","VBP","VBZ"], "genus_hypo_depth":1,"genus_hyper_hypo_depth":2,"lesk_on_genus":False,"definition_similarity":False,"examples_similarity":True,"lemmas_similarity":False,"score_type":"wup_similarity","lesk_only_n":False}</v>
      </c>
      <c r="L61" t="s">
        <v>132</v>
      </c>
    </row>
    <row r="62" spans="1:12" x14ac:dyDescent="0.2">
      <c r="A62" t="s">
        <v>140</v>
      </c>
      <c r="B62" t="s">
        <v>56</v>
      </c>
      <c r="C62">
        <v>1</v>
      </c>
      <c r="D62">
        <v>2</v>
      </c>
      <c r="E62" t="s">
        <v>58</v>
      </c>
      <c r="F62" t="s">
        <v>57</v>
      </c>
      <c r="G62" t="s">
        <v>58</v>
      </c>
      <c r="H62" t="s">
        <v>57</v>
      </c>
      <c r="I62" t="s">
        <v>59</v>
      </c>
      <c r="J62" t="s">
        <v>57</v>
      </c>
      <c r="K62" t="str">
        <f t="shared" si="1"/>
        <v>{"test_id":"test_61", "genus_tags":["NN"], "genus_hypo_depth":1,"genus_hyper_hypo_depth":2,"lesk_on_genus":True,"definition_similarity":False,"examples_similarity":True,"lemmas_similarity":False,"score_type":"wup_similarity","lesk_only_n":False}</v>
      </c>
      <c r="L62" t="s">
        <v>132</v>
      </c>
    </row>
    <row r="63" spans="1:12" x14ac:dyDescent="0.2">
      <c r="A63" t="s">
        <v>141</v>
      </c>
      <c r="B63" t="s">
        <v>61</v>
      </c>
      <c r="C63">
        <v>1</v>
      </c>
      <c r="D63">
        <v>2</v>
      </c>
      <c r="E63" t="s">
        <v>58</v>
      </c>
      <c r="F63" t="s">
        <v>57</v>
      </c>
      <c r="G63" t="s">
        <v>58</v>
      </c>
      <c r="H63" t="s">
        <v>57</v>
      </c>
      <c r="I63" t="s">
        <v>59</v>
      </c>
      <c r="J63" t="s">
        <v>57</v>
      </c>
      <c r="K63" t="str">
        <f t="shared" si="1"/>
        <v>{"test_id":"test_62", "genus_tags":["NN","JJ"], "genus_hypo_depth":1,"genus_hyper_hypo_depth":2,"lesk_on_genus":True,"definition_similarity":False,"examples_similarity":True,"lemmas_similarity":False,"score_type":"wup_similarity","lesk_only_n":False}</v>
      </c>
      <c r="L63" t="s">
        <v>132</v>
      </c>
    </row>
    <row r="64" spans="1:12" x14ac:dyDescent="0.2">
      <c r="A64" t="s">
        <v>142</v>
      </c>
      <c r="B64" t="s">
        <v>63</v>
      </c>
      <c r="C64">
        <v>1</v>
      </c>
      <c r="D64">
        <v>2</v>
      </c>
      <c r="E64" t="s">
        <v>58</v>
      </c>
      <c r="F64" t="s">
        <v>57</v>
      </c>
      <c r="G64" t="s">
        <v>58</v>
      </c>
      <c r="H64" t="s">
        <v>57</v>
      </c>
      <c r="I64" t="s">
        <v>59</v>
      </c>
      <c r="J64" t="s">
        <v>57</v>
      </c>
      <c r="K64" t="str">
        <f t="shared" si="1"/>
        <v>{"test_id":"test_63", "genus_tags":["NN","VB"], "genus_hypo_depth":1,"genus_hyper_hypo_depth":2,"lesk_on_genus":True,"definition_similarity":False,"examples_similarity":True,"lemmas_similarity":False,"score_type":"wup_similarity","lesk_only_n":False}</v>
      </c>
      <c r="L64" t="s">
        <v>132</v>
      </c>
    </row>
    <row r="65" spans="1:12" x14ac:dyDescent="0.2">
      <c r="A65" t="s">
        <v>143</v>
      </c>
      <c r="B65" t="s">
        <v>65</v>
      </c>
      <c r="C65">
        <v>1</v>
      </c>
      <c r="D65">
        <v>2</v>
      </c>
      <c r="E65" t="s">
        <v>58</v>
      </c>
      <c r="F65" t="s">
        <v>57</v>
      </c>
      <c r="G65" t="s">
        <v>58</v>
      </c>
      <c r="H65" t="s">
        <v>57</v>
      </c>
      <c r="I65" t="s">
        <v>59</v>
      </c>
      <c r="J65" t="s">
        <v>57</v>
      </c>
      <c r="K65" t="str">
        <f t="shared" si="1"/>
        <v>{"test_id":"test_64", "genus_tags":["NN","VB","VBD","VBG","VBN","VBP","VBZ"], "genus_hypo_depth":1,"genus_hyper_hypo_depth":2,"lesk_on_genus":True,"definition_similarity":False,"examples_similarity":True,"lemmas_similarity":False,"score_type":"wup_similarity","lesk_only_n":False}</v>
      </c>
      <c r="L65" t="s">
        <v>132</v>
      </c>
    </row>
    <row r="66" spans="1:12" x14ac:dyDescent="0.2">
      <c r="A66" t="s">
        <v>144</v>
      </c>
      <c r="B66" t="s">
        <v>67</v>
      </c>
      <c r="C66">
        <v>1</v>
      </c>
      <c r="D66">
        <v>2</v>
      </c>
      <c r="E66" t="s">
        <v>58</v>
      </c>
      <c r="F66" t="s">
        <v>57</v>
      </c>
      <c r="G66" t="s">
        <v>58</v>
      </c>
      <c r="H66" t="s">
        <v>57</v>
      </c>
      <c r="I66" t="s">
        <v>59</v>
      </c>
      <c r="J66" t="s">
        <v>57</v>
      </c>
      <c r="K66" t="str">
        <f t="shared" si="1"/>
        <v>{"test_id":"test_65", "genus_tags":["NN","RB"], "genus_hypo_depth":1,"genus_hyper_hypo_depth":2,"lesk_on_genus":True,"definition_similarity":False,"examples_similarity":True,"lemmas_similarity":False,"score_type":"wup_similarity","lesk_only_n":False}</v>
      </c>
      <c r="L66" t="s">
        <v>132</v>
      </c>
    </row>
    <row r="67" spans="1:12" x14ac:dyDescent="0.2">
      <c r="A67" t="s">
        <v>145</v>
      </c>
      <c r="B67" t="s">
        <v>69</v>
      </c>
      <c r="C67">
        <v>1</v>
      </c>
      <c r="D67">
        <v>2</v>
      </c>
      <c r="E67" t="s">
        <v>58</v>
      </c>
      <c r="F67" t="s">
        <v>57</v>
      </c>
      <c r="G67" t="s">
        <v>58</v>
      </c>
      <c r="H67" t="s">
        <v>57</v>
      </c>
      <c r="I67" t="s">
        <v>59</v>
      </c>
      <c r="J67" t="s">
        <v>57</v>
      </c>
      <c r="K67" t="str">
        <f t="shared" si="1"/>
        <v>{"test_id":"test_66", "genus_tags":["NN","JJ","VB","VBD","VBG","VBN","VBP","VBZ"], "genus_hypo_depth":1,"genus_hyper_hypo_depth":2,"lesk_on_genus":True,"definition_similarity":False,"examples_similarity":True,"lemmas_similarity":False,"score_type":"wup_similarity","lesk_only_n":False}</v>
      </c>
      <c r="L67" t="s">
        <v>132</v>
      </c>
    </row>
    <row r="68" spans="1:12" x14ac:dyDescent="0.2">
      <c r="A68" t="s">
        <v>146</v>
      </c>
      <c r="B68" t="s">
        <v>56</v>
      </c>
      <c r="C68">
        <v>1</v>
      </c>
      <c r="D68">
        <v>2</v>
      </c>
      <c r="E68" t="s">
        <v>57</v>
      </c>
      <c r="F68" t="s">
        <v>57</v>
      </c>
      <c r="G68" t="s">
        <v>58</v>
      </c>
      <c r="H68" t="s">
        <v>57</v>
      </c>
      <c r="I68" t="s">
        <v>59</v>
      </c>
      <c r="J68" t="s">
        <v>58</v>
      </c>
      <c r="K68" t="str">
        <f t="shared" si="1"/>
        <v>{"test_id":"test_67", "genus_tags":["NN"], "genus_hypo_depth":1,"genus_hyper_hypo_depth":2,"lesk_on_genus":False,"definition_similarity":False,"examples_similarity":True,"lemmas_similarity":False,"score_type":"wup_similarity","lesk_only_n":True}</v>
      </c>
      <c r="L68" t="s">
        <v>132</v>
      </c>
    </row>
    <row r="69" spans="1:12" x14ac:dyDescent="0.2">
      <c r="A69" t="s">
        <v>147</v>
      </c>
      <c r="B69" t="s">
        <v>61</v>
      </c>
      <c r="C69">
        <v>1</v>
      </c>
      <c r="D69">
        <v>2</v>
      </c>
      <c r="E69" t="s">
        <v>58</v>
      </c>
      <c r="F69" t="s">
        <v>57</v>
      </c>
      <c r="G69" t="s">
        <v>58</v>
      </c>
      <c r="H69" t="s">
        <v>57</v>
      </c>
      <c r="I69" t="s">
        <v>59</v>
      </c>
      <c r="J69" t="s">
        <v>58</v>
      </c>
      <c r="K69" t="str">
        <f t="shared" si="1"/>
        <v>{"test_id":"test_68", "genus_tags":["NN","JJ"], "genus_hypo_depth":1,"genus_hyper_hypo_depth":2,"lesk_on_genus":True,"definition_similarity":False,"examples_similarity":True,"lemmas_similarity":False,"score_type":"wup_similarity","lesk_only_n":True}</v>
      </c>
      <c r="L69" t="s">
        <v>132</v>
      </c>
    </row>
    <row r="70" spans="1:12" x14ac:dyDescent="0.2">
      <c r="A70" t="s">
        <v>148</v>
      </c>
      <c r="B70" t="s">
        <v>63</v>
      </c>
      <c r="C70">
        <v>1</v>
      </c>
      <c r="D70">
        <v>2</v>
      </c>
      <c r="E70" t="s">
        <v>58</v>
      </c>
      <c r="F70" t="s">
        <v>57</v>
      </c>
      <c r="G70" t="s">
        <v>58</v>
      </c>
      <c r="H70" t="s">
        <v>57</v>
      </c>
      <c r="I70" t="s">
        <v>59</v>
      </c>
      <c r="J70" t="s">
        <v>58</v>
      </c>
      <c r="K70" t="str">
        <f t="shared" si="1"/>
        <v>{"test_id":"test_69", "genus_tags":["NN","VB"], "genus_hypo_depth":1,"genus_hyper_hypo_depth":2,"lesk_on_genus":True,"definition_similarity":False,"examples_similarity":True,"lemmas_similarity":False,"score_type":"wup_similarity","lesk_only_n":True}</v>
      </c>
      <c r="L70" t="s">
        <v>132</v>
      </c>
    </row>
    <row r="71" spans="1:12" x14ac:dyDescent="0.2">
      <c r="A71" t="s">
        <v>149</v>
      </c>
      <c r="B71" t="s">
        <v>65</v>
      </c>
      <c r="C71">
        <v>1</v>
      </c>
      <c r="D71">
        <v>2</v>
      </c>
      <c r="E71" t="s">
        <v>58</v>
      </c>
      <c r="F71" t="s">
        <v>57</v>
      </c>
      <c r="G71" t="s">
        <v>58</v>
      </c>
      <c r="H71" t="s">
        <v>57</v>
      </c>
      <c r="I71" t="s">
        <v>59</v>
      </c>
      <c r="J71" t="s">
        <v>58</v>
      </c>
      <c r="K71" t="str">
        <f t="shared" si="1"/>
        <v>{"test_id":"test_70", "genus_tags":["NN","VB","VBD","VBG","VBN","VBP","VBZ"], "genus_hypo_depth":1,"genus_hyper_hypo_depth":2,"lesk_on_genus":True,"definition_similarity":False,"examples_similarity":True,"lemmas_similarity":False,"score_type":"wup_similarity","lesk_only_n":True}</v>
      </c>
      <c r="L71" t="s">
        <v>132</v>
      </c>
    </row>
    <row r="72" spans="1:12" x14ac:dyDescent="0.2">
      <c r="A72" t="s">
        <v>150</v>
      </c>
      <c r="B72" t="s">
        <v>67</v>
      </c>
      <c r="C72">
        <v>1</v>
      </c>
      <c r="D72">
        <v>2</v>
      </c>
      <c r="E72" t="s">
        <v>58</v>
      </c>
      <c r="F72" t="s">
        <v>57</v>
      </c>
      <c r="G72" t="s">
        <v>58</v>
      </c>
      <c r="H72" t="s">
        <v>57</v>
      </c>
      <c r="I72" t="s">
        <v>59</v>
      </c>
      <c r="J72" t="s">
        <v>58</v>
      </c>
      <c r="K72" t="str">
        <f t="shared" si="1"/>
        <v>{"test_id":"test_71", "genus_tags":["NN","RB"], "genus_hypo_depth":1,"genus_hyper_hypo_depth":2,"lesk_on_genus":True,"definition_similarity":False,"examples_similarity":True,"lemmas_similarity":False,"score_type":"wup_similarity","lesk_only_n":True}</v>
      </c>
      <c r="L72" t="s">
        <v>132</v>
      </c>
    </row>
    <row r="73" spans="1:12" x14ac:dyDescent="0.2">
      <c r="A73" t="s">
        <v>151</v>
      </c>
      <c r="B73" t="s">
        <v>69</v>
      </c>
      <c r="C73">
        <v>1</v>
      </c>
      <c r="D73">
        <v>2</v>
      </c>
      <c r="E73" t="s">
        <v>58</v>
      </c>
      <c r="F73" t="s">
        <v>57</v>
      </c>
      <c r="G73" t="s">
        <v>58</v>
      </c>
      <c r="H73" t="s">
        <v>57</v>
      </c>
      <c r="I73" t="s">
        <v>59</v>
      </c>
      <c r="J73" t="s">
        <v>58</v>
      </c>
      <c r="K73" t="str">
        <f t="shared" si="1"/>
        <v>{"test_id":"test_72", "genus_tags":["NN","JJ","VB","VBD","VBG","VBN","VBP","VBZ"], "genus_hypo_depth":1,"genus_hyper_hypo_depth":2,"lesk_on_genus":True,"definition_similarity":False,"examples_similarity":True,"lemmas_similarity":False,"score_type":"wup_similarity","lesk_only_n":True}</v>
      </c>
      <c r="L73" t="s">
        <v>132</v>
      </c>
    </row>
    <row r="74" spans="1:12" x14ac:dyDescent="0.2">
      <c r="A74" t="s">
        <v>152</v>
      </c>
      <c r="B74" t="s">
        <v>56</v>
      </c>
      <c r="C74">
        <v>1</v>
      </c>
      <c r="D74">
        <v>2</v>
      </c>
      <c r="E74" t="s">
        <v>57</v>
      </c>
      <c r="F74" t="s">
        <v>57</v>
      </c>
      <c r="G74" t="s">
        <v>57</v>
      </c>
      <c r="H74" t="s">
        <v>58</v>
      </c>
      <c r="I74" t="s">
        <v>59</v>
      </c>
      <c r="J74" t="s">
        <v>57</v>
      </c>
      <c r="K74" t="str">
        <f t="shared" ref="K74:K91" si="2">"{"""&amp;A$1&amp;""""&amp;":"""&amp;A74&amp;""", "&amp;SUBSTITUTE( """"&amp;B$1&amp;""""&amp;":["""&amp;B74&amp;"""]",",",""",""")&amp;", "&amp;""""&amp;C$1&amp;""""&amp;":"&amp;C74&amp;","&amp;""""&amp;D$1&amp;""""&amp;":"&amp;D74&amp;","&amp;""""&amp;E$1&amp;""""&amp;":"&amp;E74&amp;","&amp;""""&amp;F$1&amp;""""&amp;":"&amp;F74&amp;","&amp;""""&amp;G$1&amp;""""&amp;":"&amp;G74&amp;","&amp;""""&amp;H$1&amp;""""&amp;":"&amp;H74&amp;","&amp;""""&amp;I$1&amp;""""&amp;":"""&amp;I74&amp;""","&amp;""""&amp;J$1&amp;""""&amp;":"&amp;J74&amp;"}"</f>
        <v>{"test_id":"test_73", "genus_tags":["NN"], "genus_hypo_depth":1,"genus_hyper_hypo_depth":2,"lesk_on_genus":False,"definition_similarity":False,"examples_similarity":False,"lemmas_similarity":True,"score_type":"wup_similarity","lesk_only_n":False}</v>
      </c>
      <c r="L74" t="s">
        <v>132</v>
      </c>
    </row>
    <row r="75" spans="1:12" x14ac:dyDescent="0.2">
      <c r="A75" t="s">
        <v>153</v>
      </c>
      <c r="B75" t="s">
        <v>61</v>
      </c>
      <c r="C75">
        <v>1</v>
      </c>
      <c r="D75">
        <v>2</v>
      </c>
      <c r="E75" t="s">
        <v>57</v>
      </c>
      <c r="F75" t="s">
        <v>57</v>
      </c>
      <c r="G75" t="s">
        <v>57</v>
      </c>
      <c r="H75" t="s">
        <v>58</v>
      </c>
      <c r="I75" t="s">
        <v>59</v>
      </c>
      <c r="J75" t="s">
        <v>57</v>
      </c>
      <c r="K75" t="str">
        <f t="shared" si="2"/>
        <v>{"test_id":"test_74", "genus_tags":["NN","JJ"], "genus_hypo_depth":1,"genus_hyper_hypo_depth":2,"lesk_on_genus":False,"definition_similarity":False,"examples_similarity":False,"lemmas_similarity":True,"score_type":"wup_similarity","lesk_only_n":False}</v>
      </c>
      <c r="L75" t="s">
        <v>132</v>
      </c>
    </row>
    <row r="76" spans="1:12" x14ac:dyDescent="0.2">
      <c r="A76" t="s">
        <v>154</v>
      </c>
      <c r="B76" t="s">
        <v>63</v>
      </c>
      <c r="C76">
        <v>1</v>
      </c>
      <c r="D76">
        <v>2</v>
      </c>
      <c r="E76" t="s">
        <v>57</v>
      </c>
      <c r="F76" t="s">
        <v>57</v>
      </c>
      <c r="G76" t="s">
        <v>57</v>
      </c>
      <c r="H76" t="s">
        <v>58</v>
      </c>
      <c r="I76" t="s">
        <v>59</v>
      </c>
      <c r="J76" t="s">
        <v>57</v>
      </c>
      <c r="K76" t="str">
        <f t="shared" si="2"/>
        <v>{"test_id":"test_75", "genus_tags":["NN","VB"], "genus_hypo_depth":1,"genus_hyper_hypo_depth":2,"lesk_on_genus":False,"definition_similarity":False,"examples_similarity":False,"lemmas_similarity":True,"score_type":"wup_similarity","lesk_only_n":False}</v>
      </c>
      <c r="L76" t="s">
        <v>132</v>
      </c>
    </row>
    <row r="77" spans="1:12" x14ac:dyDescent="0.2">
      <c r="A77" t="s">
        <v>155</v>
      </c>
      <c r="B77" t="s">
        <v>65</v>
      </c>
      <c r="C77">
        <v>1</v>
      </c>
      <c r="D77">
        <v>2</v>
      </c>
      <c r="E77" t="s">
        <v>57</v>
      </c>
      <c r="F77" t="s">
        <v>57</v>
      </c>
      <c r="G77" t="s">
        <v>57</v>
      </c>
      <c r="H77" t="s">
        <v>58</v>
      </c>
      <c r="I77" t="s">
        <v>59</v>
      </c>
      <c r="J77" t="s">
        <v>57</v>
      </c>
      <c r="K77" t="str">
        <f t="shared" si="2"/>
        <v>{"test_id":"test_76", "genus_tags":["NN","VB","VBD","VBG","VBN","VBP","VBZ"], "genus_hypo_depth":1,"genus_hyper_hypo_depth":2,"lesk_on_genus":False,"definition_similarity":False,"examples_similarity":False,"lemmas_similarity":True,"score_type":"wup_similarity","lesk_only_n":False}</v>
      </c>
      <c r="L77" t="s">
        <v>132</v>
      </c>
    </row>
    <row r="78" spans="1:12" x14ac:dyDescent="0.2">
      <c r="A78" t="s">
        <v>156</v>
      </c>
      <c r="B78" t="s">
        <v>67</v>
      </c>
      <c r="C78">
        <v>1</v>
      </c>
      <c r="D78">
        <v>2</v>
      </c>
      <c r="E78" t="s">
        <v>57</v>
      </c>
      <c r="F78" t="s">
        <v>57</v>
      </c>
      <c r="G78" t="s">
        <v>57</v>
      </c>
      <c r="H78" t="s">
        <v>58</v>
      </c>
      <c r="I78" t="s">
        <v>59</v>
      </c>
      <c r="J78" t="s">
        <v>57</v>
      </c>
      <c r="K78" t="str">
        <f t="shared" si="2"/>
        <v>{"test_id":"test_77", "genus_tags":["NN","RB"], "genus_hypo_depth":1,"genus_hyper_hypo_depth":2,"lesk_on_genus":False,"definition_similarity":False,"examples_similarity":False,"lemmas_similarity":True,"score_type":"wup_similarity","lesk_only_n":False}</v>
      </c>
      <c r="L78" t="s">
        <v>132</v>
      </c>
    </row>
    <row r="79" spans="1:12" x14ac:dyDescent="0.2">
      <c r="A79" t="s">
        <v>157</v>
      </c>
      <c r="B79" t="s">
        <v>69</v>
      </c>
      <c r="C79">
        <v>1</v>
      </c>
      <c r="D79">
        <v>2</v>
      </c>
      <c r="E79" t="s">
        <v>57</v>
      </c>
      <c r="F79" t="s">
        <v>57</v>
      </c>
      <c r="G79" t="s">
        <v>57</v>
      </c>
      <c r="H79" t="s">
        <v>58</v>
      </c>
      <c r="I79" t="s">
        <v>59</v>
      </c>
      <c r="J79" t="s">
        <v>57</v>
      </c>
      <c r="K79" t="str">
        <f t="shared" si="2"/>
        <v>{"test_id":"test_78", "genus_tags":["NN","JJ","VB","VBD","VBG","VBN","VBP","VBZ"], "genus_hypo_depth":1,"genus_hyper_hypo_depth":2,"lesk_on_genus":False,"definition_similarity":False,"examples_similarity":False,"lemmas_similarity":True,"score_type":"wup_similarity","lesk_only_n":False}</v>
      </c>
      <c r="L79" t="s">
        <v>132</v>
      </c>
    </row>
    <row r="80" spans="1:12" x14ac:dyDescent="0.2">
      <c r="A80" t="s">
        <v>158</v>
      </c>
      <c r="B80" t="s">
        <v>56</v>
      </c>
      <c r="C80">
        <v>1</v>
      </c>
      <c r="D80">
        <v>2</v>
      </c>
      <c r="E80" t="s">
        <v>58</v>
      </c>
      <c r="F80" t="s">
        <v>57</v>
      </c>
      <c r="G80" t="s">
        <v>57</v>
      </c>
      <c r="H80" t="s">
        <v>58</v>
      </c>
      <c r="I80" t="s">
        <v>59</v>
      </c>
      <c r="J80" t="s">
        <v>57</v>
      </c>
      <c r="K80" t="str">
        <f t="shared" si="2"/>
        <v>{"test_id":"test_79", "genus_tags":["NN"], "genus_hypo_depth":1,"genus_hyper_hypo_depth":2,"lesk_on_genus":True,"definition_similarity":False,"examples_similarity":False,"lemmas_similarity":True,"score_type":"wup_similarity","lesk_only_n":False}</v>
      </c>
      <c r="L80" t="s">
        <v>132</v>
      </c>
    </row>
    <row r="81" spans="1:12" x14ac:dyDescent="0.2">
      <c r="A81" t="s">
        <v>159</v>
      </c>
      <c r="B81" t="s">
        <v>61</v>
      </c>
      <c r="C81">
        <v>1</v>
      </c>
      <c r="D81">
        <v>2</v>
      </c>
      <c r="E81" t="s">
        <v>58</v>
      </c>
      <c r="F81" t="s">
        <v>57</v>
      </c>
      <c r="G81" t="s">
        <v>57</v>
      </c>
      <c r="H81" t="s">
        <v>58</v>
      </c>
      <c r="I81" t="s">
        <v>59</v>
      </c>
      <c r="J81" t="s">
        <v>57</v>
      </c>
      <c r="K81" t="str">
        <f t="shared" si="2"/>
        <v>{"test_id":"test_80", "genus_tags":["NN","JJ"], "genus_hypo_depth":1,"genus_hyper_hypo_depth":2,"lesk_on_genus":True,"definition_similarity":False,"examples_similarity":False,"lemmas_similarity":True,"score_type":"wup_similarity","lesk_only_n":False}</v>
      </c>
      <c r="L81" t="s">
        <v>132</v>
      </c>
    </row>
    <row r="82" spans="1:12" x14ac:dyDescent="0.2">
      <c r="A82" t="s">
        <v>160</v>
      </c>
      <c r="B82" t="s">
        <v>63</v>
      </c>
      <c r="C82">
        <v>1</v>
      </c>
      <c r="D82">
        <v>2</v>
      </c>
      <c r="E82" t="s">
        <v>58</v>
      </c>
      <c r="F82" t="s">
        <v>57</v>
      </c>
      <c r="G82" t="s">
        <v>57</v>
      </c>
      <c r="H82" t="s">
        <v>58</v>
      </c>
      <c r="I82" t="s">
        <v>59</v>
      </c>
      <c r="J82" t="s">
        <v>57</v>
      </c>
      <c r="K82" t="str">
        <f t="shared" si="2"/>
        <v>{"test_id":"test_81", "genus_tags":["NN","VB"], "genus_hypo_depth":1,"genus_hyper_hypo_depth":2,"lesk_on_genus":True,"definition_similarity":False,"examples_similarity":False,"lemmas_similarity":True,"score_type":"wup_similarity","lesk_only_n":False}</v>
      </c>
      <c r="L82" t="s">
        <v>132</v>
      </c>
    </row>
    <row r="83" spans="1:12" x14ac:dyDescent="0.2">
      <c r="A83" t="s">
        <v>161</v>
      </c>
      <c r="B83" t="s">
        <v>65</v>
      </c>
      <c r="C83">
        <v>1</v>
      </c>
      <c r="D83">
        <v>2</v>
      </c>
      <c r="E83" t="s">
        <v>58</v>
      </c>
      <c r="F83" t="s">
        <v>57</v>
      </c>
      <c r="G83" t="s">
        <v>57</v>
      </c>
      <c r="H83" t="s">
        <v>58</v>
      </c>
      <c r="I83" t="s">
        <v>59</v>
      </c>
      <c r="J83" t="s">
        <v>57</v>
      </c>
      <c r="K83" t="str">
        <f t="shared" si="2"/>
        <v>{"test_id":"test_82", "genus_tags":["NN","VB","VBD","VBG","VBN","VBP","VBZ"], "genus_hypo_depth":1,"genus_hyper_hypo_depth":2,"lesk_on_genus":True,"definition_similarity":False,"examples_similarity":False,"lemmas_similarity":True,"score_type":"wup_similarity","lesk_only_n":False}</v>
      </c>
      <c r="L83" t="s">
        <v>132</v>
      </c>
    </row>
    <row r="84" spans="1:12" x14ac:dyDescent="0.2">
      <c r="A84" t="s">
        <v>162</v>
      </c>
      <c r="B84" t="s">
        <v>67</v>
      </c>
      <c r="C84">
        <v>1</v>
      </c>
      <c r="D84">
        <v>2</v>
      </c>
      <c r="E84" t="s">
        <v>58</v>
      </c>
      <c r="F84" t="s">
        <v>57</v>
      </c>
      <c r="G84" t="s">
        <v>57</v>
      </c>
      <c r="H84" t="s">
        <v>58</v>
      </c>
      <c r="I84" t="s">
        <v>59</v>
      </c>
      <c r="J84" t="s">
        <v>57</v>
      </c>
      <c r="K84" t="str">
        <f t="shared" si="2"/>
        <v>{"test_id":"test_83", "genus_tags":["NN","RB"], "genus_hypo_depth":1,"genus_hyper_hypo_depth":2,"lesk_on_genus":True,"definition_similarity":False,"examples_similarity":False,"lemmas_similarity":True,"score_type":"wup_similarity","lesk_only_n":False}</v>
      </c>
      <c r="L84" t="s">
        <v>132</v>
      </c>
    </row>
    <row r="85" spans="1:12" x14ac:dyDescent="0.2">
      <c r="A85" t="s">
        <v>163</v>
      </c>
      <c r="B85" t="s">
        <v>69</v>
      </c>
      <c r="C85">
        <v>1</v>
      </c>
      <c r="D85">
        <v>2</v>
      </c>
      <c r="E85" t="s">
        <v>58</v>
      </c>
      <c r="F85" t="s">
        <v>57</v>
      </c>
      <c r="G85" t="s">
        <v>57</v>
      </c>
      <c r="H85" t="s">
        <v>58</v>
      </c>
      <c r="I85" t="s">
        <v>59</v>
      </c>
      <c r="J85" t="s">
        <v>57</v>
      </c>
      <c r="K85" t="str">
        <f t="shared" si="2"/>
        <v>{"test_id":"test_84", "genus_tags":["NN","JJ","VB","VBD","VBG","VBN","VBP","VBZ"], "genus_hypo_depth":1,"genus_hyper_hypo_depth":2,"lesk_on_genus":True,"definition_similarity":False,"examples_similarity":False,"lemmas_similarity":True,"score_type":"wup_similarity","lesk_only_n":False}</v>
      </c>
      <c r="L85" t="s">
        <v>132</v>
      </c>
    </row>
    <row r="86" spans="1:12" x14ac:dyDescent="0.2">
      <c r="A86" t="s">
        <v>164</v>
      </c>
      <c r="B86" t="s">
        <v>56</v>
      </c>
      <c r="C86">
        <v>1</v>
      </c>
      <c r="D86">
        <v>2</v>
      </c>
      <c r="E86" t="s">
        <v>57</v>
      </c>
      <c r="F86" t="s">
        <v>57</v>
      </c>
      <c r="G86" t="s">
        <v>57</v>
      </c>
      <c r="H86" t="s">
        <v>58</v>
      </c>
      <c r="I86" t="s">
        <v>59</v>
      </c>
      <c r="J86" t="s">
        <v>58</v>
      </c>
      <c r="K86" t="str">
        <f t="shared" si="2"/>
        <v>{"test_id":"test_85", "genus_tags":["NN"], "genus_hypo_depth":1,"genus_hyper_hypo_depth":2,"lesk_on_genus":False,"definition_similarity":False,"examples_similarity":False,"lemmas_similarity":True,"score_type":"wup_similarity","lesk_only_n":True}</v>
      </c>
      <c r="L86" t="s">
        <v>132</v>
      </c>
    </row>
    <row r="87" spans="1:12" x14ac:dyDescent="0.2">
      <c r="A87" t="s">
        <v>165</v>
      </c>
      <c r="B87" t="s">
        <v>61</v>
      </c>
      <c r="C87">
        <v>1</v>
      </c>
      <c r="D87">
        <v>2</v>
      </c>
      <c r="E87" t="s">
        <v>58</v>
      </c>
      <c r="F87" t="s">
        <v>57</v>
      </c>
      <c r="G87" t="s">
        <v>57</v>
      </c>
      <c r="H87" t="s">
        <v>58</v>
      </c>
      <c r="I87" t="s">
        <v>59</v>
      </c>
      <c r="J87" t="s">
        <v>58</v>
      </c>
      <c r="K87" t="str">
        <f t="shared" si="2"/>
        <v>{"test_id":"test_86", "genus_tags":["NN","JJ"], "genus_hypo_depth":1,"genus_hyper_hypo_depth":2,"lesk_on_genus":True,"definition_similarity":False,"examples_similarity":False,"lemmas_similarity":True,"score_type":"wup_similarity","lesk_only_n":True}</v>
      </c>
      <c r="L87" t="s">
        <v>132</v>
      </c>
    </row>
    <row r="88" spans="1:12" x14ac:dyDescent="0.2">
      <c r="A88" t="s">
        <v>166</v>
      </c>
      <c r="B88" t="s">
        <v>63</v>
      </c>
      <c r="C88">
        <v>1</v>
      </c>
      <c r="D88">
        <v>2</v>
      </c>
      <c r="E88" t="s">
        <v>58</v>
      </c>
      <c r="F88" t="s">
        <v>57</v>
      </c>
      <c r="G88" t="s">
        <v>57</v>
      </c>
      <c r="H88" t="s">
        <v>58</v>
      </c>
      <c r="I88" t="s">
        <v>59</v>
      </c>
      <c r="J88" t="s">
        <v>58</v>
      </c>
      <c r="K88" t="str">
        <f t="shared" si="2"/>
        <v>{"test_id":"test_87", "genus_tags":["NN","VB"], "genus_hypo_depth":1,"genus_hyper_hypo_depth":2,"lesk_on_genus":True,"definition_similarity":False,"examples_similarity":False,"lemmas_similarity":True,"score_type":"wup_similarity","lesk_only_n":True}</v>
      </c>
      <c r="L88" t="s">
        <v>132</v>
      </c>
    </row>
    <row r="89" spans="1:12" x14ac:dyDescent="0.2">
      <c r="A89" t="s">
        <v>167</v>
      </c>
      <c r="B89" t="s">
        <v>65</v>
      </c>
      <c r="C89">
        <v>1</v>
      </c>
      <c r="D89">
        <v>2</v>
      </c>
      <c r="E89" t="s">
        <v>58</v>
      </c>
      <c r="F89" t="s">
        <v>57</v>
      </c>
      <c r="G89" t="s">
        <v>57</v>
      </c>
      <c r="H89" t="s">
        <v>58</v>
      </c>
      <c r="I89" t="s">
        <v>59</v>
      </c>
      <c r="J89" t="s">
        <v>58</v>
      </c>
      <c r="K89" t="str">
        <f t="shared" si="2"/>
        <v>{"test_id":"test_88", "genus_tags":["NN","VB","VBD","VBG","VBN","VBP","VBZ"], "genus_hypo_depth":1,"genus_hyper_hypo_depth":2,"lesk_on_genus":True,"definition_similarity":False,"examples_similarity":False,"lemmas_similarity":True,"score_type":"wup_similarity","lesk_only_n":True}</v>
      </c>
      <c r="L89" t="s">
        <v>132</v>
      </c>
    </row>
    <row r="90" spans="1:12" x14ac:dyDescent="0.2">
      <c r="A90" t="s">
        <v>168</v>
      </c>
      <c r="B90" t="s">
        <v>67</v>
      </c>
      <c r="C90">
        <v>1</v>
      </c>
      <c r="D90">
        <v>2</v>
      </c>
      <c r="E90" t="s">
        <v>58</v>
      </c>
      <c r="F90" t="s">
        <v>57</v>
      </c>
      <c r="G90" t="s">
        <v>57</v>
      </c>
      <c r="H90" t="s">
        <v>58</v>
      </c>
      <c r="I90" t="s">
        <v>59</v>
      </c>
      <c r="J90" t="s">
        <v>58</v>
      </c>
      <c r="K90" t="str">
        <f t="shared" si="2"/>
        <v>{"test_id":"test_89", "genus_tags":["NN","RB"], "genus_hypo_depth":1,"genus_hyper_hypo_depth":2,"lesk_on_genus":True,"definition_similarity":False,"examples_similarity":False,"lemmas_similarity":True,"score_type":"wup_similarity","lesk_only_n":True}</v>
      </c>
      <c r="L90" t="s">
        <v>132</v>
      </c>
    </row>
    <row r="91" spans="1:12" x14ac:dyDescent="0.2">
      <c r="A91" t="s">
        <v>169</v>
      </c>
      <c r="B91" t="s">
        <v>69</v>
      </c>
      <c r="C91">
        <v>1</v>
      </c>
      <c r="D91">
        <v>2</v>
      </c>
      <c r="E91" t="s">
        <v>58</v>
      </c>
      <c r="F91" t="s">
        <v>57</v>
      </c>
      <c r="G91" t="s">
        <v>57</v>
      </c>
      <c r="H91" t="s">
        <v>58</v>
      </c>
      <c r="I91" t="s">
        <v>59</v>
      </c>
      <c r="J91" t="s">
        <v>58</v>
      </c>
      <c r="K91" t="str">
        <f t="shared" si="2"/>
        <v>{"test_id":"test_90", "genus_tags":["NN","JJ","VB","VBD","VBG","VBN","VBP","VBZ"], "genus_hypo_depth":1,"genus_hyper_hypo_depth":2,"lesk_on_genus":True,"definition_similarity":False,"examples_similarity":False,"lemmas_similarity":True,"score_type":"wup_similarity","lesk_only_n":True}</v>
      </c>
      <c r="L91" t="s">
        <v>132</v>
      </c>
    </row>
  </sheetData>
  <autoFilter ref="A1:L55" xr:uid="{644EB1C3-9D7C-A949-8DA6-850ACEFACCD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gloss_similarity</vt:lpstr>
      <vt:lpstr>gloss_example_similarity</vt:lpstr>
      <vt:lpstr>gloss_example_lemmas_similarity</vt:lpstr>
      <vt:lpstr>example_similarity</vt:lpstr>
      <vt:lpstr>example_lemmas</vt:lpstr>
      <vt:lpstr>Dataset</vt:lpstr>
      <vt:lpstr>scores_results</vt:lpstr>
      <vt:lpstr>test da rieseguire</vt:lpstr>
      <vt:lpstr>experiments_specs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2020-11-07T12:36:51Z</dcterms:created>
  <dcterms:modified xsi:type="dcterms:W3CDTF">2020-11-08T19:35:12Z</dcterms:modified>
</cp:coreProperties>
</file>